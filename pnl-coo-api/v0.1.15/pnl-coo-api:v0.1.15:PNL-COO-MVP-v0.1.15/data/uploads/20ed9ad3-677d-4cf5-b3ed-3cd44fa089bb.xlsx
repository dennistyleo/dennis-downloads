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leodennis/Documents/PNL COO/"/>
    </mc:Choice>
  </mc:AlternateContent>
  <xr:revisionPtr revIDLastSave="0" documentId="8_{2AAF26A0-FDA1-5740-9FF0-9F6884DE918B}" xr6:coauthVersionLast="47" xr6:coauthVersionMax="47" xr10:uidLastSave="{00000000-0000-0000-0000-000000000000}"/>
  <bookViews>
    <workbookView xWindow="0" yWindow="0" windowWidth="38400" windowHeight="21600" tabRatio="501" firstSheet="9" activeTab="23" xr2:uid="{00000000-000D-0000-FFFF-FFFF00000000}"/>
  </bookViews>
  <sheets>
    <sheet name="兩期比較" sheetId="106" r:id="rId1"/>
    <sheet name="2017 預算" sheetId="107" r:id="rId2"/>
    <sheet name="Summary" sheetId="58" r:id="rId3"/>
    <sheet name="TWN_BS" sheetId="7" r:id="rId4"/>
    <sheet name="TWN_IS" sheetId="59" r:id="rId5"/>
    <sheet name="ＴＷＮ_IS_v" sheetId="114" r:id="rId6"/>
    <sheet name="TWN_IS-調整存貨跌價" sheetId="63" r:id="rId7"/>
    <sheet name="功能別IS" sheetId="101" r:id="rId8"/>
    <sheet name="TWN_費用明細" sheetId="5" r:id="rId9"/>
    <sheet name="現金流量表" sheetId="70" r:id="rId10"/>
    <sheet name="現金流量表_v" sheetId="115" r:id="rId11"/>
    <sheet name="現金流量表 (底稿)" sheetId="105" state="hidden" r:id="rId12"/>
    <sheet name="Inventory+AR Aging" sheetId="25" r:id="rId13"/>
    <sheet name="毛利率分析與調整" sheetId="28" r:id="rId14"/>
    <sheet name="客戶毛利排行" sheetId="87" r:id="rId15"/>
    <sheet name="TWN_前十大客戶" sheetId="54" r:id="rId16"/>
    <sheet name="利潤by區域機種" sheetId="98" r:id="rId17"/>
    <sheet name="產品別毛利表" sheetId="72" r:id="rId18"/>
    <sheet name="產品別毛利表-未扣製費分攤" sheetId="86" r:id="rId19"/>
    <sheet name="MVA by 區域機種" sheetId="95" r:id="rId20"/>
    <sheet name="客戶MVA" sheetId="112" r:id="rId21"/>
    <sheet name="週轉天數趨勢圖" sheetId="83" r:id="rId22"/>
    <sheet name="週轉天趨勢圖_v" sheetId="116" r:id="rId23"/>
    <sheet name="Customer Map" sheetId="117" r:id="rId24"/>
    <sheet name="比率分析" sheetId="23" r:id="rId25"/>
    <sheet name="BS明細" sheetId="67" r:id="rId26"/>
    <sheet name="BS" sheetId="108" state="hidden" r:id="rId27"/>
    <sheet name="IS明細" sheetId="1" r:id="rId28"/>
    <sheet name="製造費用明細" sheetId="33" r:id="rId29"/>
    <sheet name="銷售費用" sheetId="8" r:id="rId30"/>
    <sheet name="管理費用" sheetId="9" r:id="rId31"/>
    <sheet name="研發費用" sheetId="10" r:id="rId32"/>
    <sheet name="海關三旬匯率" sheetId="113" r:id="rId33"/>
  </sheets>
  <externalReferences>
    <externalReference r:id="rId34"/>
    <externalReference r:id="rId35"/>
    <externalReference r:id="rId36"/>
  </externalReferences>
  <definedNames>
    <definedName name="_xlnm._FilterDatabase" localSheetId="19" hidden="1">'MVA by 區域機種'!$A$1:$AG$1</definedName>
    <definedName name="_xlnm._FilterDatabase" localSheetId="8" hidden="1">TWN_費用明細!$CC$4:$CD$53</definedName>
    <definedName name="_xlnm._FilterDatabase" localSheetId="31" hidden="1">研發費用!$T$2:$T$42</definedName>
    <definedName name="_xlnm._FilterDatabase" localSheetId="17" hidden="1">產品別毛利表!$A$1:$W$47</definedName>
    <definedName name="_xlnm._FilterDatabase" localSheetId="18" hidden="1">'產品別毛利表-未扣製費分攤'!$A$1:$T$44</definedName>
    <definedName name="_xlnm._FilterDatabase" localSheetId="21" hidden="1">週轉天數趨勢圖!$A$2:$A$8</definedName>
    <definedName name="_xlnm._FilterDatabase" localSheetId="30" hidden="1">管理費用!#REF!</definedName>
    <definedName name="_xlnm._FilterDatabase" localSheetId="29" hidden="1">銷售費用!$T$2:$U$45</definedName>
    <definedName name="_xlnm.Print_Area" localSheetId="1">'2017 預算'!$A$1:$AZ$94</definedName>
    <definedName name="_xlnm.Print_Area" localSheetId="2">Summary!$A$1:$L$29</definedName>
    <definedName name="_xlnm.Print_Area" localSheetId="3">TWN_BS!$A$1:$O$41</definedName>
    <definedName name="_xlnm.Print_Area" localSheetId="4">TWN_IS!$A$1:$R$273</definedName>
    <definedName name="_xlnm.Print_Area" localSheetId="6">'TWN_IS-調整存貨跌價'!$A$1:$R$28</definedName>
    <definedName name="_xlnm.Print_Area" localSheetId="15">TWN_前十大客戶!$A$1:$L$21</definedName>
    <definedName name="_xlnm.Print_Area" localSheetId="8">TWN_費用明細!$A$1:$CC$53</definedName>
    <definedName name="_xlnm.Print_Area" localSheetId="24">比率分析!$A$1:$H$40</definedName>
    <definedName name="_xlnm.Print_Area" localSheetId="13">毛利率分析與調整!$A$1:$F$14</definedName>
    <definedName name="_xlnm.Print_Area" localSheetId="7">功能別IS!$A$1:$AC$37</definedName>
    <definedName name="_xlnm.Print_Area" localSheetId="14">客戶毛利排行!$A$1:$M$27</definedName>
    <definedName name="_xlnm.Print_Area" localSheetId="31">研發費用!$B$1:$S$42</definedName>
    <definedName name="_xlnm.Print_Area" localSheetId="9">現金流量表!$A$1:$O$41</definedName>
    <definedName name="_xlnm.Print_Area" localSheetId="11">'現金流量表 (底稿)'!$A$1:$O$47</definedName>
    <definedName name="_xlnm.Print_Area" localSheetId="17">產品別毛利表!$A$1:$G$45</definedName>
    <definedName name="_xlnm.Print_Area" localSheetId="18">'產品別毛利表-未扣製費分攤'!$A$1:$L$47</definedName>
    <definedName name="_xlnm.Print_Area" localSheetId="21">週轉天數趨勢圖!$A$1:$CD$33</definedName>
    <definedName name="_xlnm.Print_Area" localSheetId="30">管理費用!$B$1:$S$43</definedName>
    <definedName name="_xlnm.Print_Area" localSheetId="28">製造費用明細!$B$1:$S$48</definedName>
    <definedName name="_xlnm.Print_Area" localSheetId="29">銷售費用!$B$1:$S$45</definedName>
    <definedName name="_xlnm.Print_Titles" localSheetId="1">'2017 預算'!$A:$A,'2017 預算'!$1:$6</definedName>
    <definedName name="_xlnm.Print_Titles" localSheetId="25">BS明細!$6:$6</definedName>
    <definedName name="_xlnm.Print_Titles" localSheetId="12">'Inventory+AR Aging'!#REF!</definedName>
    <definedName name="_xlnm.Print_Titles" localSheetId="27">IS明細!$4:$4</definedName>
    <definedName name="_xlnm.Print_Titles" localSheetId="2">Summary!$1:$3</definedName>
    <definedName name="_xlnm.Print_Titles" localSheetId="3">TWN_BS!$1:$3</definedName>
    <definedName name="_xlnm.Print_Titles" localSheetId="15">TWN_前十大客戶!$1:$2</definedName>
    <definedName name="_xlnm.Print_Titles" localSheetId="24">比率分析!$A:$A</definedName>
    <definedName name="_xlnm.Print_Titles" localSheetId="7">功能別IS!$4:$4</definedName>
    <definedName name="_xlnm.Print_Titles" localSheetId="31">研發費用!$1:$2</definedName>
    <definedName name="_xlnm.Print_Titles" localSheetId="17">產品別毛利表!$1:$1</definedName>
    <definedName name="_xlnm.Print_Titles" localSheetId="18">'產品別毛利表-未扣製費分攤'!$1:$1</definedName>
    <definedName name="_xlnm.Print_Titles" localSheetId="30">管理費用!$1:$2</definedName>
    <definedName name="_xlnm.Print_Titles" localSheetId="28">製造費用明細!$1:$2</definedName>
    <definedName name="_xlnm.Print_Titles" localSheetId="29">銷售費用!$1:$2</definedName>
  </definedNames>
  <calcPr calcId="191029"/>
  <pivotCaches>
    <pivotCache cacheId="2" r:id="rId3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17" l="1"/>
  <c r="B15" i="117" s="1"/>
  <c r="E5" i="117"/>
  <c r="E4" i="117"/>
  <c r="E2" i="117"/>
  <c r="B16" i="117"/>
  <c r="B14" i="117"/>
  <c r="B13" i="117"/>
  <c r="B7" i="117"/>
  <c r="B8" i="117" s="1"/>
  <c r="B5" i="117"/>
  <c r="B11" i="117"/>
  <c r="B10" i="117"/>
  <c r="B9" i="117"/>
  <c r="B6" i="117"/>
  <c r="B4" i="117"/>
  <c r="B3" i="117"/>
  <c r="C6" i="113"/>
  <c r="D6" i="113"/>
  <c r="E6" i="113"/>
  <c r="F6" i="113"/>
  <c r="G6" i="113"/>
  <c r="B6" i="113"/>
  <c r="CD19" i="23" l="1"/>
  <c r="Z111" i="112"/>
  <c r="T111" i="112"/>
  <c r="S111" i="112"/>
  <c r="H111" i="112"/>
  <c r="X110" i="112"/>
  <c r="Y110" i="112" s="1"/>
  <c r="W110" i="112"/>
  <c r="V110" i="112"/>
  <c r="U110" i="112"/>
  <c r="AA110" i="112" s="1"/>
  <c r="AB110" i="112" s="1"/>
  <c r="O110" i="112"/>
  <c r="L110" i="112"/>
  <c r="X109" i="112"/>
  <c r="Y109" i="112" s="1"/>
  <c r="W109" i="112"/>
  <c r="V109" i="112"/>
  <c r="U109" i="112"/>
  <c r="AA109" i="112" s="1"/>
  <c r="AB109" i="112" s="1"/>
  <c r="O109" i="112"/>
  <c r="L109" i="112"/>
  <c r="P109" i="112" s="1"/>
  <c r="X108" i="112"/>
  <c r="Y108" i="112" s="1"/>
  <c r="W108" i="112"/>
  <c r="V108" i="112"/>
  <c r="U108" i="112"/>
  <c r="AA108" i="112" s="1"/>
  <c r="AB108" i="112" s="1"/>
  <c r="O108" i="112"/>
  <c r="L108" i="112"/>
  <c r="X107" i="112"/>
  <c r="Y107" i="112" s="1"/>
  <c r="W107" i="112"/>
  <c r="V107" i="112"/>
  <c r="U107" i="112"/>
  <c r="AA107" i="112" s="1"/>
  <c r="AB107" i="112" s="1"/>
  <c r="O107" i="112"/>
  <c r="L107" i="112"/>
  <c r="P107" i="112" s="1"/>
  <c r="X106" i="112"/>
  <c r="Y106" i="112" s="1"/>
  <c r="W106" i="112"/>
  <c r="V106" i="112"/>
  <c r="U106" i="112"/>
  <c r="AA106" i="112" s="1"/>
  <c r="AB106" i="112" s="1"/>
  <c r="O106" i="112"/>
  <c r="L106" i="112"/>
  <c r="X105" i="112"/>
  <c r="Y105" i="112" s="1"/>
  <c r="W105" i="112"/>
  <c r="V105" i="112"/>
  <c r="U105" i="112"/>
  <c r="AA105" i="112" s="1"/>
  <c r="AB105" i="112" s="1"/>
  <c r="O105" i="112"/>
  <c r="L105" i="112"/>
  <c r="P105" i="112" s="1"/>
  <c r="X104" i="112"/>
  <c r="Y104" i="112" s="1"/>
  <c r="W104" i="112"/>
  <c r="V104" i="112"/>
  <c r="U104" i="112"/>
  <c r="AA104" i="112" s="1"/>
  <c r="AB104" i="112" s="1"/>
  <c r="O104" i="112"/>
  <c r="L104" i="112"/>
  <c r="X103" i="112"/>
  <c r="Y103" i="112" s="1"/>
  <c r="W103" i="112"/>
  <c r="V103" i="112"/>
  <c r="U103" i="112"/>
  <c r="AA103" i="112" s="1"/>
  <c r="AB103" i="112" s="1"/>
  <c r="O103" i="112"/>
  <c r="L103" i="112"/>
  <c r="P103" i="112" s="1"/>
  <c r="X102" i="112"/>
  <c r="Y102" i="112" s="1"/>
  <c r="W102" i="112"/>
  <c r="V102" i="112"/>
  <c r="U102" i="112"/>
  <c r="AA102" i="112" s="1"/>
  <c r="AB102" i="112" s="1"/>
  <c r="O102" i="112"/>
  <c r="L102" i="112"/>
  <c r="X101" i="112"/>
  <c r="Y101" i="112" s="1"/>
  <c r="W101" i="112"/>
  <c r="V101" i="112"/>
  <c r="U101" i="112"/>
  <c r="AA101" i="112" s="1"/>
  <c r="AB101" i="112" s="1"/>
  <c r="O101" i="112"/>
  <c r="L101" i="112"/>
  <c r="P101" i="112" s="1"/>
  <c r="X100" i="112"/>
  <c r="Y100" i="112" s="1"/>
  <c r="W100" i="112"/>
  <c r="V100" i="112"/>
  <c r="U100" i="112"/>
  <c r="AA100" i="112" s="1"/>
  <c r="AB100" i="112" s="1"/>
  <c r="O100" i="112"/>
  <c r="L100" i="112"/>
  <c r="X99" i="112"/>
  <c r="W99" i="112"/>
  <c r="V99" i="112"/>
  <c r="U99" i="112"/>
  <c r="O99" i="112"/>
  <c r="L99" i="112"/>
  <c r="P99" i="112" s="1"/>
  <c r="Z98" i="112"/>
  <c r="T98" i="112"/>
  <c r="S98" i="112"/>
  <c r="H98" i="112"/>
  <c r="Y97" i="112"/>
  <c r="X97" i="112"/>
  <c r="X98" i="112" s="1"/>
  <c r="Y98" i="112" s="1"/>
  <c r="W97" i="112"/>
  <c r="W98" i="112" s="1"/>
  <c r="V97" i="112"/>
  <c r="U97" i="112"/>
  <c r="O97" i="112"/>
  <c r="L97" i="112"/>
  <c r="Z96" i="112"/>
  <c r="T96" i="112"/>
  <c r="S96" i="112"/>
  <c r="H96" i="112"/>
  <c r="X95" i="112"/>
  <c r="Y95" i="112" s="1"/>
  <c r="W95" i="112"/>
  <c r="W96" i="112" s="1"/>
  <c r="V95" i="112"/>
  <c r="V96" i="112" s="1"/>
  <c r="U95" i="112"/>
  <c r="O95" i="112"/>
  <c r="L95" i="112"/>
  <c r="P95" i="112" s="1"/>
  <c r="Z94" i="112"/>
  <c r="T94" i="112"/>
  <c r="S94" i="112"/>
  <c r="H94" i="112"/>
  <c r="X93" i="112"/>
  <c r="Y93" i="112" s="1"/>
  <c r="W93" i="112"/>
  <c r="V93" i="112"/>
  <c r="U93" i="112"/>
  <c r="O93" i="112"/>
  <c r="P93" i="112" s="1"/>
  <c r="L93" i="112"/>
  <c r="X92" i="112"/>
  <c r="Y92" i="112" s="1"/>
  <c r="W92" i="112"/>
  <c r="V92" i="112"/>
  <c r="U92" i="112"/>
  <c r="O92" i="112"/>
  <c r="L92" i="112"/>
  <c r="P92" i="112" s="1"/>
  <c r="Z91" i="112"/>
  <c r="T91" i="112"/>
  <c r="S91" i="112"/>
  <c r="H91" i="112"/>
  <c r="X90" i="112"/>
  <c r="X91" i="112" s="1"/>
  <c r="W90" i="112"/>
  <c r="V90" i="112"/>
  <c r="U90" i="112"/>
  <c r="U91" i="112" s="1"/>
  <c r="O90" i="112"/>
  <c r="L90" i="112"/>
  <c r="Z89" i="112"/>
  <c r="T89" i="112"/>
  <c r="S89" i="112"/>
  <c r="H89" i="112"/>
  <c r="X88" i="112"/>
  <c r="X89" i="112" s="1"/>
  <c r="Y89" i="112" s="1"/>
  <c r="W88" i="112"/>
  <c r="W89" i="112" s="1"/>
  <c r="V88" i="112"/>
  <c r="U88" i="112"/>
  <c r="O88" i="112"/>
  <c r="L88" i="112"/>
  <c r="Z87" i="112"/>
  <c r="T87" i="112"/>
  <c r="S87" i="112"/>
  <c r="H87" i="112"/>
  <c r="X86" i="112"/>
  <c r="X87" i="112" s="1"/>
  <c r="W86" i="112"/>
  <c r="W87" i="112" s="1"/>
  <c r="V86" i="112"/>
  <c r="V87" i="112" s="1"/>
  <c r="U86" i="112"/>
  <c r="O86" i="112"/>
  <c r="L86" i="112"/>
  <c r="P86" i="112" s="1"/>
  <c r="Z85" i="112"/>
  <c r="T85" i="112"/>
  <c r="S85" i="112"/>
  <c r="H85" i="112"/>
  <c r="X84" i="112"/>
  <c r="Y84" i="112" s="1"/>
  <c r="W84" i="112"/>
  <c r="V84" i="112"/>
  <c r="U84" i="112"/>
  <c r="O84" i="112"/>
  <c r="L84" i="112"/>
  <c r="X83" i="112"/>
  <c r="Y83" i="112" s="1"/>
  <c r="W83" i="112"/>
  <c r="V83" i="112"/>
  <c r="U83" i="112"/>
  <c r="O83" i="112"/>
  <c r="L83" i="112"/>
  <c r="X82" i="112"/>
  <c r="Y82" i="112" s="1"/>
  <c r="W82" i="112"/>
  <c r="V82" i="112"/>
  <c r="U82" i="112"/>
  <c r="P82" i="112"/>
  <c r="O82" i="112"/>
  <c r="L82" i="112"/>
  <c r="X81" i="112"/>
  <c r="Y81" i="112" s="1"/>
  <c r="W81" i="112"/>
  <c r="V81" i="112"/>
  <c r="U81" i="112"/>
  <c r="P81" i="112"/>
  <c r="O81" i="112"/>
  <c r="L81" i="112"/>
  <c r="Z80" i="112"/>
  <c r="T80" i="112"/>
  <c r="S80" i="112"/>
  <c r="H80" i="112"/>
  <c r="X79" i="112"/>
  <c r="Y79" i="112" s="1"/>
  <c r="W79" i="112"/>
  <c r="V79" i="112"/>
  <c r="U79" i="112"/>
  <c r="AA79" i="112" s="1"/>
  <c r="AB79" i="112" s="1"/>
  <c r="O79" i="112"/>
  <c r="L79" i="112"/>
  <c r="X78" i="112"/>
  <c r="Y78" i="112" s="1"/>
  <c r="W78" i="112"/>
  <c r="V78" i="112"/>
  <c r="U78" i="112"/>
  <c r="AA78" i="112" s="1"/>
  <c r="AB78" i="112" s="1"/>
  <c r="O78" i="112"/>
  <c r="L78" i="112"/>
  <c r="X77" i="112"/>
  <c r="W77" i="112"/>
  <c r="V77" i="112"/>
  <c r="U77" i="112"/>
  <c r="O77" i="112"/>
  <c r="L77" i="112"/>
  <c r="Z76" i="112"/>
  <c r="T76" i="112"/>
  <c r="S76" i="112"/>
  <c r="H76" i="112"/>
  <c r="X75" i="112"/>
  <c r="Y75" i="112" s="1"/>
  <c r="W75" i="112"/>
  <c r="V75" i="112"/>
  <c r="U75" i="112"/>
  <c r="O75" i="112"/>
  <c r="L75" i="112"/>
  <c r="X74" i="112"/>
  <c r="Y74" i="112" s="1"/>
  <c r="W74" i="112"/>
  <c r="V74" i="112"/>
  <c r="U74" i="112"/>
  <c r="AA74" i="112" s="1"/>
  <c r="AB74" i="112" s="1"/>
  <c r="O74" i="112"/>
  <c r="L74" i="112"/>
  <c r="X73" i="112"/>
  <c r="Y73" i="112" s="1"/>
  <c r="W73" i="112"/>
  <c r="V73" i="112"/>
  <c r="U73" i="112"/>
  <c r="AA73" i="112" s="1"/>
  <c r="AB73" i="112" s="1"/>
  <c r="O73" i="112"/>
  <c r="L73" i="112"/>
  <c r="X72" i="112"/>
  <c r="Y72" i="112" s="1"/>
  <c r="W72" i="112"/>
  <c r="W76" i="112" s="1"/>
  <c r="V72" i="112"/>
  <c r="U72" i="112"/>
  <c r="O72" i="112"/>
  <c r="L72" i="112"/>
  <c r="P72" i="112" s="1"/>
  <c r="Z71" i="112"/>
  <c r="T71" i="112"/>
  <c r="S71" i="112"/>
  <c r="H71" i="112"/>
  <c r="X70" i="112"/>
  <c r="X71" i="112" s="1"/>
  <c r="W70" i="112"/>
  <c r="W71" i="112" s="1"/>
  <c r="V70" i="112"/>
  <c r="V71" i="112" s="1"/>
  <c r="U70" i="112"/>
  <c r="O70" i="112"/>
  <c r="L70" i="112"/>
  <c r="Z69" i="112"/>
  <c r="T69" i="112"/>
  <c r="S69" i="112"/>
  <c r="H69" i="112"/>
  <c r="X68" i="112"/>
  <c r="Y68" i="112" s="1"/>
  <c r="W68" i="112"/>
  <c r="V68" i="112"/>
  <c r="U68" i="112"/>
  <c r="O68" i="112"/>
  <c r="L68" i="112"/>
  <c r="X67" i="112"/>
  <c r="Y67" i="112" s="1"/>
  <c r="W67" i="112"/>
  <c r="V67" i="112"/>
  <c r="U67" i="112"/>
  <c r="O67" i="112"/>
  <c r="L67" i="112"/>
  <c r="X66" i="112"/>
  <c r="Y66" i="112" s="1"/>
  <c r="W66" i="112"/>
  <c r="V66" i="112"/>
  <c r="U66" i="112"/>
  <c r="O66" i="112"/>
  <c r="L66" i="112"/>
  <c r="P66" i="112" s="1"/>
  <c r="X65" i="112"/>
  <c r="Y65" i="112" s="1"/>
  <c r="W65" i="112"/>
  <c r="V65" i="112"/>
  <c r="U65" i="112"/>
  <c r="O65" i="112"/>
  <c r="L65" i="112"/>
  <c r="Z64" i="112"/>
  <c r="T64" i="112"/>
  <c r="S64" i="112"/>
  <c r="H64" i="112"/>
  <c r="X63" i="112"/>
  <c r="Y63" i="112" s="1"/>
  <c r="W63" i="112"/>
  <c r="V63" i="112"/>
  <c r="U63" i="112"/>
  <c r="AA63" i="112" s="1"/>
  <c r="AB63" i="112" s="1"/>
  <c r="O63" i="112"/>
  <c r="L63" i="112"/>
  <c r="P63" i="112" s="1"/>
  <c r="X62" i="112"/>
  <c r="Y62" i="112" s="1"/>
  <c r="W62" i="112"/>
  <c r="V62" i="112"/>
  <c r="U62" i="112"/>
  <c r="AA62" i="112" s="1"/>
  <c r="AB62" i="112" s="1"/>
  <c r="O62" i="112"/>
  <c r="L62" i="112"/>
  <c r="X61" i="112"/>
  <c r="Y61" i="112" s="1"/>
  <c r="W61" i="112"/>
  <c r="V61" i="112"/>
  <c r="U61" i="112"/>
  <c r="AA61" i="112" s="1"/>
  <c r="AB61" i="112" s="1"/>
  <c r="O61" i="112"/>
  <c r="L61" i="112"/>
  <c r="P61" i="112" s="1"/>
  <c r="X60" i="112"/>
  <c r="Y60" i="112" s="1"/>
  <c r="W60" i="112"/>
  <c r="V60" i="112"/>
  <c r="U60" i="112"/>
  <c r="AA60" i="112" s="1"/>
  <c r="AB60" i="112" s="1"/>
  <c r="O60" i="112"/>
  <c r="L60" i="112"/>
  <c r="X59" i="112"/>
  <c r="W59" i="112"/>
  <c r="V59" i="112"/>
  <c r="U59" i="112"/>
  <c r="O59" i="112"/>
  <c r="L59" i="112"/>
  <c r="P59" i="112" s="1"/>
  <c r="Z58" i="112"/>
  <c r="T58" i="112"/>
  <c r="S58" i="112"/>
  <c r="H58" i="112"/>
  <c r="Y57" i="112"/>
  <c r="X57" i="112"/>
  <c r="X58" i="112" s="1"/>
  <c r="W57" i="112"/>
  <c r="W58" i="112" s="1"/>
  <c r="V57" i="112"/>
  <c r="U57" i="112"/>
  <c r="O57" i="112"/>
  <c r="L57" i="112"/>
  <c r="Z56" i="112"/>
  <c r="T56" i="112"/>
  <c r="S56" i="112"/>
  <c r="H56" i="112"/>
  <c r="X55" i="112"/>
  <c r="Y55" i="112" s="1"/>
  <c r="W55" i="112"/>
  <c r="W56" i="112" s="1"/>
  <c r="V55" i="112"/>
  <c r="V56" i="112" s="1"/>
  <c r="U55" i="112"/>
  <c r="O55" i="112"/>
  <c r="L55" i="112"/>
  <c r="Z54" i="112"/>
  <c r="T54" i="112"/>
  <c r="S54" i="112"/>
  <c r="H54" i="112"/>
  <c r="X53" i="112"/>
  <c r="Y53" i="112" s="1"/>
  <c r="W53" i="112"/>
  <c r="W54" i="112" s="1"/>
  <c r="V53" i="112"/>
  <c r="V54" i="112" s="1"/>
  <c r="U53" i="112"/>
  <c r="U54" i="112" s="1"/>
  <c r="O53" i="112"/>
  <c r="L53" i="112"/>
  <c r="Z52" i="112"/>
  <c r="T52" i="112"/>
  <c r="S52" i="112"/>
  <c r="H52" i="112"/>
  <c r="X51" i="112"/>
  <c r="X52" i="112" s="1"/>
  <c r="Y52" i="112" s="1"/>
  <c r="W51" i="112"/>
  <c r="V51" i="112"/>
  <c r="V52" i="112" s="1"/>
  <c r="U51" i="112"/>
  <c r="U52" i="112" s="1"/>
  <c r="O51" i="112"/>
  <c r="L51" i="112"/>
  <c r="Z50" i="112"/>
  <c r="T50" i="112"/>
  <c r="S50" i="112"/>
  <c r="H50" i="112"/>
  <c r="Y49" i="112"/>
  <c r="X49" i="112"/>
  <c r="X50" i="112" s="1"/>
  <c r="W49" i="112"/>
  <c r="W50" i="112" s="1"/>
  <c r="V49" i="112"/>
  <c r="U49" i="112"/>
  <c r="U50" i="112" s="1"/>
  <c r="O49" i="112"/>
  <c r="L49" i="112"/>
  <c r="Z48" i="112"/>
  <c r="T48" i="112"/>
  <c r="S48" i="112"/>
  <c r="H48" i="112"/>
  <c r="X47" i="112"/>
  <c r="Y47" i="112" s="1"/>
  <c r="W47" i="112"/>
  <c r="V47" i="112"/>
  <c r="U47" i="112"/>
  <c r="O47" i="112"/>
  <c r="L47" i="112"/>
  <c r="X46" i="112"/>
  <c r="Y46" i="112" s="1"/>
  <c r="W46" i="112"/>
  <c r="V46" i="112"/>
  <c r="U46" i="112"/>
  <c r="O46" i="112"/>
  <c r="L46" i="112"/>
  <c r="X45" i="112"/>
  <c r="Y45" i="112" s="1"/>
  <c r="W45" i="112"/>
  <c r="V45" i="112"/>
  <c r="U45" i="112"/>
  <c r="AA45" i="112" s="1"/>
  <c r="AB45" i="112" s="1"/>
  <c r="O45" i="112"/>
  <c r="L45" i="112"/>
  <c r="X44" i="112"/>
  <c r="Y44" i="112" s="1"/>
  <c r="W44" i="112"/>
  <c r="V44" i="112"/>
  <c r="U44" i="112"/>
  <c r="AA44" i="112" s="1"/>
  <c r="AB44" i="112" s="1"/>
  <c r="O44" i="112"/>
  <c r="L44" i="112"/>
  <c r="X43" i="112"/>
  <c r="Y43" i="112" s="1"/>
  <c r="W43" i="112"/>
  <c r="V43" i="112"/>
  <c r="U43" i="112"/>
  <c r="O43" i="112"/>
  <c r="L43" i="112"/>
  <c r="X42" i="112"/>
  <c r="Y42" i="112" s="1"/>
  <c r="W42" i="112"/>
  <c r="V42" i="112"/>
  <c r="U42" i="112"/>
  <c r="O42" i="112"/>
  <c r="L42" i="112"/>
  <c r="X41" i="112"/>
  <c r="Y41" i="112" s="1"/>
  <c r="W41" i="112"/>
  <c r="V41" i="112"/>
  <c r="U41" i="112"/>
  <c r="AA41" i="112" s="1"/>
  <c r="AB41" i="112" s="1"/>
  <c r="O41" i="112"/>
  <c r="L41" i="112"/>
  <c r="X40" i="112"/>
  <c r="Y40" i="112" s="1"/>
  <c r="W40" i="112"/>
  <c r="V40" i="112"/>
  <c r="U40" i="112"/>
  <c r="AA40" i="112" s="1"/>
  <c r="AB40" i="112" s="1"/>
  <c r="O40" i="112"/>
  <c r="L40" i="112"/>
  <c r="X39" i="112"/>
  <c r="Y39" i="112" s="1"/>
  <c r="W39" i="112"/>
  <c r="V39" i="112"/>
  <c r="U39" i="112"/>
  <c r="O39" i="112"/>
  <c r="L39" i="112"/>
  <c r="X38" i="112"/>
  <c r="Y38" i="112" s="1"/>
  <c r="W38" i="112"/>
  <c r="V38" i="112"/>
  <c r="U38" i="112"/>
  <c r="O38" i="112"/>
  <c r="L38" i="112"/>
  <c r="P38" i="112" s="1"/>
  <c r="X37" i="112"/>
  <c r="Y37" i="112" s="1"/>
  <c r="W37" i="112"/>
  <c r="V37" i="112"/>
  <c r="U37" i="112"/>
  <c r="AA37" i="112" s="1"/>
  <c r="AB37" i="112" s="1"/>
  <c r="O37" i="112"/>
  <c r="L37" i="112"/>
  <c r="X36" i="112"/>
  <c r="Y36" i="112" s="1"/>
  <c r="W36" i="112"/>
  <c r="V36" i="112"/>
  <c r="U36" i="112"/>
  <c r="AA36" i="112" s="1"/>
  <c r="AB36" i="112" s="1"/>
  <c r="O36" i="112"/>
  <c r="L36" i="112"/>
  <c r="X35" i="112"/>
  <c r="Y35" i="112" s="1"/>
  <c r="W35" i="112"/>
  <c r="V35" i="112"/>
  <c r="U35" i="112"/>
  <c r="O35" i="112"/>
  <c r="L35" i="112"/>
  <c r="X34" i="112"/>
  <c r="Y34" i="112" s="1"/>
  <c r="W34" i="112"/>
  <c r="V34" i="112"/>
  <c r="U34" i="112"/>
  <c r="O34" i="112"/>
  <c r="L34" i="112"/>
  <c r="Y33" i="112"/>
  <c r="X33" i="112"/>
  <c r="W33" i="112"/>
  <c r="V33" i="112"/>
  <c r="U33" i="112"/>
  <c r="AA33" i="112" s="1"/>
  <c r="AB33" i="112" s="1"/>
  <c r="O33" i="112"/>
  <c r="L33" i="112"/>
  <c r="X32" i="112"/>
  <c r="Y32" i="112" s="1"/>
  <c r="W32" i="112"/>
  <c r="V32" i="112"/>
  <c r="U32" i="112"/>
  <c r="AA32" i="112" s="1"/>
  <c r="AB32" i="112" s="1"/>
  <c r="O32" i="112"/>
  <c r="L32" i="112"/>
  <c r="X31" i="112"/>
  <c r="Y31" i="112" s="1"/>
  <c r="W31" i="112"/>
  <c r="V31" i="112"/>
  <c r="U31" i="112"/>
  <c r="O31" i="112"/>
  <c r="L31" i="112"/>
  <c r="X30" i="112"/>
  <c r="Y30" i="112" s="1"/>
  <c r="W30" i="112"/>
  <c r="V30" i="112"/>
  <c r="U30" i="112"/>
  <c r="O30" i="112"/>
  <c r="L30" i="112"/>
  <c r="X29" i="112"/>
  <c r="Y29" i="112" s="1"/>
  <c r="W29" i="112"/>
  <c r="V29" i="112"/>
  <c r="U29" i="112"/>
  <c r="AA29" i="112" s="1"/>
  <c r="AB29" i="112" s="1"/>
  <c r="O29" i="112"/>
  <c r="L29" i="112"/>
  <c r="X28" i="112"/>
  <c r="Y28" i="112" s="1"/>
  <c r="W28" i="112"/>
  <c r="V28" i="112"/>
  <c r="U28" i="112"/>
  <c r="AA28" i="112" s="1"/>
  <c r="AB28" i="112" s="1"/>
  <c r="O28" i="112"/>
  <c r="L28" i="112"/>
  <c r="X27" i="112"/>
  <c r="Y27" i="112" s="1"/>
  <c r="W27" i="112"/>
  <c r="V27" i="112"/>
  <c r="U27" i="112"/>
  <c r="O27" i="112"/>
  <c r="L27" i="112"/>
  <c r="X26" i="112"/>
  <c r="Y26" i="112" s="1"/>
  <c r="W26" i="112"/>
  <c r="V26" i="112"/>
  <c r="U26" i="112"/>
  <c r="O26" i="112"/>
  <c r="L26" i="112"/>
  <c r="X25" i="112"/>
  <c r="Y25" i="112" s="1"/>
  <c r="W25" i="112"/>
  <c r="V25" i="112"/>
  <c r="U25" i="112"/>
  <c r="O25" i="112"/>
  <c r="L25" i="112"/>
  <c r="X24" i="112"/>
  <c r="Y24" i="112" s="1"/>
  <c r="W24" i="112"/>
  <c r="V24" i="112"/>
  <c r="U24" i="112"/>
  <c r="AA24" i="112" s="1"/>
  <c r="AB24" i="112" s="1"/>
  <c r="O24" i="112"/>
  <c r="L24" i="112"/>
  <c r="X23" i="112"/>
  <c r="Y23" i="112" s="1"/>
  <c r="W23" i="112"/>
  <c r="V23" i="112"/>
  <c r="U23" i="112"/>
  <c r="AA23" i="112" s="1"/>
  <c r="AB23" i="112" s="1"/>
  <c r="O23" i="112"/>
  <c r="L23" i="112"/>
  <c r="X22" i="112"/>
  <c r="Y22" i="112" s="1"/>
  <c r="W22" i="112"/>
  <c r="V22" i="112"/>
  <c r="U22" i="112"/>
  <c r="O22" i="112"/>
  <c r="L22" i="112"/>
  <c r="Y21" i="112"/>
  <c r="X21" i="112"/>
  <c r="W21" i="112"/>
  <c r="V21" i="112"/>
  <c r="U21" i="112"/>
  <c r="O21" i="112"/>
  <c r="L21" i="112"/>
  <c r="Y20" i="112"/>
  <c r="X20" i="112"/>
  <c r="W20" i="112"/>
  <c r="V20" i="112"/>
  <c r="U20" i="112"/>
  <c r="AA20" i="112" s="1"/>
  <c r="AB20" i="112" s="1"/>
  <c r="O20" i="112"/>
  <c r="L20" i="112"/>
  <c r="P20" i="112" s="1"/>
  <c r="X19" i="112"/>
  <c r="Y19" i="112" s="1"/>
  <c r="W19" i="112"/>
  <c r="V19" i="112"/>
  <c r="U19" i="112"/>
  <c r="AA19" i="112" s="1"/>
  <c r="AB19" i="112" s="1"/>
  <c r="O19" i="112"/>
  <c r="L19" i="112"/>
  <c r="P19" i="112" s="1"/>
  <c r="X18" i="112"/>
  <c r="Y18" i="112" s="1"/>
  <c r="W18" i="112"/>
  <c r="V18" i="112"/>
  <c r="U18" i="112"/>
  <c r="O18" i="112"/>
  <c r="L18" i="112"/>
  <c r="X17" i="112"/>
  <c r="Y17" i="112" s="1"/>
  <c r="W17" i="112"/>
  <c r="V17" i="112"/>
  <c r="U17" i="112"/>
  <c r="O17" i="112"/>
  <c r="L17" i="112"/>
  <c r="X16" i="112"/>
  <c r="Y16" i="112" s="1"/>
  <c r="W16" i="112"/>
  <c r="V16" i="112"/>
  <c r="U16" i="112"/>
  <c r="AA16" i="112" s="1"/>
  <c r="AB16" i="112" s="1"/>
  <c r="O16" i="112"/>
  <c r="L16" i="112"/>
  <c r="X15" i="112"/>
  <c r="Y15" i="112" s="1"/>
  <c r="W15" i="112"/>
  <c r="V15" i="112"/>
  <c r="U15" i="112"/>
  <c r="AA15" i="112" s="1"/>
  <c r="AB15" i="112" s="1"/>
  <c r="O15" i="112"/>
  <c r="L15" i="112"/>
  <c r="P15" i="112" s="1"/>
  <c r="X14" i="112"/>
  <c r="Y14" i="112" s="1"/>
  <c r="W14" i="112"/>
  <c r="V14" i="112"/>
  <c r="U14" i="112"/>
  <c r="AA14" i="112" s="1"/>
  <c r="AB14" i="112" s="1"/>
  <c r="O14" i="112"/>
  <c r="L14" i="112"/>
  <c r="X13" i="112"/>
  <c r="Y13" i="112" s="1"/>
  <c r="W13" i="112"/>
  <c r="V13" i="112"/>
  <c r="U13" i="112"/>
  <c r="AA13" i="112" s="1"/>
  <c r="AB13" i="112" s="1"/>
  <c r="O13" i="112"/>
  <c r="L13" i="112"/>
  <c r="X12" i="112"/>
  <c r="Y12" i="112" s="1"/>
  <c r="W12" i="112"/>
  <c r="V12" i="112"/>
  <c r="U12" i="112"/>
  <c r="AA12" i="112" s="1"/>
  <c r="AB12" i="112" s="1"/>
  <c r="O12" i="112"/>
  <c r="L12" i="112"/>
  <c r="AA11" i="112"/>
  <c r="AB11" i="112" s="1"/>
  <c r="X11" i="112"/>
  <c r="Y11" i="112" s="1"/>
  <c r="W11" i="112"/>
  <c r="V11" i="112"/>
  <c r="U11" i="112"/>
  <c r="O11" i="112"/>
  <c r="L11" i="112"/>
  <c r="P11" i="112" s="1"/>
  <c r="X10" i="112"/>
  <c r="Y10" i="112" s="1"/>
  <c r="W10" i="112"/>
  <c r="V10" i="112"/>
  <c r="U10" i="112"/>
  <c r="AA10" i="112" s="1"/>
  <c r="AB10" i="112" s="1"/>
  <c r="O10" i="112"/>
  <c r="L10" i="112"/>
  <c r="X9" i="112"/>
  <c r="Y9" i="112" s="1"/>
  <c r="W9" i="112"/>
  <c r="V9" i="112"/>
  <c r="U9" i="112"/>
  <c r="AA9" i="112" s="1"/>
  <c r="AB9" i="112" s="1"/>
  <c r="O9" i="112"/>
  <c r="L9" i="112"/>
  <c r="X8" i="112"/>
  <c r="Y8" i="112" s="1"/>
  <c r="W8" i="112"/>
  <c r="V8" i="112"/>
  <c r="U8" i="112"/>
  <c r="AA8" i="112" s="1"/>
  <c r="AB8" i="112" s="1"/>
  <c r="O8" i="112"/>
  <c r="L8" i="112"/>
  <c r="X7" i="112"/>
  <c r="Y7" i="112" s="1"/>
  <c r="W7" i="112"/>
  <c r="V7" i="112"/>
  <c r="U7" i="112"/>
  <c r="AA7" i="112" s="1"/>
  <c r="AB7" i="112" s="1"/>
  <c r="O7" i="112"/>
  <c r="L7" i="112"/>
  <c r="P7" i="112" s="1"/>
  <c r="AA6" i="112"/>
  <c r="AB6" i="112" s="1"/>
  <c r="X6" i="112"/>
  <c r="Y6" i="112" s="1"/>
  <c r="W6" i="112"/>
  <c r="V6" i="112"/>
  <c r="U6" i="112"/>
  <c r="O6" i="112"/>
  <c r="L6" i="112"/>
  <c r="AA5" i="112"/>
  <c r="AB5" i="112" s="1"/>
  <c r="X5" i="112"/>
  <c r="Y5" i="112" s="1"/>
  <c r="W5" i="112"/>
  <c r="V5" i="112"/>
  <c r="U5" i="112"/>
  <c r="O5" i="112"/>
  <c r="L5" i="112"/>
  <c r="P5" i="112" s="1"/>
  <c r="AA4" i="112"/>
  <c r="AB4" i="112" s="1"/>
  <c r="X4" i="112"/>
  <c r="Y4" i="112" s="1"/>
  <c r="W4" i="112"/>
  <c r="V4" i="112"/>
  <c r="U4" i="112"/>
  <c r="O4" i="112"/>
  <c r="L4" i="112"/>
  <c r="X3" i="112"/>
  <c r="Y3" i="112" s="1"/>
  <c r="W3" i="112"/>
  <c r="V3" i="112"/>
  <c r="U3" i="112"/>
  <c r="AA3" i="112" s="1"/>
  <c r="AB3" i="112" s="1"/>
  <c r="O3" i="112"/>
  <c r="L3" i="112"/>
  <c r="P3" i="112" s="1"/>
  <c r="X2" i="112"/>
  <c r="Y2" i="112" s="1"/>
  <c r="W2" i="112"/>
  <c r="V2" i="112"/>
  <c r="U2" i="112"/>
  <c r="AA2" i="112" s="1"/>
  <c r="O2" i="112"/>
  <c r="L2" i="112"/>
  <c r="P12" i="112" l="1"/>
  <c r="P24" i="112"/>
  <c r="P2" i="112"/>
  <c r="P8" i="112"/>
  <c r="P13" i="112"/>
  <c r="P35" i="112"/>
  <c r="P4" i="112"/>
  <c r="Y50" i="112"/>
  <c r="P10" i="112"/>
  <c r="P9" i="112"/>
  <c r="P57" i="112"/>
  <c r="P6" i="112"/>
  <c r="P14" i="112"/>
  <c r="V48" i="112"/>
  <c r="P31" i="112"/>
  <c r="P47" i="112"/>
  <c r="P55" i="112"/>
  <c r="P32" i="112"/>
  <c r="P33" i="112"/>
  <c r="P34" i="112"/>
  <c r="P37" i="112"/>
  <c r="P49" i="112"/>
  <c r="U64" i="112"/>
  <c r="P65" i="112"/>
  <c r="P70" i="112"/>
  <c r="U80" i="112"/>
  <c r="Y87" i="112"/>
  <c r="P90" i="112"/>
  <c r="X96" i="112"/>
  <c r="Y96" i="112" s="1"/>
  <c r="U111" i="112"/>
  <c r="P36" i="112"/>
  <c r="AA49" i="112"/>
  <c r="AA50" i="112" s="1"/>
  <c r="AB50" i="112" s="1"/>
  <c r="T112" i="112"/>
  <c r="X64" i="112"/>
  <c r="Y64" i="112" s="1"/>
  <c r="V69" i="112"/>
  <c r="P68" i="112"/>
  <c r="X80" i="112"/>
  <c r="P83" i="112"/>
  <c r="Y88" i="112"/>
  <c r="W94" i="112"/>
  <c r="X111" i="112"/>
  <c r="Y111" i="112" s="1"/>
  <c r="AA51" i="112"/>
  <c r="AA77" i="112"/>
  <c r="P39" i="112"/>
  <c r="P40" i="112"/>
  <c r="P41" i="112"/>
  <c r="P42" i="112"/>
  <c r="S112" i="112"/>
  <c r="U69" i="112"/>
  <c r="P73" i="112"/>
  <c r="P74" i="112"/>
  <c r="AA90" i="112"/>
  <c r="X48" i="112"/>
  <c r="Y48" i="112" s="1"/>
  <c r="P16" i="112"/>
  <c r="P27" i="112"/>
  <c r="P28" i="112"/>
  <c r="P29" i="112"/>
  <c r="P30" i="112"/>
  <c r="P43" i="112"/>
  <c r="P44" i="112"/>
  <c r="P45" i="112"/>
  <c r="P46" i="112"/>
  <c r="X56" i="112"/>
  <c r="Y56" i="112" s="1"/>
  <c r="Y58" i="112"/>
  <c r="AA59" i="112"/>
  <c r="Y71" i="112"/>
  <c r="P77" i="112"/>
  <c r="P79" i="112"/>
  <c r="V85" i="112"/>
  <c r="P88" i="112"/>
  <c r="V94" i="112"/>
  <c r="P97" i="112"/>
  <c r="P23" i="112"/>
  <c r="P75" i="112"/>
  <c r="AA99" i="112"/>
  <c r="P53" i="112"/>
  <c r="X54" i="112"/>
  <c r="Y54" i="112" s="1"/>
  <c r="P67" i="112"/>
  <c r="X76" i="112"/>
  <c r="Y76" i="112" s="1"/>
  <c r="U85" i="112"/>
  <c r="P84" i="112"/>
  <c r="U94" i="112"/>
  <c r="AA70" i="112"/>
  <c r="AA86" i="112"/>
  <c r="V50" i="112"/>
  <c r="U89" i="112"/>
  <c r="V111" i="112"/>
  <c r="P26" i="112"/>
  <c r="Z112" i="112"/>
  <c r="P62" i="112"/>
  <c r="W80" i="112"/>
  <c r="X94" i="112"/>
  <c r="Y94" i="112" s="1"/>
  <c r="P106" i="112"/>
  <c r="P108" i="112"/>
  <c r="W48" i="112"/>
  <c r="AB2" i="112"/>
  <c r="AA17" i="112"/>
  <c r="AB17" i="112" s="1"/>
  <c r="AA21" i="112"/>
  <c r="AB21" i="112" s="1"/>
  <c r="AA25" i="112"/>
  <c r="AB25" i="112" s="1"/>
  <c r="AA27" i="112"/>
  <c r="AB27" i="112" s="1"/>
  <c r="AA31" i="112"/>
  <c r="AB31" i="112" s="1"/>
  <c r="AA35" i="112"/>
  <c r="AB35" i="112" s="1"/>
  <c r="AA39" i="112"/>
  <c r="AB39" i="112" s="1"/>
  <c r="AA43" i="112"/>
  <c r="AB43" i="112" s="1"/>
  <c r="AA47" i="112"/>
  <c r="AB47" i="112" s="1"/>
  <c r="H112" i="112"/>
  <c r="W52" i="112"/>
  <c r="U58" i="112"/>
  <c r="W69" i="112"/>
  <c r="Y70" i="112"/>
  <c r="U71" i="112"/>
  <c r="AA72" i="112"/>
  <c r="U76" i="112"/>
  <c r="W85" i="112"/>
  <c r="Y86" i="112"/>
  <c r="U87" i="112"/>
  <c r="AA88" i="112"/>
  <c r="V89" i="112"/>
  <c r="Y91" i="112"/>
  <c r="V91" i="112"/>
  <c r="U98" i="112"/>
  <c r="W111" i="112"/>
  <c r="AA55" i="112"/>
  <c r="AA95" i="112"/>
  <c r="U48" i="112"/>
  <c r="P18" i="112"/>
  <c r="P22" i="112"/>
  <c r="P51" i="112"/>
  <c r="P60" i="112"/>
  <c r="W64" i="112"/>
  <c r="P78" i="112"/>
  <c r="P100" i="112"/>
  <c r="P102" i="112"/>
  <c r="P104" i="112"/>
  <c r="P110" i="112"/>
  <c r="P17" i="112"/>
  <c r="AA18" i="112"/>
  <c r="AB18" i="112" s="1"/>
  <c r="P21" i="112"/>
  <c r="AA22" i="112"/>
  <c r="AB22" i="112" s="1"/>
  <c r="P25" i="112"/>
  <c r="AA26" i="112"/>
  <c r="AB26" i="112" s="1"/>
  <c r="AA30" i="112"/>
  <c r="AB30" i="112" s="1"/>
  <c r="AA34" i="112"/>
  <c r="AB34" i="112" s="1"/>
  <c r="AA38" i="112"/>
  <c r="AB38" i="112" s="1"/>
  <c r="AA42" i="112"/>
  <c r="AB42" i="112" s="1"/>
  <c r="AA46" i="112"/>
  <c r="AB46" i="112" s="1"/>
  <c r="U56" i="112"/>
  <c r="AA57" i="112"/>
  <c r="V58" i="112"/>
  <c r="V64" i="112"/>
  <c r="X69" i="112"/>
  <c r="Y69" i="112" s="1"/>
  <c r="AA75" i="112"/>
  <c r="AB75" i="112" s="1"/>
  <c r="V76" i="112"/>
  <c r="Y80" i="112"/>
  <c r="V80" i="112"/>
  <c r="X85" i="112"/>
  <c r="Y85" i="112" s="1"/>
  <c r="W91" i="112"/>
  <c r="U96" i="112"/>
  <c r="AA97" i="112"/>
  <c r="V98" i="112"/>
  <c r="Y51" i="112"/>
  <c r="AA53" i="112"/>
  <c r="Y59" i="112"/>
  <c r="AA65" i="112"/>
  <c r="AA66" i="112"/>
  <c r="AB66" i="112" s="1"/>
  <c r="AA67" i="112"/>
  <c r="AB67" i="112" s="1"/>
  <c r="AA68" i="112"/>
  <c r="AB68" i="112" s="1"/>
  <c r="Y77" i="112"/>
  <c r="AA81" i="112"/>
  <c r="AA82" i="112"/>
  <c r="AB82" i="112" s="1"/>
  <c r="AA83" i="112"/>
  <c r="AB83" i="112" s="1"/>
  <c r="AA84" i="112"/>
  <c r="AB84" i="112" s="1"/>
  <c r="Y90" i="112"/>
  <c r="AA92" i="112"/>
  <c r="AA93" i="112"/>
  <c r="AB93" i="112" s="1"/>
  <c r="Y99" i="112"/>
  <c r="AB49" i="112" l="1"/>
  <c r="W112" i="112"/>
  <c r="AB51" i="112"/>
  <c r="AA52" i="112"/>
  <c r="AB52" i="112" s="1"/>
  <c r="AA111" i="112"/>
  <c r="AB111" i="112" s="1"/>
  <c r="AB99" i="112"/>
  <c r="AA64" i="112"/>
  <c r="AB64" i="112" s="1"/>
  <c r="AB59" i="112"/>
  <c r="AA80" i="112"/>
  <c r="AB80" i="112" s="1"/>
  <c r="AB77" i="112"/>
  <c r="V112" i="112"/>
  <c r="AA91" i="112"/>
  <c r="AB91" i="112" s="1"/>
  <c r="AB90" i="112"/>
  <c r="AA94" i="112"/>
  <c r="AB94" i="112" s="1"/>
  <c r="AB92" i="112"/>
  <c r="AA85" i="112"/>
  <c r="AB85" i="112" s="1"/>
  <c r="AB81" i="112"/>
  <c r="AB65" i="112"/>
  <c r="AA69" i="112"/>
  <c r="AB69" i="112" s="1"/>
  <c r="AA56" i="112"/>
  <c r="AB56" i="112" s="1"/>
  <c r="AB55" i="112"/>
  <c r="AA76" i="112"/>
  <c r="AB76" i="112" s="1"/>
  <c r="AB72" i="112"/>
  <c r="AA87" i="112"/>
  <c r="AB87" i="112" s="1"/>
  <c r="AB86" i="112"/>
  <c r="AA98" i="112"/>
  <c r="AB98" i="112" s="1"/>
  <c r="AB97" i="112"/>
  <c r="AA96" i="112"/>
  <c r="AB96" i="112" s="1"/>
  <c r="AB95" i="112"/>
  <c r="AA54" i="112"/>
  <c r="AB54" i="112" s="1"/>
  <c r="AB53" i="112"/>
  <c r="AA58" i="112"/>
  <c r="AB58" i="112" s="1"/>
  <c r="AB57" i="112"/>
  <c r="AA89" i="112"/>
  <c r="AB89" i="112" s="1"/>
  <c r="AB88" i="112"/>
  <c r="AA71" i="112"/>
  <c r="AB71" i="112" s="1"/>
  <c r="AB70" i="112"/>
  <c r="U112" i="112"/>
  <c r="AA48" i="112"/>
  <c r="AB48" i="112" s="1"/>
  <c r="X112" i="112"/>
  <c r="Y112" i="112" s="1"/>
  <c r="AA112" i="112" l="1"/>
  <c r="AB112" i="112" s="1"/>
  <c r="D44" i="72" l="1"/>
  <c r="D43" i="72"/>
  <c r="D42" i="72"/>
  <c r="D40" i="72"/>
  <c r="C40" i="72"/>
  <c r="J24" i="86"/>
  <c r="L24" i="86"/>
  <c r="J25" i="86"/>
  <c r="L25" i="86"/>
  <c r="J26" i="86"/>
  <c r="L26" i="86"/>
  <c r="J27" i="86"/>
  <c r="L27" i="86"/>
  <c r="J28" i="86"/>
  <c r="L28" i="86"/>
  <c r="J29" i="86"/>
  <c r="L29" i="86"/>
  <c r="J30" i="86"/>
  <c r="L30" i="86"/>
  <c r="J31" i="86"/>
  <c r="L31" i="86"/>
  <c r="J32" i="86"/>
  <c r="L32" i="86"/>
  <c r="J33" i="86"/>
  <c r="L33" i="86"/>
  <c r="J34" i="86"/>
  <c r="L34" i="86"/>
  <c r="F24" i="86"/>
  <c r="G24" i="86" s="1"/>
  <c r="F25" i="86"/>
  <c r="G25" i="86"/>
  <c r="H25" i="86"/>
  <c r="F26" i="86"/>
  <c r="G26" i="86" s="1"/>
  <c r="F27" i="86"/>
  <c r="H27" i="86" s="1"/>
  <c r="F28" i="86"/>
  <c r="G28" i="86" s="1"/>
  <c r="F29" i="86"/>
  <c r="G29" i="86"/>
  <c r="H29" i="86"/>
  <c r="F30" i="86"/>
  <c r="G30" i="86" s="1"/>
  <c r="H30" i="86"/>
  <c r="F31" i="86"/>
  <c r="H31" i="86" s="1"/>
  <c r="F32" i="86"/>
  <c r="H32" i="86" s="1"/>
  <c r="F33" i="86"/>
  <c r="G33" i="86" s="1"/>
  <c r="H33" i="86"/>
  <c r="F34" i="86"/>
  <c r="G34" i="86" s="1"/>
  <c r="H34" i="86"/>
  <c r="E24" i="72"/>
  <c r="E25" i="72"/>
  <c r="E26" i="72"/>
  <c r="E27" i="72"/>
  <c r="E28" i="72"/>
  <c r="E29" i="72"/>
  <c r="E30" i="72"/>
  <c r="E31" i="72"/>
  <c r="E32" i="72"/>
  <c r="E33" i="72"/>
  <c r="E34" i="72"/>
  <c r="E35" i="72"/>
  <c r="H26" i="86" l="1"/>
  <c r="G32" i="86"/>
  <c r="G31" i="86"/>
  <c r="H28" i="86"/>
  <c r="G27" i="86"/>
  <c r="H24" i="86"/>
  <c r="D46" i="72" l="1"/>
  <c r="C46" i="72"/>
  <c r="D58" i="98"/>
  <c r="D59" i="98"/>
  <c r="E59" i="98"/>
  <c r="E57" i="98"/>
  <c r="E56" i="98"/>
  <c r="E55" i="98"/>
  <c r="E58" i="98" s="1"/>
  <c r="D55" i="98"/>
  <c r="I20" i="54"/>
  <c r="I19" i="54"/>
  <c r="I18" i="54"/>
  <c r="I17" i="54"/>
  <c r="I22" i="54"/>
  <c r="H22" i="54"/>
  <c r="E22" i="54"/>
  <c r="D22" i="54"/>
  <c r="E20" i="54"/>
  <c r="E19" i="54"/>
  <c r="E18" i="54"/>
  <c r="E17" i="54"/>
  <c r="I16" i="54"/>
  <c r="E16" i="54"/>
  <c r="M5" i="87"/>
  <c r="M6" i="87"/>
  <c r="M7" i="87"/>
  <c r="M8" i="87"/>
  <c r="M9" i="87"/>
  <c r="M10" i="87"/>
  <c r="M11" i="87"/>
  <c r="M12" i="87"/>
  <c r="D60" i="98" l="1"/>
  <c r="E60" i="98"/>
  <c r="K11" i="106" l="1"/>
  <c r="K8" i="106"/>
  <c r="K10" i="106"/>
  <c r="G59" i="25" l="1"/>
  <c r="F59" i="25"/>
  <c r="D59" i="25"/>
  <c r="C59" i="25"/>
  <c r="I51" i="25"/>
  <c r="I59" i="25" s="1"/>
  <c r="H51" i="25"/>
  <c r="H59" i="25" s="1"/>
  <c r="G51" i="25"/>
  <c r="F51" i="25"/>
  <c r="E51" i="25"/>
  <c r="E59" i="25" s="1"/>
  <c r="D51" i="25"/>
  <c r="C51" i="25"/>
  <c r="J50" i="25"/>
  <c r="J49" i="25"/>
  <c r="J48" i="25"/>
  <c r="J47" i="25"/>
  <c r="J46" i="25"/>
  <c r="J45" i="25"/>
  <c r="J44" i="25"/>
  <c r="J43" i="25"/>
  <c r="J42" i="25"/>
  <c r="J51" i="25" s="1"/>
  <c r="J54" i="25" s="1"/>
  <c r="J41" i="25"/>
  <c r="J40" i="25"/>
  <c r="J6" i="25"/>
  <c r="J11" i="25"/>
  <c r="J9" i="25"/>
  <c r="J7" i="25"/>
  <c r="J5" i="25"/>
  <c r="J4" i="25"/>
  <c r="J3" i="25"/>
  <c r="J59" i="25" l="1"/>
  <c r="J61" i="25" s="1"/>
  <c r="C15" i="7"/>
  <c r="C13" i="7"/>
  <c r="CD16" i="23" s="1"/>
  <c r="C37" i="7" l="1"/>
  <c r="C36" i="7"/>
  <c r="C35" i="7"/>
  <c r="C30" i="7"/>
  <c r="C29" i="7"/>
  <c r="C28" i="7"/>
  <c r="C27" i="7"/>
  <c r="C26" i="7"/>
  <c r="C25" i="7"/>
  <c r="C24" i="7"/>
  <c r="C23" i="7"/>
  <c r="C22" i="7"/>
  <c r="C21" i="7"/>
  <c r="C14" i="7"/>
  <c r="C12" i="7"/>
  <c r="C11" i="7"/>
  <c r="C10" i="7"/>
  <c r="CD13" i="23" s="1"/>
  <c r="L2" i="10"/>
  <c r="L2" i="9"/>
  <c r="L2" i="8"/>
  <c r="L2" i="33"/>
  <c r="F46" i="86" l="1"/>
  <c r="E23" i="72" l="1"/>
  <c r="F18" i="87" l="1"/>
  <c r="F19" i="87"/>
  <c r="F20" i="87"/>
  <c r="F21" i="87"/>
  <c r="F22" i="87"/>
  <c r="F23" i="87"/>
  <c r="F24" i="87"/>
  <c r="F25" i="87"/>
  <c r="F26" i="87"/>
  <c r="F27" i="87"/>
  <c r="K51" i="25"/>
  <c r="K2" i="10" l="1"/>
  <c r="K2" i="9"/>
  <c r="K2" i="8"/>
  <c r="K2" i="33"/>
  <c r="V72" i="107" l="1"/>
  <c r="H9" i="25" l="1"/>
  <c r="H7" i="25"/>
  <c r="H6" i="25"/>
  <c r="H5" i="25"/>
  <c r="H4" i="25"/>
  <c r="H3" i="25"/>
  <c r="J12" i="101"/>
  <c r="J2" i="10" l="1"/>
  <c r="J2" i="9"/>
  <c r="J2" i="8"/>
  <c r="J2" i="33"/>
  <c r="S62" i="107" l="1"/>
  <c r="D39" i="72"/>
  <c r="C39" i="72"/>
  <c r="B39" i="72"/>
  <c r="I39" i="86"/>
  <c r="E39" i="86"/>
  <c r="D39" i="86"/>
  <c r="C39" i="86"/>
  <c r="B39" i="86"/>
  <c r="BZ19" i="23" l="1"/>
  <c r="F3" i="87"/>
  <c r="F4" i="87"/>
  <c r="F5" i="87"/>
  <c r="F6" i="87"/>
  <c r="F7" i="87"/>
  <c r="F8" i="87"/>
  <c r="F9" i="87"/>
  <c r="F10" i="87"/>
  <c r="F11" i="87"/>
  <c r="F12" i="87"/>
  <c r="I2" i="10" l="1"/>
  <c r="I2" i="9" l="1"/>
  <c r="I2" i="33"/>
  <c r="AV74" i="107" l="1"/>
  <c r="AU74" i="107"/>
  <c r="AW74" i="107" s="1"/>
  <c r="AT74" i="107"/>
  <c r="AQ74" i="107"/>
  <c r="AN74" i="107"/>
  <c r="AJ74" i="107"/>
  <c r="AK74" i="107" s="1"/>
  <c r="AI74" i="107"/>
  <c r="AH74" i="107"/>
  <c r="AE74" i="107"/>
  <c r="AB74" i="107"/>
  <c r="X74" i="107"/>
  <c r="W74" i="107"/>
  <c r="V74" i="107"/>
  <c r="S74" i="107"/>
  <c r="P74" i="107"/>
  <c r="L74" i="107"/>
  <c r="K74" i="107"/>
  <c r="J74" i="107"/>
  <c r="G74" i="107"/>
  <c r="D74" i="107"/>
  <c r="M74" i="107" l="1"/>
  <c r="AY74" i="107"/>
  <c r="AX74" i="107"/>
  <c r="Y74" i="107"/>
  <c r="AZ74" i="107" l="1"/>
  <c r="L20" i="86"/>
  <c r="F11" i="106" l="1"/>
  <c r="F10" i="106"/>
  <c r="F9" i="106"/>
  <c r="F8" i="106"/>
  <c r="BY19" i="23" l="1"/>
  <c r="H2" i="10"/>
  <c r="H2" i="33"/>
  <c r="H2" i="9"/>
  <c r="AV81" i="107" l="1"/>
  <c r="AU81" i="107"/>
  <c r="AW81" i="107" s="1"/>
  <c r="AT81" i="107"/>
  <c r="AQ81" i="107"/>
  <c r="AN81" i="107"/>
  <c r="AJ81" i="107"/>
  <c r="AI81" i="107"/>
  <c r="AK81" i="107" s="1"/>
  <c r="AH81" i="107"/>
  <c r="AE81" i="107"/>
  <c r="AB81" i="107"/>
  <c r="X81" i="107"/>
  <c r="W81" i="107"/>
  <c r="Y81" i="107" s="1"/>
  <c r="V81" i="107"/>
  <c r="S81" i="107"/>
  <c r="P81" i="107"/>
  <c r="L81" i="107"/>
  <c r="K81" i="107"/>
  <c r="J81" i="107"/>
  <c r="G81" i="107"/>
  <c r="D81" i="107"/>
  <c r="AV80" i="107"/>
  <c r="AU80" i="107"/>
  <c r="AW80" i="107" s="1"/>
  <c r="AT80" i="107"/>
  <c r="AQ80" i="107"/>
  <c r="AN80" i="107"/>
  <c r="AJ80" i="107"/>
  <c r="AI80" i="107"/>
  <c r="AK80" i="107" s="1"/>
  <c r="AH80" i="107"/>
  <c r="AE80" i="107"/>
  <c r="AB80" i="107"/>
  <c r="X80" i="107"/>
  <c r="W80" i="107"/>
  <c r="Y80" i="107" s="1"/>
  <c r="V80" i="107"/>
  <c r="S80" i="107"/>
  <c r="P80" i="107"/>
  <c r="L80" i="107"/>
  <c r="K80" i="107"/>
  <c r="M80" i="107" s="1"/>
  <c r="J80" i="107"/>
  <c r="G80" i="107"/>
  <c r="D80" i="107"/>
  <c r="AV79" i="107"/>
  <c r="AU79" i="107"/>
  <c r="AW79" i="107" s="1"/>
  <c r="AT79" i="107"/>
  <c r="AQ79" i="107"/>
  <c r="AN79" i="107"/>
  <c r="AJ79" i="107"/>
  <c r="AI79" i="107"/>
  <c r="AK79" i="107" s="1"/>
  <c r="AH79" i="107"/>
  <c r="AE79" i="107"/>
  <c r="AB79" i="107"/>
  <c r="X79" i="107"/>
  <c r="W79" i="107"/>
  <c r="Y79" i="107" s="1"/>
  <c r="V79" i="107"/>
  <c r="S79" i="107"/>
  <c r="P79" i="107"/>
  <c r="L79" i="107"/>
  <c r="M79" i="107" s="1"/>
  <c r="K79" i="107"/>
  <c r="J79" i="107"/>
  <c r="G79" i="107"/>
  <c r="D79" i="107"/>
  <c r="I12" i="107"/>
  <c r="F12" i="107"/>
  <c r="D8" i="106"/>
  <c r="L18" i="86"/>
  <c r="F18" i="86"/>
  <c r="AY79" i="107" l="1"/>
  <c r="AY80" i="107"/>
  <c r="AX81" i="107"/>
  <c r="AY81" i="107"/>
  <c r="AX79" i="107"/>
  <c r="AZ79" i="107" s="1"/>
  <c r="AX80" i="107"/>
  <c r="AZ80" i="107" s="1"/>
  <c r="M81" i="107"/>
  <c r="AZ81" i="107" l="1"/>
  <c r="M4" i="87"/>
  <c r="M20" i="87"/>
  <c r="D7" i="105" l="1"/>
  <c r="D9" i="105"/>
  <c r="D10" i="105"/>
  <c r="D11" i="105"/>
  <c r="D12" i="105"/>
  <c r="D13" i="105"/>
  <c r="D14" i="105"/>
  <c r="D33" i="105"/>
  <c r="D37" i="105"/>
  <c r="D42" i="105"/>
  <c r="D44" i="105"/>
  <c r="D46" i="105"/>
  <c r="D24" i="105" l="1"/>
  <c r="D39" i="105" s="1"/>
  <c r="G2" i="33" l="1"/>
  <c r="G2" i="10"/>
  <c r="G2" i="9"/>
  <c r="AL47" i="106"/>
  <c r="AK47" i="106"/>
  <c r="AL14" i="106"/>
  <c r="AL15" i="106" s="1"/>
  <c r="AL16" i="106" s="1"/>
  <c r="AL20" i="106"/>
  <c r="AL19" i="106"/>
  <c r="AL21" i="106"/>
  <c r="AL35" i="106"/>
  <c r="AL36" i="106" s="1"/>
  <c r="AL48" i="106" s="1"/>
  <c r="AI46" i="106"/>
  <c r="AI47" i="106" s="1"/>
  <c r="AI48" i="106" s="1"/>
  <c r="AJ46" i="106"/>
  <c r="AJ47" i="106" s="1"/>
  <c r="AJ48" i="106" s="1"/>
  <c r="AM46" i="106"/>
  <c r="AM47" i="106" s="1"/>
  <c r="AK36" i="106"/>
  <c r="AK48" i="106" s="1"/>
  <c r="AJ36" i="106"/>
  <c r="AI36" i="106"/>
  <c r="AM35" i="106"/>
  <c r="AM36" i="106" s="1"/>
  <c r="AJ35" i="106"/>
  <c r="AI35" i="106"/>
  <c r="AK22" i="106"/>
  <c r="AJ22" i="106"/>
  <c r="AJ23" i="106" s="1"/>
  <c r="AJ49" i="106" s="1"/>
  <c r="AI21" i="106"/>
  <c r="AJ21" i="106"/>
  <c r="AM21" i="106"/>
  <c r="AI20" i="106"/>
  <c r="AJ20" i="106"/>
  <c r="AM20" i="106"/>
  <c r="AM19" i="106"/>
  <c r="AM22" i="106" s="1"/>
  <c r="AJ19" i="106"/>
  <c r="AI19" i="106"/>
  <c r="AI22" i="106" s="1"/>
  <c r="AJ14" i="106"/>
  <c r="AJ15" i="106" s="1"/>
  <c r="AJ16" i="106" s="1"/>
  <c r="AK15" i="106"/>
  <c r="AK16" i="106" s="1"/>
  <c r="AI15" i="106"/>
  <c r="AI16" i="106" s="1"/>
  <c r="AI14" i="106"/>
  <c r="AM14" i="106"/>
  <c r="AM15" i="106" s="1"/>
  <c r="AM16" i="106" l="1"/>
  <c r="AM23" i="106"/>
  <c r="AM48" i="106"/>
  <c r="AI23" i="106"/>
  <c r="AI49" i="106" s="1"/>
  <c r="AK23" i="106"/>
  <c r="AK49" i="106" s="1"/>
  <c r="AL22" i="106"/>
  <c r="AL23" i="106" s="1"/>
  <c r="AL49" i="106" s="1"/>
  <c r="AM49" i="106" l="1"/>
  <c r="L21" i="86"/>
  <c r="L22" i="86"/>
  <c r="L23" i="86"/>
  <c r="L3" i="86"/>
  <c r="L4" i="86"/>
  <c r="L5" i="86"/>
  <c r="L6" i="86"/>
  <c r="L7" i="86"/>
  <c r="L8" i="86"/>
  <c r="L9" i="86"/>
  <c r="L10" i="86"/>
  <c r="L11" i="86"/>
  <c r="L12" i="86"/>
  <c r="L13" i="86"/>
  <c r="L14" i="86"/>
  <c r="L15" i="86"/>
  <c r="L16" i="86"/>
  <c r="L17" i="86"/>
  <c r="F11" i="54" l="1"/>
  <c r="F10" i="54"/>
  <c r="M3" i="87" l="1"/>
  <c r="C37" i="105" l="1"/>
  <c r="C33" i="105"/>
  <c r="C14" i="105"/>
  <c r="C13" i="105"/>
  <c r="C12" i="105"/>
  <c r="C11" i="105"/>
  <c r="C10" i="105"/>
  <c r="C9" i="105"/>
  <c r="C7" i="105"/>
  <c r="C24" i="105" l="1"/>
  <c r="C39" i="105" s="1"/>
  <c r="C41" i="105" s="1"/>
  <c r="D40" i="105" s="1"/>
  <c r="D41" i="105" s="1"/>
  <c r="Z44" i="101"/>
  <c r="Z43" i="101"/>
  <c r="Z42" i="101"/>
  <c r="Z41" i="101"/>
  <c r="Z40" i="101"/>
  <c r="X44" i="101"/>
  <c r="X43" i="101"/>
  <c r="X42" i="101"/>
  <c r="X41" i="101"/>
  <c r="X40" i="101"/>
  <c r="V44" i="101"/>
  <c r="V43" i="101"/>
  <c r="V42" i="101"/>
  <c r="V41" i="101"/>
  <c r="V40" i="101"/>
  <c r="T44" i="101"/>
  <c r="T43" i="101"/>
  <c r="T42" i="101"/>
  <c r="T41" i="101"/>
  <c r="T40" i="101"/>
  <c r="R44" i="101"/>
  <c r="R43" i="101"/>
  <c r="R42" i="101"/>
  <c r="R41" i="101"/>
  <c r="R40" i="101"/>
  <c r="P44" i="101"/>
  <c r="P43" i="101"/>
  <c r="P42" i="101"/>
  <c r="P41" i="101"/>
  <c r="P40" i="101"/>
  <c r="N44" i="101"/>
  <c r="N43" i="101"/>
  <c r="N42" i="101"/>
  <c r="N41" i="101"/>
  <c r="N40" i="101"/>
  <c r="L44" i="101"/>
  <c r="L43" i="101"/>
  <c r="L42" i="101"/>
  <c r="L41" i="101"/>
  <c r="L40" i="101"/>
  <c r="J44" i="101"/>
  <c r="J43" i="101"/>
  <c r="J42" i="101"/>
  <c r="J41" i="101"/>
  <c r="J40" i="101"/>
  <c r="H44" i="101"/>
  <c r="H43" i="101"/>
  <c r="H42" i="101"/>
  <c r="H41" i="101"/>
  <c r="H40" i="101"/>
  <c r="F44" i="101"/>
  <c r="F43" i="101"/>
  <c r="F41" i="101"/>
  <c r="F42" i="101"/>
  <c r="F40" i="101"/>
  <c r="D44" i="101"/>
  <c r="D43" i="101"/>
  <c r="D41" i="101"/>
  <c r="D42" i="101"/>
  <c r="D40" i="101"/>
  <c r="D49" i="105" l="1"/>
  <c r="D43" i="105"/>
  <c r="D45" i="105" s="1"/>
  <c r="D47" i="105" s="1"/>
  <c r="AS12" i="107"/>
  <c r="AP12" i="107"/>
  <c r="AM12" i="107"/>
  <c r="AG12" i="107"/>
  <c r="AD12" i="107"/>
  <c r="AA12" i="107"/>
  <c r="U12" i="107"/>
  <c r="R12" i="107"/>
  <c r="O12" i="107"/>
  <c r="Z91" i="1" l="1"/>
  <c r="X91" i="1"/>
  <c r="V91" i="1"/>
  <c r="T91" i="1"/>
  <c r="R91" i="1"/>
  <c r="P91" i="1"/>
  <c r="N91" i="1"/>
  <c r="L91" i="1"/>
  <c r="J91" i="1"/>
  <c r="H91" i="1"/>
  <c r="D91" i="1"/>
  <c r="F2" i="33" l="1"/>
  <c r="F2" i="8"/>
  <c r="F2" i="9"/>
  <c r="F2" i="10"/>
  <c r="F91" i="1"/>
  <c r="AV67" i="107"/>
  <c r="AU67" i="107"/>
  <c r="AW67" i="107" s="1"/>
  <c r="AT67" i="107"/>
  <c r="AQ67" i="107"/>
  <c r="AN67" i="107"/>
  <c r="AJ67" i="107"/>
  <c r="AI67" i="107"/>
  <c r="AH67" i="107"/>
  <c r="AE67" i="107"/>
  <c r="AB67" i="107"/>
  <c r="X67" i="107"/>
  <c r="W67" i="107"/>
  <c r="V67" i="107"/>
  <c r="S67" i="107"/>
  <c r="P67" i="107"/>
  <c r="L67" i="107"/>
  <c r="K67" i="107"/>
  <c r="J67" i="107"/>
  <c r="G67" i="107"/>
  <c r="D67" i="107"/>
  <c r="AK67" i="107" l="1"/>
  <c r="Y67" i="107"/>
  <c r="M67" i="107"/>
  <c r="AY67" i="107"/>
  <c r="AX67" i="107"/>
  <c r="AZ67" i="107" l="1"/>
  <c r="E2" i="33" l="1"/>
  <c r="E2" i="10"/>
  <c r="E2" i="8"/>
  <c r="E2" i="9"/>
  <c r="E13" i="72" l="1"/>
  <c r="N7" i="105" l="1"/>
  <c r="M7" i="105"/>
  <c r="L7" i="105"/>
  <c r="K7" i="105"/>
  <c r="J7" i="105"/>
  <c r="CC52" i="5" l="1"/>
  <c r="CC51" i="5"/>
  <c r="CC50" i="5"/>
  <c r="CC49" i="5"/>
  <c r="CC48" i="5"/>
  <c r="CC47" i="5"/>
  <c r="CC46" i="5"/>
  <c r="CC45" i="5"/>
  <c r="CC44" i="5"/>
  <c r="CC43" i="5"/>
  <c r="CC42" i="5"/>
  <c r="CC41" i="5"/>
  <c r="CC40" i="5"/>
  <c r="CC39" i="5"/>
  <c r="CC38" i="5"/>
  <c r="CC37" i="5"/>
  <c r="CC36" i="5"/>
  <c r="CC35" i="5"/>
  <c r="CC34" i="5"/>
  <c r="CC33" i="5"/>
  <c r="CC32" i="5"/>
  <c r="CC31" i="5"/>
  <c r="CC30" i="5"/>
  <c r="CC29" i="5"/>
  <c r="CC28" i="5"/>
  <c r="CC27" i="5"/>
  <c r="CC26" i="5"/>
  <c r="CC25" i="5"/>
  <c r="CC24" i="5"/>
  <c r="CC23" i="5"/>
  <c r="CC22" i="5"/>
  <c r="CC21" i="5"/>
  <c r="CC20" i="5"/>
  <c r="CC19" i="5"/>
  <c r="CC18" i="5"/>
  <c r="CC17" i="5"/>
  <c r="CC16" i="5"/>
  <c r="CC15" i="5"/>
  <c r="D13" i="101" l="1"/>
  <c r="B9" i="106" l="1"/>
  <c r="B10" i="106"/>
  <c r="B11" i="106"/>
  <c r="B8" i="106"/>
  <c r="C8" i="106"/>
  <c r="DT8" i="106" s="1"/>
  <c r="C12" i="107"/>
  <c r="B12" i="106" s="1"/>
  <c r="C12" i="106"/>
  <c r="DT12" i="106" s="1"/>
  <c r="DU12" i="106" s="1"/>
  <c r="D12" i="106"/>
  <c r="L11" i="28" l="1"/>
  <c r="I11" i="28"/>
  <c r="C11" i="28"/>
  <c r="B11" i="28"/>
  <c r="E3" i="25"/>
  <c r="F3" i="25"/>
  <c r="G3" i="25"/>
  <c r="I3" i="25"/>
  <c r="O3" i="25" s="1"/>
  <c r="K3" i="25"/>
  <c r="L3" i="25"/>
  <c r="M3" i="25"/>
  <c r="N3" i="25"/>
  <c r="E4" i="25"/>
  <c r="F4" i="25"/>
  <c r="G4" i="25"/>
  <c r="I4" i="25"/>
  <c r="O4" i="25" s="1"/>
  <c r="K4" i="25"/>
  <c r="L4" i="25"/>
  <c r="M4" i="25"/>
  <c r="N4" i="25"/>
  <c r="E5" i="25"/>
  <c r="F5" i="25"/>
  <c r="G5" i="25"/>
  <c r="I5" i="25"/>
  <c r="O5" i="25" s="1"/>
  <c r="K5" i="25"/>
  <c r="L5" i="25"/>
  <c r="M5" i="25"/>
  <c r="N5" i="25"/>
  <c r="E6" i="25"/>
  <c r="F6" i="25"/>
  <c r="G6" i="25"/>
  <c r="I6" i="25"/>
  <c r="O6" i="25" s="1"/>
  <c r="K6" i="25"/>
  <c r="L6" i="25"/>
  <c r="M6" i="25"/>
  <c r="N6" i="25"/>
  <c r="E7" i="25"/>
  <c r="F7" i="25"/>
  <c r="G7" i="25"/>
  <c r="I7" i="25"/>
  <c r="O7" i="25" s="1"/>
  <c r="K7" i="25"/>
  <c r="L7" i="25"/>
  <c r="M7" i="25"/>
  <c r="N7" i="25"/>
  <c r="E9" i="25"/>
  <c r="F9" i="25"/>
  <c r="G9" i="25"/>
  <c r="I9" i="25"/>
  <c r="O9" i="25" s="1"/>
  <c r="K9" i="25"/>
  <c r="L9" i="25"/>
  <c r="M9" i="25"/>
  <c r="N9" i="25"/>
  <c r="D11" i="25"/>
  <c r="E11" i="25"/>
  <c r="F11" i="25"/>
  <c r="G11" i="25"/>
  <c r="H11" i="25"/>
  <c r="I11" i="25"/>
  <c r="O11" i="25" s="1"/>
  <c r="K11" i="25"/>
  <c r="L11" i="25"/>
  <c r="M11" i="25"/>
  <c r="N11" i="25"/>
  <c r="C11" i="25"/>
  <c r="C9" i="25"/>
  <c r="C7" i="25"/>
  <c r="C6" i="25"/>
  <c r="C5" i="25"/>
  <c r="C4" i="25"/>
  <c r="C3" i="25"/>
  <c r="M37" i="105"/>
  <c r="L37" i="105"/>
  <c r="K37" i="105"/>
  <c r="M33" i="105"/>
  <c r="L33" i="105"/>
  <c r="K33" i="105"/>
  <c r="J14" i="105"/>
  <c r="J13" i="105"/>
  <c r="J12" i="105"/>
  <c r="J11" i="105"/>
  <c r="J10" i="105"/>
  <c r="J9" i="105"/>
  <c r="K14" i="105"/>
  <c r="K13" i="105"/>
  <c r="K12" i="105"/>
  <c r="K11" i="105"/>
  <c r="K10" i="105"/>
  <c r="K9" i="105"/>
  <c r="L14" i="105"/>
  <c r="L13" i="105"/>
  <c r="L12" i="105"/>
  <c r="L11" i="105"/>
  <c r="L10" i="105"/>
  <c r="L9" i="105"/>
  <c r="M14" i="105"/>
  <c r="M13" i="105"/>
  <c r="M12" i="105"/>
  <c r="M11" i="105"/>
  <c r="M10" i="105"/>
  <c r="M9" i="105"/>
  <c r="N9" i="105"/>
  <c r="AB44" i="101"/>
  <c r="AD44" i="101" s="1"/>
  <c r="AB43" i="101"/>
  <c r="AB42" i="101"/>
  <c r="AB41" i="101"/>
  <c r="AB40" i="101"/>
  <c r="AV92" i="107"/>
  <c r="AU92" i="107"/>
  <c r="AW92" i="107" s="1"/>
  <c r="AV91" i="107"/>
  <c r="AU91" i="107"/>
  <c r="AW91" i="107" s="1"/>
  <c r="AV90" i="107"/>
  <c r="AU90" i="107"/>
  <c r="AW90" i="107" s="1"/>
  <c r="AV89" i="107"/>
  <c r="AU89" i="107"/>
  <c r="AW89" i="107" s="1"/>
  <c r="AV88" i="107"/>
  <c r="AU88" i="107"/>
  <c r="AW88" i="107" s="1"/>
  <c r="AV87" i="107"/>
  <c r="AU87" i="107"/>
  <c r="AW87" i="107" s="1"/>
  <c r="AV86" i="107"/>
  <c r="AU86" i="107"/>
  <c r="AW86" i="107" s="1"/>
  <c r="AV85" i="107"/>
  <c r="AU85" i="107"/>
  <c r="AW85" i="107" s="1"/>
  <c r="AV84" i="107"/>
  <c r="AU84" i="107"/>
  <c r="AW84" i="107" s="1"/>
  <c r="AV83" i="107"/>
  <c r="AU83" i="107"/>
  <c r="AW83" i="107" s="1"/>
  <c r="AW82" i="107"/>
  <c r="AV82" i="107"/>
  <c r="AU82" i="107"/>
  <c r="AV78" i="107"/>
  <c r="AU78" i="107"/>
  <c r="AW78" i="107" s="1"/>
  <c r="AV77" i="107"/>
  <c r="AU77" i="107"/>
  <c r="AW77" i="107" s="1"/>
  <c r="AV76" i="107"/>
  <c r="AU76" i="107"/>
  <c r="AW76" i="107" s="1"/>
  <c r="AV75" i="107"/>
  <c r="AU75" i="107"/>
  <c r="AW75" i="107" s="1"/>
  <c r="AV73" i="107"/>
  <c r="AU73" i="107"/>
  <c r="AW73" i="107" s="1"/>
  <c r="AV71" i="107"/>
  <c r="AU71" i="107"/>
  <c r="AW71" i="107" s="1"/>
  <c r="AV70" i="107"/>
  <c r="AU70" i="107"/>
  <c r="AW70" i="107" s="1"/>
  <c r="AV69" i="107"/>
  <c r="AU69" i="107"/>
  <c r="AW69" i="107" s="1"/>
  <c r="AV68" i="107"/>
  <c r="AU68" i="107"/>
  <c r="AW68" i="107" s="1"/>
  <c r="AV66" i="107"/>
  <c r="AU66" i="107"/>
  <c r="AW66" i="107" s="1"/>
  <c r="AV65" i="107"/>
  <c r="AU65" i="107"/>
  <c r="AW65" i="107" s="1"/>
  <c r="AV64" i="107"/>
  <c r="AU64" i="107"/>
  <c r="AW64" i="107" s="1"/>
  <c r="AV63" i="107"/>
  <c r="AU63" i="107"/>
  <c r="AW63" i="107" s="1"/>
  <c r="AV61" i="107"/>
  <c r="AU61" i="107"/>
  <c r="AW61" i="107" s="1"/>
  <c r="AV60" i="107"/>
  <c r="AU60" i="107"/>
  <c r="AW60" i="107" s="1"/>
  <c r="AV59" i="107"/>
  <c r="AU59" i="107"/>
  <c r="AW59" i="107" s="1"/>
  <c r="AV58" i="107"/>
  <c r="AU58" i="107"/>
  <c r="AW58" i="107" s="1"/>
  <c r="AV57" i="107"/>
  <c r="AU57" i="107"/>
  <c r="AW57" i="107" s="1"/>
  <c r="AV56" i="107"/>
  <c r="AU56" i="107"/>
  <c r="AW56" i="107" s="1"/>
  <c r="AV55" i="107"/>
  <c r="AU55" i="107"/>
  <c r="AW55" i="107" s="1"/>
  <c r="AV54" i="107"/>
  <c r="AU54" i="107"/>
  <c r="AW54" i="107" s="1"/>
  <c r="AT90" i="107"/>
  <c r="AT89" i="107"/>
  <c r="AT88" i="107"/>
  <c r="AT87" i="107"/>
  <c r="AT86" i="107"/>
  <c r="AT85" i="107"/>
  <c r="AT84" i="107"/>
  <c r="AT83" i="107"/>
  <c r="AT82" i="107"/>
  <c r="AT78" i="107"/>
  <c r="AT77" i="107"/>
  <c r="AT76" i="107"/>
  <c r="AT75" i="107"/>
  <c r="AT73" i="107"/>
  <c r="AT71" i="107"/>
  <c r="AT70" i="107"/>
  <c r="AT69" i="107"/>
  <c r="AT68" i="107"/>
  <c r="AT66" i="107"/>
  <c r="AT65" i="107"/>
  <c r="AT64" i="107"/>
  <c r="AT63" i="107"/>
  <c r="AT61" i="107"/>
  <c r="AT60" i="107"/>
  <c r="AT59" i="107"/>
  <c r="AT58" i="107"/>
  <c r="AT57" i="107"/>
  <c r="AT56" i="107"/>
  <c r="AT55" i="107"/>
  <c r="AT54" i="107"/>
  <c r="AQ90" i="107"/>
  <c r="AQ89" i="107"/>
  <c r="AQ88" i="107"/>
  <c r="AQ87" i="107"/>
  <c r="AQ86" i="107"/>
  <c r="AQ85" i="107"/>
  <c r="AQ84" i="107"/>
  <c r="AQ83" i="107"/>
  <c r="AQ82" i="107"/>
  <c r="AQ78" i="107"/>
  <c r="AQ77" i="107"/>
  <c r="AQ76" i="107"/>
  <c r="AQ75" i="107"/>
  <c r="AQ73" i="107"/>
  <c r="AQ71" i="107"/>
  <c r="AQ70" i="107"/>
  <c r="AQ69" i="107"/>
  <c r="AQ68" i="107"/>
  <c r="AQ66" i="107"/>
  <c r="AQ65" i="107"/>
  <c r="AQ64" i="107"/>
  <c r="AQ63" i="107"/>
  <c r="AQ61" i="107"/>
  <c r="AQ60" i="107"/>
  <c r="AQ59" i="107"/>
  <c r="AQ58" i="107"/>
  <c r="AQ57" i="107"/>
  <c r="AQ56" i="107"/>
  <c r="AQ55" i="107"/>
  <c r="AQ54" i="107"/>
  <c r="AN90" i="107"/>
  <c r="AN89" i="107"/>
  <c r="AN88" i="107"/>
  <c r="AN87" i="107"/>
  <c r="AN86" i="107"/>
  <c r="AN85" i="107"/>
  <c r="AN84" i="107"/>
  <c r="AN83" i="107"/>
  <c r="AN82" i="107"/>
  <c r="AN78" i="107"/>
  <c r="AN77" i="107"/>
  <c r="AN76" i="107"/>
  <c r="AN75" i="107"/>
  <c r="AN73" i="107"/>
  <c r="AN71" i="107"/>
  <c r="AN70" i="107"/>
  <c r="AN69" i="107"/>
  <c r="AN68" i="107"/>
  <c r="AN66" i="107"/>
  <c r="AN65" i="107"/>
  <c r="AN64" i="107"/>
  <c r="AN63" i="107"/>
  <c r="AN61" i="107"/>
  <c r="AN60" i="107"/>
  <c r="AN59" i="107"/>
  <c r="AN58" i="107"/>
  <c r="AN57" i="107"/>
  <c r="AN56" i="107"/>
  <c r="AN55" i="107"/>
  <c r="AN54" i="107"/>
  <c r="AJ90" i="107"/>
  <c r="AI90" i="107"/>
  <c r="AK90" i="107" s="1"/>
  <c r="AJ89" i="107"/>
  <c r="AI89" i="107"/>
  <c r="AJ88" i="107"/>
  <c r="AI88" i="107"/>
  <c r="AJ87" i="107"/>
  <c r="AI87" i="107"/>
  <c r="AJ86" i="107"/>
  <c r="AI86" i="107"/>
  <c r="AJ85" i="107"/>
  <c r="AI85" i="107"/>
  <c r="AK85" i="107" s="1"/>
  <c r="AJ84" i="107"/>
  <c r="AI84" i="107"/>
  <c r="AK84" i="107" s="1"/>
  <c r="AJ83" i="107"/>
  <c r="AI83" i="107"/>
  <c r="AK83" i="107" s="1"/>
  <c r="AJ82" i="107"/>
  <c r="AI82" i="107"/>
  <c r="AK82" i="107" s="1"/>
  <c r="AJ78" i="107"/>
  <c r="AI78" i="107"/>
  <c r="AK78" i="107" s="1"/>
  <c r="AJ77" i="107"/>
  <c r="AI77" i="107"/>
  <c r="AK77" i="107" s="1"/>
  <c r="AJ76" i="107"/>
  <c r="AI76" i="107"/>
  <c r="AJ75" i="107"/>
  <c r="AI75" i="107"/>
  <c r="AK75" i="107" s="1"/>
  <c r="AJ73" i="107"/>
  <c r="AI73" i="107"/>
  <c r="AK73" i="107" s="1"/>
  <c r="AK71" i="107"/>
  <c r="AJ71" i="107"/>
  <c r="AI71" i="107"/>
  <c r="AJ70" i="107"/>
  <c r="AI70" i="107"/>
  <c r="AJ69" i="107"/>
  <c r="AI69" i="107"/>
  <c r="AJ68" i="107"/>
  <c r="AI68" i="107"/>
  <c r="AK68" i="107" s="1"/>
  <c r="AJ66" i="107"/>
  <c r="AI66" i="107"/>
  <c r="AJ65" i="107"/>
  <c r="AI65" i="107"/>
  <c r="AJ64" i="107"/>
  <c r="AI64" i="107"/>
  <c r="AJ63" i="107"/>
  <c r="AI63" i="107"/>
  <c r="AJ61" i="107"/>
  <c r="AI61" i="107"/>
  <c r="AK61" i="107" s="1"/>
  <c r="AJ60" i="107"/>
  <c r="AI60" i="107"/>
  <c r="AJ59" i="107"/>
  <c r="AI59" i="107"/>
  <c r="AJ58" i="107"/>
  <c r="AI58" i="107"/>
  <c r="AK58" i="107" s="1"/>
  <c r="AJ57" i="107"/>
  <c r="AI57" i="107"/>
  <c r="AK57" i="107" s="1"/>
  <c r="AJ56" i="107"/>
  <c r="AI56" i="107"/>
  <c r="AJ55" i="107"/>
  <c r="AI55" i="107"/>
  <c r="AJ54" i="107"/>
  <c r="AI54" i="107"/>
  <c r="AH91" i="107"/>
  <c r="AH90" i="107"/>
  <c r="AH89" i="107"/>
  <c r="AH88" i="107"/>
  <c r="AH87" i="107"/>
  <c r="AH86" i="107"/>
  <c r="AH85" i="107"/>
  <c r="AH84" i="107"/>
  <c r="AH83" i="107"/>
  <c r="AH82" i="107"/>
  <c r="AH78" i="107"/>
  <c r="AH77" i="107"/>
  <c r="AH76" i="107"/>
  <c r="AH75" i="107"/>
  <c r="AH73" i="107"/>
  <c r="AH71" i="107"/>
  <c r="AH70" i="107"/>
  <c r="AH69" i="107"/>
  <c r="AH68" i="107"/>
  <c r="AH66" i="107"/>
  <c r="AH65" i="107"/>
  <c r="AH64" i="107"/>
  <c r="AH63" i="107"/>
  <c r="AH61" i="107"/>
  <c r="AH60" i="107"/>
  <c r="AH59" i="107"/>
  <c r="AH58" i="107"/>
  <c r="AH57" i="107"/>
  <c r="AH56" i="107"/>
  <c r="AH55" i="107"/>
  <c r="AH54" i="107"/>
  <c r="AE90" i="107"/>
  <c r="AE89" i="107"/>
  <c r="AE88" i="107"/>
  <c r="AE87" i="107"/>
  <c r="AE86" i="107"/>
  <c r="AE85" i="107"/>
  <c r="AE84" i="107"/>
  <c r="AE83" i="107"/>
  <c r="AE82" i="107"/>
  <c r="AE78" i="107"/>
  <c r="AE77" i="107"/>
  <c r="AE76" i="107"/>
  <c r="AE75" i="107"/>
  <c r="AE73" i="107"/>
  <c r="AE71" i="107"/>
  <c r="AE70" i="107"/>
  <c r="AE69" i="107"/>
  <c r="AE68" i="107"/>
  <c r="AE66" i="107"/>
  <c r="AE65" i="107"/>
  <c r="AE64" i="107"/>
  <c r="AE63" i="107"/>
  <c r="AE61" i="107"/>
  <c r="AE60" i="107"/>
  <c r="AE59" i="107"/>
  <c r="AE58" i="107"/>
  <c r="AE57" i="107"/>
  <c r="AE56" i="107"/>
  <c r="AE55" i="107"/>
  <c r="AE54" i="107"/>
  <c r="AB91" i="107"/>
  <c r="AB90" i="107"/>
  <c r="AB89" i="107"/>
  <c r="AB88" i="107"/>
  <c r="AB87" i="107"/>
  <c r="AB86" i="107"/>
  <c r="AB85" i="107"/>
  <c r="AB84" i="107"/>
  <c r="AB83" i="107"/>
  <c r="AB82" i="107"/>
  <c r="AB78" i="107"/>
  <c r="AB77" i="107"/>
  <c r="AB76" i="107"/>
  <c r="AB75" i="107"/>
  <c r="AB73" i="107"/>
  <c r="AB71" i="107"/>
  <c r="AB70" i="107"/>
  <c r="AB69" i="107"/>
  <c r="AB68" i="107"/>
  <c r="AB66" i="107"/>
  <c r="AB65" i="107"/>
  <c r="AB64" i="107"/>
  <c r="AB63" i="107"/>
  <c r="AB61" i="107"/>
  <c r="AB60" i="107"/>
  <c r="AB59" i="107"/>
  <c r="AB58" i="107"/>
  <c r="AB57" i="107"/>
  <c r="AB56" i="107"/>
  <c r="AB55" i="107"/>
  <c r="AB54" i="107"/>
  <c r="X92" i="107"/>
  <c r="W92" i="107"/>
  <c r="Y92" i="107" s="1"/>
  <c r="X91" i="107"/>
  <c r="W91" i="107"/>
  <c r="X90" i="107"/>
  <c r="W90" i="107"/>
  <c r="Y90" i="107" s="1"/>
  <c r="X89" i="107"/>
  <c r="W89" i="107"/>
  <c r="Y89" i="107" s="1"/>
  <c r="X88" i="107"/>
  <c r="W88" i="107"/>
  <c r="Y88" i="107" s="1"/>
  <c r="X87" i="107"/>
  <c r="W87" i="107"/>
  <c r="Y87" i="107" s="1"/>
  <c r="X86" i="107"/>
  <c r="W86" i="107"/>
  <c r="Y86" i="107" s="1"/>
  <c r="X85" i="107"/>
  <c r="W85" i="107"/>
  <c r="X84" i="107"/>
  <c r="W84" i="107"/>
  <c r="X83" i="107"/>
  <c r="W83" i="107"/>
  <c r="Y83" i="107" s="1"/>
  <c r="X82" i="107"/>
  <c r="W82" i="107"/>
  <c r="Y82" i="107" s="1"/>
  <c r="X78" i="107"/>
  <c r="W78" i="107"/>
  <c r="Y78" i="107" s="1"/>
  <c r="X77" i="107"/>
  <c r="W77" i="107"/>
  <c r="Y77" i="107" s="1"/>
  <c r="X76" i="107"/>
  <c r="W76" i="107"/>
  <c r="X75" i="107"/>
  <c r="W75" i="107"/>
  <c r="X73" i="107"/>
  <c r="W73" i="107"/>
  <c r="X71" i="107"/>
  <c r="W71" i="107"/>
  <c r="X70" i="107"/>
  <c r="W70" i="107"/>
  <c r="X69" i="107"/>
  <c r="W69" i="107"/>
  <c r="X68" i="107"/>
  <c r="W68" i="107"/>
  <c r="X66" i="107"/>
  <c r="W66" i="107"/>
  <c r="X65" i="107"/>
  <c r="W65" i="107"/>
  <c r="X64" i="107"/>
  <c r="W64" i="107"/>
  <c r="X63" i="107"/>
  <c r="W63" i="107"/>
  <c r="X61" i="107"/>
  <c r="W61" i="107"/>
  <c r="X60" i="107"/>
  <c r="W60" i="107"/>
  <c r="X59" i="107"/>
  <c r="W59" i="107"/>
  <c r="X58" i="107"/>
  <c r="W58" i="107"/>
  <c r="X57" i="107"/>
  <c r="W57" i="107"/>
  <c r="X56" i="107"/>
  <c r="W56" i="107"/>
  <c r="X55" i="107"/>
  <c r="W55" i="107"/>
  <c r="X54" i="107"/>
  <c r="W54" i="107"/>
  <c r="V91" i="107"/>
  <c r="V90" i="107"/>
  <c r="V89" i="107"/>
  <c r="V88" i="107"/>
  <c r="V87" i="107"/>
  <c r="V86" i="107"/>
  <c r="V85" i="107"/>
  <c r="V84" i="107"/>
  <c r="V83" i="107"/>
  <c r="V82" i="107"/>
  <c r="V78" i="107"/>
  <c r="V77" i="107"/>
  <c r="V76" i="107"/>
  <c r="V75" i="107"/>
  <c r="V73" i="107"/>
  <c r="V71" i="107"/>
  <c r="V70" i="107"/>
  <c r="V69" i="107"/>
  <c r="V68" i="107"/>
  <c r="V66" i="107"/>
  <c r="V65" i="107"/>
  <c r="V64" i="107"/>
  <c r="V63" i="107"/>
  <c r="V61" i="107"/>
  <c r="V60" i="107"/>
  <c r="V59" i="107"/>
  <c r="V58" i="107"/>
  <c r="V57" i="107"/>
  <c r="V56" i="107"/>
  <c r="V55" i="107"/>
  <c r="V54" i="107"/>
  <c r="S91" i="107"/>
  <c r="S90" i="107"/>
  <c r="S89" i="107"/>
  <c r="S88" i="107"/>
  <c r="S87" i="107"/>
  <c r="S86" i="107"/>
  <c r="S85" i="107"/>
  <c r="S84" i="107"/>
  <c r="S83" i="107"/>
  <c r="S82" i="107"/>
  <c r="S78" i="107"/>
  <c r="S77" i="107"/>
  <c r="S76" i="107"/>
  <c r="S75" i="107"/>
  <c r="S73" i="107"/>
  <c r="S71" i="107"/>
  <c r="S70" i="107"/>
  <c r="S69" i="107"/>
  <c r="S68" i="107"/>
  <c r="S66" i="107"/>
  <c r="S65" i="107"/>
  <c r="S64" i="107"/>
  <c r="S63" i="107"/>
  <c r="S61" i="107"/>
  <c r="S60" i="107"/>
  <c r="S59" i="107"/>
  <c r="S58" i="107"/>
  <c r="S57" i="107"/>
  <c r="S56" i="107"/>
  <c r="S55" i="107"/>
  <c r="S54" i="107"/>
  <c r="P91" i="107"/>
  <c r="P90" i="107"/>
  <c r="P89" i="107"/>
  <c r="P88" i="107"/>
  <c r="P87" i="107"/>
  <c r="P86" i="107"/>
  <c r="P85" i="107"/>
  <c r="P84" i="107"/>
  <c r="P83" i="107"/>
  <c r="P82" i="107"/>
  <c r="P78" i="107"/>
  <c r="P77" i="107"/>
  <c r="P76" i="107"/>
  <c r="P75" i="107"/>
  <c r="P73" i="107"/>
  <c r="P71" i="107"/>
  <c r="P70" i="107"/>
  <c r="P69" i="107"/>
  <c r="P68" i="107"/>
  <c r="P66" i="107"/>
  <c r="P65" i="107"/>
  <c r="P64" i="107"/>
  <c r="P63" i="107"/>
  <c r="P61" i="107"/>
  <c r="P60" i="107"/>
  <c r="P59" i="107"/>
  <c r="P58" i="107"/>
  <c r="P57" i="107"/>
  <c r="P56" i="107"/>
  <c r="P55" i="107"/>
  <c r="P54" i="107"/>
  <c r="L91" i="107"/>
  <c r="K91" i="107"/>
  <c r="L90" i="107"/>
  <c r="K90" i="107"/>
  <c r="M90" i="107" s="1"/>
  <c r="L89" i="107"/>
  <c r="K89" i="107"/>
  <c r="L88" i="107"/>
  <c r="K88" i="107"/>
  <c r="L87" i="107"/>
  <c r="K87" i="107"/>
  <c r="M87" i="107" s="1"/>
  <c r="L86" i="107"/>
  <c r="K86" i="107"/>
  <c r="M86" i="107" s="1"/>
  <c r="L85" i="107"/>
  <c r="K85" i="107"/>
  <c r="L84" i="107"/>
  <c r="K84" i="107"/>
  <c r="L83" i="107"/>
  <c r="K83" i="107"/>
  <c r="L82" i="107"/>
  <c r="K82" i="107"/>
  <c r="L78" i="107"/>
  <c r="K78" i="107"/>
  <c r="L77" i="107"/>
  <c r="K77" i="107"/>
  <c r="L76" i="107"/>
  <c r="K76" i="107"/>
  <c r="L75" i="107"/>
  <c r="K75" i="107"/>
  <c r="M75" i="107" s="1"/>
  <c r="L73" i="107"/>
  <c r="K73" i="107"/>
  <c r="L71" i="107"/>
  <c r="K71" i="107"/>
  <c r="M71" i="107" s="1"/>
  <c r="L70" i="107"/>
  <c r="K70" i="107"/>
  <c r="L69" i="107"/>
  <c r="K69" i="107"/>
  <c r="L68" i="107"/>
  <c r="K68" i="107"/>
  <c r="L66" i="107"/>
  <c r="K66" i="107"/>
  <c r="M66" i="107" s="1"/>
  <c r="L65" i="107"/>
  <c r="K65" i="107"/>
  <c r="L64" i="107"/>
  <c r="K64" i="107"/>
  <c r="L63" i="107"/>
  <c r="K63" i="107"/>
  <c r="L61" i="107"/>
  <c r="K61" i="107"/>
  <c r="L60" i="107"/>
  <c r="K60" i="107"/>
  <c r="L59" i="107"/>
  <c r="K59" i="107"/>
  <c r="L58" i="107"/>
  <c r="K58" i="107"/>
  <c r="L57" i="107"/>
  <c r="K57" i="107"/>
  <c r="M57" i="107" s="1"/>
  <c r="L56" i="107"/>
  <c r="K56" i="107"/>
  <c r="L55" i="107"/>
  <c r="K55" i="107"/>
  <c r="L54" i="107"/>
  <c r="K54" i="107"/>
  <c r="J90" i="107"/>
  <c r="J89" i="107"/>
  <c r="J88" i="107"/>
  <c r="J87" i="107"/>
  <c r="J86" i="107"/>
  <c r="J85" i="107"/>
  <c r="J84" i="107"/>
  <c r="J83" i="107"/>
  <c r="J82" i="107"/>
  <c r="J78" i="107"/>
  <c r="J77" i="107"/>
  <c r="J76" i="107"/>
  <c r="J75" i="107"/>
  <c r="J73" i="107"/>
  <c r="J71" i="107"/>
  <c r="J70" i="107"/>
  <c r="J69" i="107"/>
  <c r="J68" i="107"/>
  <c r="J66" i="107"/>
  <c r="J65" i="107"/>
  <c r="J64" i="107"/>
  <c r="J63" i="107"/>
  <c r="J61" i="107"/>
  <c r="J60" i="107"/>
  <c r="J59" i="107"/>
  <c r="J58" i="107"/>
  <c r="J57" i="107"/>
  <c r="J56" i="107"/>
  <c r="J55" i="107"/>
  <c r="J54" i="107"/>
  <c r="G91" i="107"/>
  <c r="G90" i="107"/>
  <c r="G89" i="107"/>
  <c r="G88" i="107"/>
  <c r="G87" i="107"/>
  <c r="G86" i="107"/>
  <c r="G85" i="107"/>
  <c r="G84" i="107"/>
  <c r="G83" i="107"/>
  <c r="G82" i="107"/>
  <c r="G78" i="107"/>
  <c r="G77" i="107"/>
  <c r="G76" i="107"/>
  <c r="G75" i="107"/>
  <c r="G73" i="107"/>
  <c r="G71" i="107"/>
  <c r="G70" i="107"/>
  <c r="G69" i="107"/>
  <c r="G68" i="107"/>
  <c r="G66" i="107"/>
  <c r="G65" i="107"/>
  <c r="G64" i="107"/>
  <c r="G63" i="107"/>
  <c r="G61" i="107"/>
  <c r="G60" i="107"/>
  <c r="G59" i="107"/>
  <c r="G58" i="107"/>
  <c r="G57" i="107"/>
  <c r="G56" i="107"/>
  <c r="G55" i="107"/>
  <c r="G54" i="107"/>
  <c r="D54" i="107"/>
  <c r="D55" i="107"/>
  <c r="D56" i="107"/>
  <c r="D57" i="107"/>
  <c r="D58" i="107"/>
  <c r="D59" i="107"/>
  <c r="D60" i="107"/>
  <c r="D61" i="107"/>
  <c r="D63" i="107"/>
  <c r="D64" i="107"/>
  <c r="D65" i="107"/>
  <c r="D66" i="107"/>
  <c r="D68" i="107"/>
  <c r="D69" i="107"/>
  <c r="D70" i="107"/>
  <c r="D71" i="107"/>
  <c r="D73" i="107"/>
  <c r="D75" i="107"/>
  <c r="D76" i="107"/>
  <c r="D77" i="107"/>
  <c r="D78" i="107"/>
  <c r="D82" i="107"/>
  <c r="D83" i="107"/>
  <c r="D84" i="107"/>
  <c r="D85" i="107"/>
  <c r="D86" i="107"/>
  <c r="D87" i="107"/>
  <c r="D88" i="107"/>
  <c r="D89" i="107"/>
  <c r="D90" i="107"/>
  <c r="D91" i="107"/>
  <c r="N9" i="106"/>
  <c r="O9" i="106"/>
  <c r="P9" i="106"/>
  <c r="N10" i="106"/>
  <c r="O10" i="106"/>
  <c r="P10" i="106"/>
  <c r="N11" i="106"/>
  <c r="O11" i="106"/>
  <c r="P11" i="106"/>
  <c r="N12" i="106"/>
  <c r="O12" i="106"/>
  <c r="P12" i="106"/>
  <c r="P8" i="106"/>
  <c r="O8" i="106"/>
  <c r="N8" i="106"/>
  <c r="L9" i="106"/>
  <c r="L10" i="106"/>
  <c r="L11" i="106"/>
  <c r="L12" i="106"/>
  <c r="L8" i="106"/>
  <c r="K9" i="106"/>
  <c r="K12" i="106"/>
  <c r="J9" i="106"/>
  <c r="J10" i="106"/>
  <c r="J11" i="106"/>
  <c r="J12" i="106"/>
  <c r="J8" i="106"/>
  <c r="H9" i="106"/>
  <c r="H10" i="106"/>
  <c r="H11" i="106"/>
  <c r="H12" i="106"/>
  <c r="H8" i="106"/>
  <c r="G9" i="106"/>
  <c r="G10" i="106"/>
  <c r="G11" i="106"/>
  <c r="G12" i="106"/>
  <c r="G8" i="106"/>
  <c r="F12" i="106"/>
  <c r="P50" i="106"/>
  <c r="O50" i="106"/>
  <c r="N50" i="106"/>
  <c r="L50" i="106"/>
  <c r="K50" i="106"/>
  <c r="J50" i="106"/>
  <c r="H50" i="106"/>
  <c r="G50" i="106"/>
  <c r="F50" i="106"/>
  <c r="D50" i="106"/>
  <c r="C50" i="106"/>
  <c r="DT50" i="106" s="1"/>
  <c r="DU50" i="106" s="1"/>
  <c r="B50" i="106"/>
  <c r="C9" i="106"/>
  <c r="DT9" i="106" s="1"/>
  <c r="DU9" i="106" s="1"/>
  <c r="D9" i="106"/>
  <c r="C10" i="106"/>
  <c r="DT10" i="106" s="1"/>
  <c r="DU10" i="106" s="1"/>
  <c r="D10" i="106"/>
  <c r="C11" i="106"/>
  <c r="DT11" i="106" s="1"/>
  <c r="DU11" i="106" s="1"/>
  <c r="D11" i="106"/>
  <c r="DU8" i="106"/>
  <c r="AX78" i="107" l="1"/>
  <c r="AZ78" i="107" s="1"/>
  <c r="AX77" i="107"/>
  <c r="AK87" i="107"/>
  <c r="AK89" i="107"/>
  <c r="AK88" i="107"/>
  <c r="AK76" i="107"/>
  <c r="M58" i="107"/>
  <c r="AY75" i="107"/>
  <c r="AY77" i="107"/>
  <c r="M82" i="107"/>
  <c r="M78" i="107"/>
  <c r="AK64" i="107"/>
  <c r="AK69" i="107"/>
  <c r="AK54" i="107"/>
  <c r="AK56" i="107"/>
  <c r="AK60" i="107"/>
  <c r="AY61" i="107"/>
  <c r="AY66" i="107"/>
  <c r="Y59" i="107"/>
  <c r="Y66" i="107"/>
  <c r="AK70" i="107"/>
  <c r="AY68" i="107"/>
  <c r="AY70" i="107"/>
  <c r="AY78" i="107"/>
  <c r="AY82" i="107"/>
  <c r="AY88" i="107"/>
  <c r="AY90" i="107"/>
  <c r="Y68" i="107"/>
  <c r="Y73" i="107"/>
  <c r="AK86" i="107"/>
  <c r="AY86" i="107"/>
  <c r="AK65" i="107"/>
  <c r="AK63" i="107"/>
  <c r="AK66" i="107"/>
  <c r="AK59" i="107"/>
  <c r="AY59" i="107"/>
  <c r="AK55" i="107"/>
  <c r="Y70" i="107"/>
  <c r="AX66" i="107"/>
  <c r="AY65" i="107"/>
  <c r="Y63" i="107"/>
  <c r="Y91" i="107"/>
  <c r="Y71" i="107"/>
  <c r="Y69" i="107"/>
  <c r="AX63" i="107"/>
  <c r="Y64" i="107"/>
  <c r="AY64" i="107"/>
  <c r="Y61" i="107"/>
  <c r="Y60" i="107"/>
  <c r="AY60" i="107"/>
  <c r="AY57" i="107"/>
  <c r="Y57" i="107"/>
  <c r="Y54" i="107"/>
  <c r="AY84" i="107"/>
  <c r="Y84" i="107"/>
  <c r="AY73" i="107"/>
  <c r="AX73" i="107"/>
  <c r="AY71" i="107"/>
  <c r="Y85" i="107"/>
  <c r="Y76" i="107"/>
  <c r="AY76" i="107"/>
  <c r="AY63" i="107"/>
  <c r="Y75" i="107"/>
  <c r="AY69" i="107"/>
  <c r="Y65" i="107"/>
  <c r="AY58" i="107"/>
  <c r="Y58" i="107"/>
  <c r="Y56" i="107"/>
  <c r="AX54" i="107"/>
  <c r="AY55" i="107"/>
  <c r="Y55" i="107"/>
  <c r="M83" i="107"/>
  <c r="M84" i="107"/>
  <c r="AZ77" i="107"/>
  <c r="M77" i="107"/>
  <c r="F8" i="25"/>
  <c r="J8" i="25"/>
  <c r="N8" i="25"/>
  <c r="N10" i="25" s="1"/>
  <c r="AX89" i="107"/>
  <c r="M89" i="107"/>
  <c r="AY83" i="107"/>
  <c r="AY85" i="107"/>
  <c r="AY89" i="107"/>
  <c r="M65" i="107"/>
  <c r="M61" i="107"/>
  <c r="AX58" i="107"/>
  <c r="M55" i="107"/>
  <c r="AX57" i="107"/>
  <c r="AY54" i="107"/>
  <c r="AY56" i="107"/>
  <c r="K8" i="25"/>
  <c r="K10" i="25" s="1"/>
  <c r="G8" i="25"/>
  <c r="M8" i="25"/>
  <c r="M10" i="25" s="1"/>
  <c r="I8" i="25"/>
  <c r="E8" i="25"/>
  <c r="E10" i="25" s="1"/>
  <c r="BY15" i="23" s="1"/>
  <c r="M24" i="105"/>
  <c r="M39" i="105" s="1"/>
  <c r="L24" i="105"/>
  <c r="L39" i="105" s="1"/>
  <c r="K24" i="105"/>
  <c r="K39" i="105" s="1"/>
  <c r="L8" i="25"/>
  <c r="L10" i="25" s="1"/>
  <c r="H8" i="25"/>
  <c r="H10" i="25" s="1"/>
  <c r="D8" i="25"/>
  <c r="D10" i="25" s="1"/>
  <c r="M91" i="107"/>
  <c r="M70" i="107"/>
  <c r="M76" i="107"/>
  <c r="M68" i="107"/>
  <c r="AX68" i="107"/>
  <c r="M69" i="107"/>
  <c r="M64" i="107"/>
  <c r="M60" i="107"/>
  <c r="M59" i="107"/>
  <c r="M56" i="107"/>
  <c r="AY87" i="107"/>
  <c r="AX88" i="107"/>
  <c r="AZ88" i="107" s="1"/>
  <c r="AX85" i="107"/>
  <c r="M88" i="107"/>
  <c r="AX56" i="107"/>
  <c r="AX71" i="107"/>
  <c r="AX90" i="107"/>
  <c r="AZ90" i="107" s="1"/>
  <c r="M54" i="107"/>
  <c r="M63" i="107"/>
  <c r="M73" i="107"/>
  <c r="M85" i="107"/>
  <c r="AX55" i="107"/>
  <c r="AX64" i="107"/>
  <c r="AX75" i="107"/>
  <c r="AX86" i="107"/>
  <c r="AX61" i="107"/>
  <c r="AZ61" i="107" s="1"/>
  <c r="AX65" i="107"/>
  <c r="AX76" i="107"/>
  <c r="AX84" i="107"/>
  <c r="AX87" i="107"/>
  <c r="AX59" i="107"/>
  <c r="AX69" i="107"/>
  <c r="AX82" i="107"/>
  <c r="AZ82" i="107" s="1"/>
  <c r="AX60" i="107"/>
  <c r="AX70" i="107"/>
  <c r="AX83" i="107"/>
  <c r="AZ83" i="107" s="1"/>
  <c r="AZ86" i="107" l="1"/>
  <c r="AZ87" i="107"/>
  <c r="AZ54" i="107"/>
  <c r="L12" i="25"/>
  <c r="CF15" i="23"/>
  <c r="K12" i="25"/>
  <c r="CE15" i="23"/>
  <c r="O8" i="25"/>
  <c r="M12" i="25"/>
  <c r="CG15" i="23"/>
  <c r="N12" i="25"/>
  <c r="CH15" i="23"/>
  <c r="AZ89" i="107"/>
  <c r="AZ69" i="107"/>
  <c r="AZ75" i="107"/>
  <c r="J10" i="25"/>
  <c r="AZ84" i="107"/>
  <c r="AZ85" i="107"/>
  <c r="AZ68" i="107"/>
  <c r="AZ66" i="107"/>
  <c r="AZ60" i="107"/>
  <c r="AZ57" i="107"/>
  <c r="AZ70" i="107"/>
  <c r="AZ64" i="107"/>
  <c r="AZ65" i="107"/>
  <c r="AZ59" i="107"/>
  <c r="I10" i="25"/>
  <c r="AZ71" i="107"/>
  <c r="H12" i="25"/>
  <c r="G10" i="25"/>
  <c r="AZ63" i="107"/>
  <c r="AZ55" i="107"/>
  <c r="F10" i="25"/>
  <c r="BZ15" i="23" s="1"/>
  <c r="AZ73" i="107"/>
  <c r="AZ76" i="107"/>
  <c r="AZ58" i="107"/>
  <c r="E12" i="25"/>
  <c r="D12" i="25"/>
  <c r="AZ56" i="107"/>
  <c r="O10" i="25" l="1"/>
  <c r="CD15" i="23"/>
  <c r="J12" i="25"/>
  <c r="I12" i="25"/>
  <c r="G12" i="25"/>
  <c r="F12" i="25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" i="10"/>
  <c r="G3" i="10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" i="9"/>
  <c r="G3" i="9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3" i="8"/>
  <c r="G3" i="8"/>
  <c r="O12" i="33"/>
  <c r="J13" i="33"/>
  <c r="J14" i="33"/>
  <c r="J15" i="33"/>
  <c r="J16" i="33"/>
  <c r="J17" i="33"/>
  <c r="J18" i="33"/>
  <c r="J19" i="33"/>
  <c r="J20" i="33"/>
  <c r="J21" i="33"/>
  <c r="J22" i="33"/>
  <c r="J23" i="33"/>
  <c r="J24" i="33"/>
  <c r="J25" i="33"/>
  <c r="J26" i="33"/>
  <c r="J27" i="33"/>
  <c r="J28" i="33"/>
  <c r="J29" i="33"/>
  <c r="J30" i="33"/>
  <c r="J31" i="33"/>
  <c r="J32" i="33"/>
  <c r="J33" i="33"/>
  <c r="J34" i="33"/>
  <c r="J35" i="33"/>
  <c r="J36" i="33"/>
  <c r="J37" i="33"/>
  <c r="J38" i="33"/>
  <c r="J39" i="33"/>
  <c r="J40" i="33"/>
  <c r="J41" i="33"/>
  <c r="J42" i="33"/>
  <c r="J43" i="33"/>
  <c r="J12" i="33"/>
  <c r="I12" i="33"/>
  <c r="H13" i="33"/>
  <c r="H14" i="33"/>
  <c r="H15" i="33"/>
  <c r="H16" i="33"/>
  <c r="H17" i="33"/>
  <c r="H18" i="33"/>
  <c r="H19" i="33"/>
  <c r="H20" i="33"/>
  <c r="H21" i="33"/>
  <c r="H22" i="33"/>
  <c r="H23" i="33"/>
  <c r="H24" i="33"/>
  <c r="H25" i="33"/>
  <c r="H26" i="33"/>
  <c r="H27" i="33"/>
  <c r="H28" i="33"/>
  <c r="H29" i="33"/>
  <c r="H30" i="33"/>
  <c r="H31" i="33"/>
  <c r="H32" i="33"/>
  <c r="H33" i="33"/>
  <c r="H34" i="33"/>
  <c r="H35" i="33"/>
  <c r="H36" i="33"/>
  <c r="H37" i="33"/>
  <c r="H38" i="33"/>
  <c r="H39" i="33"/>
  <c r="H40" i="33"/>
  <c r="H41" i="33"/>
  <c r="H42" i="33"/>
  <c r="H43" i="33"/>
  <c r="H12" i="33"/>
  <c r="G12" i="33"/>
  <c r="AI12" i="107"/>
  <c r="AI8" i="107"/>
  <c r="AI9" i="107"/>
  <c r="O12" i="25" l="1"/>
  <c r="S1" i="10"/>
  <c r="S1" i="9"/>
  <c r="S1" i="8"/>
  <c r="F36" i="86" l="1"/>
  <c r="F37" i="86"/>
  <c r="E4" i="72" l="1"/>
  <c r="E5" i="72"/>
  <c r="E6" i="72"/>
  <c r="E7" i="72"/>
  <c r="E8" i="72"/>
  <c r="E9" i="72"/>
  <c r="E10" i="72"/>
  <c r="E11" i="72"/>
  <c r="E12" i="72"/>
  <c r="E14" i="72"/>
  <c r="E15" i="72"/>
  <c r="E16" i="72"/>
  <c r="E19" i="72"/>
  <c r="E17" i="72"/>
  <c r="E18" i="72"/>
  <c r="E20" i="72"/>
  <c r="E21" i="72"/>
  <c r="E22" i="72"/>
  <c r="N37" i="86"/>
  <c r="M37" i="86"/>
  <c r="N36" i="86"/>
  <c r="M36" i="86"/>
  <c r="N10" i="86"/>
  <c r="M10" i="86"/>
  <c r="N9" i="86"/>
  <c r="M9" i="86"/>
  <c r="N8" i="86"/>
  <c r="M8" i="86"/>
  <c r="O9" i="86" l="1"/>
  <c r="O37" i="86"/>
  <c r="P37" i="86" s="1"/>
  <c r="O8" i="86"/>
  <c r="O10" i="86"/>
  <c r="O36" i="86"/>
  <c r="L19" i="86" l="1"/>
  <c r="L2" i="86"/>
  <c r="P36" i="86"/>
  <c r="BF8" i="106" l="1"/>
  <c r="CR8" i="106"/>
  <c r="BY8" i="106"/>
  <c r="BF10" i="106" l="1"/>
  <c r="C95" i="107" l="1"/>
  <c r="C93" i="107"/>
  <c r="F95" i="107"/>
  <c r="F93" i="107"/>
  <c r="I95" i="107"/>
  <c r="I93" i="107"/>
  <c r="O95" i="107"/>
  <c r="O93" i="107"/>
  <c r="R95" i="107"/>
  <c r="R93" i="107"/>
  <c r="U95" i="107"/>
  <c r="U93" i="107"/>
  <c r="AA95" i="107"/>
  <c r="AA93" i="107"/>
  <c r="AD95" i="107"/>
  <c r="AD93" i="107"/>
  <c r="AG95" i="107"/>
  <c r="AG93" i="107"/>
  <c r="AM95" i="107"/>
  <c r="AM93" i="107"/>
  <c r="AP95" i="107"/>
  <c r="AP93" i="107"/>
  <c r="AS95" i="107"/>
  <c r="AS93" i="107"/>
  <c r="AJ93" i="107" l="1"/>
  <c r="AT11" i="107" l="1"/>
  <c r="AT10" i="107"/>
  <c r="AQ11" i="107"/>
  <c r="AQ10" i="107"/>
  <c r="AT9" i="107"/>
  <c r="AT8" i="107"/>
  <c r="AQ9" i="107"/>
  <c r="AQ8" i="107"/>
  <c r="AN11" i="107"/>
  <c r="AN10" i="107"/>
  <c r="AN9" i="107"/>
  <c r="AN8" i="107"/>
  <c r="AH11" i="107"/>
  <c r="AH10" i="107"/>
  <c r="AH8" i="107"/>
  <c r="V5" i="1" l="1"/>
  <c r="M23" i="86" l="1"/>
  <c r="N23" i="86"/>
  <c r="J23" i="86"/>
  <c r="F23" i="86"/>
  <c r="G23" i="86" s="1"/>
  <c r="O23" i="86" l="1"/>
  <c r="P23" i="86" s="1"/>
  <c r="H23" i="86"/>
  <c r="M50" i="106" l="1"/>
  <c r="I50" i="106"/>
  <c r="E50" i="106"/>
  <c r="I12" i="106"/>
  <c r="E12" i="106"/>
  <c r="E11" i="106"/>
  <c r="E10" i="106"/>
  <c r="E9" i="106"/>
  <c r="G13" i="106"/>
  <c r="D13" i="106"/>
  <c r="C13" i="106"/>
  <c r="DT13" i="106" s="1"/>
  <c r="DU13" i="106" s="1"/>
  <c r="AD8" i="1"/>
  <c r="AG18" i="107"/>
  <c r="L19" i="106" s="1"/>
  <c r="AP18" i="107"/>
  <c r="O19" i="106" s="1"/>
  <c r="AM20" i="107"/>
  <c r="N21" i="106" s="1"/>
  <c r="AM19" i="107"/>
  <c r="N20" i="106" s="1"/>
  <c r="AM18" i="107"/>
  <c r="N19" i="106" s="1"/>
  <c r="AP20" i="107"/>
  <c r="O21" i="106" s="1"/>
  <c r="AP19" i="107"/>
  <c r="O20" i="106" s="1"/>
  <c r="AS20" i="107"/>
  <c r="P21" i="106" s="1"/>
  <c r="AS19" i="107"/>
  <c r="P20" i="106" s="1"/>
  <c r="AS18" i="107"/>
  <c r="P19" i="106" s="1"/>
  <c r="AS14" i="107"/>
  <c r="P14" i="106" s="1"/>
  <c r="AP14" i="107"/>
  <c r="O14" i="106" s="1"/>
  <c r="AM14" i="107"/>
  <c r="N14" i="106" s="1"/>
  <c r="AG14" i="107"/>
  <c r="L14" i="106" s="1"/>
  <c r="AG20" i="107"/>
  <c r="L21" i="106" s="1"/>
  <c r="AG19" i="107"/>
  <c r="L20" i="106" s="1"/>
  <c r="AD18" i="107"/>
  <c r="K19" i="106" s="1"/>
  <c r="AA20" i="107"/>
  <c r="J21" i="106" s="1"/>
  <c r="AA19" i="107"/>
  <c r="J20" i="106" s="1"/>
  <c r="AA18" i="107"/>
  <c r="J19" i="106" s="1"/>
  <c r="U18" i="107"/>
  <c r="H19" i="106" s="1"/>
  <c r="U20" i="107"/>
  <c r="H21" i="106" s="1"/>
  <c r="U19" i="107"/>
  <c r="H20" i="106" s="1"/>
  <c r="R18" i="107"/>
  <c r="G19" i="106" s="1"/>
  <c r="R20" i="107"/>
  <c r="G21" i="106" s="1"/>
  <c r="R19" i="107"/>
  <c r="G20" i="106" s="1"/>
  <c r="O18" i="107"/>
  <c r="F19" i="106" s="1"/>
  <c r="O20" i="107"/>
  <c r="F21" i="106" s="1"/>
  <c r="O19" i="107"/>
  <c r="F20" i="106" s="1"/>
  <c r="I18" i="107"/>
  <c r="D19" i="106" s="1"/>
  <c r="I20" i="107"/>
  <c r="D21" i="106" s="1"/>
  <c r="F20" i="107"/>
  <c r="C21" i="106" s="1"/>
  <c r="DT21" i="106" s="1"/>
  <c r="DU21" i="106" s="1"/>
  <c r="I19" i="107"/>
  <c r="D20" i="106" s="1"/>
  <c r="F18" i="107"/>
  <c r="C19" i="106" s="1"/>
  <c r="F19" i="107"/>
  <c r="C20" i="106" s="1"/>
  <c r="DT20" i="106" s="1"/>
  <c r="DU20" i="106" s="1"/>
  <c r="C18" i="107"/>
  <c r="B19" i="106" s="1"/>
  <c r="C20" i="107"/>
  <c r="B21" i="106" s="1"/>
  <c r="C19" i="107"/>
  <c r="B20" i="106" s="1"/>
  <c r="AD14" i="107"/>
  <c r="K14" i="106" s="1"/>
  <c r="AA14" i="107"/>
  <c r="J14" i="106" s="1"/>
  <c r="U14" i="107"/>
  <c r="H14" i="106" s="1"/>
  <c r="R14" i="107"/>
  <c r="G14" i="106" s="1"/>
  <c r="O14" i="107"/>
  <c r="F14" i="106" s="1"/>
  <c r="I14" i="107"/>
  <c r="D14" i="106" s="1"/>
  <c r="F14" i="107"/>
  <c r="C14" i="106" s="1"/>
  <c r="DT14" i="106" s="1"/>
  <c r="DU14" i="106" s="1"/>
  <c r="C14" i="107"/>
  <c r="B14" i="106" s="1"/>
  <c r="C22" i="106" l="1"/>
  <c r="DT22" i="106" s="1"/>
  <c r="DU22" i="106" s="1"/>
  <c r="DT19" i="106"/>
  <c r="DU19" i="106" s="1"/>
  <c r="E14" i="106"/>
  <c r="G22" i="106"/>
  <c r="I21" i="106"/>
  <c r="I14" i="106"/>
  <c r="E20" i="106"/>
  <c r="D22" i="106"/>
  <c r="G15" i="106"/>
  <c r="G17" i="106" s="1"/>
  <c r="E21" i="106"/>
  <c r="I20" i="106"/>
  <c r="B13" i="106"/>
  <c r="E13" i="106" s="1"/>
  <c r="L18" i="107"/>
  <c r="C15" i="106"/>
  <c r="L22" i="106"/>
  <c r="D15" i="106"/>
  <c r="D17" i="106" s="1"/>
  <c r="J22" i="106"/>
  <c r="H22" i="106"/>
  <c r="P22" i="106"/>
  <c r="H13" i="106"/>
  <c r="H15" i="106" s="1"/>
  <c r="H17" i="106" s="1"/>
  <c r="N22" i="106"/>
  <c r="L13" i="106"/>
  <c r="L15" i="106" s="1"/>
  <c r="L16" i="106" s="1"/>
  <c r="E8" i="106"/>
  <c r="I8" i="106"/>
  <c r="R12" i="106"/>
  <c r="R50" i="106"/>
  <c r="S50" i="106"/>
  <c r="F22" i="106"/>
  <c r="I19" i="106"/>
  <c r="P13" i="106"/>
  <c r="P15" i="106" s="1"/>
  <c r="B22" i="106"/>
  <c r="E19" i="106"/>
  <c r="J13" i="106"/>
  <c r="J15" i="106" s="1"/>
  <c r="N13" i="106"/>
  <c r="N15" i="106" s="1"/>
  <c r="R15" i="101"/>
  <c r="R14" i="101"/>
  <c r="E22" i="106" l="1"/>
  <c r="C17" i="106"/>
  <c r="DT17" i="106" s="1"/>
  <c r="DT15" i="106"/>
  <c r="DU15" i="106" s="1"/>
  <c r="R20" i="106"/>
  <c r="G23" i="106"/>
  <c r="R14" i="106"/>
  <c r="I22" i="106"/>
  <c r="G16" i="106"/>
  <c r="R21" i="106"/>
  <c r="B15" i="106"/>
  <c r="B16" i="106" s="1"/>
  <c r="H16" i="106"/>
  <c r="D16" i="106"/>
  <c r="L23" i="106"/>
  <c r="R8" i="106"/>
  <c r="C23" i="106"/>
  <c r="DT23" i="106" s="1"/>
  <c r="DU23" i="106" s="1"/>
  <c r="C16" i="106"/>
  <c r="DT16" i="106" s="1"/>
  <c r="L17" i="106"/>
  <c r="H23" i="106"/>
  <c r="D23" i="106"/>
  <c r="P23" i="106"/>
  <c r="P16" i="106"/>
  <c r="R19" i="106"/>
  <c r="N23" i="106"/>
  <c r="N17" i="106"/>
  <c r="N16" i="106"/>
  <c r="J23" i="106"/>
  <c r="J17" i="106"/>
  <c r="J16" i="106"/>
  <c r="R22" i="106" l="1"/>
  <c r="B23" i="106"/>
  <c r="E23" i="106" s="1"/>
  <c r="E15" i="106"/>
  <c r="E17" i="106" s="1"/>
  <c r="B17" i="106"/>
  <c r="E16" i="106" l="1"/>
  <c r="P45" i="33"/>
  <c r="O45" i="33"/>
  <c r="N45" i="33"/>
  <c r="M45" i="33"/>
  <c r="L45" i="33"/>
  <c r="K45" i="33"/>
  <c r="J45" i="33"/>
  <c r="I45" i="33"/>
  <c r="H45" i="33"/>
  <c r="AD27" i="1"/>
  <c r="K92" i="107" l="1"/>
  <c r="L92" i="107"/>
  <c r="AI92" i="107"/>
  <c r="AK92" i="107" s="1"/>
  <c r="AJ92" i="107"/>
  <c r="AD20" i="107"/>
  <c r="K21" i="106" s="1"/>
  <c r="AD19" i="107"/>
  <c r="K20" i="106" s="1"/>
  <c r="AE11" i="107"/>
  <c r="AE10" i="107"/>
  <c r="M92" i="107" l="1"/>
  <c r="AX92" i="107"/>
  <c r="AZ92" i="107" s="1"/>
  <c r="AY92" i="107"/>
  <c r="AE8" i="107"/>
  <c r="S8" i="1" l="1"/>
  <c r="S9" i="1"/>
  <c r="S10" i="1"/>
  <c r="S11" i="1"/>
  <c r="S12" i="1"/>
  <c r="S13" i="1"/>
  <c r="S15" i="1"/>
  <c r="S16" i="1"/>
  <c r="S17" i="1"/>
  <c r="S18" i="1"/>
  <c r="S19" i="1"/>
  <c r="S20" i="1"/>
  <c r="S21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6" i="1"/>
  <c r="S87" i="1"/>
  <c r="S88" i="1"/>
  <c r="S89" i="1"/>
  <c r="S90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9" i="1"/>
  <c r="S270" i="1"/>
  <c r="S271" i="1"/>
  <c r="S272" i="1"/>
  <c r="S273" i="1"/>
  <c r="AJ9" i="107" l="1"/>
  <c r="AJ10" i="107"/>
  <c r="AJ11" i="107"/>
  <c r="AJ12" i="107"/>
  <c r="AJ8" i="107"/>
  <c r="E2" i="72" l="1"/>
  <c r="E3" i="72"/>
  <c r="F3" i="54" l="1"/>
  <c r="J3" i="54"/>
  <c r="F4" i="54"/>
  <c r="J4" i="54"/>
  <c r="F5" i="54"/>
  <c r="J5" i="54"/>
  <c r="F6" i="54"/>
  <c r="J6" i="54"/>
  <c r="F7" i="54"/>
  <c r="J7" i="54"/>
  <c r="F8" i="54"/>
  <c r="J8" i="54"/>
  <c r="F9" i="54"/>
  <c r="J9" i="54"/>
  <c r="E18" i="58"/>
  <c r="J10" i="54"/>
  <c r="E19" i="58"/>
  <c r="J11" i="54"/>
  <c r="F12" i="54"/>
  <c r="E20" i="58" s="1"/>
  <c r="J12" i="54"/>
  <c r="K4" i="7" l="1"/>
  <c r="J3" i="10"/>
  <c r="M8" i="1"/>
  <c r="M9" i="1"/>
  <c r="M10" i="1"/>
  <c r="M11" i="1"/>
  <c r="M12" i="1"/>
  <c r="M13" i="1"/>
  <c r="M15" i="1"/>
  <c r="M16" i="1"/>
  <c r="M17" i="1"/>
  <c r="M18" i="1"/>
  <c r="M19" i="1"/>
  <c r="M20" i="1"/>
  <c r="M21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6" i="1"/>
  <c r="M87" i="1"/>
  <c r="M88" i="1"/>
  <c r="M89" i="1"/>
  <c r="M90" i="1"/>
  <c r="M92" i="1"/>
  <c r="M93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9" i="1"/>
  <c r="M270" i="1"/>
  <c r="M271" i="1"/>
  <c r="M272" i="1"/>
  <c r="V11" i="107" l="1"/>
  <c r="V10" i="107"/>
  <c r="V9" i="107"/>
  <c r="V8" i="107"/>
  <c r="S11" i="107"/>
  <c r="S10" i="107"/>
  <c r="S9" i="107"/>
  <c r="S8" i="107"/>
  <c r="P8" i="107"/>
  <c r="M21" i="86" l="1"/>
  <c r="N21" i="86"/>
  <c r="M22" i="86"/>
  <c r="N22" i="86"/>
  <c r="J21" i="86"/>
  <c r="J22" i="86"/>
  <c r="F3" i="86"/>
  <c r="H3" i="86" s="1"/>
  <c r="F4" i="86"/>
  <c r="H4" i="86" s="1"/>
  <c r="F5" i="86"/>
  <c r="G5" i="86" s="1"/>
  <c r="F6" i="86"/>
  <c r="G6" i="86" s="1"/>
  <c r="F7" i="86"/>
  <c r="H7" i="86" s="1"/>
  <c r="F8" i="86"/>
  <c r="H8" i="86" s="1"/>
  <c r="F9" i="86"/>
  <c r="G9" i="86" s="1"/>
  <c r="F10" i="86"/>
  <c r="G10" i="86" s="1"/>
  <c r="F11" i="86"/>
  <c r="H11" i="86" s="1"/>
  <c r="F12" i="86"/>
  <c r="H12" i="86" s="1"/>
  <c r="F13" i="86"/>
  <c r="G13" i="86" s="1"/>
  <c r="F14" i="86"/>
  <c r="G14" i="86" s="1"/>
  <c r="F15" i="86"/>
  <c r="H15" i="86" s="1"/>
  <c r="F16" i="86"/>
  <c r="G16" i="86" s="1"/>
  <c r="F17" i="86"/>
  <c r="H17" i="86" s="1"/>
  <c r="H18" i="86"/>
  <c r="F19" i="86"/>
  <c r="H19" i="86" s="1"/>
  <c r="F20" i="86"/>
  <c r="G20" i="86" s="1"/>
  <c r="F21" i="86"/>
  <c r="H21" i="86" s="1"/>
  <c r="F22" i="86"/>
  <c r="H22" i="86" s="1"/>
  <c r="O21" i="86" l="1"/>
  <c r="P21" i="86" s="1"/>
  <c r="O22" i="86"/>
  <c r="P22" i="86" s="1"/>
  <c r="H13" i="86"/>
  <c r="H10" i="86"/>
  <c r="H14" i="86"/>
  <c r="G11" i="86"/>
  <c r="H9" i="86"/>
  <c r="G7" i="86"/>
  <c r="H6" i="86"/>
  <c r="H5" i="86"/>
  <c r="G4" i="86"/>
  <c r="G17" i="86"/>
  <c r="H16" i="86"/>
  <c r="G21" i="86"/>
  <c r="G19" i="86"/>
  <c r="H20" i="86"/>
  <c r="G22" i="86"/>
  <c r="G18" i="86"/>
  <c r="G15" i="86"/>
  <c r="G12" i="86"/>
  <c r="G8" i="86"/>
  <c r="G3" i="86"/>
  <c r="H39" i="9" l="1"/>
  <c r="G45" i="33" l="1"/>
  <c r="AB8" i="1"/>
  <c r="J14" i="54" l="1"/>
  <c r="A16" i="87" l="1"/>
  <c r="CC53" i="5" l="1"/>
  <c r="F23" i="101" l="1"/>
  <c r="F13" i="101"/>
  <c r="AA93" i="1" l="1"/>
  <c r="AA92" i="1"/>
  <c r="Y93" i="1"/>
  <c r="Y92" i="1"/>
  <c r="W93" i="1"/>
  <c r="W92" i="1"/>
  <c r="U93" i="1"/>
  <c r="U92" i="1"/>
  <c r="I92" i="1"/>
  <c r="I93" i="1"/>
  <c r="K92" i="1"/>
  <c r="K93" i="1"/>
  <c r="J11" i="86" l="1"/>
  <c r="B20" i="58" l="1"/>
  <c r="B19" i="58"/>
  <c r="B18" i="58"/>
  <c r="B17" i="58"/>
  <c r="B16" i="58"/>
  <c r="B15" i="58"/>
  <c r="B14" i="58"/>
  <c r="B13" i="58"/>
  <c r="B12" i="58"/>
  <c r="B11" i="58"/>
  <c r="D36" i="101" l="1"/>
  <c r="J15" i="86" l="1"/>
  <c r="J14" i="86"/>
  <c r="J13" i="86"/>
  <c r="J12" i="86"/>
  <c r="J10" i="86"/>
  <c r="P10" i="86" s="1"/>
  <c r="J9" i="86"/>
  <c r="P9" i="86" s="1"/>
  <c r="J8" i="86"/>
  <c r="P8" i="86" s="1"/>
  <c r="J7" i="86"/>
  <c r="J6" i="86"/>
  <c r="J5" i="86"/>
  <c r="J4" i="86"/>
  <c r="J3" i="86"/>
  <c r="J2" i="86"/>
  <c r="J16" i="86"/>
  <c r="J17" i="86"/>
  <c r="J18" i="86"/>
  <c r="J19" i="86"/>
  <c r="J20" i="86"/>
  <c r="G15" i="25" l="1"/>
  <c r="F15" i="25"/>
  <c r="E15" i="25"/>
  <c r="D15" i="25"/>
  <c r="C15" i="25"/>
  <c r="F45" i="33" l="1"/>
  <c r="E45" i="33" l="1"/>
  <c r="D273" i="59"/>
  <c r="E4" i="9" l="1"/>
  <c r="F4" i="9"/>
  <c r="G4" i="9"/>
  <c r="I4" i="9"/>
  <c r="J4" i="9"/>
  <c r="K4" i="9"/>
  <c r="L4" i="9"/>
  <c r="M4" i="9"/>
  <c r="N4" i="9"/>
  <c r="O4" i="9"/>
  <c r="P4" i="9"/>
  <c r="E5" i="9"/>
  <c r="F5" i="9"/>
  <c r="G5" i="9"/>
  <c r="I5" i="9"/>
  <c r="J5" i="9"/>
  <c r="K5" i="9"/>
  <c r="L5" i="9"/>
  <c r="M5" i="9"/>
  <c r="N5" i="9"/>
  <c r="O5" i="9"/>
  <c r="P5" i="9"/>
  <c r="E6" i="9"/>
  <c r="F6" i="9"/>
  <c r="G6" i="9"/>
  <c r="I6" i="9"/>
  <c r="J6" i="9"/>
  <c r="K6" i="9"/>
  <c r="L6" i="9"/>
  <c r="M6" i="9"/>
  <c r="N6" i="9"/>
  <c r="O6" i="9"/>
  <c r="P6" i="9"/>
  <c r="E7" i="9"/>
  <c r="F7" i="9"/>
  <c r="G7" i="9"/>
  <c r="I7" i="9"/>
  <c r="J7" i="9"/>
  <c r="K7" i="9"/>
  <c r="L7" i="9"/>
  <c r="T7" i="9" s="1"/>
  <c r="M7" i="9"/>
  <c r="N7" i="9"/>
  <c r="O7" i="9"/>
  <c r="P7" i="9"/>
  <c r="E8" i="9"/>
  <c r="F8" i="9"/>
  <c r="G8" i="9"/>
  <c r="I8" i="9"/>
  <c r="J8" i="9"/>
  <c r="K8" i="9"/>
  <c r="L8" i="9"/>
  <c r="M8" i="9"/>
  <c r="N8" i="9"/>
  <c r="O8" i="9"/>
  <c r="P8" i="9"/>
  <c r="E9" i="9"/>
  <c r="F9" i="9"/>
  <c r="G9" i="9"/>
  <c r="I9" i="9"/>
  <c r="J9" i="9"/>
  <c r="K9" i="9"/>
  <c r="L9" i="9"/>
  <c r="T9" i="9" s="1"/>
  <c r="M9" i="9"/>
  <c r="N9" i="9"/>
  <c r="O9" i="9"/>
  <c r="P9" i="9"/>
  <c r="E10" i="9"/>
  <c r="F10" i="9"/>
  <c r="G10" i="9"/>
  <c r="I10" i="9"/>
  <c r="J10" i="9"/>
  <c r="K10" i="9"/>
  <c r="L10" i="9"/>
  <c r="M10" i="9"/>
  <c r="N10" i="9"/>
  <c r="O10" i="9"/>
  <c r="P10" i="9"/>
  <c r="E11" i="9"/>
  <c r="F11" i="9"/>
  <c r="G11" i="9"/>
  <c r="I11" i="9"/>
  <c r="J11" i="9"/>
  <c r="K11" i="9"/>
  <c r="L11" i="9"/>
  <c r="M11" i="9"/>
  <c r="N11" i="9"/>
  <c r="O11" i="9"/>
  <c r="P11" i="9"/>
  <c r="E12" i="9"/>
  <c r="F12" i="9"/>
  <c r="G12" i="9"/>
  <c r="I12" i="9"/>
  <c r="J12" i="9"/>
  <c r="K12" i="9"/>
  <c r="L12" i="9"/>
  <c r="T12" i="9" s="1"/>
  <c r="M12" i="9"/>
  <c r="N12" i="9"/>
  <c r="O12" i="9"/>
  <c r="P12" i="9"/>
  <c r="E13" i="9"/>
  <c r="F13" i="9"/>
  <c r="G13" i="9"/>
  <c r="I13" i="9"/>
  <c r="J13" i="9"/>
  <c r="K13" i="9"/>
  <c r="L13" i="9"/>
  <c r="T13" i="9" s="1"/>
  <c r="M13" i="9"/>
  <c r="N13" i="9"/>
  <c r="O13" i="9"/>
  <c r="P13" i="9"/>
  <c r="E14" i="9"/>
  <c r="F14" i="9"/>
  <c r="G14" i="9"/>
  <c r="I14" i="9"/>
  <c r="J14" i="9"/>
  <c r="K14" i="9"/>
  <c r="L14" i="9"/>
  <c r="M14" i="9"/>
  <c r="N14" i="9"/>
  <c r="O14" i="9"/>
  <c r="P14" i="9"/>
  <c r="E15" i="9"/>
  <c r="F15" i="9"/>
  <c r="G15" i="9"/>
  <c r="I15" i="9"/>
  <c r="J15" i="9"/>
  <c r="K15" i="9"/>
  <c r="L15" i="9"/>
  <c r="M15" i="9"/>
  <c r="N15" i="9"/>
  <c r="O15" i="9"/>
  <c r="P15" i="9"/>
  <c r="E16" i="9"/>
  <c r="F16" i="9"/>
  <c r="G16" i="9"/>
  <c r="I16" i="9"/>
  <c r="J16" i="9"/>
  <c r="K16" i="9"/>
  <c r="L16" i="9"/>
  <c r="M16" i="9"/>
  <c r="N16" i="9"/>
  <c r="O16" i="9"/>
  <c r="P16" i="9"/>
  <c r="E17" i="9"/>
  <c r="F17" i="9"/>
  <c r="G17" i="9"/>
  <c r="I17" i="9"/>
  <c r="J17" i="9"/>
  <c r="K17" i="9"/>
  <c r="L17" i="9"/>
  <c r="T17" i="9" s="1"/>
  <c r="M17" i="9"/>
  <c r="N17" i="9"/>
  <c r="O17" i="9"/>
  <c r="P17" i="9"/>
  <c r="E18" i="9"/>
  <c r="F18" i="9"/>
  <c r="G18" i="9"/>
  <c r="I18" i="9"/>
  <c r="J18" i="9"/>
  <c r="K18" i="9"/>
  <c r="L18" i="9"/>
  <c r="M18" i="9"/>
  <c r="N18" i="9"/>
  <c r="O18" i="9"/>
  <c r="P18" i="9"/>
  <c r="E19" i="9"/>
  <c r="F19" i="9"/>
  <c r="G19" i="9"/>
  <c r="I19" i="9"/>
  <c r="J19" i="9"/>
  <c r="K19" i="9"/>
  <c r="L19" i="9"/>
  <c r="M19" i="9"/>
  <c r="N19" i="9"/>
  <c r="O19" i="9"/>
  <c r="P19" i="9"/>
  <c r="E20" i="9"/>
  <c r="F20" i="9"/>
  <c r="G20" i="9"/>
  <c r="I20" i="9"/>
  <c r="J20" i="9"/>
  <c r="K20" i="9"/>
  <c r="L20" i="9"/>
  <c r="T20" i="9" s="1"/>
  <c r="M20" i="9"/>
  <c r="N20" i="9"/>
  <c r="O20" i="9"/>
  <c r="P20" i="9"/>
  <c r="E21" i="9"/>
  <c r="F21" i="9"/>
  <c r="G21" i="9"/>
  <c r="I21" i="9"/>
  <c r="J21" i="9"/>
  <c r="K21" i="9"/>
  <c r="L21" i="9"/>
  <c r="M21" i="9"/>
  <c r="N21" i="9"/>
  <c r="O21" i="9"/>
  <c r="P21" i="9"/>
  <c r="E22" i="9"/>
  <c r="F22" i="9"/>
  <c r="G22" i="9"/>
  <c r="I22" i="9"/>
  <c r="J22" i="9"/>
  <c r="K22" i="9"/>
  <c r="L22" i="9"/>
  <c r="M22" i="9"/>
  <c r="N22" i="9"/>
  <c r="O22" i="9"/>
  <c r="P22" i="9"/>
  <c r="E23" i="9"/>
  <c r="F23" i="9"/>
  <c r="G23" i="9"/>
  <c r="I23" i="9"/>
  <c r="J23" i="9"/>
  <c r="K23" i="9"/>
  <c r="L23" i="9"/>
  <c r="M23" i="9"/>
  <c r="N23" i="9"/>
  <c r="O23" i="9"/>
  <c r="P23" i="9"/>
  <c r="E24" i="9"/>
  <c r="F24" i="9"/>
  <c r="G24" i="9"/>
  <c r="I24" i="9"/>
  <c r="J24" i="9"/>
  <c r="K24" i="9"/>
  <c r="L24" i="9"/>
  <c r="M24" i="9"/>
  <c r="N24" i="9"/>
  <c r="O24" i="9"/>
  <c r="P24" i="9"/>
  <c r="E25" i="9"/>
  <c r="F25" i="9"/>
  <c r="G25" i="9"/>
  <c r="I25" i="9"/>
  <c r="J25" i="9"/>
  <c r="K25" i="9"/>
  <c r="L25" i="9"/>
  <c r="T25" i="9" s="1"/>
  <c r="M25" i="9"/>
  <c r="N25" i="9"/>
  <c r="O25" i="9"/>
  <c r="P25" i="9"/>
  <c r="E26" i="9"/>
  <c r="F26" i="9"/>
  <c r="G26" i="9"/>
  <c r="I26" i="9"/>
  <c r="J26" i="9"/>
  <c r="K26" i="9"/>
  <c r="L26" i="9"/>
  <c r="M26" i="9"/>
  <c r="N26" i="9"/>
  <c r="O26" i="9"/>
  <c r="P26" i="9"/>
  <c r="E27" i="9"/>
  <c r="F27" i="9"/>
  <c r="G27" i="9"/>
  <c r="I27" i="9"/>
  <c r="J27" i="9"/>
  <c r="K27" i="9"/>
  <c r="L27" i="9"/>
  <c r="M27" i="9"/>
  <c r="N27" i="9"/>
  <c r="O27" i="9"/>
  <c r="P27" i="9"/>
  <c r="E28" i="9"/>
  <c r="F28" i="9"/>
  <c r="G28" i="9"/>
  <c r="I28" i="9"/>
  <c r="J28" i="9"/>
  <c r="K28" i="9"/>
  <c r="L28" i="9"/>
  <c r="M28" i="9"/>
  <c r="N28" i="9"/>
  <c r="O28" i="9"/>
  <c r="P28" i="9"/>
  <c r="E29" i="9"/>
  <c r="F29" i="9"/>
  <c r="G29" i="9"/>
  <c r="I29" i="9"/>
  <c r="J29" i="9"/>
  <c r="K29" i="9"/>
  <c r="L29" i="9"/>
  <c r="M29" i="9"/>
  <c r="N29" i="9"/>
  <c r="O29" i="9"/>
  <c r="P29" i="9"/>
  <c r="E30" i="9"/>
  <c r="F30" i="9"/>
  <c r="G30" i="9"/>
  <c r="I30" i="9"/>
  <c r="J30" i="9"/>
  <c r="K30" i="9"/>
  <c r="L30" i="9"/>
  <c r="M30" i="9"/>
  <c r="N30" i="9"/>
  <c r="O30" i="9"/>
  <c r="P30" i="9"/>
  <c r="E31" i="9"/>
  <c r="F31" i="9"/>
  <c r="G31" i="9"/>
  <c r="I31" i="9"/>
  <c r="J31" i="9"/>
  <c r="K31" i="9"/>
  <c r="L31" i="9"/>
  <c r="T31" i="9" s="1"/>
  <c r="M31" i="9"/>
  <c r="N31" i="9"/>
  <c r="O31" i="9"/>
  <c r="P31" i="9"/>
  <c r="E32" i="9"/>
  <c r="F32" i="9"/>
  <c r="G32" i="9"/>
  <c r="I32" i="9"/>
  <c r="J32" i="9"/>
  <c r="K32" i="9"/>
  <c r="L32" i="9"/>
  <c r="M32" i="9"/>
  <c r="N32" i="9"/>
  <c r="O32" i="9"/>
  <c r="P32" i="9"/>
  <c r="E33" i="9"/>
  <c r="F33" i="9"/>
  <c r="G33" i="9"/>
  <c r="I33" i="9"/>
  <c r="J33" i="9"/>
  <c r="K33" i="9"/>
  <c r="L33" i="9"/>
  <c r="T33" i="9" s="1"/>
  <c r="M33" i="9"/>
  <c r="N33" i="9"/>
  <c r="O33" i="9"/>
  <c r="P33" i="9"/>
  <c r="E34" i="9"/>
  <c r="F34" i="9"/>
  <c r="G34" i="9"/>
  <c r="I34" i="9"/>
  <c r="J34" i="9"/>
  <c r="K34" i="9"/>
  <c r="L34" i="9"/>
  <c r="M34" i="9"/>
  <c r="N34" i="9"/>
  <c r="O34" i="9"/>
  <c r="P34" i="9"/>
  <c r="E35" i="9"/>
  <c r="F35" i="9"/>
  <c r="G35" i="9"/>
  <c r="I35" i="9"/>
  <c r="J35" i="9"/>
  <c r="K35" i="9"/>
  <c r="L35" i="9"/>
  <c r="T35" i="9" s="1"/>
  <c r="M35" i="9"/>
  <c r="N35" i="9"/>
  <c r="O35" i="9"/>
  <c r="P35" i="9"/>
  <c r="E36" i="9"/>
  <c r="F36" i="9"/>
  <c r="G36" i="9"/>
  <c r="I36" i="9"/>
  <c r="J36" i="9"/>
  <c r="K36" i="9"/>
  <c r="L36" i="9"/>
  <c r="M36" i="9"/>
  <c r="N36" i="9"/>
  <c r="O36" i="9"/>
  <c r="P36" i="9"/>
  <c r="E37" i="9"/>
  <c r="F37" i="9"/>
  <c r="G37" i="9"/>
  <c r="I37" i="9"/>
  <c r="J37" i="9"/>
  <c r="K37" i="9"/>
  <c r="L37" i="9"/>
  <c r="M37" i="9"/>
  <c r="N37" i="9"/>
  <c r="O37" i="9"/>
  <c r="P37" i="9"/>
  <c r="E38" i="9"/>
  <c r="F38" i="9"/>
  <c r="G38" i="9"/>
  <c r="I38" i="9"/>
  <c r="J38" i="9"/>
  <c r="K38" i="9"/>
  <c r="L38" i="9"/>
  <c r="T38" i="9" s="1"/>
  <c r="M38" i="9"/>
  <c r="N38" i="9"/>
  <c r="O38" i="9"/>
  <c r="P38" i="9"/>
  <c r="E4" i="10"/>
  <c r="F4" i="10"/>
  <c r="G4" i="10"/>
  <c r="I4" i="10"/>
  <c r="J4" i="10"/>
  <c r="K4" i="10"/>
  <c r="L4" i="10"/>
  <c r="T4" i="10" s="1"/>
  <c r="M4" i="10"/>
  <c r="N4" i="10"/>
  <c r="O4" i="10"/>
  <c r="P4" i="10"/>
  <c r="E5" i="10"/>
  <c r="F5" i="10"/>
  <c r="G5" i="10"/>
  <c r="I5" i="10"/>
  <c r="J5" i="10"/>
  <c r="K5" i="10"/>
  <c r="L5" i="10"/>
  <c r="M5" i="10"/>
  <c r="N5" i="10"/>
  <c r="O5" i="10"/>
  <c r="P5" i="10"/>
  <c r="E6" i="10"/>
  <c r="F6" i="10"/>
  <c r="G6" i="10"/>
  <c r="I6" i="10"/>
  <c r="J6" i="10"/>
  <c r="K6" i="10"/>
  <c r="L6" i="10"/>
  <c r="M6" i="10"/>
  <c r="N6" i="10"/>
  <c r="O6" i="10"/>
  <c r="P6" i="10"/>
  <c r="E7" i="10"/>
  <c r="F7" i="10"/>
  <c r="G7" i="10"/>
  <c r="I7" i="10"/>
  <c r="J7" i="10"/>
  <c r="K7" i="10"/>
  <c r="L7" i="10"/>
  <c r="M7" i="10"/>
  <c r="N7" i="10"/>
  <c r="O7" i="10"/>
  <c r="P7" i="10"/>
  <c r="E8" i="10"/>
  <c r="F8" i="10"/>
  <c r="G8" i="10"/>
  <c r="I8" i="10"/>
  <c r="J8" i="10"/>
  <c r="K8" i="10"/>
  <c r="L8" i="10"/>
  <c r="M8" i="10"/>
  <c r="N8" i="10"/>
  <c r="O8" i="10"/>
  <c r="P8" i="10"/>
  <c r="E9" i="10"/>
  <c r="F9" i="10"/>
  <c r="G9" i="10"/>
  <c r="I9" i="10"/>
  <c r="J9" i="10"/>
  <c r="K9" i="10"/>
  <c r="L9" i="10"/>
  <c r="M9" i="10"/>
  <c r="N9" i="10"/>
  <c r="O9" i="10"/>
  <c r="P9" i="10"/>
  <c r="E10" i="10"/>
  <c r="F10" i="10"/>
  <c r="G10" i="10"/>
  <c r="I10" i="10"/>
  <c r="J10" i="10"/>
  <c r="K10" i="10"/>
  <c r="L10" i="10"/>
  <c r="M10" i="10"/>
  <c r="N10" i="10"/>
  <c r="O10" i="10"/>
  <c r="P10" i="10"/>
  <c r="E11" i="10"/>
  <c r="F11" i="10"/>
  <c r="G11" i="10"/>
  <c r="I11" i="10"/>
  <c r="J11" i="10"/>
  <c r="K11" i="10"/>
  <c r="L11" i="10"/>
  <c r="M11" i="10"/>
  <c r="N11" i="10"/>
  <c r="O11" i="10"/>
  <c r="P11" i="10"/>
  <c r="E12" i="10"/>
  <c r="F12" i="10"/>
  <c r="G12" i="10"/>
  <c r="I12" i="10"/>
  <c r="J12" i="10"/>
  <c r="K12" i="10"/>
  <c r="L12" i="10"/>
  <c r="T12" i="10" s="1"/>
  <c r="M12" i="10"/>
  <c r="N12" i="10"/>
  <c r="O12" i="10"/>
  <c r="P12" i="10"/>
  <c r="E13" i="10"/>
  <c r="F13" i="10"/>
  <c r="G13" i="10"/>
  <c r="I13" i="10"/>
  <c r="J13" i="10"/>
  <c r="K13" i="10"/>
  <c r="L13" i="10"/>
  <c r="M13" i="10"/>
  <c r="N13" i="10"/>
  <c r="O13" i="10"/>
  <c r="P13" i="10"/>
  <c r="E14" i="10"/>
  <c r="F14" i="10"/>
  <c r="G14" i="10"/>
  <c r="I14" i="10"/>
  <c r="J14" i="10"/>
  <c r="K14" i="10"/>
  <c r="L14" i="10"/>
  <c r="M14" i="10"/>
  <c r="N14" i="10"/>
  <c r="O14" i="10"/>
  <c r="P14" i="10"/>
  <c r="E15" i="10"/>
  <c r="F15" i="10"/>
  <c r="G15" i="10"/>
  <c r="I15" i="10"/>
  <c r="J15" i="10"/>
  <c r="K15" i="10"/>
  <c r="L15" i="10"/>
  <c r="M15" i="10"/>
  <c r="N15" i="10"/>
  <c r="O15" i="10"/>
  <c r="P15" i="10"/>
  <c r="E16" i="10"/>
  <c r="F16" i="10"/>
  <c r="G16" i="10"/>
  <c r="I16" i="10"/>
  <c r="J16" i="10"/>
  <c r="K16" i="10"/>
  <c r="L16" i="10"/>
  <c r="M16" i="10"/>
  <c r="N16" i="10"/>
  <c r="O16" i="10"/>
  <c r="P16" i="10"/>
  <c r="E17" i="10"/>
  <c r="F17" i="10"/>
  <c r="G17" i="10"/>
  <c r="I17" i="10"/>
  <c r="J17" i="10"/>
  <c r="K17" i="10"/>
  <c r="L17" i="10"/>
  <c r="M17" i="10"/>
  <c r="N17" i="10"/>
  <c r="O17" i="10"/>
  <c r="P17" i="10"/>
  <c r="E18" i="10"/>
  <c r="F18" i="10"/>
  <c r="G18" i="10"/>
  <c r="I18" i="10"/>
  <c r="J18" i="10"/>
  <c r="K18" i="10"/>
  <c r="L18" i="10"/>
  <c r="M18" i="10"/>
  <c r="N18" i="10"/>
  <c r="O18" i="10"/>
  <c r="P18" i="10"/>
  <c r="E19" i="10"/>
  <c r="F19" i="10"/>
  <c r="G19" i="10"/>
  <c r="I19" i="10"/>
  <c r="J19" i="10"/>
  <c r="K19" i="10"/>
  <c r="L19" i="10"/>
  <c r="M19" i="10"/>
  <c r="N19" i="10"/>
  <c r="O19" i="10"/>
  <c r="P19" i="10"/>
  <c r="E20" i="10"/>
  <c r="F20" i="10"/>
  <c r="G20" i="10"/>
  <c r="I20" i="10"/>
  <c r="J20" i="10"/>
  <c r="K20" i="10"/>
  <c r="L20" i="10"/>
  <c r="T20" i="10" s="1"/>
  <c r="M20" i="10"/>
  <c r="N20" i="10"/>
  <c r="O20" i="10"/>
  <c r="P20" i="10"/>
  <c r="E21" i="10"/>
  <c r="F21" i="10"/>
  <c r="G21" i="10"/>
  <c r="I21" i="10"/>
  <c r="J21" i="10"/>
  <c r="K21" i="10"/>
  <c r="L21" i="10"/>
  <c r="M21" i="10"/>
  <c r="N21" i="10"/>
  <c r="O21" i="10"/>
  <c r="P21" i="10"/>
  <c r="E22" i="10"/>
  <c r="F22" i="10"/>
  <c r="G22" i="10"/>
  <c r="I22" i="10"/>
  <c r="J22" i="10"/>
  <c r="K22" i="10"/>
  <c r="L22" i="10"/>
  <c r="M22" i="10"/>
  <c r="N22" i="10"/>
  <c r="O22" i="10"/>
  <c r="P22" i="10"/>
  <c r="E23" i="10"/>
  <c r="F23" i="10"/>
  <c r="G23" i="10"/>
  <c r="I23" i="10"/>
  <c r="J23" i="10"/>
  <c r="K23" i="10"/>
  <c r="L23" i="10"/>
  <c r="M23" i="10"/>
  <c r="N23" i="10"/>
  <c r="O23" i="10"/>
  <c r="P23" i="10"/>
  <c r="E24" i="10"/>
  <c r="F24" i="10"/>
  <c r="G24" i="10"/>
  <c r="I24" i="10"/>
  <c r="J24" i="10"/>
  <c r="K24" i="10"/>
  <c r="L24" i="10"/>
  <c r="M24" i="10"/>
  <c r="N24" i="10"/>
  <c r="O24" i="10"/>
  <c r="P24" i="10"/>
  <c r="E25" i="10"/>
  <c r="F25" i="10"/>
  <c r="G25" i="10"/>
  <c r="I25" i="10"/>
  <c r="J25" i="10"/>
  <c r="K25" i="10"/>
  <c r="L25" i="10"/>
  <c r="M25" i="10"/>
  <c r="N25" i="10"/>
  <c r="O25" i="10"/>
  <c r="P25" i="10"/>
  <c r="E26" i="10"/>
  <c r="F26" i="10"/>
  <c r="G26" i="10"/>
  <c r="I26" i="10"/>
  <c r="J26" i="10"/>
  <c r="K26" i="10"/>
  <c r="L26" i="10"/>
  <c r="M26" i="10"/>
  <c r="N26" i="10"/>
  <c r="O26" i="10"/>
  <c r="P26" i="10"/>
  <c r="E27" i="10"/>
  <c r="F27" i="10"/>
  <c r="G27" i="10"/>
  <c r="I27" i="10"/>
  <c r="J27" i="10"/>
  <c r="K27" i="10"/>
  <c r="L27" i="10"/>
  <c r="M27" i="10"/>
  <c r="N27" i="10"/>
  <c r="O27" i="10"/>
  <c r="P27" i="10"/>
  <c r="E28" i="10"/>
  <c r="F28" i="10"/>
  <c r="G28" i="10"/>
  <c r="I28" i="10"/>
  <c r="J28" i="10"/>
  <c r="K28" i="10"/>
  <c r="L28" i="10"/>
  <c r="M28" i="10"/>
  <c r="N28" i="10"/>
  <c r="O28" i="10"/>
  <c r="P28" i="10"/>
  <c r="E29" i="10"/>
  <c r="F29" i="10"/>
  <c r="G29" i="10"/>
  <c r="I29" i="10"/>
  <c r="J29" i="10"/>
  <c r="K29" i="10"/>
  <c r="L29" i="10"/>
  <c r="M29" i="10"/>
  <c r="N29" i="10"/>
  <c r="O29" i="10"/>
  <c r="P29" i="10"/>
  <c r="E30" i="10"/>
  <c r="F30" i="10"/>
  <c r="G30" i="10"/>
  <c r="I30" i="10"/>
  <c r="J30" i="10"/>
  <c r="K30" i="10"/>
  <c r="L30" i="10"/>
  <c r="M30" i="10"/>
  <c r="N30" i="10"/>
  <c r="O30" i="10"/>
  <c r="P30" i="10"/>
  <c r="E31" i="10"/>
  <c r="F31" i="10"/>
  <c r="G31" i="10"/>
  <c r="I31" i="10"/>
  <c r="J31" i="10"/>
  <c r="K31" i="10"/>
  <c r="L31" i="10"/>
  <c r="M31" i="10"/>
  <c r="N31" i="10"/>
  <c r="O31" i="10"/>
  <c r="P31" i="10"/>
  <c r="E32" i="10"/>
  <c r="F32" i="10"/>
  <c r="G32" i="10"/>
  <c r="I32" i="10"/>
  <c r="J32" i="10"/>
  <c r="K32" i="10"/>
  <c r="L32" i="10"/>
  <c r="M32" i="10"/>
  <c r="N32" i="10"/>
  <c r="O32" i="10"/>
  <c r="P32" i="10"/>
  <c r="E33" i="10"/>
  <c r="F33" i="10"/>
  <c r="G33" i="10"/>
  <c r="I33" i="10"/>
  <c r="J33" i="10"/>
  <c r="K33" i="10"/>
  <c r="L33" i="10"/>
  <c r="M33" i="10"/>
  <c r="N33" i="10"/>
  <c r="O33" i="10"/>
  <c r="P33" i="10"/>
  <c r="E34" i="10"/>
  <c r="F34" i="10"/>
  <c r="G34" i="10"/>
  <c r="I34" i="10"/>
  <c r="J34" i="10"/>
  <c r="K34" i="10"/>
  <c r="L34" i="10"/>
  <c r="M34" i="10"/>
  <c r="N34" i="10"/>
  <c r="O34" i="10"/>
  <c r="P34" i="10"/>
  <c r="E35" i="10"/>
  <c r="F35" i="10"/>
  <c r="G35" i="10"/>
  <c r="I35" i="10"/>
  <c r="J35" i="10"/>
  <c r="K35" i="10"/>
  <c r="L35" i="10"/>
  <c r="M35" i="10"/>
  <c r="N35" i="10"/>
  <c r="O35" i="10"/>
  <c r="P35" i="10"/>
  <c r="E36" i="10"/>
  <c r="F36" i="10"/>
  <c r="G36" i="10"/>
  <c r="I36" i="10"/>
  <c r="J36" i="10"/>
  <c r="K36" i="10"/>
  <c r="L36" i="10"/>
  <c r="M36" i="10"/>
  <c r="N36" i="10"/>
  <c r="O36" i="10"/>
  <c r="P36" i="10"/>
  <c r="E37" i="10"/>
  <c r="F37" i="10"/>
  <c r="G37" i="10"/>
  <c r="I37" i="10"/>
  <c r="J37" i="10"/>
  <c r="K37" i="10"/>
  <c r="L37" i="10"/>
  <c r="M37" i="10"/>
  <c r="N37" i="10"/>
  <c r="O37" i="10"/>
  <c r="P37" i="10"/>
  <c r="P3" i="10"/>
  <c r="O3" i="10"/>
  <c r="N3" i="10"/>
  <c r="M3" i="10"/>
  <c r="L3" i="10"/>
  <c r="K3" i="10"/>
  <c r="I3" i="10"/>
  <c r="F3" i="10"/>
  <c r="E3" i="10"/>
  <c r="P3" i="9"/>
  <c r="O3" i="9"/>
  <c r="N3" i="9"/>
  <c r="M3" i="9"/>
  <c r="L3" i="9"/>
  <c r="K3" i="9"/>
  <c r="J3" i="9"/>
  <c r="I3" i="9"/>
  <c r="F3" i="9"/>
  <c r="E3" i="9"/>
  <c r="E4" i="8"/>
  <c r="F4" i="8"/>
  <c r="G4" i="8"/>
  <c r="I4" i="8"/>
  <c r="J4" i="8"/>
  <c r="K4" i="8"/>
  <c r="L4" i="8"/>
  <c r="M4" i="8"/>
  <c r="N4" i="8"/>
  <c r="O4" i="8"/>
  <c r="P4" i="8"/>
  <c r="E5" i="8"/>
  <c r="F5" i="8"/>
  <c r="G5" i="8"/>
  <c r="I5" i="8"/>
  <c r="J5" i="8"/>
  <c r="K5" i="8"/>
  <c r="L5" i="8"/>
  <c r="M5" i="8"/>
  <c r="N5" i="8"/>
  <c r="O5" i="8"/>
  <c r="P5" i="8"/>
  <c r="E6" i="8"/>
  <c r="F6" i="8"/>
  <c r="G6" i="8"/>
  <c r="I6" i="8"/>
  <c r="J6" i="8"/>
  <c r="K6" i="8"/>
  <c r="L6" i="8"/>
  <c r="M6" i="8"/>
  <c r="N6" i="8"/>
  <c r="O6" i="8"/>
  <c r="P6" i="8"/>
  <c r="E7" i="8"/>
  <c r="F7" i="8"/>
  <c r="G7" i="8"/>
  <c r="I7" i="8"/>
  <c r="J7" i="8"/>
  <c r="K7" i="8"/>
  <c r="L7" i="8"/>
  <c r="M7" i="8"/>
  <c r="N7" i="8"/>
  <c r="O7" i="8"/>
  <c r="P7" i="8"/>
  <c r="E8" i="8"/>
  <c r="F8" i="8"/>
  <c r="G8" i="8"/>
  <c r="I8" i="8"/>
  <c r="J8" i="8"/>
  <c r="K8" i="8"/>
  <c r="L8" i="8"/>
  <c r="M8" i="8"/>
  <c r="N8" i="8"/>
  <c r="O8" i="8"/>
  <c r="P8" i="8"/>
  <c r="E9" i="8"/>
  <c r="F9" i="8"/>
  <c r="G9" i="8"/>
  <c r="I9" i="8"/>
  <c r="J9" i="8"/>
  <c r="K9" i="8"/>
  <c r="L9" i="8"/>
  <c r="M9" i="8"/>
  <c r="N9" i="8"/>
  <c r="O9" i="8"/>
  <c r="P9" i="8"/>
  <c r="E10" i="8"/>
  <c r="F10" i="8"/>
  <c r="G10" i="8"/>
  <c r="I10" i="8"/>
  <c r="J10" i="8"/>
  <c r="K10" i="8"/>
  <c r="L10" i="8"/>
  <c r="M10" i="8"/>
  <c r="N10" i="8"/>
  <c r="O10" i="8"/>
  <c r="P10" i="8"/>
  <c r="E11" i="8"/>
  <c r="F11" i="8"/>
  <c r="G11" i="8"/>
  <c r="I11" i="8"/>
  <c r="J11" i="8"/>
  <c r="K11" i="8"/>
  <c r="L11" i="8"/>
  <c r="M11" i="8"/>
  <c r="N11" i="8"/>
  <c r="O11" i="8"/>
  <c r="P11" i="8"/>
  <c r="E12" i="8"/>
  <c r="F12" i="8"/>
  <c r="G12" i="8"/>
  <c r="I12" i="8"/>
  <c r="J12" i="8"/>
  <c r="K12" i="8"/>
  <c r="L12" i="8"/>
  <c r="M12" i="8"/>
  <c r="N12" i="8"/>
  <c r="O12" i="8"/>
  <c r="P12" i="8"/>
  <c r="E13" i="8"/>
  <c r="F13" i="8"/>
  <c r="G13" i="8"/>
  <c r="I13" i="8"/>
  <c r="J13" i="8"/>
  <c r="K13" i="8"/>
  <c r="L13" i="8"/>
  <c r="M13" i="8"/>
  <c r="N13" i="8"/>
  <c r="O13" i="8"/>
  <c r="P13" i="8"/>
  <c r="E14" i="8"/>
  <c r="F14" i="8"/>
  <c r="G14" i="8"/>
  <c r="I14" i="8"/>
  <c r="J14" i="8"/>
  <c r="K14" i="8"/>
  <c r="L14" i="8"/>
  <c r="M14" i="8"/>
  <c r="N14" i="8"/>
  <c r="O14" i="8"/>
  <c r="P14" i="8"/>
  <c r="E15" i="8"/>
  <c r="F15" i="8"/>
  <c r="G15" i="8"/>
  <c r="I15" i="8"/>
  <c r="J15" i="8"/>
  <c r="K15" i="8"/>
  <c r="L15" i="8"/>
  <c r="M15" i="8"/>
  <c r="N15" i="8"/>
  <c r="O15" i="8"/>
  <c r="P15" i="8"/>
  <c r="E16" i="8"/>
  <c r="F16" i="8"/>
  <c r="G16" i="8"/>
  <c r="I16" i="8"/>
  <c r="J16" i="8"/>
  <c r="K16" i="8"/>
  <c r="L16" i="8"/>
  <c r="M16" i="8"/>
  <c r="N16" i="8"/>
  <c r="O16" i="8"/>
  <c r="P16" i="8"/>
  <c r="E17" i="8"/>
  <c r="F17" i="8"/>
  <c r="G17" i="8"/>
  <c r="I17" i="8"/>
  <c r="J17" i="8"/>
  <c r="K17" i="8"/>
  <c r="L17" i="8"/>
  <c r="M17" i="8"/>
  <c r="N17" i="8"/>
  <c r="O17" i="8"/>
  <c r="P17" i="8"/>
  <c r="E18" i="8"/>
  <c r="F18" i="8"/>
  <c r="G18" i="8"/>
  <c r="I18" i="8"/>
  <c r="J18" i="8"/>
  <c r="K18" i="8"/>
  <c r="L18" i="8"/>
  <c r="M18" i="8"/>
  <c r="N18" i="8"/>
  <c r="O18" i="8"/>
  <c r="P18" i="8"/>
  <c r="E19" i="8"/>
  <c r="F19" i="8"/>
  <c r="G19" i="8"/>
  <c r="I19" i="8"/>
  <c r="J19" i="8"/>
  <c r="K19" i="8"/>
  <c r="L19" i="8"/>
  <c r="M19" i="8"/>
  <c r="N19" i="8"/>
  <c r="O19" i="8"/>
  <c r="P19" i="8"/>
  <c r="E20" i="8"/>
  <c r="F20" i="8"/>
  <c r="G20" i="8"/>
  <c r="I20" i="8"/>
  <c r="J20" i="8"/>
  <c r="K20" i="8"/>
  <c r="L20" i="8"/>
  <c r="M20" i="8"/>
  <c r="N20" i="8"/>
  <c r="O20" i="8"/>
  <c r="P20" i="8"/>
  <c r="E21" i="8"/>
  <c r="F21" i="8"/>
  <c r="G21" i="8"/>
  <c r="I21" i="8"/>
  <c r="J21" i="8"/>
  <c r="K21" i="8"/>
  <c r="L21" i="8"/>
  <c r="M21" i="8"/>
  <c r="N21" i="8"/>
  <c r="O21" i="8"/>
  <c r="P21" i="8"/>
  <c r="E22" i="8"/>
  <c r="F22" i="8"/>
  <c r="G22" i="8"/>
  <c r="I22" i="8"/>
  <c r="J22" i="8"/>
  <c r="K22" i="8"/>
  <c r="L22" i="8"/>
  <c r="M22" i="8"/>
  <c r="N22" i="8"/>
  <c r="O22" i="8"/>
  <c r="P22" i="8"/>
  <c r="E23" i="8"/>
  <c r="F23" i="8"/>
  <c r="G23" i="8"/>
  <c r="I23" i="8"/>
  <c r="J23" i="8"/>
  <c r="K23" i="8"/>
  <c r="L23" i="8"/>
  <c r="M23" i="8"/>
  <c r="N23" i="8"/>
  <c r="O23" i="8"/>
  <c r="P23" i="8"/>
  <c r="E24" i="8"/>
  <c r="F24" i="8"/>
  <c r="G24" i="8"/>
  <c r="I24" i="8"/>
  <c r="J24" i="8"/>
  <c r="K24" i="8"/>
  <c r="L24" i="8"/>
  <c r="M24" i="8"/>
  <c r="N24" i="8"/>
  <c r="O24" i="8"/>
  <c r="P24" i="8"/>
  <c r="E25" i="8"/>
  <c r="F25" i="8"/>
  <c r="G25" i="8"/>
  <c r="I25" i="8"/>
  <c r="J25" i="8"/>
  <c r="K25" i="8"/>
  <c r="L25" i="8"/>
  <c r="M25" i="8"/>
  <c r="N25" i="8"/>
  <c r="O25" i="8"/>
  <c r="P25" i="8"/>
  <c r="E26" i="8"/>
  <c r="F26" i="8"/>
  <c r="G26" i="8"/>
  <c r="I26" i="8"/>
  <c r="J26" i="8"/>
  <c r="K26" i="8"/>
  <c r="L26" i="8"/>
  <c r="M26" i="8"/>
  <c r="N26" i="8"/>
  <c r="O26" i="8"/>
  <c r="P26" i="8"/>
  <c r="E27" i="8"/>
  <c r="F27" i="8"/>
  <c r="G27" i="8"/>
  <c r="I27" i="8"/>
  <c r="J27" i="8"/>
  <c r="K27" i="8"/>
  <c r="L27" i="8"/>
  <c r="M27" i="8"/>
  <c r="N27" i="8"/>
  <c r="O27" i="8"/>
  <c r="P27" i="8"/>
  <c r="E28" i="8"/>
  <c r="F28" i="8"/>
  <c r="G28" i="8"/>
  <c r="I28" i="8"/>
  <c r="J28" i="8"/>
  <c r="K28" i="8"/>
  <c r="L28" i="8"/>
  <c r="M28" i="8"/>
  <c r="N28" i="8"/>
  <c r="O28" i="8"/>
  <c r="P28" i="8"/>
  <c r="E29" i="8"/>
  <c r="F29" i="8"/>
  <c r="G29" i="8"/>
  <c r="I29" i="8"/>
  <c r="J29" i="8"/>
  <c r="K29" i="8"/>
  <c r="L29" i="8"/>
  <c r="M29" i="8"/>
  <c r="N29" i="8"/>
  <c r="O29" i="8"/>
  <c r="P29" i="8"/>
  <c r="E30" i="8"/>
  <c r="F30" i="8"/>
  <c r="G30" i="8"/>
  <c r="I30" i="8"/>
  <c r="J30" i="8"/>
  <c r="K30" i="8"/>
  <c r="L30" i="8"/>
  <c r="M30" i="8"/>
  <c r="N30" i="8"/>
  <c r="O30" i="8"/>
  <c r="P30" i="8"/>
  <c r="E31" i="8"/>
  <c r="F31" i="8"/>
  <c r="G31" i="8"/>
  <c r="I31" i="8"/>
  <c r="J31" i="8"/>
  <c r="K31" i="8"/>
  <c r="L31" i="8"/>
  <c r="M31" i="8"/>
  <c r="N31" i="8"/>
  <c r="O31" i="8"/>
  <c r="P31" i="8"/>
  <c r="E32" i="8"/>
  <c r="F32" i="8"/>
  <c r="G32" i="8"/>
  <c r="I32" i="8"/>
  <c r="J32" i="8"/>
  <c r="K32" i="8"/>
  <c r="L32" i="8"/>
  <c r="M32" i="8"/>
  <c r="N32" i="8"/>
  <c r="O32" i="8"/>
  <c r="P32" i="8"/>
  <c r="E33" i="8"/>
  <c r="F33" i="8"/>
  <c r="G33" i="8"/>
  <c r="I33" i="8"/>
  <c r="J33" i="8"/>
  <c r="K33" i="8"/>
  <c r="L33" i="8"/>
  <c r="M33" i="8"/>
  <c r="N33" i="8"/>
  <c r="O33" i="8"/>
  <c r="P33" i="8"/>
  <c r="E34" i="8"/>
  <c r="F34" i="8"/>
  <c r="G34" i="8"/>
  <c r="I34" i="8"/>
  <c r="J34" i="8"/>
  <c r="K34" i="8"/>
  <c r="L34" i="8"/>
  <c r="M34" i="8"/>
  <c r="N34" i="8"/>
  <c r="O34" i="8"/>
  <c r="P34" i="8"/>
  <c r="E35" i="8"/>
  <c r="F35" i="8"/>
  <c r="G35" i="8"/>
  <c r="I35" i="8"/>
  <c r="J35" i="8"/>
  <c r="K35" i="8"/>
  <c r="L35" i="8"/>
  <c r="M35" i="8"/>
  <c r="N35" i="8"/>
  <c r="O35" i="8"/>
  <c r="P35" i="8"/>
  <c r="E36" i="8"/>
  <c r="F36" i="8"/>
  <c r="G36" i="8"/>
  <c r="I36" i="8"/>
  <c r="J36" i="8"/>
  <c r="K36" i="8"/>
  <c r="L36" i="8"/>
  <c r="M36" i="8"/>
  <c r="N36" i="8"/>
  <c r="O36" i="8"/>
  <c r="P36" i="8"/>
  <c r="E37" i="8"/>
  <c r="F37" i="8"/>
  <c r="G37" i="8"/>
  <c r="I37" i="8"/>
  <c r="J37" i="8"/>
  <c r="K37" i="8"/>
  <c r="L37" i="8"/>
  <c r="M37" i="8"/>
  <c r="N37" i="8"/>
  <c r="O37" i="8"/>
  <c r="P37" i="8"/>
  <c r="E38" i="8"/>
  <c r="F38" i="8"/>
  <c r="G38" i="8"/>
  <c r="I38" i="8"/>
  <c r="J38" i="8"/>
  <c r="K38" i="8"/>
  <c r="L38" i="8"/>
  <c r="M38" i="8"/>
  <c r="N38" i="8"/>
  <c r="O38" i="8"/>
  <c r="P38" i="8"/>
  <c r="E39" i="8"/>
  <c r="F39" i="8"/>
  <c r="G39" i="8"/>
  <c r="I39" i="8"/>
  <c r="J39" i="8"/>
  <c r="K39" i="8"/>
  <c r="L39" i="8"/>
  <c r="M39" i="8"/>
  <c r="N39" i="8"/>
  <c r="O39" i="8"/>
  <c r="P39" i="8"/>
  <c r="E40" i="8"/>
  <c r="F40" i="8"/>
  <c r="G40" i="8"/>
  <c r="I40" i="8"/>
  <c r="J40" i="8"/>
  <c r="K40" i="8"/>
  <c r="L40" i="8"/>
  <c r="M40" i="8"/>
  <c r="N40" i="8"/>
  <c r="O40" i="8"/>
  <c r="P40" i="8"/>
  <c r="P3" i="8"/>
  <c r="O3" i="8"/>
  <c r="N3" i="8"/>
  <c r="M3" i="8"/>
  <c r="L3" i="8"/>
  <c r="K3" i="8"/>
  <c r="J3" i="8"/>
  <c r="I3" i="8"/>
  <c r="F3" i="8"/>
  <c r="E3" i="8"/>
  <c r="P4" i="33"/>
  <c r="P5" i="33"/>
  <c r="P6" i="33"/>
  <c r="P7" i="33"/>
  <c r="P8" i="33"/>
  <c r="P9" i="33"/>
  <c r="P10" i="33"/>
  <c r="P11" i="33"/>
  <c r="P12" i="33"/>
  <c r="P13" i="33"/>
  <c r="P14" i="33"/>
  <c r="P15" i="33"/>
  <c r="P16" i="33"/>
  <c r="P17" i="33"/>
  <c r="P18" i="33"/>
  <c r="P19" i="33"/>
  <c r="P20" i="33"/>
  <c r="P21" i="33"/>
  <c r="P22" i="33"/>
  <c r="P23" i="33"/>
  <c r="P24" i="33"/>
  <c r="P25" i="33"/>
  <c r="P26" i="33"/>
  <c r="P27" i="33"/>
  <c r="P28" i="33"/>
  <c r="P29" i="33"/>
  <c r="P30" i="33"/>
  <c r="P31" i="33"/>
  <c r="P32" i="33"/>
  <c r="P33" i="33"/>
  <c r="P34" i="33"/>
  <c r="P35" i="33"/>
  <c r="P36" i="33"/>
  <c r="P37" i="33"/>
  <c r="P38" i="33"/>
  <c r="P39" i="33"/>
  <c r="P40" i="33"/>
  <c r="P41" i="33"/>
  <c r="P42" i="33"/>
  <c r="P43" i="33"/>
  <c r="P3" i="33"/>
  <c r="O4" i="33"/>
  <c r="O5" i="33"/>
  <c r="O6" i="33"/>
  <c r="O7" i="33"/>
  <c r="O8" i="33"/>
  <c r="O9" i="33"/>
  <c r="O10" i="33"/>
  <c r="O11" i="33"/>
  <c r="O13" i="33"/>
  <c r="O14" i="33"/>
  <c r="O15" i="33"/>
  <c r="O16" i="33"/>
  <c r="O17" i="33"/>
  <c r="O18" i="33"/>
  <c r="O19" i="33"/>
  <c r="O20" i="33"/>
  <c r="O21" i="33"/>
  <c r="O22" i="33"/>
  <c r="O23" i="33"/>
  <c r="O24" i="33"/>
  <c r="O25" i="33"/>
  <c r="O26" i="33"/>
  <c r="O27" i="33"/>
  <c r="O28" i="33"/>
  <c r="O29" i="33"/>
  <c r="O30" i="33"/>
  <c r="O31" i="33"/>
  <c r="O32" i="33"/>
  <c r="O33" i="33"/>
  <c r="O34" i="33"/>
  <c r="O35" i="33"/>
  <c r="O36" i="33"/>
  <c r="O37" i="33"/>
  <c r="O38" i="33"/>
  <c r="O39" i="33"/>
  <c r="O40" i="33"/>
  <c r="O41" i="33"/>
  <c r="O42" i="33"/>
  <c r="O43" i="33"/>
  <c r="O3" i="33"/>
  <c r="N4" i="33"/>
  <c r="N5" i="33"/>
  <c r="N6" i="33"/>
  <c r="N7" i="33"/>
  <c r="N8" i="33"/>
  <c r="N9" i="33"/>
  <c r="N10" i="33"/>
  <c r="N11" i="33"/>
  <c r="N12" i="33"/>
  <c r="N13" i="33"/>
  <c r="N14" i="33"/>
  <c r="N15" i="33"/>
  <c r="N16" i="33"/>
  <c r="N17" i="33"/>
  <c r="N18" i="33"/>
  <c r="N19" i="33"/>
  <c r="N20" i="33"/>
  <c r="N21" i="33"/>
  <c r="N22" i="33"/>
  <c r="N23" i="33"/>
  <c r="N24" i="33"/>
  <c r="N25" i="33"/>
  <c r="N26" i="33"/>
  <c r="N27" i="33"/>
  <c r="N28" i="33"/>
  <c r="N29" i="33"/>
  <c r="N30" i="33"/>
  <c r="N31" i="33"/>
  <c r="N32" i="33"/>
  <c r="N33" i="33"/>
  <c r="N34" i="33"/>
  <c r="N35" i="33"/>
  <c r="N36" i="33"/>
  <c r="N37" i="33"/>
  <c r="N38" i="33"/>
  <c r="N39" i="33"/>
  <c r="N40" i="33"/>
  <c r="N41" i="33"/>
  <c r="N42" i="33"/>
  <c r="N43" i="33"/>
  <c r="N3" i="33"/>
  <c r="M4" i="33"/>
  <c r="M5" i="33"/>
  <c r="M6" i="33"/>
  <c r="M7" i="33"/>
  <c r="M8" i="33"/>
  <c r="M9" i="33"/>
  <c r="M10" i="33"/>
  <c r="M11" i="33"/>
  <c r="M12" i="33"/>
  <c r="M13" i="33"/>
  <c r="M14" i="33"/>
  <c r="M15" i="33"/>
  <c r="M16" i="33"/>
  <c r="M17" i="33"/>
  <c r="M18" i="33"/>
  <c r="M19" i="33"/>
  <c r="M20" i="33"/>
  <c r="M21" i="33"/>
  <c r="M22" i="33"/>
  <c r="M23" i="33"/>
  <c r="M24" i="33"/>
  <c r="M25" i="33"/>
  <c r="M26" i="33"/>
  <c r="M27" i="33"/>
  <c r="M28" i="33"/>
  <c r="M29" i="33"/>
  <c r="M30" i="33"/>
  <c r="M31" i="33"/>
  <c r="M32" i="33"/>
  <c r="M33" i="33"/>
  <c r="M34" i="33"/>
  <c r="M35" i="33"/>
  <c r="M36" i="33"/>
  <c r="M37" i="33"/>
  <c r="M38" i="33"/>
  <c r="M39" i="33"/>
  <c r="M40" i="33"/>
  <c r="M41" i="33"/>
  <c r="M42" i="33"/>
  <c r="M43" i="33"/>
  <c r="M3" i="33"/>
  <c r="L4" i="33"/>
  <c r="L5" i="33"/>
  <c r="L6" i="33"/>
  <c r="L7" i="33"/>
  <c r="L8" i="33"/>
  <c r="L9" i="33"/>
  <c r="L10" i="33"/>
  <c r="L11" i="33"/>
  <c r="L12" i="33"/>
  <c r="L13" i="33"/>
  <c r="L14" i="33"/>
  <c r="L15" i="33"/>
  <c r="L16" i="33"/>
  <c r="L17" i="33"/>
  <c r="L18" i="33"/>
  <c r="L19" i="33"/>
  <c r="L20" i="33"/>
  <c r="L21" i="33"/>
  <c r="L22" i="33"/>
  <c r="L23" i="33"/>
  <c r="L24" i="33"/>
  <c r="L25" i="33"/>
  <c r="L26" i="33"/>
  <c r="L27" i="33"/>
  <c r="L28" i="33"/>
  <c r="L29" i="33"/>
  <c r="L30" i="33"/>
  <c r="L31" i="33"/>
  <c r="L32" i="33"/>
  <c r="L33" i="33"/>
  <c r="L34" i="33"/>
  <c r="L35" i="33"/>
  <c r="L36" i="33"/>
  <c r="L37" i="33"/>
  <c r="L38" i="33"/>
  <c r="L39" i="33"/>
  <c r="L40" i="33"/>
  <c r="L41" i="33"/>
  <c r="L42" i="33"/>
  <c r="L43" i="33"/>
  <c r="L3" i="33"/>
  <c r="K4" i="33"/>
  <c r="K5" i="33"/>
  <c r="K6" i="33"/>
  <c r="K7" i="33"/>
  <c r="K8" i="33"/>
  <c r="K9" i="33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40" i="33"/>
  <c r="K41" i="33"/>
  <c r="K42" i="33"/>
  <c r="K43" i="33"/>
  <c r="K3" i="33"/>
  <c r="J4" i="33"/>
  <c r="J5" i="33"/>
  <c r="J6" i="33"/>
  <c r="J7" i="33"/>
  <c r="J8" i="33"/>
  <c r="J9" i="33"/>
  <c r="J10" i="33"/>
  <c r="J11" i="33"/>
  <c r="J3" i="33"/>
  <c r="I4" i="33"/>
  <c r="I5" i="33"/>
  <c r="I6" i="33"/>
  <c r="I7" i="33"/>
  <c r="I8" i="33"/>
  <c r="I9" i="33"/>
  <c r="I10" i="33"/>
  <c r="I11" i="33"/>
  <c r="I13" i="33"/>
  <c r="I14" i="33"/>
  <c r="I15" i="33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35" i="33"/>
  <c r="I36" i="33"/>
  <c r="I37" i="33"/>
  <c r="I38" i="33"/>
  <c r="I39" i="33"/>
  <c r="I40" i="33"/>
  <c r="I41" i="33"/>
  <c r="I42" i="33"/>
  <c r="I43" i="33"/>
  <c r="I3" i="33"/>
  <c r="H4" i="33"/>
  <c r="H5" i="33"/>
  <c r="H6" i="33"/>
  <c r="H7" i="33"/>
  <c r="H8" i="33"/>
  <c r="H9" i="33"/>
  <c r="H10" i="33"/>
  <c r="H11" i="33"/>
  <c r="H3" i="33"/>
  <c r="G4" i="33"/>
  <c r="G5" i="33"/>
  <c r="G6" i="33"/>
  <c r="G7" i="33"/>
  <c r="G8" i="33"/>
  <c r="G9" i="33"/>
  <c r="G10" i="33"/>
  <c r="G11" i="33"/>
  <c r="G13" i="33"/>
  <c r="G14" i="33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3" i="33"/>
  <c r="F4" i="33"/>
  <c r="F5" i="33"/>
  <c r="F6" i="33"/>
  <c r="F7" i="33"/>
  <c r="F8" i="33"/>
  <c r="F9" i="33"/>
  <c r="F10" i="33"/>
  <c r="F11" i="33"/>
  <c r="F12" i="33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35" i="33"/>
  <c r="F36" i="33"/>
  <c r="F37" i="33"/>
  <c r="F38" i="33"/>
  <c r="F39" i="33"/>
  <c r="F40" i="33"/>
  <c r="F41" i="33"/>
  <c r="F42" i="33"/>
  <c r="F43" i="33"/>
  <c r="F3" i="33"/>
  <c r="E3" i="33"/>
  <c r="E7" i="33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E38" i="33"/>
  <c r="E39" i="33"/>
  <c r="E40" i="33"/>
  <c r="E41" i="33"/>
  <c r="E42" i="33"/>
  <c r="E43" i="33"/>
  <c r="E4" i="33"/>
  <c r="E5" i="33"/>
  <c r="E6" i="33"/>
  <c r="D21" i="59"/>
  <c r="L39" i="10"/>
  <c r="K39" i="10"/>
  <c r="J39" i="10"/>
  <c r="I39" i="10"/>
  <c r="H39" i="10"/>
  <c r="G39" i="10"/>
  <c r="P39" i="10"/>
  <c r="O39" i="10"/>
  <c r="M39" i="10"/>
  <c r="N39" i="10"/>
  <c r="F39" i="10"/>
  <c r="E39" i="10"/>
  <c r="P40" i="9"/>
  <c r="O40" i="9"/>
  <c r="N40" i="9"/>
  <c r="M40" i="9"/>
  <c r="L40" i="9"/>
  <c r="K40" i="9"/>
  <c r="J40" i="9"/>
  <c r="I40" i="9"/>
  <c r="H40" i="9"/>
  <c r="G40" i="9"/>
  <c r="F40" i="9"/>
  <c r="E40" i="9"/>
  <c r="P42" i="8"/>
  <c r="O42" i="8"/>
  <c r="N42" i="8"/>
  <c r="M42" i="8"/>
  <c r="L42" i="8"/>
  <c r="K42" i="8"/>
  <c r="J42" i="8"/>
  <c r="I42" i="8"/>
  <c r="H42" i="8"/>
  <c r="G42" i="8"/>
  <c r="F42" i="8"/>
  <c r="E42" i="8"/>
  <c r="T43" i="33" l="1"/>
  <c r="T35" i="33"/>
  <c r="T27" i="33"/>
  <c r="T19" i="33"/>
  <c r="T3" i="8"/>
  <c r="T35" i="8"/>
  <c r="T27" i="8"/>
  <c r="T19" i="8"/>
  <c r="T11" i="8"/>
  <c r="T30" i="10"/>
  <c r="T22" i="10"/>
  <c r="T14" i="10"/>
  <c r="T6" i="10"/>
  <c r="T30" i="9"/>
  <c r="T22" i="9"/>
  <c r="T14" i="9"/>
  <c r="T6" i="9"/>
  <c r="T3" i="10"/>
  <c r="T24" i="10"/>
  <c r="T16" i="10"/>
  <c r="T8" i="10"/>
  <c r="T16" i="9"/>
  <c r="T39" i="33"/>
  <c r="T31" i="33"/>
  <c r="T23" i="33"/>
  <c r="T15" i="33"/>
  <c r="T39" i="8"/>
  <c r="T31" i="8"/>
  <c r="T23" i="8"/>
  <c r="T15" i="8"/>
  <c r="T7" i="8"/>
  <c r="T34" i="10"/>
  <c r="T26" i="10"/>
  <c r="T18" i="10"/>
  <c r="T10" i="10"/>
  <c r="T37" i="9"/>
  <c r="T29" i="9"/>
  <c r="T21" i="9"/>
  <c r="T5" i="9"/>
  <c r="T34" i="9"/>
  <c r="T26" i="9"/>
  <c r="T18" i="9"/>
  <c r="T10" i="9"/>
  <c r="T42" i="33"/>
  <c r="T38" i="33"/>
  <c r="T34" i="33"/>
  <c r="T30" i="33"/>
  <c r="T26" i="33"/>
  <c r="T22" i="33"/>
  <c r="T18" i="33"/>
  <c r="T14" i="33"/>
  <c r="T40" i="8"/>
  <c r="T36" i="8"/>
  <c r="T32" i="8"/>
  <c r="T28" i="8"/>
  <c r="T24" i="8"/>
  <c r="T20" i="8"/>
  <c r="T16" i="8"/>
  <c r="T12" i="8"/>
  <c r="T8" i="8"/>
  <c r="T4" i="8"/>
  <c r="T3" i="9"/>
  <c r="T35" i="10"/>
  <c r="T31" i="10"/>
  <c r="T27" i="10"/>
  <c r="T23" i="10"/>
  <c r="T19" i="10"/>
  <c r="T15" i="10"/>
  <c r="T11" i="10"/>
  <c r="T7" i="10"/>
  <c r="T40" i="33"/>
  <c r="T36" i="33"/>
  <c r="T32" i="33"/>
  <c r="T28" i="33"/>
  <c r="T24" i="33"/>
  <c r="T20" i="33"/>
  <c r="T16" i="33"/>
  <c r="T12" i="33"/>
  <c r="T38" i="8"/>
  <c r="T34" i="8"/>
  <c r="T30" i="8"/>
  <c r="T26" i="8"/>
  <c r="T22" i="8"/>
  <c r="T18" i="8"/>
  <c r="T14" i="8"/>
  <c r="T10" i="8"/>
  <c r="T6" i="8"/>
  <c r="T37" i="10"/>
  <c r="T33" i="10"/>
  <c r="T29" i="10"/>
  <c r="T25" i="10"/>
  <c r="T21" i="10"/>
  <c r="T17" i="10"/>
  <c r="T13" i="10"/>
  <c r="T9" i="10"/>
  <c r="T5" i="10"/>
  <c r="T36" i="9"/>
  <c r="T32" i="9"/>
  <c r="T28" i="9"/>
  <c r="T24" i="9"/>
  <c r="T8" i="9"/>
  <c r="T4" i="9"/>
  <c r="T41" i="33"/>
  <c r="T37" i="33"/>
  <c r="T33" i="33"/>
  <c r="T29" i="33"/>
  <c r="T25" i="33"/>
  <c r="T21" i="33"/>
  <c r="T17" i="33"/>
  <c r="T13" i="33"/>
  <c r="T37" i="8"/>
  <c r="T33" i="8"/>
  <c r="T29" i="8"/>
  <c r="T25" i="8"/>
  <c r="T21" i="8"/>
  <c r="T17" i="8"/>
  <c r="T13" i="8"/>
  <c r="T9" i="8"/>
  <c r="T5" i="8"/>
  <c r="T36" i="10"/>
  <c r="T32" i="10"/>
  <c r="T28" i="10"/>
  <c r="T27" i="9"/>
  <c r="T23" i="9"/>
  <c r="T19" i="9"/>
  <c r="T15" i="9"/>
  <c r="T11" i="9"/>
  <c r="BW4" i="23"/>
  <c r="Q40" i="9"/>
  <c r="P46" i="33"/>
  <c r="O46" i="33"/>
  <c r="N46" i="33"/>
  <c r="Q39" i="10"/>
  <c r="Q42" i="8"/>
  <c r="AB93" i="1" l="1"/>
  <c r="AB92" i="1"/>
  <c r="O21" i="59"/>
  <c r="N21" i="59"/>
  <c r="M21" i="59"/>
  <c r="L21" i="59"/>
  <c r="K21" i="59"/>
  <c r="J21" i="59"/>
  <c r="I21" i="59"/>
  <c r="H21" i="59"/>
  <c r="G21" i="59"/>
  <c r="F21" i="59"/>
  <c r="E21" i="59"/>
  <c r="AB90" i="1"/>
  <c r="O89" i="59"/>
  <c r="N89" i="59"/>
  <c r="M89" i="59"/>
  <c r="L89" i="59"/>
  <c r="K89" i="59"/>
  <c r="J89" i="59"/>
  <c r="I89" i="59"/>
  <c r="H89" i="59"/>
  <c r="G89" i="59"/>
  <c r="F89" i="59"/>
  <c r="F7" i="63" s="1"/>
  <c r="E89" i="59"/>
  <c r="N8" i="59"/>
  <c r="N9" i="59"/>
  <c r="N10" i="59"/>
  <c r="N11" i="59"/>
  <c r="N12" i="59"/>
  <c r="N13" i="59"/>
  <c r="N14" i="59"/>
  <c r="N15" i="59"/>
  <c r="N16" i="59"/>
  <c r="N17" i="59"/>
  <c r="N18" i="59"/>
  <c r="N19" i="59"/>
  <c r="N20" i="59"/>
  <c r="N24" i="59"/>
  <c r="N25" i="59"/>
  <c r="N26" i="59"/>
  <c r="N27" i="59"/>
  <c r="N28" i="59"/>
  <c r="N29" i="59"/>
  <c r="N30" i="59"/>
  <c r="N31" i="59"/>
  <c r="N32" i="59"/>
  <c r="N33" i="59"/>
  <c r="N34" i="59"/>
  <c r="N35" i="59"/>
  <c r="N36" i="59"/>
  <c r="N37" i="59"/>
  <c r="N38" i="59"/>
  <c r="N39" i="59"/>
  <c r="N40" i="59"/>
  <c r="N41" i="59"/>
  <c r="N42" i="59"/>
  <c r="N43" i="59"/>
  <c r="N44" i="59"/>
  <c r="N45" i="59"/>
  <c r="N46" i="59"/>
  <c r="N47" i="59"/>
  <c r="N48" i="59"/>
  <c r="N49" i="59"/>
  <c r="N50" i="59"/>
  <c r="N51" i="59"/>
  <c r="N52" i="59"/>
  <c r="N53" i="59"/>
  <c r="N54" i="59"/>
  <c r="N55" i="59"/>
  <c r="N56" i="59"/>
  <c r="N57" i="59"/>
  <c r="N58" i="59"/>
  <c r="N59" i="59"/>
  <c r="N60" i="59"/>
  <c r="N61" i="59"/>
  <c r="N62" i="59"/>
  <c r="N63" i="59"/>
  <c r="N64" i="59"/>
  <c r="N65" i="59"/>
  <c r="N66" i="59"/>
  <c r="N67" i="59"/>
  <c r="N68" i="59"/>
  <c r="N69" i="59"/>
  <c r="N70" i="59"/>
  <c r="N71" i="59"/>
  <c r="N72" i="59"/>
  <c r="N73" i="59"/>
  <c r="N74" i="59"/>
  <c r="N75" i="59"/>
  <c r="N76" i="59"/>
  <c r="N77" i="59"/>
  <c r="N78" i="59"/>
  <c r="N79" i="59"/>
  <c r="N80" i="59"/>
  <c r="N81" i="59"/>
  <c r="N82" i="59"/>
  <c r="N83" i="59"/>
  <c r="N84" i="59"/>
  <c r="N85" i="59"/>
  <c r="N86" i="59"/>
  <c r="N87" i="59"/>
  <c r="N88" i="59"/>
  <c r="N90" i="59"/>
  <c r="N91" i="59" s="1"/>
  <c r="N96" i="59"/>
  <c r="N97" i="59"/>
  <c r="N98" i="59"/>
  <c r="N99" i="59"/>
  <c r="N100" i="59"/>
  <c r="N101" i="59"/>
  <c r="N102" i="59"/>
  <c r="N103" i="59"/>
  <c r="N104" i="59"/>
  <c r="N105" i="59"/>
  <c r="N106" i="59"/>
  <c r="N107" i="59"/>
  <c r="N108" i="59"/>
  <c r="N109" i="59"/>
  <c r="N110" i="59"/>
  <c r="N111" i="59"/>
  <c r="N112" i="59"/>
  <c r="N113" i="59"/>
  <c r="N114" i="59"/>
  <c r="N115" i="59"/>
  <c r="N116" i="59"/>
  <c r="N117" i="59"/>
  <c r="N118" i="59"/>
  <c r="N119" i="59"/>
  <c r="N120" i="59"/>
  <c r="N121" i="59"/>
  <c r="N122" i="59"/>
  <c r="N123" i="59"/>
  <c r="N124" i="59"/>
  <c r="N125" i="59"/>
  <c r="N126" i="59"/>
  <c r="N127" i="59"/>
  <c r="N128" i="59"/>
  <c r="N129" i="59"/>
  <c r="N130" i="59"/>
  <c r="N131" i="59"/>
  <c r="N132" i="59"/>
  <c r="N133" i="59"/>
  <c r="N134" i="59"/>
  <c r="N135" i="59"/>
  <c r="N136" i="59"/>
  <c r="N137" i="59"/>
  <c r="N138" i="59"/>
  <c r="N139" i="59"/>
  <c r="N140" i="59"/>
  <c r="N141" i="59"/>
  <c r="N142" i="59"/>
  <c r="N143" i="59"/>
  <c r="N144" i="59"/>
  <c r="N145" i="59"/>
  <c r="N146" i="59"/>
  <c r="N147" i="59"/>
  <c r="N148" i="59"/>
  <c r="N149" i="59"/>
  <c r="N150" i="59"/>
  <c r="N151" i="59"/>
  <c r="N152" i="59"/>
  <c r="N153" i="59"/>
  <c r="N154" i="59"/>
  <c r="N155" i="59"/>
  <c r="N156" i="59"/>
  <c r="N157" i="59"/>
  <c r="N158" i="59"/>
  <c r="N159" i="59"/>
  <c r="N160" i="59"/>
  <c r="N161" i="59"/>
  <c r="N162" i="59"/>
  <c r="N163" i="59"/>
  <c r="N164" i="59"/>
  <c r="N165" i="59"/>
  <c r="N166" i="59"/>
  <c r="N167" i="59"/>
  <c r="N168" i="59"/>
  <c r="N169" i="59"/>
  <c r="N170" i="59"/>
  <c r="N171" i="59"/>
  <c r="N172" i="59"/>
  <c r="N173" i="59"/>
  <c r="N174" i="59"/>
  <c r="N175" i="59"/>
  <c r="N176" i="59"/>
  <c r="N177" i="59"/>
  <c r="N178" i="59"/>
  <c r="N179" i="59"/>
  <c r="N180" i="59"/>
  <c r="N181" i="59"/>
  <c r="N182" i="59"/>
  <c r="N183" i="59"/>
  <c r="N184" i="59"/>
  <c r="N185" i="59"/>
  <c r="N186" i="59"/>
  <c r="N187" i="59"/>
  <c r="N188" i="59"/>
  <c r="N189" i="59"/>
  <c r="N190" i="59"/>
  <c r="N191" i="59"/>
  <c r="N192" i="59"/>
  <c r="N193" i="59"/>
  <c r="N194" i="59"/>
  <c r="N195" i="59"/>
  <c r="N196" i="59"/>
  <c r="N197" i="59"/>
  <c r="N198" i="59"/>
  <c r="N199" i="59"/>
  <c r="N200" i="59"/>
  <c r="N201" i="59"/>
  <c r="N202" i="59"/>
  <c r="N203" i="59"/>
  <c r="N204" i="59"/>
  <c r="N205" i="59"/>
  <c r="N206" i="59"/>
  <c r="N207" i="59"/>
  <c r="N208" i="59"/>
  <c r="N209" i="59"/>
  <c r="N210" i="59"/>
  <c r="N211" i="59"/>
  <c r="N214" i="59"/>
  <c r="N215" i="59"/>
  <c r="N216" i="59"/>
  <c r="N217" i="59"/>
  <c r="N218" i="59"/>
  <c r="N219" i="59"/>
  <c r="N220" i="59"/>
  <c r="N221" i="59"/>
  <c r="N222" i="59"/>
  <c r="N223" i="59"/>
  <c r="N224" i="59"/>
  <c r="N225" i="59"/>
  <c r="N226" i="59"/>
  <c r="N227" i="59"/>
  <c r="N228" i="59"/>
  <c r="N229" i="59"/>
  <c r="N230" i="59"/>
  <c r="N231" i="59"/>
  <c r="N232" i="59"/>
  <c r="N233" i="59"/>
  <c r="N234" i="59"/>
  <c r="N235" i="59"/>
  <c r="N236" i="59"/>
  <c r="N237" i="59"/>
  <c r="N238" i="59"/>
  <c r="N239" i="59"/>
  <c r="N241" i="59"/>
  <c r="N242" i="59"/>
  <c r="N243" i="59"/>
  <c r="N244" i="59"/>
  <c r="N245" i="59"/>
  <c r="N246" i="59"/>
  <c r="N247" i="59"/>
  <c r="N248" i="59"/>
  <c r="N249" i="59"/>
  <c r="N250" i="59"/>
  <c r="N251" i="59"/>
  <c r="N252" i="59"/>
  <c r="N253" i="59"/>
  <c r="N254" i="59"/>
  <c r="N255" i="59"/>
  <c r="N256" i="59"/>
  <c r="N257" i="59"/>
  <c r="N258" i="59"/>
  <c r="N259" i="59"/>
  <c r="N260" i="59"/>
  <c r="N261" i="59"/>
  <c r="N262" i="59"/>
  <c r="N263" i="59"/>
  <c r="N264" i="59"/>
  <c r="N265" i="59"/>
  <c r="N266" i="59"/>
  <c r="N269" i="59"/>
  <c r="N270" i="59"/>
  <c r="N271" i="59"/>
  <c r="N272" i="59"/>
  <c r="N273" i="59"/>
  <c r="AG267" i="1"/>
  <c r="AH267" i="1" s="1"/>
  <c r="AG212" i="1"/>
  <c r="AH212" i="1" s="1"/>
  <c r="AG94" i="1"/>
  <c r="AH94" i="1" s="1"/>
  <c r="AG93" i="1"/>
  <c r="AG92" i="1"/>
  <c r="AG22" i="1"/>
  <c r="AH22" i="1" s="1"/>
  <c r="AG268" i="1"/>
  <c r="AH268" i="1" s="1"/>
  <c r="AG240" i="1"/>
  <c r="AH240" i="1" s="1"/>
  <c r="AG213" i="1"/>
  <c r="AH213" i="1" s="1"/>
  <c r="AG173" i="1"/>
  <c r="AH173" i="1" s="1"/>
  <c r="AG135" i="1"/>
  <c r="AH135" i="1" s="1"/>
  <c r="AG95" i="1"/>
  <c r="AH95" i="1" s="1"/>
  <c r="AG23" i="1"/>
  <c r="AH23" i="1" s="1"/>
  <c r="AG14" i="1"/>
  <c r="AH14" i="1" s="1"/>
  <c r="O90" i="59"/>
  <c r="M90" i="59"/>
  <c r="M91" i="59" s="1"/>
  <c r="L90" i="59"/>
  <c r="L91" i="59" s="1"/>
  <c r="K90" i="59"/>
  <c r="K91" i="59" s="1"/>
  <c r="J90" i="59"/>
  <c r="J91" i="59" s="1"/>
  <c r="I90" i="59"/>
  <c r="I91" i="59" s="1"/>
  <c r="H90" i="59"/>
  <c r="H91" i="59" s="1"/>
  <c r="G90" i="59"/>
  <c r="G91" i="59" s="1"/>
  <c r="F90" i="59"/>
  <c r="F91" i="59" s="1"/>
  <c r="E90" i="59"/>
  <c r="E91" i="59" s="1"/>
  <c r="D90" i="59"/>
  <c r="D91" i="59" s="1"/>
  <c r="O210" i="59"/>
  <c r="M210" i="59"/>
  <c r="L210" i="59"/>
  <c r="K210" i="59"/>
  <c r="J210" i="59"/>
  <c r="I210" i="59"/>
  <c r="H210" i="59"/>
  <c r="G210" i="59"/>
  <c r="F210" i="59"/>
  <c r="E210" i="59"/>
  <c r="D210" i="59"/>
  <c r="O211" i="59"/>
  <c r="M211" i="59"/>
  <c r="L211" i="59"/>
  <c r="K211" i="59"/>
  <c r="J211" i="59"/>
  <c r="I211" i="59"/>
  <c r="H211" i="59"/>
  <c r="G211" i="59"/>
  <c r="F211" i="59"/>
  <c r="E211" i="59"/>
  <c r="D211" i="59"/>
  <c r="O265" i="59"/>
  <c r="M265" i="59"/>
  <c r="L265" i="59"/>
  <c r="K265" i="59"/>
  <c r="J265" i="59"/>
  <c r="I265" i="59"/>
  <c r="H265" i="59"/>
  <c r="G265" i="59"/>
  <c r="F265" i="59"/>
  <c r="E265" i="59"/>
  <c r="D265" i="59"/>
  <c r="O266" i="59"/>
  <c r="M266" i="59"/>
  <c r="L266" i="59"/>
  <c r="K266" i="59"/>
  <c r="J266" i="59"/>
  <c r="I266" i="59"/>
  <c r="H266" i="59"/>
  <c r="G266" i="59"/>
  <c r="F266" i="59"/>
  <c r="E266" i="59"/>
  <c r="D266" i="59"/>
  <c r="E273" i="59"/>
  <c r="E272" i="59"/>
  <c r="F273" i="59"/>
  <c r="F272" i="59"/>
  <c r="G273" i="59"/>
  <c r="G272" i="59"/>
  <c r="H273" i="59"/>
  <c r="H272" i="59"/>
  <c r="I273" i="59"/>
  <c r="I272" i="59"/>
  <c r="J273" i="59"/>
  <c r="J272" i="59"/>
  <c r="K273" i="59"/>
  <c r="K272" i="59"/>
  <c r="L273" i="59"/>
  <c r="L272" i="59"/>
  <c r="M273" i="59"/>
  <c r="M272" i="59"/>
  <c r="O273" i="59"/>
  <c r="O272" i="59"/>
  <c r="D272" i="59"/>
  <c r="F14" i="59"/>
  <c r="G14" i="59"/>
  <c r="H14" i="59"/>
  <c r="I14" i="59"/>
  <c r="J14" i="59"/>
  <c r="K14" i="59"/>
  <c r="L14" i="59"/>
  <c r="M14" i="59"/>
  <c r="O14" i="59"/>
  <c r="F15" i="59"/>
  <c r="G15" i="59"/>
  <c r="H15" i="59"/>
  <c r="I15" i="59"/>
  <c r="J15" i="59"/>
  <c r="K15" i="59"/>
  <c r="L15" i="59"/>
  <c r="M15" i="59"/>
  <c r="O15" i="59"/>
  <c r="F16" i="59"/>
  <c r="G16" i="59"/>
  <c r="H16" i="59"/>
  <c r="I16" i="59"/>
  <c r="J16" i="59"/>
  <c r="K16" i="59"/>
  <c r="L16" i="59"/>
  <c r="M16" i="59"/>
  <c r="O16" i="59"/>
  <c r="F17" i="59"/>
  <c r="G17" i="59"/>
  <c r="H17" i="59"/>
  <c r="I17" i="59"/>
  <c r="J17" i="59"/>
  <c r="K17" i="59"/>
  <c r="L17" i="59"/>
  <c r="M17" i="59"/>
  <c r="O17" i="59"/>
  <c r="F18" i="59"/>
  <c r="G18" i="59"/>
  <c r="H18" i="59"/>
  <c r="I18" i="59"/>
  <c r="J18" i="59"/>
  <c r="K18" i="59"/>
  <c r="L18" i="59"/>
  <c r="M18" i="59"/>
  <c r="O18" i="59"/>
  <c r="F19" i="59"/>
  <c r="G19" i="59"/>
  <c r="H19" i="59"/>
  <c r="I19" i="59"/>
  <c r="J19" i="59"/>
  <c r="K19" i="59"/>
  <c r="L19" i="59"/>
  <c r="M19" i="59"/>
  <c r="O19" i="59"/>
  <c r="F20" i="59"/>
  <c r="G20" i="59"/>
  <c r="H20" i="59"/>
  <c r="I20" i="59"/>
  <c r="J20" i="59"/>
  <c r="K20" i="59"/>
  <c r="L20" i="59"/>
  <c r="M20" i="59"/>
  <c r="O20" i="59"/>
  <c r="F24" i="59"/>
  <c r="G24" i="59"/>
  <c r="H24" i="59"/>
  <c r="I24" i="59"/>
  <c r="J24" i="59"/>
  <c r="K24" i="59"/>
  <c r="L24" i="59"/>
  <c r="M24" i="59"/>
  <c r="O24" i="59"/>
  <c r="F25" i="59"/>
  <c r="G25" i="59"/>
  <c r="H25" i="59"/>
  <c r="I25" i="59"/>
  <c r="J25" i="59"/>
  <c r="K25" i="59"/>
  <c r="L25" i="59"/>
  <c r="M25" i="59"/>
  <c r="O25" i="59"/>
  <c r="F26" i="59"/>
  <c r="G26" i="59"/>
  <c r="H26" i="59"/>
  <c r="I26" i="59"/>
  <c r="J26" i="59"/>
  <c r="K26" i="59"/>
  <c r="L26" i="59"/>
  <c r="M26" i="59"/>
  <c r="O26" i="59"/>
  <c r="F27" i="59"/>
  <c r="G27" i="59"/>
  <c r="H27" i="59"/>
  <c r="I27" i="59"/>
  <c r="J27" i="59"/>
  <c r="K27" i="59"/>
  <c r="L27" i="59"/>
  <c r="M27" i="59"/>
  <c r="O27" i="59"/>
  <c r="F28" i="59"/>
  <c r="G28" i="59"/>
  <c r="H28" i="59"/>
  <c r="I28" i="59"/>
  <c r="J28" i="59"/>
  <c r="K28" i="59"/>
  <c r="L28" i="59"/>
  <c r="M28" i="59"/>
  <c r="O28" i="59"/>
  <c r="F29" i="59"/>
  <c r="G29" i="59"/>
  <c r="H29" i="59"/>
  <c r="I29" i="59"/>
  <c r="J29" i="59"/>
  <c r="K29" i="59"/>
  <c r="L29" i="59"/>
  <c r="M29" i="59"/>
  <c r="O29" i="59"/>
  <c r="F30" i="59"/>
  <c r="G30" i="59"/>
  <c r="H30" i="59"/>
  <c r="I30" i="59"/>
  <c r="J30" i="59"/>
  <c r="K30" i="59"/>
  <c r="L30" i="59"/>
  <c r="M30" i="59"/>
  <c r="O30" i="59"/>
  <c r="F31" i="59"/>
  <c r="G31" i="59"/>
  <c r="H31" i="59"/>
  <c r="I31" i="59"/>
  <c r="J31" i="59"/>
  <c r="K31" i="59"/>
  <c r="L31" i="59"/>
  <c r="M31" i="59"/>
  <c r="O31" i="59"/>
  <c r="F32" i="59"/>
  <c r="G32" i="59"/>
  <c r="H32" i="59"/>
  <c r="I32" i="59"/>
  <c r="J32" i="59"/>
  <c r="K32" i="59"/>
  <c r="L32" i="59"/>
  <c r="M32" i="59"/>
  <c r="O32" i="59"/>
  <c r="F33" i="59"/>
  <c r="G33" i="59"/>
  <c r="H33" i="59"/>
  <c r="I33" i="59"/>
  <c r="J33" i="59"/>
  <c r="K33" i="59"/>
  <c r="L33" i="59"/>
  <c r="M33" i="59"/>
  <c r="O33" i="59"/>
  <c r="F34" i="59"/>
  <c r="G34" i="59"/>
  <c r="H34" i="59"/>
  <c r="I34" i="59"/>
  <c r="J34" i="59"/>
  <c r="K34" i="59"/>
  <c r="L34" i="59"/>
  <c r="M34" i="59"/>
  <c r="O34" i="59"/>
  <c r="F35" i="59"/>
  <c r="G35" i="59"/>
  <c r="H35" i="59"/>
  <c r="I35" i="59"/>
  <c r="J35" i="59"/>
  <c r="K35" i="59"/>
  <c r="L35" i="59"/>
  <c r="M35" i="59"/>
  <c r="O35" i="59"/>
  <c r="F36" i="59"/>
  <c r="G36" i="59"/>
  <c r="H36" i="59"/>
  <c r="I36" i="59"/>
  <c r="J36" i="59"/>
  <c r="K36" i="59"/>
  <c r="L36" i="59"/>
  <c r="M36" i="59"/>
  <c r="O36" i="59"/>
  <c r="F37" i="59"/>
  <c r="G37" i="59"/>
  <c r="H37" i="59"/>
  <c r="I37" i="59"/>
  <c r="J37" i="59"/>
  <c r="K37" i="59"/>
  <c r="L37" i="59"/>
  <c r="M37" i="59"/>
  <c r="O37" i="59"/>
  <c r="F38" i="59"/>
  <c r="G38" i="59"/>
  <c r="H38" i="59"/>
  <c r="I38" i="59"/>
  <c r="J38" i="59"/>
  <c r="K38" i="59"/>
  <c r="L38" i="59"/>
  <c r="M38" i="59"/>
  <c r="O38" i="59"/>
  <c r="F39" i="59"/>
  <c r="G39" i="59"/>
  <c r="H39" i="59"/>
  <c r="I39" i="59"/>
  <c r="J39" i="59"/>
  <c r="K39" i="59"/>
  <c r="L39" i="59"/>
  <c r="M39" i="59"/>
  <c r="O39" i="59"/>
  <c r="F40" i="59"/>
  <c r="G40" i="59"/>
  <c r="H40" i="59"/>
  <c r="I40" i="59"/>
  <c r="J40" i="59"/>
  <c r="K40" i="59"/>
  <c r="L40" i="59"/>
  <c r="M40" i="59"/>
  <c r="O40" i="59"/>
  <c r="F41" i="59"/>
  <c r="G41" i="59"/>
  <c r="H41" i="59"/>
  <c r="I41" i="59"/>
  <c r="J41" i="59"/>
  <c r="K41" i="59"/>
  <c r="L41" i="59"/>
  <c r="M41" i="59"/>
  <c r="O41" i="59"/>
  <c r="F42" i="59"/>
  <c r="G42" i="59"/>
  <c r="H42" i="59"/>
  <c r="I42" i="59"/>
  <c r="J42" i="59"/>
  <c r="K42" i="59"/>
  <c r="L42" i="59"/>
  <c r="M42" i="59"/>
  <c r="O42" i="59"/>
  <c r="F43" i="59"/>
  <c r="G43" i="59"/>
  <c r="H43" i="59"/>
  <c r="I43" i="59"/>
  <c r="J43" i="59"/>
  <c r="K43" i="59"/>
  <c r="L43" i="59"/>
  <c r="M43" i="59"/>
  <c r="O43" i="59"/>
  <c r="F44" i="59"/>
  <c r="G44" i="59"/>
  <c r="H44" i="59"/>
  <c r="I44" i="59"/>
  <c r="J44" i="59"/>
  <c r="K44" i="59"/>
  <c r="L44" i="59"/>
  <c r="M44" i="59"/>
  <c r="O44" i="59"/>
  <c r="F45" i="59"/>
  <c r="G45" i="59"/>
  <c r="H45" i="59"/>
  <c r="I45" i="59"/>
  <c r="J45" i="59"/>
  <c r="K45" i="59"/>
  <c r="L45" i="59"/>
  <c r="M45" i="59"/>
  <c r="O45" i="59"/>
  <c r="F46" i="59"/>
  <c r="G46" i="59"/>
  <c r="H46" i="59"/>
  <c r="I46" i="59"/>
  <c r="J46" i="59"/>
  <c r="K46" i="59"/>
  <c r="L46" i="59"/>
  <c r="M46" i="59"/>
  <c r="O46" i="59"/>
  <c r="F47" i="59"/>
  <c r="G47" i="59"/>
  <c r="H47" i="59"/>
  <c r="I47" i="59"/>
  <c r="J47" i="59"/>
  <c r="K47" i="59"/>
  <c r="L47" i="59"/>
  <c r="M47" i="59"/>
  <c r="O47" i="59"/>
  <c r="F48" i="59"/>
  <c r="G48" i="59"/>
  <c r="H48" i="59"/>
  <c r="I48" i="59"/>
  <c r="J48" i="59"/>
  <c r="K48" i="59"/>
  <c r="L48" i="59"/>
  <c r="M48" i="59"/>
  <c r="O48" i="59"/>
  <c r="F49" i="59"/>
  <c r="G49" i="59"/>
  <c r="H49" i="59"/>
  <c r="I49" i="59"/>
  <c r="J49" i="59"/>
  <c r="K49" i="59"/>
  <c r="L49" i="59"/>
  <c r="M49" i="59"/>
  <c r="O49" i="59"/>
  <c r="F50" i="59"/>
  <c r="G50" i="59"/>
  <c r="H50" i="59"/>
  <c r="I50" i="59"/>
  <c r="J50" i="59"/>
  <c r="K50" i="59"/>
  <c r="L50" i="59"/>
  <c r="M50" i="59"/>
  <c r="O50" i="59"/>
  <c r="F51" i="59"/>
  <c r="G51" i="59"/>
  <c r="H51" i="59"/>
  <c r="I51" i="59"/>
  <c r="J51" i="59"/>
  <c r="K51" i="59"/>
  <c r="L51" i="59"/>
  <c r="M51" i="59"/>
  <c r="O51" i="59"/>
  <c r="F52" i="59"/>
  <c r="G52" i="59"/>
  <c r="H52" i="59"/>
  <c r="I52" i="59"/>
  <c r="J52" i="59"/>
  <c r="K52" i="59"/>
  <c r="L52" i="59"/>
  <c r="M52" i="59"/>
  <c r="O52" i="59"/>
  <c r="F53" i="59"/>
  <c r="G53" i="59"/>
  <c r="H53" i="59"/>
  <c r="I53" i="59"/>
  <c r="J53" i="59"/>
  <c r="K53" i="59"/>
  <c r="L53" i="59"/>
  <c r="M53" i="59"/>
  <c r="O53" i="59"/>
  <c r="F54" i="59"/>
  <c r="G54" i="59"/>
  <c r="H54" i="59"/>
  <c r="I54" i="59"/>
  <c r="J54" i="59"/>
  <c r="K54" i="59"/>
  <c r="L54" i="59"/>
  <c r="M54" i="59"/>
  <c r="O54" i="59"/>
  <c r="F55" i="59"/>
  <c r="G55" i="59"/>
  <c r="H55" i="59"/>
  <c r="I55" i="59"/>
  <c r="J55" i="59"/>
  <c r="K55" i="59"/>
  <c r="L55" i="59"/>
  <c r="M55" i="59"/>
  <c r="O55" i="59"/>
  <c r="F56" i="59"/>
  <c r="G56" i="59"/>
  <c r="H56" i="59"/>
  <c r="I56" i="59"/>
  <c r="J56" i="59"/>
  <c r="K56" i="59"/>
  <c r="L56" i="59"/>
  <c r="M56" i="59"/>
  <c r="O56" i="59"/>
  <c r="F57" i="59"/>
  <c r="G57" i="59"/>
  <c r="H57" i="59"/>
  <c r="I57" i="59"/>
  <c r="J57" i="59"/>
  <c r="K57" i="59"/>
  <c r="L57" i="59"/>
  <c r="M57" i="59"/>
  <c r="O57" i="59"/>
  <c r="F58" i="59"/>
  <c r="G58" i="59"/>
  <c r="H58" i="59"/>
  <c r="I58" i="59"/>
  <c r="J58" i="59"/>
  <c r="K58" i="59"/>
  <c r="L58" i="59"/>
  <c r="M58" i="59"/>
  <c r="O58" i="59"/>
  <c r="F59" i="59"/>
  <c r="G59" i="59"/>
  <c r="H59" i="59"/>
  <c r="I59" i="59"/>
  <c r="J59" i="59"/>
  <c r="K59" i="59"/>
  <c r="L59" i="59"/>
  <c r="M59" i="59"/>
  <c r="O59" i="59"/>
  <c r="F60" i="59"/>
  <c r="G60" i="59"/>
  <c r="H60" i="59"/>
  <c r="I60" i="59"/>
  <c r="J60" i="59"/>
  <c r="K60" i="59"/>
  <c r="L60" i="59"/>
  <c r="M60" i="59"/>
  <c r="O60" i="59"/>
  <c r="F61" i="59"/>
  <c r="G61" i="59"/>
  <c r="H61" i="59"/>
  <c r="I61" i="59"/>
  <c r="J61" i="59"/>
  <c r="K61" i="59"/>
  <c r="L61" i="59"/>
  <c r="M61" i="59"/>
  <c r="O61" i="59"/>
  <c r="F62" i="59"/>
  <c r="G62" i="59"/>
  <c r="H62" i="59"/>
  <c r="I62" i="59"/>
  <c r="J62" i="59"/>
  <c r="K62" i="59"/>
  <c r="L62" i="59"/>
  <c r="M62" i="59"/>
  <c r="O62" i="59"/>
  <c r="F63" i="59"/>
  <c r="G63" i="59"/>
  <c r="H63" i="59"/>
  <c r="I63" i="59"/>
  <c r="J63" i="59"/>
  <c r="K63" i="59"/>
  <c r="L63" i="59"/>
  <c r="M63" i="59"/>
  <c r="O63" i="59"/>
  <c r="F64" i="59"/>
  <c r="G64" i="59"/>
  <c r="H64" i="59"/>
  <c r="I64" i="59"/>
  <c r="J64" i="59"/>
  <c r="K64" i="59"/>
  <c r="L64" i="59"/>
  <c r="M64" i="59"/>
  <c r="O64" i="59"/>
  <c r="F65" i="59"/>
  <c r="G65" i="59"/>
  <c r="H65" i="59"/>
  <c r="I65" i="59"/>
  <c r="J65" i="59"/>
  <c r="K65" i="59"/>
  <c r="L65" i="59"/>
  <c r="M65" i="59"/>
  <c r="O65" i="59"/>
  <c r="F66" i="59"/>
  <c r="G66" i="59"/>
  <c r="H66" i="59"/>
  <c r="I66" i="59"/>
  <c r="J66" i="59"/>
  <c r="K66" i="59"/>
  <c r="L66" i="59"/>
  <c r="M66" i="59"/>
  <c r="O66" i="59"/>
  <c r="F67" i="59"/>
  <c r="G67" i="59"/>
  <c r="H67" i="59"/>
  <c r="I67" i="59"/>
  <c r="J67" i="59"/>
  <c r="K67" i="59"/>
  <c r="L67" i="59"/>
  <c r="M67" i="59"/>
  <c r="O67" i="59"/>
  <c r="F68" i="59"/>
  <c r="G68" i="59"/>
  <c r="H68" i="59"/>
  <c r="I68" i="59"/>
  <c r="J68" i="59"/>
  <c r="K68" i="59"/>
  <c r="L68" i="59"/>
  <c r="M68" i="59"/>
  <c r="O68" i="59"/>
  <c r="F69" i="59"/>
  <c r="G69" i="59"/>
  <c r="H69" i="59"/>
  <c r="I69" i="59"/>
  <c r="J69" i="59"/>
  <c r="K69" i="59"/>
  <c r="L69" i="59"/>
  <c r="M69" i="59"/>
  <c r="O69" i="59"/>
  <c r="F70" i="59"/>
  <c r="G70" i="59"/>
  <c r="H70" i="59"/>
  <c r="I70" i="59"/>
  <c r="J70" i="59"/>
  <c r="K70" i="59"/>
  <c r="L70" i="59"/>
  <c r="M70" i="59"/>
  <c r="O70" i="59"/>
  <c r="F71" i="59"/>
  <c r="G71" i="59"/>
  <c r="H71" i="59"/>
  <c r="I71" i="59"/>
  <c r="J71" i="59"/>
  <c r="K71" i="59"/>
  <c r="L71" i="59"/>
  <c r="M71" i="59"/>
  <c r="O71" i="59"/>
  <c r="F72" i="59"/>
  <c r="G72" i="59"/>
  <c r="H72" i="59"/>
  <c r="I72" i="59"/>
  <c r="J72" i="59"/>
  <c r="K72" i="59"/>
  <c r="L72" i="59"/>
  <c r="M72" i="59"/>
  <c r="O72" i="59"/>
  <c r="F73" i="59"/>
  <c r="G73" i="59"/>
  <c r="H73" i="59"/>
  <c r="I73" i="59"/>
  <c r="J73" i="59"/>
  <c r="K73" i="59"/>
  <c r="L73" i="59"/>
  <c r="M73" i="59"/>
  <c r="O73" i="59"/>
  <c r="F74" i="59"/>
  <c r="G74" i="59"/>
  <c r="H74" i="59"/>
  <c r="I74" i="59"/>
  <c r="J74" i="59"/>
  <c r="K74" i="59"/>
  <c r="L74" i="59"/>
  <c r="M74" i="59"/>
  <c r="O74" i="59"/>
  <c r="F75" i="59"/>
  <c r="G75" i="59"/>
  <c r="H75" i="59"/>
  <c r="I75" i="59"/>
  <c r="J75" i="59"/>
  <c r="K75" i="59"/>
  <c r="L75" i="59"/>
  <c r="M75" i="59"/>
  <c r="O75" i="59"/>
  <c r="F76" i="59"/>
  <c r="G76" i="59"/>
  <c r="H76" i="59"/>
  <c r="I76" i="59"/>
  <c r="J76" i="59"/>
  <c r="K76" i="59"/>
  <c r="L76" i="59"/>
  <c r="M76" i="59"/>
  <c r="O76" i="59"/>
  <c r="F77" i="59"/>
  <c r="G77" i="59"/>
  <c r="H77" i="59"/>
  <c r="I77" i="59"/>
  <c r="J77" i="59"/>
  <c r="K77" i="59"/>
  <c r="L77" i="59"/>
  <c r="M77" i="59"/>
  <c r="O77" i="59"/>
  <c r="F78" i="59"/>
  <c r="G78" i="59"/>
  <c r="H78" i="59"/>
  <c r="I78" i="59"/>
  <c r="J78" i="59"/>
  <c r="K78" i="59"/>
  <c r="L78" i="59"/>
  <c r="M78" i="59"/>
  <c r="O78" i="59"/>
  <c r="F79" i="59"/>
  <c r="G79" i="59"/>
  <c r="H79" i="59"/>
  <c r="I79" i="59"/>
  <c r="J79" i="59"/>
  <c r="K79" i="59"/>
  <c r="L79" i="59"/>
  <c r="M79" i="59"/>
  <c r="O79" i="59"/>
  <c r="F80" i="59"/>
  <c r="G80" i="59"/>
  <c r="H80" i="59"/>
  <c r="I80" i="59"/>
  <c r="J80" i="59"/>
  <c r="K80" i="59"/>
  <c r="L80" i="59"/>
  <c r="M80" i="59"/>
  <c r="O80" i="59"/>
  <c r="F81" i="59"/>
  <c r="G81" i="59"/>
  <c r="H81" i="59"/>
  <c r="I81" i="59"/>
  <c r="J81" i="59"/>
  <c r="K81" i="59"/>
  <c r="L81" i="59"/>
  <c r="M81" i="59"/>
  <c r="O81" i="59"/>
  <c r="F82" i="59"/>
  <c r="G82" i="59"/>
  <c r="H82" i="59"/>
  <c r="I82" i="59"/>
  <c r="J82" i="59"/>
  <c r="K82" i="59"/>
  <c r="L82" i="59"/>
  <c r="M82" i="59"/>
  <c r="O82" i="59"/>
  <c r="F83" i="59"/>
  <c r="G83" i="59"/>
  <c r="H83" i="59"/>
  <c r="I83" i="59"/>
  <c r="J83" i="59"/>
  <c r="K83" i="59"/>
  <c r="L83" i="59"/>
  <c r="M83" i="59"/>
  <c r="O83" i="59"/>
  <c r="F84" i="59"/>
  <c r="G84" i="59"/>
  <c r="H84" i="59"/>
  <c r="I84" i="59"/>
  <c r="J84" i="59"/>
  <c r="K84" i="59"/>
  <c r="L84" i="59"/>
  <c r="M84" i="59"/>
  <c r="O84" i="59"/>
  <c r="F85" i="59"/>
  <c r="G85" i="59"/>
  <c r="H85" i="59"/>
  <c r="I85" i="59"/>
  <c r="J85" i="59"/>
  <c r="K85" i="59"/>
  <c r="L85" i="59"/>
  <c r="M85" i="59"/>
  <c r="O85" i="59"/>
  <c r="F86" i="59"/>
  <c r="G86" i="59"/>
  <c r="H86" i="59"/>
  <c r="I86" i="59"/>
  <c r="J86" i="59"/>
  <c r="K86" i="59"/>
  <c r="L86" i="59"/>
  <c r="M86" i="59"/>
  <c r="O86" i="59"/>
  <c r="F87" i="59"/>
  <c r="G87" i="59"/>
  <c r="H87" i="59"/>
  <c r="I87" i="59"/>
  <c r="J87" i="59"/>
  <c r="K87" i="59"/>
  <c r="L87" i="59"/>
  <c r="M87" i="59"/>
  <c r="O87" i="59"/>
  <c r="F88" i="59"/>
  <c r="G88" i="59"/>
  <c r="H88" i="59"/>
  <c r="I88" i="59"/>
  <c r="J88" i="59"/>
  <c r="K88" i="59"/>
  <c r="L88" i="59"/>
  <c r="M88" i="59"/>
  <c r="O88" i="59"/>
  <c r="F96" i="59"/>
  <c r="G96" i="59"/>
  <c r="H96" i="59"/>
  <c r="I96" i="59"/>
  <c r="J96" i="59"/>
  <c r="K96" i="59"/>
  <c r="L96" i="59"/>
  <c r="M96" i="59"/>
  <c r="O96" i="59"/>
  <c r="F97" i="59"/>
  <c r="G97" i="59"/>
  <c r="H97" i="59"/>
  <c r="I97" i="59"/>
  <c r="J97" i="59"/>
  <c r="K97" i="59"/>
  <c r="L97" i="59"/>
  <c r="M97" i="59"/>
  <c r="O97" i="59"/>
  <c r="F98" i="59"/>
  <c r="G98" i="59"/>
  <c r="H98" i="59"/>
  <c r="I98" i="59"/>
  <c r="J98" i="59"/>
  <c r="K98" i="59"/>
  <c r="L98" i="59"/>
  <c r="M98" i="59"/>
  <c r="O98" i="59"/>
  <c r="F99" i="59"/>
  <c r="G99" i="59"/>
  <c r="H99" i="59"/>
  <c r="I99" i="59"/>
  <c r="J99" i="59"/>
  <c r="K99" i="59"/>
  <c r="L99" i="59"/>
  <c r="M99" i="59"/>
  <c r="O99" i="59"/>
  <c r="F100" i="59"/>
  <c r="G100" i="59"/>
  <c r="H100" i="59"/>
  <c r="I100" i="59"/>
  <c r="J100" i="59"/>
  <c r="K100" i="59"/>
  <c r="L100" i="59"/>
  <c r="M100" i="59"/>
  <c r="O100" i="59"/>
  <c r="F101" i="59"/>
  <c r="G101" i="59"/>
  <c r="H101" i="59"/>
  <c r="I101" i="59"/>
  <c r="J101" i="59"/>
  <c r="K101" i="59"/>
  <c r="L101" i="59"/>
  <c r="M101" i="59"/>
  <c r="O101" i="59"/>
  <c r="F102" i="59"/>
  <c r="G102" i="59"/>
  <c r="H102" i="59"/>
  <c r="I102" i="59"/>
  <c r="J102" i="59"/>
  <c r="K102" i="59"/>
  <c r="L102" i="59"/>
  <c r="M102" i="59"/>
  <c r="O102" i="59"/>
  <c r="F103" i="59"/>
  <c r="G103" i="59"/>
  <c r="H103" i="59"/>
  <c r="I103" i="59"/>
  <c r="J103" i="59"/>
  <c r="K103" i="59"/>
  <c r="L103" i="59"/>
  <c r="M103" i="59"/>
  <c r="O103" i="59"/>
  <c r="F104" i="59"/>
  <c r="G104" i="59"/>
  <c r="H104" i="59"/>
  <c r="I104" i="59"/>
  <c r="J104" i="59"/>
  <c r="K104" i="59"/>
  <c r="L104" i="59"/>
  <c r="M104" i="59"/>
  <c r="O104" i="59"/>
  <c r="F105" i="59"/>
  <c r="G105" i="59"/>
  <c r="H105" i="59"/>
  <c r="I105" i="59"/>
  <c r="J105" i="59"/>
  <c r="K105" i="59"/>
  <c r="L105" i="59"/>
  <c r="M105" i="59"/>
  <c r="O105" i="59"/>
  <c r="F106" i="59"/>
  <c r="G106" i="59"/>
  <c r="H106" i="59"/>
  <c r="I106" i="59"/>
  <c r="J106" i="59"/>
  <c r="K106" i="59"/>
  <c r="L106" i="59"/>
  <c r="M106" i="59"/>
  <c r="O106" i="59"/>
  <c r="F107" i="59"/>
  <c r="G107" i="59"/>
  <c r="H107" i="59"/>
  <c r="I107" i="59"/>
  <c r="J107" i="59"/>
  <c r="K107" i="59"/>
  <c r="L107" i="59"/>
  <c r="M107" i="59"/>
  <c r="O107" i="59"/>
  <c r="F108" i="59"/>
  <c r="G108" i="59"/>
  <c r="H108" i="59"/>
  <c r="I108" i="59"/>
  <c r="J108" i="59"/>
  <c r="K108" i="59"/>
  <c r="L108" i="59"/>
  <c r="M108" i="59"/>
  <c r="O108" i="59"/>
  <c r="F109" i="59"/>
  <c r="G109" i="59"/>
  <c r="H109" i="59"/>
  <c r="I109" i="59"/>
  <c r="J109" i="59"/>
  <c r="K109" i="59"/>
  <c r="L109" i="59"/>
  <c r="M109" i="59"/>
  <c r="O109" i="59"/>
  <c r="F110" i="59"/>
  <c r="G110" i="59"/>
  <c r="H110" i="59"/>
  <c r="I110" i="59"/>
  <c r="J110" i="59"/>
  <c r="K110" i="59"/>
  <c r="L110" i="59"/>
  <c r="M110" i="59"/>
  <c r="O110" i="59"/>
  <c r="F111" i="59"/>
  <c r="G111" i="59"/>
  <c r="H111" i="59"/>
  <c r="I111" i="59"/>
  <c r="J111" i="59"/>
  <c r="K111" i="59"/>
  <c r="L111" i="59"/>
  <c r="M111" i="59"/>
  <c r="O111" i="59"/>
  <c r="F112" i="59"/>
  <c r="G112" i="59"/>
  <c r="H112" i="59"/>
  <c r="I112" i="59"/>
  <c r="J112" i="59"/>
  <c r="K112" i="59"/>
  <c r="L112" i="59"/>
  <c r="M112" i="59"/>
  <c r="O112" i="59"/>
  <c r="F113" i="59"/>
  <c r="G113" i="59"/>
  <c r="H113" i="59"/>
  <c r="I113" i="59"/>
  <c r="J113" i="59"/>
  <c r="K113" i="59"/>
  <c r="L113" i="59"/>
  <c r="M113" i="59"/>
  <c r="O113" i="59"/>
  <c r="F114" i="59"/>
  <c r="G114" i="59"/>
  <c r="H114" i="59"/>
  <c r="I114" i="59"/>
  <c r="J114" i="59"/>
  <c r="K114" i="59"/>
  <c r="L114" i="59"/>
  <c r="M114" i="59"/>
  <c r="O114" i="59"/>
  <c r="F115" i="59"/>
  <c r="G115" i="59"/>
  <c r="H115" i="59"/>
  <c r="I115" i="59"/>
  <c r="J115" i="59"/>
  <c r="K115" i="59"/>
  <c r="L115" i="59"/>
  <c r="M115" i="59"/>
  <c r="O115" i="59"/>
  <c r="F116" i="59"/>
  <c r="G116" i="59"/>
  <c r="H116" i="59"/>
  <c r="I116" i="59"/>
  <c r="J116" i="59"/>
  <c r="K116" i="59"/>
  <c r="L116" i="59"/>
  <c r="M116" i="59"/>
  <c r="O116" i="59"/>
  <c r="F117" i="59"/>
  <c r="G117" i="59"/>
  <c r="H117" i="59"/>
  <c r="I117" i="59"/>
  <c r="J117" i="59"/>
  <c r="K117" i="59"/>
  <c r="L117" i="59"/>
  <c r="M117" i="59"/>
  <c r="O117" i="59"/>
  <c r="F118" i="59"/>
  <c r="G118" i="59"/>
  <c r="H118" i="59"/>
  <c r="I118" i="59"/>
  <c r="J118" i="59"/>
  <c r="K118" i="59"/>
  <c r="L118" i="59"/>
  <c r="M118" i="59"/>
  <c r="O118" i="59"/>
  <c r="F119" i="59"/>
  <c r="G119" i="59"/>
  <c r="H119" i="59"/>
  <c r="I119" i="59"/>
  <c r="J119" i="59"/>
  <c r="K119" i="59"/>
  <c r="L119" i="59"/>
  <c r="M119" i="59"/>
  <c r="O119" i="59"/>
  <c r="F120" i="59"/>
  <c r="G120" i="59"/>
  <c r="H120" i="59"/>
  <c r="I120" i="59"/>
  <c r="J120" i="59"/>
  <c r="K120" i="59"/>
  <c r="L120" i="59"/>
  <c r="M120" i="59"/>
  <c r="O120" i="59"/>
  <c r="F121" i="59"/>
  <c r="G121" i="59"/>
  <c r="H121" i="59"/>
  <c r="I121" i="59"/>
  <c r="J121" i="59"/>
  <c r="K121" i="59"/>
  <c r="L121" i="59"/>
  <c r="M121" i="59"/>
  <c r="O121" i="59"/>
  <c r="F122" i="59"/>
  <c r="G122" i="59"/>
  <c r="H122" i="59"/>
  <c r="I122" i="59"/>
  <c r="J122" i="59"/>
  <c r="K122" i="59"/>
  <c r="L122" i="59"/>
  <c r="M122" i="59"/>
  <c r="O122" i="59"/>
  <c r="F123" i="59"/>
  <c r="G123" i="59"/>
  <c r="H123" i="59"/>
  <c r="I123" i="59"/>
  <c r="J123" i="59"/>
  <c r="K123" i="59"/>
  <c r="L123" i="59"/>
  <c r="M123" i="59"/>
  <c r="O123" i="59"/>
  <c r="F124" i="59"/>
  <c r="G124" i="59"/>
  <c r="H124" i="59"/>
  <c r="I124" i="59"/>
  <c r="J124" i="59"/>
  <c r="K124" i="59"/>
  <c r="L124" i="59"/>
  <c r="M124" i="59"/>
  <c r="O124" i="59"/>
  <c r="F125" i="59"/>
  <c r="G125" i="59"/>
  <c r="H125" i="59"/>
  <c r="I125" i="59"/>
  <c r="J125" i="59"/>
  <c r="K125" i="59"/>
  <c r="L125" i="59"/>
  <c r="M125" i="59"/>
  <c r="O125" i="59"/>
  <c r="F126" i="59"/>
  <c r="G126" i="59"/>
  <c r="H126" i="59"/>
  <c r="I126" i="59"/>
  <c r="J126" i="59"/>
  <c r="K126" i="59"/>
  <c r="L126" i="59"/>
  <c r="M126" i="59"/>
  <c r="O126" i="59"/>
  <c r="F127" i="59"/>
  <c r="G127" i="59"/>
  <c r="H127" i="59"/>
  <c r="I127" i="59"/>
  <c r="J127" i="59"/>
  <c r="K127" i="59"/>
  <c r="L127" i="59"/>
  <c r="M127" i="59"/>
  <c r="O127" i="59"/>
  <c r="F128" i="59"/>
  <c r="G128" i="59"/>
  <c r="H128" i="59"/>
  <c r="I128" i="59"/>
  <c r="J128" i="59"/>
  <c r="K128" i="59"/>
  <c r="L128" i="59"/>
  <c r="M128" i="59"/>
  <c r="O128" i="59"/>
  <c r="F129" i="59"/>
  <c r="G129" i="59"/>
  <c r="H129" i="59"/>
  <c r="I129" i="59"/>
  <c r="J129" i="59"/>
  <c r="K129" i="59"/>
  <c r="L129" i="59"/>
  <c r="M129" i="59"/>
  <c r="O129" i="59"/>
  <c r="F130" i="59"/>
  <c r="G130" i="59"/>
  <c r="H130" i="59"/>
  <c r="I130" i="59"/>
  <c r="J130" i="59"/>
  <c r="K130" i="59"/>
  <c r="L130" i="59"/>
  <c r="M130" i="59"/>
  <c r="O130" i="59"/>
  <c r="F131" i="59"/>
  <c r="G131" i="59"/>
  <c r="H131" i="59"/>
  <c r="I131" i="59"/>
  <c r="J131" i="59"/>
  <c r="K131" i="59"/>
  <c r="L131" i="59"/>
  <c r="M131" i="59"/>
  <c r="O131" i="59"/>
  <c r="F132" i="59"/>
  <c r="G132" i="59"/>
  <c r="H132" i="59"/>
  <c r="I132" i="59"/>
  <c r="J132" i="59"/>
  <c r="K132" i="59"/>
  <c r="L132" i="59"/>
  <c r="M132" i="59"/>
  <c r="O132" i="59"/>
  <c r="F133" i="59"/>
  <c r="G133" i="59"/>
  <c r="H133" i="59"/>
  <c r="I133" i="59"/>
  <c r="J133" i="59"/>
  <c r="K133" i="59"/>
  <c r="L133" i="59"/>
  <c r="M133" i="59"/>
  <c r="O133" i="59"/>
  <c r="F134" i="59"/>
  <c r="G134" i="59"/>
  <c r="H134" i="59"/>
  <c r="I134" i="59"/>
  <c r="J134" i="59"/>
  <c r="K134" i="59"/>
  <c r="L134" i="59"/>
  <c r="M134" i="59"/>
  <c r="O134" i="59"/>
  <c r="F135" i="59"/>
  <c r="G135" i="59"/>
  <c r="H135" i="59"/>
  <c r="I135" i="59"/>
  <c r="J135" i="59"/>
  <c r="K135" i="59"/>
  <c r="L135" i="59"/>
  <c r="M135" i="59"/>
  <c r="O135" i="59"/>
  <c r="F136" i="59"/>
  <c r="G136" i="59"/>
  <c r="H136" i="59"/>
  <c r="I136" i="59"/>
  <c r="J136" i="59"/>
  <c r="K136" i="59"/>
  <c r="L136" i="59"/>
  <c r="M136" i="59"/>
  <c r="O136" i="59"/>
  <c r="F137" i="59"/>
  <c r="G137" i="59"/>
  <c r="H137" i="59"/>
  <c r="I137" i="59"/>
  <c r="J137" i="59"/>
  <c r="K137" i="59"/>
  <c r="L137" i="59"/>
  <c r="M137" i="59"/>
  <c r="O137" i="59"/>
  <c r="F138" i="59"/>
  <c r="G138" i="59"/>
  <c r="H138" i="59"/>
  <c r="I138" i="59"/>
  <c r="J138" i="59"/>
  <c r="K138" i="59"/>
  <c r="L138" i="59"/>
  <c r="M138" i="59"/>
  <c r="O138" i="59"/>
  <c r="F139" i="59"/>
  <c r="G139" i="59"/>
  <c r="H139" i="59"/>
  <c r="I139" i="59"/>
  <c r="J139" i="59"/>
  <c r="K139" i="59"/>
  <c r="L139" i="59"/>
  <c r="M139" i="59"/>
  <c r="O139" i="59"/>
  <c r="F140" i="59"/>
  <c r="G140" i="59"/>
  <c r="H140" i="59"/>
  <c r="I140" i="59"/>
  <c r="J140" i="59"/>
  <c r="K140" i="59"/>
  <c r="L140" i="59"/>
  <c r="M140" i="59"/>
  <c r="O140" i="59"/>
  <c r="F141" i="59"/>
  <c r="G141" i="59"/>
  <c r="H141" i="59"/>
  <c r="I141" i="59"/>
  <c r="J141" i="59"/>
  <c r="K141" i="59"/>
  <c r="L141" i="59"/>
  <c r="M141" i="59"/>
  <c r="O141" i="59"/>
  <c r="F142" i="59"/>
  <c r="G142" i="59"/>
  <c r="H142" i="59"/>
  <c r="I142" i="59"/>
  <c r="J142" i="59"/>
  <c r="K142" i="59"/>
  <c r="L142" i="59"/>
  <c r="M142" i="59"/>
  <c r="O142" i="59"/>
  <c r="F143" i="59"/>
  <c r="G143" i="59"/>
  <c r="H143" i="59"/>
  <c r="I143" i="59"/>
  <c r="J143" i="59"/>
  <c r="K143" i="59"/>
  <c r="L143" i="59"/>
  <c r="M143" i="59"/>
  <c r="O143" i="59"/>
  <c r="F144" i="59"/>
  <c r="G144" i="59"/>
  <c r="H144" i="59"/>
  <c r="I144" i="59"/>
  <c r="J144" i="59"/>
  <c r="K144" i="59"/>
  <c r="L144" i="59"/>
  <c r="M144" i="59"/>
  <c r="O144" i="59"/>
  <c r="F145" i="59"/>
  <c r="G145" i="59"/>
  <c r="H145" i="59"/>
  <c r="I145" i="59"/>
  <c r="J145" i="59"/>
  <c r="K145" i="59"/>
  <c r="L145" i="59"/>
  <c r="M145" i="59"/>
  <c r="O145" i="59"/>
  <c r="F146" i="59"/>
  <c r="G146" i="59"/>
  <c r="H146" i="59"/>
  <c r="I146" i="59"/>
  <c r="J146" i="59"/>
  <c r="K146" i="59"/>
  <c r="L146" i="59"/>
  <c r="M146" i="59"/>
  <c r="O146" i="59"/>
  <c r="F147" i="59"/>
  <c r="G147" i="59"/>
  <c r="H147" i="59"/>
  <c r="I147" i="59"/>
  <c r="J147" i="59"/>
  <c r="K147" i="59"/>
  <c r="L147" i="59"/>
  <c r="M147" i="59"/>
  <c r="O147" i="59"/>
  <c r="F148" i="59"/>
  <c r="G148" i="59"/>
  <c r="H148" i="59"/>
  <c r="I148" i="59"/>
  <c r="J148" i="59"/>
  <c r="K148" i="59"/>
  <c r="L148" i="59"/>
  <c r="M148" i="59"/>
  <c r="O148" i="59"/>
  <c r="F149" i="59"/>
  <c r="G149" i="59"/>
  <c r="H149" i="59"/>
  <c r="I149" i="59"/>
  <c r="J149" i="59"/>
  <c r="K149" i="59"/>
  <c r="L149" i="59"/>
  <c r="M149" i="59"/>
  <c r="O149" i="59"/>
  <c r="F150" i="59"/>
  <c r="G150" i="59"/>
  <c r="H150" i="59"/>
  <c r="I150" i="59"/>
  <c r="J150" i="59"/>
  <c r="K150" i="59"/>
  <c r="L150" i="59"/>
  <c r="M150" i="59"/>
  <c r="O150" i="59"/>
  <c r="F151" i="59"/>
  <c r="G151" i="59"/>
  <c r="H151" i="59"/>
  <c r="I151" i="59"/>
  <c r="J151" i="59"/>
  <c r="K151" i="59"/>
  <c r="L151" i="59"/>
  <c r="M151" i="59"/>
  <c r="O151" i="59"/>
  <c r="F152" i="59"/>
  <c r="G152" i="59"/>
  <c r="H152" i="59"/>
  <c r="I152" i="59"/>
  <c r="J152" i="59"/>
  <c r="K152" i="59"/>
  <c r="L152" i="59"/>
  <c r="M152" i="59"/>
  <c r="O152" i="59"/>
  <c r="F153" i="59"/>
  <c r="G153" i="59"/>
  <c r="H153" i="59"/>
  <c r="I153" i="59"/>
  <c r="J153" i="59"/>
  <c r="K153" i="59"/>
  <c r="L153" i="59"/>
  <c r="M153" i="59"/>
  <c r="O153" i="59"/>
  <c r="F154" i="59"/>
  <c r="G154" i="59"/>
  <c r="H154" i="59"/>
  <c r="I154" i="59"/>
  <c r="J154" i="59"/>
  <c r="K154" i="59"/>
  <c r="L154" i="59"/>
  <c r="M154" i="59"/>
  <c r="O154" i="59"/>
  <c r="F155" i="59"/>
  <c r="G155" i="59"/>
  <c r="H155" i="59"/>
  <c r="I155" i="59"/>
  <c r="J155" i="59"/>
  <c r="K155" i="59"/>
  <c r="L155" i="59"/>
  <c r="M155" i="59"/>
  <c r="O155" i="59"/>
  <c r="F156" i="59"/>
  <c r="G156" i="59"/>
  <c r="H156" i="59"/>
  <c r="I156" i="59"/>
  <c r="J156" i="59"/>
  <c r="K156" i="59"/>
  <c r="L156" i="59"/>
  <c r="M156" i="59"/>
  <c r="O156" i="59"/>
  <c r="F157" i="59"/>
  <c r="G157" i="59"/>
  <c r="H157" i="59"/>
  <c r="I157" i="59"/>
  <c r="J157" i="59"/>
  <c r="K157" i="59"/>
  <c r="L157" i="59"/>
  <c r="M157" i="59"/>
  <c r="O157" i="59"/>
  <c r="F158" i="59"/>
  <c r="G158" i="59"/>
  <c r="H158" i="59"/>
  <c r="I158" i="59"/>
  <c r="J158" i="59"/>
  <c r="K158" i="59"/>
  <c r="L158" i="59"/>
  <c r="M158" i="59"/>
  <c r="O158" i="59"/>
  <c r="F159" i="59"/>
  <c r="G159" i="59"/>
  <c r="H159" i="59"/>
  <c r="I159" i="59"/>
  <c r="J159" i="59"/>
  <c r="K159" i="59"/>
  <c r="L159" i="59"/>
  <c r="M159" i="59"/>
  <c r="O159" i="59"/>
  <c r="F160" i="59"/>
  <c r="G160" i="59"/>
  <c r="H160" i="59"/>
  <c r="I160" i="59"/>
  <c r="J160" i="59"/>
  <c r="K160" i="59"/>
  <c r="L160" i="59"/>
  <c r="M160" i="59"/>
  <c r="O160" i="59"/>
  <c r="F161" i="59"/>
  <c r="G161" i="59"/>
  <c r="H161" i="59"/>
  <c r="I161" i="59"/>
  <c r="J161" i="59"/>
  <c r="K161" i="59"/>
  <c r="L161" i="59"/>
  <c r="M161" i="59"/>
  <c r="O161" i="59"/>
  <c r="F162" i="59"/>
  <c r="G162" i="59"/>
  <c r="H162" i="59"/>
  <c r="I162" i="59"/>
  <c r="J162" i="59"/>
  <c r="K162" i="59"/>
  <c r="L162" i="59"/>
  <c r="M162" i="59"/>
  <c r="O162" i="59"/>
  <c r="F163" i="59"/>
  <c r="G163" i="59"/>
  <c r="H163" i="59"/>
  <c r="I163" i="59"/>
  <c r="J163" i="59"/>
  <c r="K163" i="59"/>
  <c r="L163" i="59"/>
  <c r="M163" i="59"/>
  <c r="O163" i="59"/>
  <c r="F164" i="59"/>
  <c r="G164" i="59"/>
  <c r="H164" i="59"/>
  <c r="I164" i="59"/>
  <c r="J164" i="59"/>
  <c r="K164" i="59"/>
  <c r="L164" i="59"/>
  <c r="M164" i="59"/>
  <c r="O164" i="59"/>
  <c r="F165" i="59"/>
  <c r="G165" i="59"/>
  <c r="H165" i="59"/>
  <c r="I165" i="59"/>
  <c r="J165" i="59"/>
  <c r="K165" i="59"/>
  <c r="L165" i="59"/>
  <c r="M165" i="59"/>
  <c r="O165" i="59"/>
  <c r="F166" i="59"/>
  <c r="G166" i="59"/>
  <c r="H166" i="59"/>
  <c r="I166" i="59"/>
  <c r="J166" i="59"/>
  <c r="K166" i="59"/>
  <c r="L166" i="59"/>
  <c r="M166" i="59"/>
  <c r="O166" i="59"/>
  <c r="F167" i="59"/>
  <c r="G167" i="59"/>
  <c r="H167" i="59"/>
  <c r="I167" i="59"/>
  <c r="J167" i="59"/>
  <c r="K167" i="59"/>
  <c r="L167" i="59"/>
  <c r="M167" i="59"/>
  <c r="O167" i="59"/>
  <c r="F168" i="59"/>
  <c r="G168" i="59"/>
  <c r="H168" i="59"/>
  <c r="I168" i="59"/>
  <c r="J168" i="59"/>
  <c r="K168" i="59"/>
  <c r="L168" i="59"/>
  <c r="M168" i="59"/>
  <c r="O168" i="59"/>
  <c r="F169" i="59"/>
  <c r="G169" i="59"/>
  <c r="H169" i="59"/>
  <c r="I169" i="59"/>
  <c r="J169" i="59"/>
  <c r="K169" i="59"/>
  <c r="L169" i="59"/>
  <c r="M169" i="59"/>
  <c r="O169" i="59"/>
  <c r="F170" i="59"/>
  <c r="G170" i="59"/>
  <c r="H170" i="59"/>
  <c r="I170" i="59"/>
  <c r="J170" i="59"/>
  <c r="K170" i="59"/>
  <c r="L170" i="59"/>
  <c r="M170" i="59"/>
  <c r="O170" i="59"/>
  <c r="F171" i="59"/>
  <c r="G171" i="59"/>
  <c r="H171" i="59"/>
  <c r="I171" i="59"/>
  <c r="J171" i="59"/>
  <c r="K171" i="59"/>
  <c r="L171" i="59"/>
  <c r="M171" i="59"/>
  <c r="O171" i="59"/>
  <c r="F172" i="59"/>
  <c r="G172" i="59"/>
  <c r="H172" i="59"/>
  <c r="I172" i="59"/>
  <c r="J172" i="59"/>
  <c r="K172" i="59"/>
  <c r="L172" i="59"/>
  <c r="M172" i="59"/>
  <c r="O172" i="59"/>
  <c r="F173" i="59"/>
  <c r="G173" i="59"/>
  <c r="H173" i="59"/>
  <c r="I173" i="59"/>
  <c r="J173" i="59"/>
  <c r="K173" i="59"/>
  <c r="L173" i="59"/>
  <c r="M173" i="59"/>
  <c r="O173" i="59"/>
  <c r="F174" i="59"/>
  <c r="G174" i="59"/>
  <c r="H174" i="59"/>
  <c r="I174" i="59"/>
  <c r="J174" i="59"/>
  <c r="K174" i="59"/>
  <c r="L174" i="59"/>
  <c r="M174" i="59"/>
  <c r="O174" i="59"/>
  <c r="F175" i="59"/>
  <c r="G175" i="59"/>
  <c r="H175" i="59"/>
  <c r="I175" i="59"/>
  <c r="J175" i="59"/>
  <c r="K175" i="59"/>
  <c r="L175" i="59"/>
  <c r="M175" i="59"/>
  <c r="O175" i="59"/>
  <c r="F176" i="59"/>
  <c r="G176" i="59"/>
  <c r="H176" i="59"/>
  <c r="I176" i="59"/>
  <c r="J176" i="59"/>
  <c r="K176" i="59"/>
  <c r="L176" i="59"/>
  <c r="M176" i="59"/>
  <c r="O176" i="59"/>
  <c r="F177" i="59"/>
  <c r="G177" i="59"/>
  <c r="H177" i="59"/>
  <c r="I177" i="59"/>
  <c r="J177" i="59"/>
  <c r="K177" i="59"/>
  <c r="L177" i="59"/>
  <c r="M177" i="59"/>
  <c r="O177" i="59"/>
  <c r="F178" i="59"/>
  <c r="G178" i="59"/>
  <c r="H178" i="59"/>
  <c r="I178" i="59"/>
  <c r="J178" i="59"/>
  <c r="K178" i="59"/>
  <c r="L178" i="59"/>
  <c r="M178" i="59"/>
  <c r="O178" i="59"/>
  <c r="F179" i="59"/>
  <c r="G179" i="59"/>
  <c r="H179" i="59"/>
  <c r="I179" i="59"/>
  <c r="J179" i="59"/>
  <c r="K179" i="59"/>
  <c r="L179" i="59"/>
  <c r="M179" i="59"/>
  <c r="O179" i="59"/>
  <c r="F180" i="59"/>
  <c r="G180" i="59"/>
  <c r="H180" i="59"/>
  <c r="I180" i="59"/>
  <c r="J180" i="59"/>
  <c r="K180" i="59"/>
  <c r="L180" i="59"/>
  <c r="M180" i="59"/>
  <c r="O180" i="59"/>
  <c r="F181" i="59"/>
  <c r="G181" i="59"/>
  <c r="H181" i="59"/>
  <c r="I181" i="59"/>
  <c r="J181" i="59"/>
  <c r="K181" i="59"/>
  <c r="L181" i="59"/>
  <c r="M181" i="59"/>
  <c r="O181" i="59"/>
  <c r="F182" i="59"/>
  <c r="G182" i="59"/>
  <c r="H182" i="59"/>
  <c r="I182" i="59"/>
  <c r="J182" i="59"/>
  <c r="K182" i="59"/>
  <c r="L182" i="59"/>
  <c r="M182" i="59"/>
  <c r="O182" i="59"/>
  <c r="F183" i="59"/>
  <c r="G183" i="59"/>
  <c r="H183" i="59"/>
  <c r="I183" i="59"/>
  <c r="J183" i="59"/>
  <c r="K183" i="59"/>
  <c r="L183" i="59"/>
  <c r="M183" i="59"/>
  <c r="O183" i="59"/>
  <c r="F184" i="59"/>
  <c r="G184" i="59"/>
  <c r="H184" i="59"/>
  <c r="I184" i="59"/>
  <c r="J184" i="59"/>
  <c r="K184" i="59"/>
  <c r="L184" i="59"/>
  <c r="M184" i="59"/>
  <c r="O184" i="59"/>
  <c r="F185" i="59"/>
  <c r="G185" i="59"/>
  <c r="H185" i="59"/>
  <c r="I185" i="59"/>
  <c r="J185" i="59"/>
  <c r="K185" i="59"/>
  <c r="L185" i="59"/>
  <c r="M185" i="59"/>
  <c r="O185" i="59"/>
  <c r="F186" i="59"/>
  <c r="G186" i="59"/>
  <c r="H186" i="59"/>
  <c r="I186" i="59"/>
  <c r="J186" i="59"/>
  <c r="K186" i="59"/>
  <c r="L186" i="59"/>
  <c r="M186" i="59"/>
  <c r="O186" i="59"/>
  <c r="F187" i="59"/>
  <c r="G187" i="59"/>
  <c r="H187" i="59"/>
  <c r="I187" i="59"/>
  <c r="J187" i="59"/>
  <c r="K187" i="59"/>
  <c r="L187" i="59"/>
  <c r="M187" i="59"/>
  <c r="O187" i="59"/>
  <c r="F188" i="59"/>
  <c r="G188" i="59"/>
  <c r="H188" i="59"/>
  <c r="I188" i="59"/>
  <c r="J188" i="59"/>
  <c r="K188" i="59"/>
  <c r="L188" i="59"/>
  <c r="M188" i="59"/>
  <c r="O188" i="59"/>
  <c r="F189" i="59"/>
  <c r="G189" i="59"/>
  <c r="H189" i="59"/>
  <c r="I189" i="59"/>
  <c r="J189" i="59"/>
  <c r="K189" i="59"/>
  <c r="L189" i="59"/>
  <c r="M189" i="59"/>
  <c r="O189" i="59"/>
  <c r="F190" i="59"/>
  <c r="G190" i="59"/>
  <c r="H190" i="59"/>
  <c r="I190" i="59"/>
  <c r="J190" i="59"/>
  <c r="K190" i="59"/>
  <c r="L190" i="59"/>
  <c r="M190" i="59"/>
  <c r="O190" i="59"/>
  <c r="F191" i="59"/>
  <c r="G191" i="59"/>
  <c r="H191" i="59"/>
  <c r="I191" i="59"/>
  <c r="J191" i="59"/>
  <c r="K191" i="59"/>
  <c r="L191" i="59"/>
  <c r="M191" i="59"/>
  <c r="O191" i="59"/>
  <c r="F192" i="59"/>
  <c r="G192" i="59"/>
  <c r="H192" i="59"/>
  <c r="I192" i="59"/>
  <c r="J192" i="59"/>
  <c r="K192" i="59"/>
  <c r="L192" i="59"/>
  <c r="M192" i="59"/>
  <c r="O192" i="59"/>
  <c r="F193" i="59"/>
  <c r="G193" i="59"/>
  <c r="H193" i="59"/>
  <c r="I193" i="59"/>
  <c r="J193" i="59"/>
  <c r="K193" i="59"/>
  <c r="L193" i="59"/>
  <c r="M193" i="59"/>
  <c r="O193" i="59"/>
  <c r="F194" i="59"/>
  <c r="G194" i="59"/>
  <c r="H194" i="59"/>
  <c r="I194" i="59"/>
  <c r="J194" i="59"/>
  <c r="K194" i="59"/>
  <c r="L194" i="59"/>
  <c r="M194" i="59"/>
  <c r="O194" i="59"/>
  <c r="F195" i="59"/>
  <c r="G195" i="59"/>
  <c r="H195" i="59"/>
  <c r="I195" i="59"/>
  <c r="J195" i="59"/>
  <c r="K195" i="59"/>
  <c r="L195" i="59"/>
  <c r="M195" i="59"/>
  <c r="O195" i="59"/>
  <c r="F196" i="59"/>
  <c r="G196" i="59"/>
  <c r="H196" i="59"/>
  <c r="I196" i="59"/>
  <c r="J196" i="59"/>
  <c r="K196" i="59"/>
  <c r="L196" i="59"/>
  <c r="M196" i="59"/>
  <c r="O196" i="59"/>
  <c r="F197" i="59"/>
  <c r="G197" i="59"/>
  <c r="H197" i="59"/>
  <c r="I197" i="59"/>
  <c r="J197" i="59"/>
  <c r="K197" i="59"/>
  <c r="L197" i="59"/>
  <c r="M197" i="59"/>
  <c r="O197" i="59"/>
  <c r="F198" i="59"/>
  <c r="G198" i="59"/>
  <c r="H198" i="59"/>
  <c r="I198" i="59"/>
  <c r="J198" i="59"/>
  <c r="K198" i="59"/>
  <c r="L198" i="59"/>
  <c r="M198" i="59"/>
  <c r="O198" i="59"/>
  <c r="F199" i="59"/>
  <c r="G199" i="59"/>
  <c r="H199" i="59"/>
  <c r="I199" i="59"/>
  <c r="J199" i="59"/>
  <c r="K199" i="59"/>
  <c r="L199" i="59"/>
  <c r="M199" i="59"/>
  <c r="O199" i="59"/>
  <c r="F200" i="59"/>
  <c r="G200" i="59"/>
  <c r="H200" i="59"/>
  <c r="I200" i="59"/>
  <c r="J200" i="59"/>
  <c r="K200" i="59"/>
  <c r="L200" i="59"/>
  <c r="M200" i="59"/>
  <c r="O200" i="59"/>
  <c r="F201" i="59"/>
  <c r="G201" i="59"/>
  <c r="H201" i="59"/>
  <c r="I201" i="59"/>
  <c r="J201" i="59"/>
  <c r="K201" i="59"/>
  <c r="L201" i="59"/>
  <c r="M201" i="59"/>
  <c r="O201" i="59"/>
  <c r="F202" i="59"/>
  <c r="G202" i="59"/>
  <c r="H202" i="59"/>
  <c r="I202" i="59"/>
  <c r="J202" i="59"/>
  <c r="K202" i="59"/>
  <c r="L202" i="59"/>
  <c r="M202" i="59"/>
  <c r="O202" i="59"/>
  <c r="F203" i="59"/>
  <c r="G203" i="59"/>
  <c r="H203" i="59"/>
  <c r="I203" i="59"/>
  <c r="J203" i="59"/>
  <c r="K203" i="59"/>
  <c r="L203" i="59"/>
  <c r="M203" i="59"/>
  <c r="O203" i="59"/>
  <c r="F204" i="59"/>
  <c r="G204" i="59"/>
  <c r="H204" i="59"/>
  <c r="I204" i="59"/>
  <c r="J204" i="59"/>
  <c r="K204" i="59"/>
  <c r="L204" i="59"/>
  <c r="M204" i="59"/>
  <c r="O204" i="59"/>
  <c r="F205" i="59"/>
  <c r="G205" i="59"/>
  <c r="H205" i="59"/>
  <c r="I205" i="59"/>
  <c r="J205" i="59"/>
  <c r="K205" i="59"/>
  <c r="L205" i="59"/>
  <c r="M205" i="59"/>
  <c r="O205" i="59"/>
  <c r="F206" i="59"/>
  <c r="G206" i="59"/>
  <c r="H206" i="59"/>
  <c r="I206" i="59"/>
  <c r="J206" i="59"/>
  <c r="K206" i="59"/>
  <c r="L206" i="59"/>
  <c r="M206" i="59"/>
  <c r="O206" i="59"/>
  <c r="F207" i="59"/>
  <c r="G207" i="59"/>
  <c r="H207" i="59"/>
  <c r="I207" i="59"/>
  <c r="J207" i="59"/>
  <c r="K207" i="59"/>
  <c r="L207" i="59"/>
  <c r="M207" i="59"/>
  <c r="O207" i="59"/>
  <c r="F208" i="59"/>
  <c r="G208" i="59"/>
  <c r="H208" i="59"/>
  <c r="I208" i="59"/>
  <c r="J208" i="59"/>
  <c r="K208" i="59"/>
  <c r="L208" i="59"/>
  <c r="M208" i="59"/>
  <c r="O208" i="59"/>
  <c r="F209" i="59"/>
  <c r="G209" i="59"/>
  <c r="H209" i="59"/>
  <c r="I209" i="59"/>
  <c r="J209" i="59"/>
  <c r="K209" i="59"/>
  <c r="L209" i="59"/>
  <c r="M209" i="59"/>
  <c r="O209" i="59"/>
  <c r="F214" i="59"/>
  <c r="G214" i="59"/>
  <c r="H214" i="59"/>
  <c r="I214" i="59"/>
  <c r="J214" i="59"/>
  <c r="K214" i="59"/>
  <c r="L214" i="59"/>
  <c r="M214" i="59"/>
  <c r="O214" i="59"/>
  <c r="F215" i="59"/>
  <c r="G215" i="59"/>
  <c r="H215" i="59"/>
  <c r="I215" i="59"/>
  <c r="J215" i="59"/>
  <c r="K215" i="59"/>
  <c r="L215" i="59"/>
  <c r="M215" i="59"/>
  <c r="O215" i="59"/>
  <c r="F216" i="59"/>
  <c r="G216" i="59"/>
  <c r="H216" i="59"/>
  <c r="I216" i="59"/>
  <c r="J216" i="59"/>
  <c r="K216" i="59"/>
  <c r="L216" i="59"/>
  <c r="M216" i="59"/>
  <c r="O216" i="59"/>
  <c r="F217" i="59"/>
  <c r="G217" i="59"/>
  <c r="H217" i="59"/>
  <c r="I217" i="59"/>
  <c r="J217" i="59"/>
  <c r="K217" i="59"/>
  <c r="L217" i="59"/>
  <c r="M217" i="59"/>
  <c r="O217" i="59"/>
  <c r="F218" i="59"/>
  <c r="G218" i="59"/>
  <c r="H218" i="59"/>
  <c r="I218" i="59"/>
  <c r="J218" i="59"/>
  <c r="K218" i="59"/>
  <c r="L218" i="59"/>
  <c r="M218" i="59"/>
  <c r="O218" i="59"/>
  <c r="F219" i="59"/>
  <c r="G219" i="59"/>
  <c r="H219" i="59"/>
  <c r="I219" i="59"/>
  <c r="J219" i="59"/>
  <c r="K219" i="59"/>
  <c r="L219" i="59"/>
  <c r="M219" i="59"/>
  <c r="O219" i="59"/>
  <c r="F220" i="59"/>
  <c r="G220" i="59"/>
  <c r="H220" i="59"/>
  <c r="I220" i="59"/>
  <c r="J220" i="59"/>
  <c r="K220" i="59"/>
  <c r="L220" i="59"/>
  <c r="M220" i="59"/>
  <c r="O220" i="59"/>
  <c r="F221" i="59"/>
  <c r="G221" i="59"/>
  <c r="H221" i="59"/>
  <c r="I221" i="59"/>
  <c r="J221" i="59"/>
  <c r="K221" i="59"/>
  <c r="L221" i="59"/>
  <c r="M221" i="59"/>
  <c r="O221" i="59"/>
  <c r="F222" i="59"/>
  <c r="G222" i="59"/>
  <c r="H222" i="59"/>
  <c r="I222" i="59"/>
  <c r="J222" i="59"/>
  <c r="K222" i="59"/>
  <c r="L222" i="59"/>
  <c r="M222" i="59"/>
  <c r="O222" i="59"/>
  <c r="F223" i="59"/>
  <c r="G223" i="59"/>
  <c r="H223" i="59"/>
  <c r="I223" i="59"/>
  <c r="J223" i="59"/>
  <c r="K223" i="59"/>
  <c r="L223" i="59"/>
  <c r="M223" i="59"/>
  <c r="O223" i="59"/>
  <c r="F224" i="59"/>
  <c r="G224" i="59"/>
  <c r="H224" i="59"/>
  <c r="I224" i="59"/>
  <c r="J224" i="59"/>
  <c r="K224" i="59"/>
  <c r="L224" i="59"/>
  <c r="M224" i="59"/>
  <c r="O224" i="59"/>
  <c r="F225" i="59"/>
  <c r="G225" i="59"/>
  <c r="H225" i="59"/>
  <c r="I225" i="59"/>
  <c r="J225" i="59"/>
  <c r="K225" i="59"/>
  <c r="L225" i="59"/>
  <c r="M225" i="59"/>
  <c r="O225" i="59"/>
  <c r="F226" i="59"/>
  <c r="G226" i="59"/>
  <c r="H226" i="59"/>
  <c r="I226" i="59"/>
  <c r="J226" i="59"/>
  <c r="K226" i="59"/>
  <c r="L226" i="59"/>
  <c r="M226" i="59"/>
  <c r="O226" i="59"/>
  <c r="F227" i="59"/>
  <c r="G227" i="59"/>
  <c r="H227" i="59"/>
  <c r="I227" i="59"/>
  <c r="J227" i="59"/>
  <c r="K227" i="59"/>
  <c r="L227" i="59"/>
  <c r="M227" i="59"/>
  <c r="O227" i="59"/>
  <c r="F228" i="59"/>
  <c r="G228" i="59"/>
  <c r="H228" i="59"/>
  <c r="I228" i="59"/>
  <c r="J228" i="59"/>
  <c r="K228" i="59"/>
  <c r="L228" i="59"/>
  <c r="M228" i="59"/>
  <c r="O228" i="59"/>
  <c r="F229" i="59"/>
  <c r="G229" i="59"/>
  <c r="H229" i="59"/>
  <c r="I229" i="59"/>
  <c r="J229" i="59"/>
  <c r="K229" i="59"/>
  <c r="L229" i="59"/>
  <c r="M229" i="59"/>
  <c r="O229" i="59"/>
  <c r="F230" i="59"/>
  <c r="G230" i="59"/>
  <c r="H230" i="59"/>
  <c r="I230" i="59"/>
  <c r="J230" i="59"/>
  <c r="K230" i="59"/>
  <c r="L230" i="59"/>
  <c r="M230" i="59"/>
  <c r="O230" i="59"/>
  <c r="F231" i="59"/>
  <c r="G231" i="59"/>
  <c r="H231" i="59"/>
  <c r="I231" i="59"/>
  <c r="J231" i="59"/>
  <c r="K231" i="59"/>
  <c r="L231" i="59"/>
  <c r="M231" i="59"/>
  <c r="O231" i="59"/>
  <c r="F232" i="59"/>
  <c r="G232" i="59"/>
  <c r="H232" i="59"/>
  <c r="I232" i="59"/>
  <c r="J232" i="59"/>
  <c r="K232" i="59"/>
  <c r="L232" i="59"/>
  <c r="M232" i="59"/>
  <c r="O232" i="59"/>
  <c r="F233" i="59"/>
  <c r="G233" i="59"/>
  <c r="H233" i="59"/>
  <c r="I233" i="59"/>
  <c r="J233" i="59"/>
  <c r="K233" i="59"/>
  <c r="L233" i="59"/>
  <c r="M233" i="59"/>
  <c r="O233" i="59"/>
  <c r="F234" i="59"/>
  <c r="G234" i="59"/>
  <c r="H234" i="59"/>
  <c r="I234" i="59"/>
  <c r="J234" i="59"/>
  <c r="K234" i="59"/>
  <c r="L234" i="59"/>
  <c r="M234" i="59"/>
  <c r="O234" i="59"/>
  <c r="F235" i="59"/>
  <c r="G235" i="59"/>
  <c r="H235" i="59"/>
  <c r="I235" i="59"/>
  <c r="J235" i="59"/>
  <c r="K235" i="59"/>
  <c r="L235" i="59"/>
  <c r="M235" i="59"/>
  <c r="O235" i="59"/>
  <c r="F236" i="59"/>
  <c r="G236" i="59"/>
  <c r="H236" i="59"/>
  <c r="I236" i="59"/>
  <c r="J236" i="59"/>
  <c r="K236" i="59"/>
  <c r="L236" i="59"/>
  <c r="M236" i="59"/>
  <c r="O236" i="59"/>
  <c r="F237" i="59"/>
  <c r="G237" i="59"/>
  <c r="H237" i="59"/>
  <c r="I237" i="59"/>
  <c r="J237" i="59"/>
  <c r="K237" i="59"/>
  <c r="L237" i="59"/>
  <c r="M237" i="59"/>
  <c r="O237" i="59"/>
  <c r="F238" i="59"/>
  <c r="G238" i="59"/>
  <c r="H238" i="59"/>
  <c r="I238" i="59"/>
  <c r="J238" i="59"/>
  <c r="K238" i="59"/>
  <c r="L238" i="59"/>
  <c r="M238" i="59"/>
  <c r="O238" i="59"/>
  <c r="F239" i="59"/>
  <c r="G239" i="59"/>
  <c r="H239" i="59"/>
  <c r="I239" i="59"/>
  <c r="J239" i="59"/>
  <c r="K239" i="59"/>
  <c r="L239" i="59"/>
  <c r="M239" i="59"/>
  <c r="O239" i="59"/>
  <c r="F241" i="59"/>
  <c r="G241" i="59"/>
  <c r="H241" i="59"/>
  <c r="I241" i="59"/>
  <c r="J241" i="59"/>
  <c r="K241" i="59"/>
  <c r="L241" i="59"/>
  <c r="M241" i="59"/>
  <c r="O241" i="59"/>
  <c r="F242" i="59"/>
  <c r="G242" i="59"/>
  <c r="H242" i="59"/>
  <c r="I242" i="59"/>
  <c r="J242" i="59"/>
  <c r="K242" i="59"/>
  <c r="L242" i="59"/>
  <c r="M242" i="59"/>
  <c r="O242" i="59"/>
  <c r="F243" i="59"/>
  <c r="G243" i="59"/>
  <c r="H243" i="59"/>
  <c r="I243" i="59"/>
  <c r="J243" i="59"/>
  <c r="K243" i="59"/>
  <c r="L243" i="59"/>
  <c r="M243" i="59"/>
  <c r="O243" i="59"/>
  <c r="F244" i="59"/>
  <c r="G244" i="59"/>
  <c r="H244" i="59"/>
  <c r="I244" i="59"/>
  <c r="J244" i="59"/>
  <c r="K244" i="59"/>
  <c r="L244" i="59"/>
  <c r="M244" i="59"/>
  <c r="O244" i="59"/>
  <c r="F245" i="59"/>
  <c r="G245" i="59"/>
  <c r="H245" i="59"/>
  <c r="I245" i="59"/>
  <c r="J245" i="59"/>
  <c r="K245" i="59"/>
  <c r="L245" i="59"/>
  <c r="M245" i="59"/>
  <c r="O245" i="59"/>
  <c r="F246" i="59"/>
  <c r="G246" i="59"/>
  <c r="H246" i="59"/>
  <c r="I246" i="59"/>
  <c r="J246" i="59"/>
  <c r="K246" i="59"/>
  <c r="L246" i="59"/>
  <c r="M246" i="59"/>
  <c r="O246" i="59"/>
  <c r="F247" i="59"/>
  <c r="G247" i="59"/>
  <c r="H247" i="59"/>
  <c r="I247" i="59"/>
  <c r="J247" i="59"/>
  <c r="K247" i="59"/>
  <c r="L247" i="59"/>
  <c r="M247" i="59"/>
  <c r="O247" i="59"/>
  <c r="F248" i="59"/>
  <c r="G248" i="59"/>
  <c r="H248" i="59"/>
  <c r="I248" i="59"/>
  <c r="J248" i="59"/>
  <c r="K248" i="59"/>
  <c r="L248" i="59"/>
  <c r="M248" i="59"/>
  <c r="O248" i="59"/>
  <c r="F249" i="59"/>
  <c r="G249" i="59"/>
  <c r="H249" i="59"/>
  <c r="I249" i="59"/>
  <c r="J249" i="59"/>
  <c r="K249" i="59"/>
  <c r="L249" i="59"/>
  <c r="M249" i="59"/>
  <c r="O249" i="59"/>
  <c r="F250" i="59"/>
  <c r="G250" i="59"/>
  <c r="H250" i="59"/>
  <c r="I250" i="59"/>
  <c r="J250" i="59"/>
  <c r="K250" i="59"/>
  <c r="L250" i="59"/>
  <c r="M250" i="59"/>
  <c r="O250" i="59"/>
  <c r="F251" i="59"/>
  <c r="G251" i="59"/>
  <c r="H251" i="59"/>
  <c r="I251" i="59"/>
  <c r="J251" i="59"/>
  <c r="K251" i="59"/>
  <c r="L251" i="59"/>
  <c r="M251" i="59"/>
  <c r="O251" i="59"/>
  <c r="F252" i="59"/>
  <c r="G252" i="59"/>
  <c r="H252" i="59"/>
  <c r="I252" i="59"/>
  <c r="J252" i="59"/>
  <c r="K252" i="59"/>
  <c r="L252" i="59"/>
  <c r="M252" i="59"/>
  <c r="O252" i="59"/>
  <c r="F253" i="59"/>
  <c r="G253" i="59"/>
  <c r="H253" i="59"/>
  <c r="I253" i="59"/>
  <c r="J253" i="59"/>
  <c r="K253" i="59"/>
  <c r="L253" i="59"/>
  <c r="M253" i="59"/>
  <c r="O253" i="59"/>
  <c r="F254" i="59"/>
  <c r="G254" i="59"/>
  <c r="H254" i="59"/>
  <c r="I254" i="59"/>
  <c r="J254" i="59"/>
  <c r="K254" i="59"/>
  <c r="L254" i="59"/>
  <c r="M254" i="59"/>
  <c r="O254" i="59"/>
  <c r="F255" i="59"/>
  <c r="G255" i="59"/>
  <c r="H255" i="59"/>
  <c r="I255" i="59"/>
  <c r="J255" i="59"/>
  <c r="K255" i="59"/>
  <c r="L255" i="59"/>
  <c r="M255" i="59"/>
  <c r="O255" i="59"/>
  <c r="F256" i="59"/>
  <c r="G256" i="59"/>
  <c r="H256" i="59"/>
  <c r="I256" i="59"/>
  <c r="J256" i="59"/>
  <c r="K256" i="59"/>
  <c r="L256" i="59"/>
  <c r="M256" i="59"/>
  <c r="O256" i="59"/>
  <c r="F257" i="59"/>
  <c r="G257" i="59"/>
  <c r="H257" i="59"/>
  <c r="I257" i="59"/>
  <c r="J257" i="59"/>
  <c r="K257" i="59"/>
  <c r="L257" i="59"/>
  <c r="M257" i="59"/>
  <c r="O257" i="59"/>
  <c r="F258" i="59"/>
  <c r="G258" i="59"/>
  <c r="H258" i="59"/>
  <c r="I258" i="59"/>
  <c r="J258" i="59"/>
  <c r="K258" i="59"/>
  <c r="L258" i="59"/>
  <c r="M258" i="59"/>
  <c r="O258" i="59"/>
  <c r="F259" i="59"/>
  <c r="G259" i="59"/>
  <c r="H259" i="59"/>
  <c r="I259" i="59"/>
  <c r="J259" i="59"/>
  <c r="K259" i="59"/>
  <c r="L259" i="59"/>
  <c r="M259" i="59"/>
  <c r="O259" i="59"/>
  <c r="F260" i="59"/>
  <c r="G260" i="59"/>
  <c r="H260" i="59"/>
  <c r="I260" i="59"/>
  <c r="J260" i="59"/>
  <c r="K260" i="59"/>
  <c r="L260" i="59"/>
  <c r="M260" i="59"/>
  <c r="O260" i="59"/>
  <c r="F261" i="59"/>
  <c r="G261" i="59"/>
  <c r="H261" i="59"/>
  <c r="I261" i="59"/>
  <c r="J261" i="59"/>
  <c r="K261" i="59"/>
  <c r="L261" i="59"/>
  <c r="M261" i="59"/>
  <c r="O261" i="59"/>
  <c r="F262" i="59"/>
  <c r="G262" i="59"/>
  <c r="H262" i="59"/>
  <c r="I262" i="59"/>
  <c r="J262" i="59"/>
  <c r="K262" i="59"/>
  <c r="L262" i="59"/>
  <c r="M262" i="59"/>
  <c r="O262" i="59"/>
  <c r="F263" i="59"/>
  <c r="G263" i="59"/>
  <c r="H263" i="59"/>
  <c r="I263" i="59"/>
  <c r="J263" i="59"/>
  <c r="K263" i="59"/>
  <c r="L263" i="59"/>
  <c r="M263" i="59"/>
  <c r="O263" i="59"/>
  <c r="F264" i="59"/>
  <c r="G264" i="59"/>
  <c r="H264" i="59"/>
  <c r="I264" i="59"/>
  <c r="J264" i="59"/>
  <c r="K264" i="59"/>
  <c r="L264" i="59"/>
  <c r="M264" i="59"/>
  <c r="O264" i="59"/>
  <c r="F269" i="59"/>
  <c r="G269" i="59"/>
  <c r="H269" i="59"/>
  <c r="I269" i="59"/>
  <c r="J269" i="59"/>
  <c r="K269" i="59"/>
  <c r="L269" i="59"/>
  <c r="M269" i="59"/>
  <c r="O269" i="59"/>
  <c r="F270" i="59"/>
  <c r="G270" i="59"/>
  <c r="H270" i="59"/>
  <c r="I270" i="59"/>
  <c r="J270" i="59"/>
  <c r="K270" i="59"/>
  <c r="L270" i="59"/>
  <c r="M270" i="59"/>
  <c r="O270" i="59"/>
  <c r="F271" i="59"/>
  <c r="G271" i="59"/>
  <c r="H271" i="59"/>
  <c r="I271" i="59"/>
  <c r="J271" i="59"/>
  <c r="K271" i="59"/>
  <c r="L271" i="59"/>
  <c r="M271" i="59"/>
  <c r="O271" i="59"/>
  <c r="E14" i="59"/>
  <c r="E15" i="59"/>
  <c r="E16" i="59"/>
  <c r="E17" i="59"/>
  <c r="E18" i="59"/>
  <c r="E19" i="59"/>
  <c r="E20" i="59"/>
  <c r="E24" i="59"/>
  <c r="E25" i="59"/>
  <c r="E26" i="59"/>
  <c r="E27" i="59"/>
  <c r="E28" i="59"/>
  <c r="E29" i="59"/>
  <c r="E30" i="59"/>
  <c r="E31" i="59"/>
  <c r="E32" i="59"/>
  <c r="E33" i="59"/>
  <c r="E34" i="59"/>
  <c r="E35" i="59"/>
  <c r="E36" i="59"/>
  <c r="E37" i="59"/>
  <c r="E38" i="59"/>
  <c r="E39" i="59"/>
  <c r="E40" i="59"/>
  <c r="E41" i="59"/>
  <c r="E42" i="59"/>
  <c r="E43" i="59"/>
  <c r="E44" i="59"/>
  <c r="E45" i="59"/>
  <c r="E46" i="59"/>
  <c r="E47" i="59"/>
  <c r="E48" i="59"/>
  <c r="E49" i="59"/>
  <c r="E50" i="59"/>
  <c r="E51" i="59"/>
  <c r="E52" i="59"/>
  <c r="E53" i="59"/>
  <c r="E54" i="59"/>
  <c r="E55" i="59"/>
  <c r="E56" i="59"/>
  <c r="E57" i="59"/>
  <c r="E58" i="59"/>
  <c r="E59" i="59"/>
  <c r="E60" i="59"/>
  <c r="E61" i="59"/>
  <c r="E62" i="59"/>
  <c r="E63" i="59"/>
  <c r="E64" i="59"/>
  <c r="E65" i="59"/>
  <c r="E66" i="59"/>
  <c r="E67" i="59"/>
  <c r="E68" i="59"/>
  <c r="E69" i="59"/>
  <c r="E70" i="59"/>
  <c r="E71" i="59"/>
  <c r="E72" i="59"/>
  <c r="E73" i="59"/>
  <c r="E74" i="59"/>
  <c r="E75" i="59"/>
  <c r="E76" i="59"/>
  <c r="E77" i="59"/>
  <c r="E78" i="59"/>
  <c r="E79" i="59"/>
  <c r="E80" i="59"/>
  <c r="E81" i="59"/>
  <c r="E82" i="59"/>
  <c r="E83" i="59"/>
  <c r="E84" i="59"/>
  <c r="E85" i="59"/>
  <c r="E86" i="59"/>
  <c r="E87" i="59"/>
  <c r="E88" i="59"/>
  <c r="E96" i="59"/>
  <c r="E97" i="59"/>
  <c r="E98" i="59"/>
  <c r="E99" i="59"/>
  <c r="E100" i="59"/>
  <c r="E101" i="59"/>
  <c r="E102" i="59"/>
  <c r="E103" i="59"/>
  <c r="E104" i="59"/>
  <c r="E105" i="59"/>
  <c r="E106" i="59"/>
  <c r="E107" i="59"/>
  <c r="E108" i="59"/>
  <c r="E109" i="59"/>
  <c r="E110" i="59"/>
  <c r="E111" i="59"/>
  <c r="E112" i="59"/>
  <c r="E113" i="59"/>
  <c r="E114" i="59"/>
  <c r="E115" i="59"/>
  <c r="E116" i="59"/>
  <c r="E117" i="59"/>
  <c r="E118" i="59"/>
  <c r="E119" i="59"/>
  <c r="E120" i="59"/>
  <c r="E121" i="59"/>
  <c r="E122" i="59"/>
  <c r="E123" i="59"/>
  <c r="E124" i="59"/>
  <c r="E125" i="59"/>
  <c r="E126" i="59"/>
  <c r="E127" i="59"/>
  <c r="E128" i="59"/>
  <c r="E129" i="59"/>
  <c r="E130" i="59"/>
  <c r="E131" i="59"/>
  <c r="E132" i="59"/>
  <c r="E133" i="59"/>
  <c r="E134" i="59"/>
  <c r="E135" i="59"/>
  <c r="E136" i="59"/>
  <c r="E137" i="59"/>
  <c r="E138" i="59"/>
  <c r="E139" i="59"/>
  <c r="E140" i="59"/>
  <c r="E141" i="59"/>
  <c r="E142" i="59"/>
  <c r="E143" i="59"/>
  <c r="E144" i="59"/>
  <c r="E145" i="59"/>
  <c r="E146" i="59"/>
  <c r="E147" i="59"/>
  <c r="E148" i="59"/>
  <c r="E149" i="59"/>
  <c r="E150" i="59"/>
  <c r="E151" i="59"/>
  <c r="E152" i="59"/>
  <c r="E153" i="59"/>
  <c r="E154" i="59"/>
  <c r="E155" i="59"/>
  <c r="E156" i="59"/>
  <c r="E157" i="59"/>
  <c r="E158" i="59"/>
  <c r="E159" i="59"/>
  <c r="E160" i="59"/>
  <c r="E161" i="59"/>
  <c r="E162" i="59"/>
  <c r="E163" i="59"/>
  <c r="E164" i="59"/>
  <c r="E165" i="59"/>
  <c r="E166" i="59"/>
  <c r="E167" i="59"/>
  <c r="E168" i="59"/>
  <c r="E169" i="59"/>
  <c r="E170" i="59"/>
  <c r="E171" i="59"/>
  <c r="E172" i="59"/>
  <c r="E173" i="59"/>
  <c r="E174" i="59"/>
  <c r="E175" i="59"/>
  <c r="E176" i="59"/>
  <c r="E177" i="59"/>
  <c r="E178" i="59"/>
  <c r="E179" i="59"/>
  <c r="E180" i="59"/>
  <c r="E181" i="59"/>
  <c r="E182" i="59"/>
  <c r="E183" i="59"/>
  <c r="E184" i="59"/>
  <c r="E185" i="59"/>
  <c r="E186" i="59"/>
  <c r="E187" i="59"/>
  <c r="E188" i="59"/>
  <c r="E189" i="59"/>
  <c r="E190" i="59"/>
  <c r="E191" i="59"/>
  <c r="E192" i="59"/>
  <c r="E193" i="59"/>
  <c r="E194" i="59"/>
  <c r="E195" i="59"/>
  <c r="E196" i="59"/>
  <c r="E197" i="59"/>
  <c r="E198" i="59"/>
  <c r="E199" i="59"/>
  <c r="E200" i="59"/>
  <c r="E201" i="59"/>
  <c r="E202" i="59"/>
  <c r="E203" i="59"/>
  <c r="E204" i="59"/>
  <c r="E205" i="59"/>
  <c r="E206" i="59"/>
  <c r="E207" i="59"/>
  <c r="E208" i="59"/>
  <c r="E209" i="59"/>
  <c r="E214" i="59"/>
  <c r="E215" i="59"/>
  <c r="E216" i="59"/>
  <c r="E217" i="59"/>
  <c r="E218" i="59"/>
  <c r="E219" i="59"/>
  <c r="E220" i="59"/>
  <c r="E221" i="59"/>
  <c r="E222" i="59"/>
  <c r="E223" i="59"/>
  <c r="E224" i="59"/>
  <c r="E225" i="59"/>
  <c r="E226" i="59"/>
  <c r="E227" i="59"/>
  <c r="E228" i="59"/>
  <c r="E229" i="59"/>
  <c r="E230" i="59"/>
  <c r="E231" i="59"/>
  <c r="E232" i="59"/>
  <c r="E233" i="59"/>
  <c r="E234" i="59"/>
  <c r="E235" i="59"/>
  <c r="E236" i="59"/>
  <c r="E237" i="59"/>
  <c r="E238" i="59"/>
  <c r="E239" i="59"/>
  <c r="E241" i="59"/>
  <c r="E242" i="59"/>
  <c r="E243" i="59"/>
  <c r="E244" i="59"/>
  <c r="E245" i="59"/>
  <c r="E246" i="59"/>
  <c r="E247" i="59"/>
  <c r="E248" i="59"/>
  <c r="E249" i="59"/>
  <c r="E250" i="59"/>
  <c r="E251" i="59"/>
  <c r="E252" i="59"/>
  <c r="E253" i="59"/>
  <c r="E254" i="59"/>
  <c r="E255" i="59"/>
  <c r="E256" i="59"/>
  <c r="E257" i="59"/>
  <c r="E258" i="59"/>
  <c r="E259" i="59"/>
  <c r="E260" i="59"/>
  <c r="E261" i="59"/>
  <c r="E262" i="59"/>
  <c r="E263" i="59"/>
  <c r="E264" i="59"/>
  <c r="E269" i="59"/>
  <c r="E270" i="59"/>
  <c r="E271" i="59"/>
  <c r="D271" i="59"/>
  <c r="D270" i="59"/>
  <c r="D269" i="59"/>
  <c r="D89" i="59"/>
  <c r="D20" i="59"/>
  <c r="O9" i="59"/>
  <c r="O10" i="59"/>
  <c r="O11" i="59"/>
  <c r="O12" i="59"/>
  <c r="O13" i="59"/>
  <c r="O8" i="59"/>
  <c r="M9" i="59"/>
  <c r="M10" i="59"/>
  <c r="M11" i="59"/>
  <c r="M12" i="59"/>
  <c r="M13" i="59"/>
  <c r="M8" i="59"/>
  <c r="L9" i="59"/>
  <c r="L10" i="59"/>
  <c r="L11" i="59"/>
  <c r="L12" i="59"/>
  <c r="L13" i="59"/>
  <c r="L8" i="59"/>
  <c r="K9" i="59"/>
  <c r="K10" i="59"/>
  <c r="K11" i="59"/>
  <c r="K12" i="59"/>
  <c r="K13" i="59"/>
  <c r="K8" i="59"/>
  <c r="J9" i="59"/>
  <c r="J10" i="59"/>
  <c r="J11" i="59"/>
  <c r="J12" i="59"/>
  <c r="J13" i="59"/>
  <c r="J8" i="59"/>
  <c r="I9" i="59"/>
  <c r="I10" i="59"/>
  <c r="I11" i="59"/>
  <c r="I12" i="59"/>
  <c r="I13" i="59"/>
  <c r="I8" i="59"/>
  <c r="H9" i="59"/>
  <c r="H10" i="59"/>
  <c r="H11" i="59"/>
  <c r="H12" i="59"/>
  <c r="H13" i="59"/>
  <c r="H8" i="59"/>
  <c r="G9" i="59"/>
  <c r="G10" i="59"/>
  <c r="G11" i="59"/>
  <c r="G12" i="59"/>
  <c r="G13" i="59"/>
  <c r="G8" i="59"/>
  <c r="F9" i="59"/>
  <c r="F10" i="59"/>
  <c r="F11" i="59"/>
  <c r="F12" i="59"/>
  <c r="F13" i="59"/>
  <c r="E9" i="59"/>
  <c r="E10" i="59"/>
  <c r="E11" i="59"/>
  <c r="E12" i="59"/>
  <c r="E13" i="59"/>
  <c r="F8" i="59"/>
  <c r="E8" i="59"/>
  <c r="D9" i="59"/>
  <c r="D10" i="59"/>
  <c r="D11" i="59"/>
  <c r="D12" i="59"/>
  <c r="D13" i="59"/>
  <c r="D8" i="59"/>
  <c r="D96" i="59"/>
  <c r="D97" i="59"/>
  <c r="D98" i="59"/>
  <c r="D99" i="59"/>
  <c r="D100" i="59"/>
  <c r="D101" i="59"/>
  <c r="D102" i="59"/>
  <c r="D103" i="59"/>
  <c r="D104" i="59"/>
  <c r="D105" i="59"/>
  <c r="D106" i="59"/>
  <c r="D107" i="59"/>
  <c r="D108" i="59"/>
  <c r="D109" i="59"/>
  <c r="D110" i="59"/>
  <c r="D111" i="59"/>
  <c r="D112" i="59"/>
  <c r="D113" i="59"/>
  <c r="D114" i="59"/>
  <c r="D115" i="59"/>
  <c r="D116" i="59"/>
  <c r="D117" i="59"/>
  <c r="D118" i="59"/>
  <c r="D119" i="59"/>
  <c r="D120" i="59"/>
  <c r="D121" i="59"/>
  <c r="D122" i="59"/>
  <c r="D123" i="59"/>
  <c r="D124" i="59"/>
  <c r="D125" i="59"/>
  <c r="D126" i="59"/>
  <c r="D127" i="59"/>
  <c r="D128" i="59"/>
  <c r="D129" i="59"/>
  <c r="D130" i="59"/>
  <c r="D131" i="59"/>
  <c r="D132" i="59"/>
  <c r="D133" i="59"/>
  <c r="D134" i="59"/>
  <c r="D135" i="59"/>
  <c r="D136" i="59"/>
  <c r="D137" i="59"/>
  <c r="D138" i="59"/>
  <c r="D139" i="59"/>
  <c r="D140" i="59"/>
  <c r="D141" i="59"/>
  <c r="D142" i="59"/>
  <c r="D143" i="59"/>
  <c r="D144" i="59"/>
  <c r="D145" i="59"/>
  <c r="D146" i="59"/>
  <c r="D147" i="59"/>
  <c r="D148" i="59"/>
  <c r="D149" i="59"/>
  <c r="D150" i="59"/>
  <c r="D151" i="59"/>
  <c r="D152" i="59"/>
  <c r="D153" i="59"/>
  <c r="D154" i="59"/>
  <c r="D155" i="59"/>
  <c r="D156" i="59"/>
  <c r="D157" i="59"/>
  <c r="D158" i="59"/>
  <c r="D159" i="59"/>
  <c r="D160" i="59"/>
  <c r="D161" i="59"/>
  <c r="D162" i="59"/>
  <c r="D163" i="59"/>
  <c r="D164" i="59"/>
  <c r="D165" i="59"/>
  <c r="D166" i="59"/>
  <c r="D167" i="59"/>
  <c r="D168" i="59"/>
  <c r="D169" i="59"/>
  <c r="D170" i="59"/>
  <c r="D171" i="59"/>
  <c r="D172" i="59"/>
  <c r="D173" i="59"/>
  <c r="D174" i="59"/>
  <c r="D175" i="59"/>
  <c r="D176" i="59"/>
  <c r="D177" i="59"/>
  <c r="D178" i="59"/>
  <c r="D179" i="59"/>
  <c r="D180" i="59"/>
  <c r="D181" i="59"/>
  <c r="D182" i="59"/>
  <c r="D183" i="59"/>
  <c r="D184" i="59"/>
  <c r="D185" i="59"/>
  <c r="D186" i="59"/>
  <c r="D187" i="59"/>
  <c r="D188" i="59"/>
  <c r="D189" i="59"/>
  <c r="D190" i="59"/>
  <c r="D191" i="59"/>
  <c r="D192" i="59"/>
  <c r="D193" i="59"/>
  <c r="D194" i="59"/>
  <c r="D195" i="59"/>
  <c r="D196" i="59"/>
  <c r="D197" i="59"/>
  <c r="D198" i="59"/>
  <c r="D199" i="59"/>
  <c r="D200" i="59"/>
  <c r="D201" i="59"/>
  <c r="D202" i="59"/>
  <c r="D203" i="59"/>
  <c r="D204" i="59"/>
  <c r="D205" i="59"/>
  <c r="D206" i="59"/>
  <c r="D207" i="59"/>
  <c r="D208" i="59"/>
  <c r="D209" i="59"/>
  <c r="D214" i="59"/>
  <c r="D215" i="59"/>
  <c r="D216" i="59"/>
  <c r="D217" i="59"/>
  <c r="D218" i="59"/>
  <c r="D219" i="59"/>
  <c r="D220" i="59"/>
  <c r="D221" i="59"/>
  <c r="D222" i="59"/>
  <c r="D223" i="59"/>
  <c r="D224" i="59"/>
  <c r="D225" i="59"/>
  <c r="D226" i="59"/>
  <c r="D227" i="59"/>
  <c r="D228" i="59"/>
  <c r="D229" i="59"/>
  <c r="D230" i="59"/>
  <c r="D231" i="59"/>
  <c r="D232" i="59"/>
  <c r="D233" i="59"/>
  <c r="D234" i="59"/>
  <c r="D235" i="59"/>
  <c r="D236" i="59"/>
  <c r="D237" i="59"/>
  <c r="D238" i="59"/>
  <c r="D239" i="59"/>
  <c r="D241" i="59"/>
  <c r="D242" i="59"/>
  <c r="D243" i="59"/>
  <c r="D244" i="59"/>
  <c r="D245" i="59"/>
  <c r="D246" i="59"/>
  <c r="D247" i="59"/>
  <c r="D248" i="59"/>
  <c r="D249" i="59"/>
  <c r="D250" i="59"/>
  <c r="D251" i="59"/>
  <c r="D252" i="59"/>
  <c r="D253" i="59"/>
  <c r="D254" i="59"/>
  <c r="D255" i="59"/>
  <c r="D256" i="59"/>
  <c r="D257" i="59"/>
  <c r="D258" i="59"/>
  <c r="D259" i="59"/>
  <c r="D260" i="59"/>
  <c r="D261" i="59"/>
  <c r="D262" i="59"/>
  <c r="D263" i="59"/>
  <c r="D264" i="59"/>
  <c r="D15" i="59"/>
  <c r="D16" i="59"/>
  <c r="D17" i="59"/>
  <c r="D18" i="59"/>
  <c r="D19" i="59"/>
  <c r="D24" i="59"/>
  <c r="D25" i="59"/>
  <c r="D26" i="59"/>
  <c r="D27" i="59"/>
  <c r="D28" i="59"/>
  <c r="D29" i="59"/>
  <c r="D30" i="59"/>
  <c r="D31" i="59"/>
  <c r="D32" i="59"/>
  <c r="D33" i="59"/>
  <c r="D34" i="59"/>
  <c r="D35" i="59"/>
  <c r="D36" i="59"/>
  <c r="D37" i="59"/>
  <c r="D38" i="59"/>
  <c r="D39" i="59"/>
  <c r="D40" i="59"/>
  <c r="D41" i="59"/>
  <c r="D42" i="59"/>
  <c r="D43" i="59"/>
  <c r="D44" i="59"/>
  <c r="D45" i="59"/>
  <c r="D46" i="59"/>
  <c r="D47" i="59"/>
  <c r="D48" i="59"/>
  <c r="D49" i="59"/>
  <c r="D50" i="59"/>
  <c r="D51" i="59"/>
  <c r="D52" i="59"/>
  <c r="D53" i="59"/>
  <c r="D54" i="59"/>
  <c r="D55" i="59"/>
  <c r="D56" i="59"/>
  <c r="D57" i="59"/>
  <c r="D58" i="59"/>
  <c r="D59" i="59"/>
  <c r="D60" i="59"/>
  <c r="D61" i="59"/>
  <c r="D62" i="59"/>
  <c r="D63" i="59"/>
  <c r="D64" i="59"/>
  <c r="D65" i="59"/>
  <c r="D66" i="59"/>
  <c r="D67" i="59"/>
  <c r="D68" i="59"/>
  <c r="D69" i="59"/>
  <c r="D70" i="59"/>
  <c r="D71" i="59"/>
  <c r="D72" i="59"/>
  <c r="D73" i="59"/>
  <c r="D74" i="59"/>
  <c r="D75" i="59"/>
  <c r="D76" i="59"/>
  <c r="D77" i="59"/>
  <c r="D78" i="59"/>
  <c r="D79" i="59"/>
  <c r="D80" i="59"/>
  <c r="D81" i="59"/>
  <c r="D82" i="59"/>
  <c r="D83" i="59"/>
  <c r="D84" i="59"/>
  <c r="D85" i="59"/>
  <c r="D86" i="59"/>
  <c r="D87" i="59"/>
  <c r="D88" i="59"/>
  <c r="AY3" i="83"/>
  <c r="AY4" i="83"/>
  <c r="AY5" i="83"/>
  <c r="AY6" i="83"/>
  <c r="AY7" i="83"/>
  <c r="AY8" i="83"/>
  <c r="BW5" i="23" l="1"/>
  <c r="BX5" i="23"/>
  <c r="CA5" i="23"/>
  <c r="CA30" i="23" s="1"/>
  <c r="BY5" i="23"/>
  <c r="BZ5" i="23"/>
  <c r="BW7" i="23"/>
  <c r="BX7" i="23"/>
  <c r="BY7" i="23"/>
  <c r="BZ7" i="23"/>
  <c r="CA7" i="23"/>
  <c r="BZ4" i="23"/>
  <c r="BX4" i="23"/>
  <c r="BY4" i="23"/>
  <c r="BW9" i="23"/>
  <c r="BX9" i="23"/>
  <c r="CA9" i="23"/>
  <c r="BY9" i="23"/>
  <c r="BZ9" i="23"/>
  <c r="CH5" i="23"/>
  <c r="CD5" i="23"/>
  <c r="CD30" i="23" s="1"/>
  <c r="BZ30" i="23"/>
  <c r="CI5" i="23"/>
  <c r="CE5" i="23"/>
  <c r="CF5" i="23"/>
  <c r="CB5" i="23"/>
  <c r="CB30" i="23" s="1"/>
  <c r="BX30" i="23"/>
  <c r="CG5" i="23"/>
  <c r="CC5" i="23"/>
  <c r="CC30" i="23" s="1"/>
  <c r="BY30" i="23"/>
  <c r="CI4" i="23"/>
  <c r="CE4" i="23"/>
  <c r="CA4" i="23"/>
  <c r="CF4" i="23"/>
  <c r="CB4" i="23"/>
  <c r="CB37" i="23" s="1"/>
  <c r="CG4" i="23"/>
  <c r="CC4" i="23"/>
  <c r="CH4" i="23"/>
  <c r="CD4" i="23"/>
  <c r="CF9" i="23"/>
  <c r="CB9" i="23"/>
  <c r="CG9" i="23"/>
  <c r="CC9" i="23"/>
  <c r="CH9" i="23"/>
  <c r="CD9" i="23"/>
  <c r="CI9" i="23"/>
  <c r="CE9" i="23"/>
  <c r="CG7" i="23"/>
  <c r="CC7" i="23"/>
  <c r="CC27" i="23" s="1"/>
  <c r="CH7" i="23"/>
  <c r="CD7" i="23"/>
  <c r="CI7" i="23"/>
  <c r="CE7" i="23"/>
  <c r="CF7" i="23"/>
  <c r="CB7" i="23"/>
  <c r="CB27" i="23" s="1"/>
  <c r="P43" i="59"/>
  <c r="AG43" i="1" s="1"/>
  <c r="O91" i="59"/>
  <c r="C8" i="25"/>
  <c r="O40" i="70"/>
  <c r="O40" i="105"/>
  <c r="N12" i="105"/>
  <c r="N11" i="105"/>
  <c r="N10" i="105"/>
  <c r="CD27" i="23" l="1"/>
  <c r="CD5" i="83"/>
  <c r="CD31" i="23"/>
  <c r="CD6" i="83" s="1"/>
  <c r="CC31" i="23"/>
  <c r="CC6" i="83" s="1"/>
  <c r="CC5" i="83"/>
  <c r="CB5" i="83"/>
  <c r="CB31" i="23"/>
  <c r="CB6" i="83" s="1"/>
  <c r="CA27" i="23"/>
  <c r="CA31" i="23"/>
  <c r="CA6" i="83" s="1"/>
  <c r="CA5" i="83"/>
  <c r="BZ27" i="23"/>
  <c r="BZ31" i="23"/>
  <c r="BZ6" i="83" s="1"/>
  <c r="BZ5" i="83"/>
  <c r="BY27" i="23"/>
  <c r="BY5" i="83"/>
  <c r="BY31" i="23"/>
  <c r="BY6" i="83" s="1"/>
  <c r="CG6" i="23"/>
  <c r="CG8" i="23" s="1"/>
  <c r="CG10" i="23" s="1"/>
  <c r="BX31" i="23"/>
  <c r="BX6" i="83" s="1"/>
  <c r="BX5" i="83"/>
  <c r="BX27" i="23"/>
  <c r="CD6" i="23"/>
  <c r="CC6" i="23"/>
  <c r="CC26" i="23" s="1"/>
  <c r="CF6" i="23"/>
  <c r="CF8" i="23" s="1"/>
  <c r="CF10" i="23" s="1"/>
  <c r="CI6" i="23"/>
  <c r="CI8" i="23" s="1"/>
  <c r="CI10" i="23" s="1"/>
  <c r="BY6" i="23"/>
  <c r="BY26" i="23" s="1"/>
  <c r="CB6" i="23"/>
  <c r="CB26" i="23" s="1"/>
  <c r="CE6" i="23"/>
  <c r="CE8" i="23" s="1"/>
  <c r="CE10" i="23" s="1"/>
  <c r="BX6" i="23"/>
  <c r="BX8" i="23" s="1"/>
  <c r="BX10" i="23" s="1"/>
  <c r="CA6" i="23"/>
  <c r="CA26" i="23" s="1"/>
  <c r="BZ6" i="23"/>
  <c r="BZ26" i="23" s="1"/>
  <c r="CH6" i="23"/>
  <c r="CH8" i="23" s="1"/>
  <c r="CH10" i="23" s="1"/>
  <c r="C10" i="25"/>
  <c r="BW15" i="23" s="1"/>
  <c r="BW6" i="23"/>
  <c r="BW26" i="23" s="1"/>
  <c r="BW27" i="23"/>
  <c r="BS40" i="23"/>
  <c r="CD8" i="23" l="1"/>
  <c r="CD10" i="23" s="1"/>
  <c r="CD26" i="23"/>
  <c r="CC8" i="23"/>
  <c r="CC10" i="23" s="1"/>
  <c r="CB8" i="23"/>
  <c r="CB10" i="23" s="1"/>
  <c r="CA8" i="23"/>
  <c r="CA10" i="23" s="1"/>
  <c r="BZ8" i="23"/>
  <c r="BZ10" i="23" s="1"/>
  <c r="BY8" i="23"/>
  <c r="BY10" i="23" s="1"/>
  <c r="BX26" i="23"/>
  <c r="C12" i="25"/>
  <c r="BW30" i="23"/>
  <c r="C49" i="105"/>
  <c r="BW8" i="23"/>
  <c r="BW10" i="23" s="1"/>
  <c r="BN5" i="83"/>
  <c r="BW5" i="83" l="1"/>
  <c r="BW31" i="23"/>
  <c r="BW6" i="83" s="1"/>
  <c r="BN6" i="83"/>
  <c r="BM6" i="83"/>
  <c r="BM5" i="83"/>
  <c r="P38" i="10"/>
  <c r="O38" i="10"/>
  <c r="N38" i="10"/>
  <c r="M38" i="10"/>
  <c r="L38" i="10"/>
  <c r="K38" i="10"/>
  <c r="J38" i="10"/>
  <c r="I38" i="10"/>
  <c r="H38" i="10"/>
  <c r="G38" i="10"/>
  <c r="F38" i="10"/>
  <c r="P39" i="9"/>
  <c r="O39" i="9"/>
  <c r="N39" i="9"/>
  <c r="M39" i="9"/>
  <c r="L39" i="9"/>
  <c r="K39" i="9"/>
  <c r="J39" i="9"/>
  <c r="I39" i="9"/>
  <c r="G39" i="9"/>
  <c r="F39" i="9"/>
  <c r="P41" i="8"/>
  <c r="O41" i="8"/>
  <c r="N41" i="8"/>
  <c r="M41" i="8"/>
  <c r="L41" i="8"/>
  <c r="K41" i="8"/>
  <c r="J41" i="8"/>
  <c r="I41" i="8"/>
  <c r="H41" i="8"/>
  <c r="G41" i="8"/>
  <c r="F41" i="8"/>
  <c r="P44" i="33"/>
  <c r="O44" i="33"/>
  <c r="L10" i="28" s="1"/>
  <c r="N44" i="33"/>
  <c r="M44" i="33"/>
  <c r="J10" i="28" s="1"/>
  <c r="L44" i="33"/>
  <c r="K44" i="33"/>
  <c r="J44" i="33"/>
  <c r="I44" i="33"/>
  <c r="H44" i="33"/>
  <c r="G44" i="33"/>
  <c r="F44" i="33"/>
  <c r="C25" i="107"/>
  <c r="B26" i="106" s="1"/>
  <c r="C30" i="107"/>
  <c r="B31" i="106" s="1"/>
  <c r="C34" i="107"/>
  <c r="B35" i="106" s="1"/>
  <c r="C42" i="107"/>
  <c r="B43" i="106" s="1"/>
  <c r="C43" i="107"/>
  <c r="B44" i="106" s="1"/>
  <c r="F37" i="107"/>
  <c r="C38" i="106" s="1"/>
  <c r="DT38" i="106" s="1"/>
  <c r="DU38" i="106" s="1"/>
  <c r="F38" i="107"/>
  <c r="C39" i="106" s="1"/>
  <c r="DT39" i="106" s="1"/>
  <c r="F39" i="107"/>
  <c r="C40" i="106" s="1"/>
  <c r="DT40" i="106" s="1"/>
  <c r="F40" i="107"/>
  <c r="C41" i="106" s="1"/>
  <c r="DT41" i="106" s="1"/>
  <c r="F41" i="107"/>
  <c r="C42" i="106" s="1"/>
  <c r="DT42" i="106" s="1"/>
  <c r="F42" i="107"/>
  <c r="C43" i="106" s="1"/>
  <c r="DT43" i="106" s="1"/>
  <c r="DU43" i="106" s="1"/>
  <c r="F43" i="107"/>
  <c r="C44" i="106" s="1"/>
  <c r="DT44" i="106" s="1"/>
  <c r="DU44" i="106" s="1"/>
  <c r="F44" i="107"/>
  <c r="C45" i="106" s="1"/>
  <c r="DT45" i="106" s="1"/>
  <c r="F45" i="107"/>
  <c r="C46" i="106" s="1"/>
  <c r="DT46" i="106" s="1"/>
  <c r="I37" i="107"/>
  <c r="D38" i="106" s="1"/>
  <c r="I38" i="107"/>
  <c r="D39" i="106" s="1"/>
  <c r="I39" i="107"/>
  <c r="D40" i="106" s="1"/>
  <c r="I40" i="107"/>
  <c r="D41" i="106" s="1"/>
  <c r="I41" i="107"/>
  <c r="D42" i="106" s="1"/>
  <c r="I42" i="107"/>
  <c r="D43" i="106" s="1"/>
  <c r="I43" i="107"/>
  <c r="D44" i="106" s="1"/>
  <c r="I44" i="107"/>
  <c r="D45" i="106" s="1"/>
  <c r="I45" i="107"/>
  <c r="D46" i="106" s="1"/>
  <c r="O37" i="107"/>
  <c r="F38" i="106" s="1"/>
  <c r="O38" i="107"/>
  <c r="F39" i="106" s="1"/>
  <c r="O39" i="107"/>
  <c r="F40" i="106" s="1"/>
  <c r="O40" i="107"/>
  <c r="F41" i="106" s="1"/>
  <c r="O41" i="107"/>
  <c r="F42" i="106" s="1"/>
  <c r="O42" i="107"/>
  <c r="F43" i="106" s="1"/>
  <c r="O43" i="107"/>
  <c r="F44" i="106" s="1"/>
  <c r="O44" i="107"/>
  <c r="F45" i="106" s="1"/>
  <c r="O45" i="107"/>
  <c r="F46" i="106" s="1"/>
  <c r="T41" i="8" l="1"/>
  <c r="T39" i="9"/>
  <c r="T38" i="10"/>
  <c r="I10" i="28"/>
  <c r="T44" i="33"/>
  <c r="F47" i="106"/>
  <c r="E43" i="106"/>
  <c r="E44" i="106"/>
  <c r="C47" i="106"/>
  <c r="DT47" i="106" s="1"/>
  <c r="DU47" i="106" s="1"/>
  <c r="D47" i="106"/>
  <c r="G44" i="8"/>
  <c r="K44" i="8"/>
  <c r="O44" i="8"/>
  <c r="I44" i="8"/>
  <c r="M44" i="8"/>
  <c r="H44" i="8"/>
  <c r="L44" i="8"/>
  <c r="P44" i="8"/>
  <c r="J44" i="8"/>
  <c r="N44" i="8"/>
  <c r="AV10" i="107" l="1"/>
  <c r="AU10" i="107"/>
  <c r="AI10" i="107"/>
  <c r="AK10" i="107" s="1"/>
  <c r="AB10" i="107"/>
  <c r="W10" i="107"/>
  <c r="Q10" i="106" s="1"/>
  <c r="L10" i="107"/>
  <c r="K10" i="107"/>
  <c r="M10" i="106" s="1"/>
  <c r="J10" i="107"/>
  <c r="G10" i="107"/>
  <c r="D10" i="107"/>
  <c r="AX10" i="107" l="1"/>
  <c r="AW10" i="107"/>
  <c r="M10" i="107"/>
  <c r="O28" i="63" l="1"/>
  <c r="M2" i="86"/>
  <c r="DR50" i="106" l="1"/>
  <c r="DS50" i="106" s="1"/>
  <c r="DR12" i="106" l="1"/>
  <c r="DS12" i="106" s="1"/>
  <c r="M11" i="28" l="1"/>
  <c r="M10" i="28"/>
  <c r="M27" i="87"/>
  <c r="M19" i="87"/>
  <c r="M21" i="87"/>
  <c r="M22" i="87"/>
  <c r="M23" i="87"/>
  <c r="M24" i="87"/>
  <c r="M25" i="87"/>
  <c r="M26" i="87"/>
  <c r="M3" i="86"/>
  <c r="N3" i="86"/>
  <c r="M4" i="86"/>
  <c r="N4" i="86"/>
  <c r="M5" i="86"/>
  <c r="N5" i="86"/>
  <c r="M6" i="86"/>
  <c r="N6" i="86"/>
  <c r="M7" i="86"/>
  <c r="N7" i="86"/>
  <c r="M11" i="86"/>
  <c r="N11" i="86"/>
  <c r="M12" i="86"/>
  <c r="N12" i="86"/>
  <c r="M13" i="86"/>
  <c r="N13" i="86"/>
  <c r="M14" i="86"/>
  <c r="N14" i="86"/>
  <c r="M15" i="86"/>
  <c r="N15" i="86"/>
  <c r="M16" i="86"/>
  <c r="N16" i="86"/>
  <c r="M17" i="86"/>
  <c r="N17" i="86"/>
  <c r="M18" i="86"/>
  <c r="N18" i="86"/>
  <c r="M19" i="86"/>
  <c r="N19" i="86"/>
  <c r="M20" i="86"/>
  <c r="N20" i="86"/>
  <c r="O19" i="86" l="1"/>
  <c r="P19" i="86" s="1"/>
  <c r="O17" i="86"/>
  <c r="P17" i="86" s="1"/>
  <c r="O15" i="86"/>
  <c r="P15" i="86" s="1"/>
  <c r="O16" i="86"/>
  <c r="P16" i="86" s="1"/>
  <c r="O14" i="86"/>
  <c r="P14" i="86" s="1"/>
  <c r="O7" i="86"/>
  <c r="P7" i="86" s="1"/>
  <c r="O5" i="86"/>
  <c r="P5" i="86" s="1"/>
  <c r="O3" i="86"/>
  <c r="P3" i="86" s="1"/>
  <c r="O11" i="86"/>
  <c r="P11" i="86" s="1"/>
  <c r="O20" i="86"/>
  <c r="P20" i="86" s="1"/>
  <c r="O18" i="86"/>
  <c r="P18" i="86" s="1"/>
  <c r="O13" i="86"/>
  <c r="P13" i="86" s="1"/>
  <c r="O12" i="86"/>
  <c r="P12" i="86" s="1"/>
  <c r="O6" i="86"/>
  <c r="P6" i="86" s="1"/>
  <c r="O4" i="86"/>
  <c r="P4" i="86" s="1"/>
  <c r="AB266" i="1" l="1"/>
  <c r="AB273" i="1"/>
  <c r="DN19" i="106"/>
  <c r="DO19" i="106" s="1"/>
  <c r="DN13" i="106"/>
  <c r="DO26" i="106"/>
  <c r="DN8" i="106"/>
  <c r="DO8" i="106" s="1"/>
  <c r="N14" i="105"/>
  <c r="N13" i="105"/>
  <c r="N2" i="86" l="1"/>
  <c r="N28" i="63" l="1"/>
  <c r="X13" i="101"/>
  <c r="AQ91" i="107" l="1"/>
  <c r="AI91" i="107" l="1"/>
  <c r="AX91" i="107" s="1"/>
  <c r="AJ91" i="107"/>
  <c r="AY91" i="107" s="1"/>
  <c r="AZ91" i="107" l="1"/>
  <c r="AK91" i="107"/>
  <c r="M28" i="63" l="1"/>
  <c r="H15" i="54" l="1"/>
  <c r="V13" i="101" l="1"/>
  <c r="T13" i="101" l="1"/>
  <c r="L28" i="63" l="1"/>
  <c r="J11" i="28" l="1"/>
  <c r="AB12" i="101" l="1"/>
  <c r="K28" i="63"/>
  <c r="J13" i="25" l="1"/>
  <c r="L46" i="33"/>
  <c r="AB11" i="107" l="1"/>
  <c r="AB9" i="107"/>
  <c r="AB8" i="107"/>
  <c r="J28" i="63" l="1"/>
  <c r="H11" i="28" l="1"/>
  <c r="A1" i="72"/>
  <c r="I28" i="63" l="1"/>
  <c r="W52" i="107"/>
  <c r="R13" i="107" l="1"/>
  <c r="H28" i="63" l="1"/>
  <c r="I41" i="10" l="1"/>
  <c r="AN91" i="107" l="1"/>
  <c r="AE91" i="107"/>
  <c r="H21" i="54" l="1"/>
  <c r="I15" i="54"/>
  <c r="I21" i="54" s="1"/>
  <c r="H23" i="54" l="1"/>
  <c r="I23" i="54"/>
  <c r="J15" i="54"/>
  <c r="G28" i="63" l="1"/>
  <c r="J13" i="101"/>
  <c r="F13" i="25" l="1"/>
  <c r="DL50" i="106" l="1"/>
  <c r="DM50" i="106" s="1"/>
  <c r="DP50" i="106"/>
  <c r="DQ50" i="106" s="1"/>
  <c r="F28" i="63" l="1"/>
  <c r="E28" i="63" l="1"/>
  <c r="D28" i="63"/>
  <c r="P28" i="63" l="1"/>
  <c r="O4" i="54"/>
  <c r="D12" i="58" s="1"/>
  <c r="O5" i="54"/>
  <c r="D13" i="58" s="1"/>
  <c r="O6" i="54"/>
  <c r="D14" i="58" s="1"/>
  <c r="O7" i="54"/>
  <c r="D15" i="58" s="1"/>
  <c r="O8" i="54"/>
  <c r="D16" i="58" s="1"/>
  <c r="O9" i="54"/>
  <c r="D17" i="58" s="1"/>
  <c r="O10" i="54"/>
  <c r="D18" i="58" s="1"/>
  <c r="O11" i="54"/>
  <c r="D19" i="58" s="1"/>
  <c r="O12" i="54"/>
  <c r="D20" i="58" s="1"/>
  <c r="O13" i="54"/>
  <c r="O2" i="86" l="1"/>
  <c r="E15" i="54" l="1"/>
  <c r="E12" i="58"/>
  <c r="E13" i="58"/>
  <c r="E14" i="58"/>
  <c r="E15" i="58"/>
  <c r="E16" i="58"/>
  <c r="E17" i="58"/>
  <c r="AI25" i="107" l="1"/>
  <c r="AI26" i="107"/>
  <c r="AI27" i="107"/>
  <c r="AI28" i="107"/>
  <c r="AI29" i="107"/>
  <c r="AI30" i="107"/>
  <c r="AI31" i="107"/>
  <c r="AI32" i="107"/>
  <c r="AI33" i="107"/>
  <c r="AI34" i="107"/>
  <c r="AI37" i="107"/>
  <c r="AI38" i="107"/>
  <c r="AI39" i="107"/>
  <c r="AI40" i="107"/>
  <c r="AI41" i="107"/>
  <c r="AI42" i="107"/>
  <c r="AI43" i="107"/>
  <c r="AI44" i="107"/>
  <c r="AI45" i="107"/>
  <c r="P47" i="107"/>
  <c r="P48" i="107" s="1"/>
  <c r="AI46" i="107" l="1"/>
  <c r="AI35" i="107"/>
  <c r="G9" i="1"/>
  <c r="G8" i="1"/>
  <c r="Q6" i="8"/>
  <c r="R6" i="8" s="1"/>
  <c r="Q3" i="9"/>
  <c r="R3" i="9" s="1"/>
  <c r="Q3" i="10"/>
  <c r="R3" i="10" s="1"/>
  <c r="AI47" i="107" l="1"/>
  <c r="H15" i="25"/>
  <c r="J91" i="107"/>
  <c r="G93" i="107"/>
  <c r="C94" i="107"/>
  <c r="K11" i="28"/>
  <c r="G11" i="28"/>
  <c r="C40" i="86"/>
  <c r="J39" i="86"/>
  <c r="E8" i="1"/>
  <c r="AU14" i="107"/>
  <c r="F6" i="101"/>
  <c r="F21" i="101"/>
  <c r="F20" i="101"/>
  <c r="F19" i="101"/>
  <c r="F18" i="101"/>
  <c r="G18" i="101" s="1"/>
  <c r="F17" i="101"/>
  <c r="F16" i="101"/>
  <c r="Z14" i="101"/>
  <c r="X14" i="101"/>
  <c r="V14" i="101"/>
  <c r="T14" i="101"/>
  <c r="P14" i="101"/>
  <c r="N14" i="101"/>
  <c r="L14" i="101"/>
  <c r="J14" i="101"/>
  <c r="H14" i="101"/>
  <c r="F14" i="101"/>
  <c r="G14" i="101" s="1"/>
  <c r="D14" i="101"/>
  <c r="C13" i="25"/>
  <c r="Q4" i="10"/>
  <c r="R4" i="10" s="1"/>
  <c r="Q5" i="10"/>
  <c r="R5" i="10" s="1"/>
  <c r="Q6" i="10"/>
  <c r="R6" i="10" s="1"/>
  <c r="Q7" i="10"/>
  <c r="R7" i="10" s="1"/>
  <c r="Q8" i="10"/>
  <c r="R8" i="10" s="1"/>
  <c r="Q9" i="10"/>
  <c r="R9" i="10" s="1"/>
  <c r="Q10" i="10"/>
  <c r="R10" i="10" s="1"/>
  <c r="Q11" i="10"/>
  <c r="R11" i="10" s="1"/>
  <c r="Q12" i="10"/>
  <c r="R12" i="10" s="1"/>
  <c r="Q13" i="10"/>
  <c r="R13" i="10" s="1"/>
  <c r="Q14" i="10"/>
  <c r="R14" i="10" s="1"/>
  <c r="Q15" i="10"/>
  <c r="R15" i="10" s="1"/>
  <c r="Q16" i="10"/>
  <c r="R16" i="10" s="1"/>
  <c r="Q17" i="10"/>
  <c r="R17" i="10" s="1"/>
  <c r="Q18" i="10"/>
  <c r="R18" i="10" s="1"/>
  <c r="Q19" i="10"/>
  <c r="R19" i="10" s="1"/>
  <c r="Q20" i="10"/>
  <c r="R20" i="10" s="1"/>
  <c r="Q21" i="10"/>
  <c r="R21" i="10" s="1"/>
  <c r="Q22" i="10"/>
  <c r="R22" i="10" s="1"/>
  <c r="Q23" i="10"/>
  <c r="R23" i="10" s="1"/>
  <c r="Q24" i="10"/>
  <c r="R24" i="10" s="1"/>
  <c r="Q25" i="10"/>
  <c r="R25" i="10" s="1"/>
  <c r="Q26" i="10"/>
  <c r="R26" i="10" s="1"/>
  <c r="Q27" i="10"/>
  <c r="R27" i="10" s="1"/>
  <c r="Q28" i="10"/>
  <c r="R28" i="10" s="1"/>
  <c r="Q29" i="10"/>
  <c r="R29" i="10" s="1"/>
  <c r="Q30" i="10"/>
  <c r="R30" i="10" s="1"/>
  <c r="Q31" i="10"/>
  <c r="R31" i="10" s="1"/>
  <c r="Q32" i="10"/>
  <c r="R32" i="10" s="1"/>
  <c r="Q33" i="10"/>
  <c r="R33" i="10" s="1"/>
  <c r="Q34" i="10"/>
  <c r="R34" i="10" s="1"/>
  <c r="Q35" i="10"/>
  <c r="R35" i="10" s="1"/>
  <c r="Q36" i="10"/>
  <c r="R36" i="10" s="1"/>
  <c r="AC36" i="10"/>
  <c r="AD36" i="10" s="1"/>
  <c r="Q37" i="10"/>
  <c r="R37" i="10" s="1"/>
  <c r="E38" i="10"/>
  <c r="G41" i="10"/>
  <c r="K41" i="10"/>
  <c r="O41" i="10"/>
  <c r="J41" i="10"/>
  <c r="Q4" i="9"/>
  <c r="R4" i="9" s="1"/>
  <c r="Q5" i="9"/>
  <c r="R5" i="9" s="1"/>
  <c r="Q6" i="9"/>
  <c r="R6" i="9" s="1"/>
  <c r="Q7" i="9"/>
  <c r="R7" i="9" s="1"/>
  <c r="Q8" i="9"/>
  <c r="R8" i="9" s="1"/>
  <c r="Q9" i="9"/>
  <c r="R9" i="9" s="1"/>
  <c r="Q10" i="9"/>
  <c r="R10" i="9" s="1"/>
  <c r="Q11" i="9"/>
  <c r="R11" i="9" s="1"/>
  <c r="Q12" i="9"/>
  <c r="R12" i="9" s="1"/>
  <c r="Q13" i="9"/>
  <c r="R13" i="9" s="1"/>
  <c r="Q14" i="9"/>
  <c r="R14" i="9" s="1"/>
  <c r="Q15" i="9"/>
  <c r="R15" i="9" s="1"/>
  <c r="Q16" i="9"/>
  <c r="R16" i="9" s="1"/>
  <c r="Q17" i="9"/>
  <c r="R17" i="9" s="1"/>
  <c r="Q18" i="9"/>
  <c r="R18" i="9" s="1"/>
  <c r="Q19" i="9"/>
  <c r="R19" i="9" s="1"/>
  <c r="Q20" i="9"/>
  <c r="R20" i="9" s="1"/>
  <c r="Q21" i="9"/>
  <c r="R21" i="9" s="1"/>
  <c r="Q22" i="9"/>
  <c r="R22" i="9" s="1"/>
  <c r="Q23" i="9"/>
  <c r="R23" i="9" s="1"/>
  <c r="Q24" i="9"/>
  <c r="R24" i="9" s="1"/>
  <c r="Q25" i="9"/>
  <c r="R25" i="9" s="1"/>
  <c r="Q26" i="9"/>
  <c r="R26" i="9" s="1"/>
  <c r="Q27" i="9"/>
  <c r="R27" i="9" s="1"/>
  <c r="Q28" i="9"/>
  <c r="R28" i="9" s="1"/>
  <c r="Q29" i="9"/>
  <c r="R29" i="9" s="1"/>
  <c r="Q30" i="9"/>
  <c r="R30" i="9" s="1"/>
  <c r="Q31" i="9"/>
  <c r="R31" i="9" s="1"/>
  <c r="Q32" i="9"/>
  <c r="R32" i="9" s="1"/>
  <c r="Q33" i="9"/>
  <c r="R33" i="9" s="1"/>
  <c r="Q34" i="9"/>
  <c r="R34" i="9" s="1"/>
  <c r="Q35" i="9"/>
  <c r="R35" i="9" s="1"/>
  <c r="Q36" i="9"/>
  <c r="R36" i="9" s="1"/>
  <c r="Q37" i="9"/>
  <c r="R37" i="9" s="1"/>
  <c r="Q38" i="9"/>
  <c r="R38" i="9" s="1"/>
  <c r="E39" i="9"/>
  <c r="I42" i="9"/>
  <c r="K42" i="9"/>
  <c r="M42" i="9"/>
  <c r="O42" i="9"/>
  <c r="J42" i="9"/>
  <c r="Q3" i="8"/>
  <c r="R3" i="8" s="1"/>
  <c r="Q4" i="8"/>
  <c r="R4" i="8" s="1"/>
  <c r="Q5" i="8"/>
  <c r="R5" i="8" s="1"/>
  <c r="Q7" i="8"/>
  <c r="R7" i="8" s="1"/>
  <c r="Q8" i="8"/>
  <c r="R8" i="8" s="1"/>
  <c r="Q9" i="8"/>
  <c r="R9" i="8" s="1"/>
  <c r="Q10" i="8"/>
  <c r="R10" i="8" s="1"/>
  <c r="Q11" i="8"/>
  <c r="R11" i="8" s="1"/>
  <c r="Q12" i="8"/>
  <c r="R12" i="8" s="1"/>
  <c r="Q13" i="8"/>
  <c r="R13" i="8" s="1"/>
  <c r="Q14" i="8"/>
  <c r="R14" i="8" s="1"/>
  <c r="Q15" i="8"/>
  <c r="R15" i="8" s="1"/>
  <c r="Q16" i="8"/>
  <c r="R16" i="8" s="1"/>
  <c r="Q17" i="8"/>
  <c r="R17" i="8" s="1"/>
  <c r="Q18" i="8"/>
  <c r="R18" i="8" s="1"/>
  <c r="Q19" i="8"/>
  <c r="R19" i="8" s="1"/>
  <c r="Q20" i="8"/>
  <c r="R20" i="8" s="1"/>
  <c r="Q21" i="8"/>
  <c r="R21" i="8" s="1"/>
  <c r="Q22" i="8"/>
  <c r="R22" i="8" s="1"/>
  <c r="Q23" i="8"/>
  <c r="R23" i="8" s="1"/>
  <c r="Q24" i="8"/>
  <c r="R24" i="8" s="1"/>
  <c r="Q25" i="8"/>
  <c r="R25" i="8" s="1"/>
  <c r="Q26" i="8"/>
  <c r="R26" i="8" s="1"/>
  <c r="Q27" i="8"/>
  <c r="R27" i="8" s="1"/>
  <c r="Q28" i="8"/>
  <c r="R28" i="8" s="1"/>
  <c r="Q29" i="8"/>
  <c r="R29" i="8" s="1"/>
  <c r="Q30" i="8"/>
  <c r="R30" i="8" s="1"/>
  <c r="Q31" i="8"/>
  <c r="R31" i="8" s="1"/>
  <c r="Q32" i="8"/>
  <c r="R32" i="8" s="1"/>
  <c r="Q33" i="8"/>
  <c r="R33" i="8" s="1"/>
  <c r="Q34" i="8"/>
  <c r="R34" i="8" s="1"/>
  <c r="Q35" i="8"/>
  <c r="R35" i="8" s="1"/>
  <c r="Q36" i="8"/>
  <c r="R36" i="8" s="1"/>
  <c r="Q37" i="8"/>
  <c r="R37" i="8" s="1"/>
  <c r="Q38" i="8"/>
  <c r="R38" i="8" s="1"/>
  <c r="Q39" i="8"/>
  <c r="R39" i="8" s="1"/>
  <c r="Q40" i="8"/>
  <c r="R40" i="8" s="1"/>
  <c r="E41" i="8"/>
  <c r="F44" i="8" s="1"/>
  <c r="Q3" i="33"/>
  <c r="R3" i="33"/>
  <c r="Q4" i="33"/>
  <c r="R4" i="33"/>
  <c r="Q5" i="33"/>
  <c r="R5" i="33"/>
  <c r="Q6" i="33"/>
  <c r="R6" i="33"/>
  <c r="Q7" i="33"/>
  <c r="R7" i="33"/>
  <c r="Q8" i="33"/>
  <c r="R8" i="33"/>
  <c r="Q9" i="33"/>
  <c r="R9" i="33"/>
  <c r="Q10" i="33"/>
  <c r="R10" i="33"/>
  <c r="Q11" i="33"/>
  <c r="R11" i="33"/>
  <c r="Q12" i="33"/>
  <c r="Q13" i="33"/>
  <c r="R13" i="33" s="1"/>
  <c r="Q14" i="33"/>
  <c r="R14" i="33" s="1"/>
  <c r="Q15" i="33"/>
  <c r="R15" i="33" s="1"/>
  <c r="Q16" i="33"/>
  <c r="R16" i="33" s="1"/>
  <c r="Q17" i="33"/>
  <c r="R17" i="33" s="1"/>
  <c r="Q18" i="33"/>
  <c r="R18" i="33" s="1"/>
  <c r="Q19" i="33"/>
  <c r="R19" i="33" s="1"/>
  <c r="Q20" i="33"/>
  <c r="R20" i="33" s="1"/>
  <c r="Q21" i="33"/>
  <c r="R21" i="33" s="1"/>
  <c r="Q22" i="33"/>
  <c r="R22" i="33" s="1"/>
  <c r="Q23" i="33"/>
  <c r="R23" i="33" s="1"/>
  <c r="Q24" i="33"/>
  <c r="R24" i="33" s="1"/>
  <c r="Q25" i="33"/>
  <c r="R25" i="33" s="1"/>
  <c r="Q26" i="33"/>
  <c r="R26" i="33" s="1"/>
  <c r="Q27" i="33"/>
  <c r="R27" i="33" s="1"/>
  <c r="Q28" i="33"/>
  <c r="R28" i="33" s="1"/>
  <c r="Q29" i="33"/>
  <c r="R29" i="33" s="1"/>
  <c r="Q30" i="33"/>
  <c r="R30" i="33" s="1"/>
  <c r="Q31" i="33"/>
  <c r="R31" i="33" s="1"/>
  <c r="Q32" i="33"/>
  <c r="R32" i="33" s="1"/>
  <c r="Q33" i="33"/>
  <c r="R33" i="33" s="1"/>
  <c r="Q34" i="33"/>
  <c r="R34" i="33" s="1"/>
  <c r="Q35" i="33"/>
  <c r="R35" i="33" s="1"/>
  <c r="Q36" i="33"/>
  <c r="R36" i="33" s="1"/>
  <c r="Q37" i="33"/>
  <c r="R37" i="33" s="1"/>
  <c r="Q38" i="33"/>
  <c r="R38" i="33" s="1"/>
  <c r="Q39" i="33"/>
  <c r="R39" i="33" s="1"/>
  <c r="Q40" i="33"/>
  <c r="R40" i="33" s="1"/>
  <c r="Q41" i="33"/>
  <c r="R41" i="33" s="1"/>
  <c r="Q42" i="33"/>
  <c r="R42" i="33" s="1"/>
  <c r="Q43" i="33"/>
  <c r="R43" i="33" s="1"/>
  <c r="E44" i="33"/>
  <c r="H46" i="33"/>
  <c r="J46" i="33"/>
  <c r="J12" i="28"/>
  <c r="J14" i="28" s="1"/>
  <c r="G46" i="33"/>
  <c r="I46" i="33"/>
  <c r="M46" i="33"/>
  <c r="D5" i="1"/>
  <c r="F5" i="1"/>
  <c r="H5" i="1"/>
  <c r="J5" i="1"/>
  <c r="L5" i="1"/>
  <c r="N5" i="1"/>
  <c r="P5" i="1"/>
  <c r="R5" i="1"/>
  <c r="T5" i="1"/>
  <c r="X5" i="1"/>
  <c r="Z5" i="1"/>
  <c r="I8" i="1"/>
  <c r="K8" i="1"/>
  <c r="O8" i="1"/>
  <c r="Q8" i="1"/>
  <c r="U8" i="1"/>
  <c r="W8" i="1"/>
  <c r="Y8" i="1"/>
  <c r="AA8" i="1"/>
  <c r="E9" i="1"/>
  <c r="I9" i="1"/>
  <c r="K9" i="1"/>
  <c r="O9" i="1"/>
  <c r="Q9" i="1"/>
  <c r="U9" i="1"/>
  <c r="W9" i="1"/>
  <c r="Y9" i="1"/>
  <c r="AA9" i="1"/>
  <c r="AB9" i="1"/>
  <c r="AD9" i="1"/>
  <c r="E10" i="1"/>
  <c r="G10" i="1"/>
  <c r="I10" i="1"/>
  <c r="K10" i="1"/>
  <c r="O10" i="1"/>
  <c r="Q10" i="1"/>
  <c r="U10" i="1"/>
  <c r="W10" i="1"/>
  <c r="Y10" i="1"/>
  <c r="AA10" i="1"/>
  <c r="AB10" i="1"/>
  <c r="AD10" i="1"/>
  <c r="E11" i="1"/>
  <c r="G11" i="1"/>
  <c r="I11" i="1"/>
  <c r="K11" i="1"/>
  <c r="O11" i="1"/>
  <c r="Q11" i="1"/>
  <c r="U11" i="1"/>
  <c r="W11" i="1"/>
  <c r="Y11" i="1"/>
  <c r="AA11" i="1"/>
  <c r="AB11" i="1"/>
  <c r="AD11" i="1"/>
  <c r="E12" i="1"/>
  <c r="G12" i="1"/>
  <c r="I12" i="1"/>
  <c r="K12" i="1"/>
  <c r="O12" i="1"/>
  <c r="Q12" i="1"/>
  <c r="U12" i="1"/>
  <c r="W12" i="1"/>
  <c r="Y12" i="1"/>
  <c r="AA12" i="1"/>
  <c r="AB12" i="1"/>
  <c r="AD12" i="1"/>
  <c r="E13" i="1"/>
  <c r="G13" i="1"/>
  <c r="I13" i="1"/>
  <c r="K13" i="1"/>
  <c r="O13" i="1"/>
  <c r="Q13" i="1"/>
  <c r="U13" i="1"/>
  <c r="W13" i="1"/>
  <c r="Y13" i="1"/>
  <c r="AA13" i="1"/>
  <c r="AB13" i="1"/>
  <c r="AD13" i="1"/>
  <c r="E15" i="1"/>
  <c r="G15" i="1"/>
  <c r="I15" i="1"/>
  <c r="K15" i="1"/>
  <c r="O15" i="1"/>
  <c r="Q15" i="1"/>
  <c r="U15" i="1"/>
  <c r="W15" i="1"/>
  <c r="Y15" i="1"/>
  <c r="AA15" i="1"/>
  <c r="AB15" i="1"/>
  <c r="AD15" i="1"/>
  <c r="E16" i="1"/>
  <c r="G16" i="1"/>
  <c r="I16" i="1"/>
  <c r="K16" i="1"/>
  <c r="O16" i="1"/>
  <c r="Q16" i="1"/>
  <c r="U16" i="1"/>
  <c r="W16" i="1"/>
  <c r="Y16" i="1"/>
  <c r="AA16" i="1"/>
  <c r="AB16" i="1"/>
  <c r="AD16" i="1"/>
  <c r="E17" i="1"/>
  <c r="G17" i="1"/>
  <c r="I17" i="1"/>
  <c r="K17" i="1"/>
  <c r="O17" i="1"/>
  <c r="Q17" i="1"/>
  <c r="U17" i="1"/>
  <c r="W17" i="1"/>
  <c r="Y17" i="1"/>
  <c r="AA17" i="1"/>
  <c r="AB17" i="1"/>
  <c r="AD17" i="1"/>
  <c r="E18" i="1"/>
  <c r="G18" i="1"/>
  <c r="I18" i="1"/>
  <c r="K18" i="1"/>
  <c r="O18" i="1"/>
  <c r="Q18" i="1"/>
  <c r="U18" i="1"/>
  <c r="W18" i="1"/>
  <c r="Y18" i="1"/>
  <c r="AA18" i="1"/>
  <c r="AB18" i="1"/>
  <c r="AD18" i="1"/>
  <c r="E19" i="1"/>
  <c r="G19" i="1"/>
  <c r="I19" i="1"/>
  <c r="K19" i="1"/>
  <c r="O19" i="1"/>
  <c r="Q19" i="1"/>
  <c r="U19" i="1"/>
  <c r="W19" i="1"/>
  <c r="Y19" i="1"/>
  <c r="AA19" i="1"/>
  <c r="AB19" i="1"/>
  <c r="AD19" i="1"/>
  <c r="E20" i="1"/>
  <c r="G20" i="1"/>
  <c r="I20" i="1"/>
  <c r="K20" i="1"/>
  <c r="O20" i="1"/>
  <c r="Q20" i="1"/>
  <c r="U20" i="1"/>
  <c r="W20" i="1"/>
  <c r="Y20" i="1"/>
  <c r="AA20" i="1"/>
  <c r="AB20" i="1"/>
  <c r="AD20" i="1"/>
  <c r="E21" i="1"/>
  <c r="G21" i="1"/>
  <c r="I21" i="1"/>
  <c r="K21" i="1"/>
  <c r="O21" i="1"/>
  <c r="Q21" i="1"/>
  <c r="U21" i="1"/>
  <c r="W21" i="1"/>
  <c r="Y21" i="1"/>
  <c r="AA21" i="1"/>
  <c r="AB21" i="1"/>
  <c r="AD21" i="1"/>
  <c r="E24" i="1"/>
  <c r="G24" i="1"/>
  <c r="I24" i="1"/>
  <c r="K24" i="1"/>
  <c r="O24" i="1"/>
  <c r="Q24" i="1"/>
  <c r="U24" i="1"/>
  <c r="W24" i="1"/>
  <c r="Y24" i="1"/>
  <c r="AA24" i="1"/>
  <c r="AB24" i="1"/>
  <c r="AD24" i="1"/>
  <c r="E25" i="1"/>
  <c r="G25" i="1"/>
  <c r="I25" i="1"/>
  <c r="K25" i="1"/>
  <c r="O25" i="1"/>
  <c r="Q25" i="1"/>
  <c r="U25" i="1"/>
  <c r="W25" i="1"/>
  <c r="Y25" i="1"/>
  <c r="AA25" i="1"/>
  <c r="AB25" i="1"/>
  <c r="AD25" i="1"/>
  <c r="E26" i="1"/>
  <c r="G26" i="1"/>
  <c r="I26" i="1"/>
  <c r="K26" i="1"/>
  <c r="O26" i="1"/>
  <c r="Q26" i="1"/>
  <c r="U26" i="1"/>
  <c r="W26" i="1"/>
  <c r="Y26" i="1"/>
  <c r="AA26" i="1"/>
  <c r="AB26" i="1"/>
  <c r="AD26" i="1"/>
  <c r="E27" i="1"/>
  <c r="G27" i="1"/>
  <c r="I27" i="1"/>
  <c r="K27" i="1"/>
  <c r="O27" i="1"/>
  <c r="Q27" i="1"/>
  <c r="U27" i="1"/>
  <c r="W27" i="1"/>
  <c r="Y27" i="1"/>
  <c r="AA27" i="1"/>
  <c r="AB27" i="1"/>
  <c r="E28" i="1"/>
  <c r="G28" i="1"/>
  <c r="I28" i="1"/>
  <c r="K28" i="1"/>
  <c r="O28" i="1"/>
  <c r="Q28" i="1"/>
  <c r="U28" i="1"/>
  <c r="W28" i="1"/>
  <c r="Y28" i="1"/>
  <c r="AA28" i="1"/>
  <c r="AB28" i="1"/>
  <c r="E29" i="1"/>
  <c r="G29" i="1"/>
  <c r="I29" i="1"/>
  <c r="K29" i="1"/>
  <c r="O29" i="1"/>
  <c r="Q29" i="1"/>
  <c r="U29" i="1"/>
  <c r="W29" i="1"/>
  <c r="Y29" i="1"/>
  <c r="AA29" i="1"/>
  <c r="AB29" i="1"/>
  <c r="E30" i="1"/>
  <c r="G30" i="1"/>
  <c r="I30" i="1"/>
  <c r="K30" i="1"/>
  <c r="O30" i="1"/>
  <c r="Q30" i="1"/>
  <c r="U30" i="1"/>
  <c r="W30" i="1"/>
  <c r="Y30" i="1"/>
  <c r="AA30" i="1"/>
  <c r="AB30" i="1"/>
  <c r="E31" i="1"/>
  <c r="G31" i="1"/>
  <c r="I31" i="1"/>
  <c r="K31" i="1"/>
  <c r="O31" i="1"/>
  <c r="Q31" i="1"/>
  <c r="U31" i="1"/>
  <c r="W31" i="1"/>
  <c r="Y31" i="1"/>
  <c r="AA31" i="1"/>
  <c r="AB31" i="1"/>
  <c r="E32" i="1"/>
  <c r="G32" i="1"/>
  <c r="I32" i="1"/>
  <c r="K32" i="1"/>
  <c r="O32" i="1"/>
  <c r="Q32" i="1"/>
  <c r="U32" i="1"/>
  <c r="W32" i="1"/>
  <c r="Y32" i="1"/>
  <c r="AA32" i="1"/>
  <c r="AB32" i="1"/>
  <c r="E33" i="1"/>
  <c r="G33" i="1"/>
  <c r="I33" i="1"/>
  <c r="K33" i="1"/>
  <c r="O33" i="1"/>
  <c r="Q33" i="1"/>
  <c r="U33" i="1"/>
  <c r="W33" i="1"/>
  <c r="Y33" i="1"/>
  <c r="AA33" i="1"/>
  <c r="AB33" i="1"/>
  <c r="E34" i="1"/>
  <c r="G34" i="1"/>
  <c r="I34" i="1"/>
  <c r="K34" i="1"/>
  <c r="O34" i="1"/>
  <c r="Q34" i="1"/>
  <c r="U34" i="1"/>
  <c r="W34" i="1"/>
  <c r="Y34" i="1"/>
  <c r="AA34" i="1"/>
  <c r="AB34" i="1"/>
  <c r="E35" i="1"/>
  <c r="G35" i="1"/>
  <c r="I35" i="1"/>
  <c r="K35" i="1"/>
  <c r="O35" i="1"/>
  <c r="Q35" i="1"/>
  <c r="U35" i="1"/>
  <c r="W35" i="1"/>
  <c r="Y35" i="1"/>
  <c r="AA35" i="1"/>
  <c r="AB35" i="1"/>
  <c r="E36" i="1"/>
  <c r="G36" i="1"/>
  <c r="I36" i="1"/>
  <c r="K36" i="1"/>
  <c r="O36" i="1"/>
  <c r="Q36" i="1"/>
  <c r="U36" i="1"/>
  <c r="W36" i="1"/>
  <c r="Y36" i="1"/>
  <c r="AA36" i="1"/>
  <c r="AB36" i="1"/>
  <c r="E37" i="1"/>
  <c r="G37" i="1"/>
  <c r="I37" i="1"/>
  <c r="K37" i="1"/>
  <c r="O37" i="1"/>
  <c r="Q37" i="1"/>
  <c r="U37" i="1"/>
  <c r="W37" i="1"/>
  <c r="Y37" i="1"/>
  <c r="AA37" i="1"/>
  <c r="AB37" i="1"/>
  <c r="E38" i="1"/>
  <c r="G38" i="1"/>
  <c r="I38" i="1"/>
  <c r="K38" i="1"/>
  <c r="O38" i="1"/>
  <c r="Q38" i="1"/>
  <c r="U38" i="1"/>
  <c r="W38" i="1"/>
  <c r="Y38" i="1"/>
  <c r="AA38" i="1"/>
  <c r="AB38" i="1"/>
  <c r="E39" i="1"/>
  <c r="G39" i="1"/>
  <c r="I39" i="1"/>
  <c r="K39" i="1"/>
  <c r="O39" i="1"/>
  <c r="Q39" i="1"/>
  <c r="U39" i="1"/>
  <c r="W39" i="1"/>
  <c r="Y39" i="1"/>
  <c r="AA39" i="1"/>
  <c r="AB39" i="1"/>
  <c r="AD39" i="1"/>
  <c r="E40" i="1"/>
  <c r="G40" i="1"/>
  <c r="I40" i="1"/>
  <c r="K40" i="1"/>
  <c r="O40" i="1"/>
  <c r="Q40" i="1"/>
  <c r="U40" i="1"/>
  <c r="W40" i="1"/>
  <c r="Y40" i="1"/>
  <c r="AA40" i="1"/>
  <c r="AB40" i="1"/>
  <c r="AD40" i="1"/>
  <c r="E41" i="1"/>
  <c r="G41" i="1"/>
  <c r="I41" i="1"/>
  <c r="K41" i="1"/>
  <c r="O41" i="1"/>
  <c r="Q41" i="1"/>
  <c r="U41" i="1"/>
  <c r="W41" i="1"/>
  <c r="Y41" i="1"/>
  <c r="AA41" i="1"/>
  <c r="AB41" i="1"/>
  <c r="AD41" i="1"/>
  <c r="E42" i="1"/>
  <c r="G42" i="1"/>
  <c r="I42" i="1"/>
  <c r="K42" i="1"/>
  <c r="O42" i="1"/>
  <c r="Q42" i="1"/>
  <c r="U42" i="1"/>
  <c r="W42" i="1"/>
  <c r="Y42" i="1"/>
  <c r="AA42" i="1"/>
  <c r="AB42" i="1"/>
  <c r="AD42" i="1"/>
  <c r="E43" i="1"/>
  <c r="G43" i="1"/>
  <c r="I43" i="1"/>
  <c r="K43" i="1"/>
  <c r="O43" i="1"/>
  <c r="Q43" i="1"/>
  <c r="U43" i="1"/>
  <c r="W43" i="1"/>
  <c r="Y43" i="1"/>
  <c r="AA43" i="1"/>
  <c r="AB43" i="1"/>
  <c r="AD43" i="1"/>
  <c r="E44" i="1"/>
  <c r="G44" i="1"/>
  <c r="I44" i="1"/>
  <c r="K44" i="1"/>
  <c r="O44" i="1"/>
  <c r="Q44" i="1"/>
  <c r="U44" i="1"/>
  <c r="W44" i="1"/>
  <c r="Y44" i="1"/>
  <c r="AA44" i="1"/>
  <c r="AB44" i="1"/>
  <c r="AD44" i="1"/>
  <c r="E45" i="1"/>
  <c r="G45" i="1"/>
  <c r="I45" i="1"/>
  <c r="K45" i="1"/>
  <c r="O45" i="1"/>
  <c r="Q45" i="1"/>
  <c r="U45" i="1"/>
  <c r="W45" i="1"/>
  <c r="Y45" i="1"/>
  <c r="AA45" i="1"/>
  <c r="AB45" i="1"/>
  <c r="AD45" i="1"/>
  <c r="E46" i="1"/>
  <c r="G46" i="1"/>
  <c r="I46" i="1"/>
  <c r="K46" i="1"/>
  <c r="O46" i="1"/>
  <c r="Q46" i="1"/>
  <c r="U46" i="1"/>
  <c r="W46" i="1"/>
  <c r="Y46" i="1"/>
  <c r="AA46" i="1"/>
  <c r="AB46" i="1"/>
  <c r="AD46" i="1"/>
  <c r="E47" i="1"/>
  <c r="G47" i="1"/>
  <c r="I47" i="1"/>
  <c r="K47" i="1"/>
  <c r="O47" i="1"/>
  <c r="Q47" i="1"/>
  <c r="U47" i="1"/>
  <c r="W47" i="1"/>
  <c r="Y47" i="1"/>
  <c r="AA47" i="1"/>
  <c r="AB47" i="1"/>
  <c r="AD47" i="1"/>
  <c r="E48" i="1"/>
  <c r="G48" i="1"/>
  <c r="I48" i="1"/>
  <c r="K48" i="1"/>
  <c r="O48" i="1"/>
  <c r="Q48" i="1"/>
  <c r="U48" i="1"/>
  <c r="W48" i="1"/>
  <c r="Y48" i="1"/>
  <c r="AA48" i="1"/>
  <c r="AB48" i="1"/>
  <c r="AD48" i="1"/>
  <c r="E49" i="1"/>
  <c r="G49" i="1"/>
  <c r="I49" i="1"/>
  <c r="K49" i="1"/>
  <c r="O49" i="1"/>
  <c r="Q49" i="1"/>
  <c r="U49" i="1"/>
  <c r="W49" i="1"/>
  <c r="Y49" i="1"/>
  <c r="AA49" i="1"/>
  <c r="AB49" i="1"/>
  <c r="AD49" i="1"/>
  <c r="E50" i="1"/>
  <c r="G50" i="1"/>
  <c r="I50" i="1"/>
  <c r="K50" i="1"/>
  <c r="O50" i="1"/>
  <c r="Q50" i="1"/>
  <c r="U50" i="1"/>
  <c r="W50" i="1"/>
  <c r="Y50" i="1"/>
  <c r="AA50" i="1"/>
  <c r="AB50" i="1"/>
  <c r="AD50" i="1"/>
  <c r="E51" i="1"/>
  <c r="G51" i="1"/>
  <c r="I51" i="1"/>
  <c r="K51" i="1"/>
  <c r="O51" i="1"/>
  <c r="Q51" i="1"/>
  <c r="U51" i="1"/>
  <c r="W51" i="1"/>
  <c r="Y51" i="1"/>
  <c r="AA51" i="1"/>
  <c r="AB51" i="1"/>
  <c r="AD51" i="1"/>
  <c r="E52" i="1"/>
  <c r="G52" i="1"/>
  <c r="I52" i="1"/>
  <c r="K52" i="1"/>
  <c r="O52" i="1"/>
  <c r="Q52" i="1"/>
  <c r="U52" i="1"/>
  <c r="W52" i="1"/>
  <c r="Y52" i="1"/>
  <c r="AA52" i="1"/>
  <c r="AB52" i="1"/>
  <c r="AD52" i="1"/>
  <c r="E53" i="1"/>
  <c r="G53" i="1"/>
  <c r="I53" i="1"/>
  <c r="K53" i="1"/>
  <c r="O53" i="1"/>
  <c r="Q53" i="1"/>
  <c r="U53" i="1"/>
  <c r="W53" i="1"/>
  <c r="Y53" i="1"/>
  <c r="AA53" i="1"/>
  <c r="AB53" i="1"/>
  <c r="AD53" i="1"/>
  <c r="E54" i="1"/>
  <c r="G54" i="1"/>
  <c r="I54" i="1"/>
  <c r="K54" i="1"/>
  <c r="O54" i="1"/>
  <c r="Q54" i="1"/>
  <c r="U54" i="1"/>
  <c r="W54" i="1"/>
  <c r="Y54" i="1"/>
  <c r="AA54" i="1"/>
  <c r="AB54" i="1"/>
  <c r="AD54" i="1"/>
  <c r="E55" i="1"/>
  <c r="G55" i="1"/>
  <c r="I55" i="1"/>
  <c r="K55" i="1"/>
  <c r="O55" i="1"/>
  <c r="Q55" i="1"/>
  <c r="U55" i="1"/>
  <c r="W55" i="1"/>
  <c r="Y55" i="1"/>
  <c r="AA55" i="1"/>
  <c r="AB55" i="1"/>
  <c r="AD55" i="1"/>
  <c r="E56" i="1"/>
  <c r="G56" i="1"/>
  <c r="I56" i="1"/>
  <c r="K56" i="1"/>
  <c r="O56" i="1"/>
  <c r="Q56" i="1"/>
  <c r="U56" i="1"/>
  <c r="W56" i="1"/>
  <c r="Y56" i="1"/>
  <c r="AA56" i="1"/>
  <c r="AB56" i="1"/>
  <c r="AD56" i="1"/>
  <c r="E57" i="1"/>
  <c r="G57" i="1"/>
  <c r="I57" i="1"/>
  <c r="K57" i="1"/>
  <c r="O57" i="1"/>
  <c r="Q57" i="1"/>
  <c r="U57" i="1"/>
  <c r="W57" i="1"/>
  <c r="Y57" i="1"/>
  <c r="AA57" i="1"/>
  <c r="AB57" i="1"/>
  <c r="AD57" i="1"/>
  <c r="E58" i="1"/>
  <c r="G58" i="1"/>
  <c r="I58" i="1"/>
  <c r="K58" i="1"/>
  <c r="O58" i="1"/>
  <c r="Q58" i="1"/>
  <c r="U58" i="1"/>
  <c r="W58" i="1"/>
  <c r="Y58" i="1"/>
  <c r="AA58" i="1"/>
  <c r="AB58" i="1"/>
  <c r="AD58" i="1"/>
  <c r="E59" i="1"/>
  <c r="G59" i="1"/>
  <c r="I59" i="1"/>
  <c r="K59" i="1"/>
  <c r="O59" i="1"/>
  <c r="Q59" i="1"/>
  <c r="U59" i="1"/>
  <c r="W59" i="1"/>
  <c r="Y59" i="1"/>
  <c r="AA59" i="1"/>
  <c r="AB59" i="1"/>
  <c r="AD59" i="1"/>
  <c r="E60" i="1"/>
  <c r="G60" i="1"/>
  <c r="I60" i="1"/>
  <c r="K60" i="1"/>
  <c r="O60" i="1"/>
  <c r="Q60" i="1"/>
  <c r="U60" i="1"/>
  <c r="W60" i="1"/>
  <c r="Y60" i="1"/>
  <c r="AA60" i="1"/>
  <c r="AB60" i="1"/>
  <c r="AD60" i="1"/>
  <c r="E61" i="1"/>
  <c r="G61" i="1"/>
  <c r="I61" i="1"/>
  <c r="K61" i="1"/>
  <c r="O61" i="1"/>
  <c r="Q61" i="1"/>
  <c r="U61" i="1"/>
  <c r="W61" i="1"/>
  <c r="Y61" i="1"/>
  <c r="AA61" i="1"/>
  <c r="AB61" i="1"/>
  <c r="AD61" i="1"/>
  <c r="E62" i="1"/>
  <c r="G62" i="1"/>
  <c r="I62" i="1"/>
  <c r="K62" i="1"/>
  <c r="O62" i="1"/>
  <c r="Q62" i="1"/>
  <c r="U62" i="1"/>
  <c r="W62" i="1"/>
  <c r="Y62" i="1"/>
  <c r="AA62" i="1"/>
  <c r="AB62" i="1"/>
  <c r="AD62" i="1"/>
  <c r="E63" i="1"/>
  <c r="G63" i="1"/>
  <c r="I63" i="1"/>
  <c r="K63" i="1"/>
  <c r="O63" i="1"/>
  <c r="Q63" i="1"/>
  <c r="U63" i="1"/>
  <c r="W63" i="1"/>
  <c r="Y63" i="1"/>
  <c r="AA63" i="1"/>
  <c r="AB63" i="1"/>
  <c r="AD63" i="1"/>
  <c r="E64" i="1"/>
  <c r="G64" i="1"/>
  <c r="I64" i="1"/>
  <c r="K64" i="1"/>
  <c r="O64" i="1"/>
  <c r="Q64" i="1"/>
  <c r="U64" i="1"/>
  <c r="W64" i="1"/>
  <c r="Y64" i="1"/>
  <c r="AA64" i="1"/>
  <c r="AB64" i="1"/>
  <c r="AD64" i="1"/>
  <c r="E65" i="1"/>
  <c r="G65" i="1"/>
  <c r="I65" i="1"/>
  <c r="K65" i="1"/>
  <c r="O65" i="1"/>
  <c r="Q65" i="1"/>
  <c r="U65" i="1"/>
  <c r="W65" i="1"/>
  <c r="Y65" i="1"/>
  <c r="AA65" i="1"/>
  <c r="AB65" i="1"/>
  <c r="AD65" i="1"/>
  <c r="E66" i="1"/>
  <c r="G66" i="1"/>
  <c r="I66" i="1"/>
  <c r="K66" i="1"/>
  <c r="O66" i="1"/>
  <c r="Q66" i="1"/>
  <c r="U66" i="1"/>
  <c r="W66" i="1"/>
  <c r="Y66" i="1"/>
  <c r="AA66" i="1"/>
  <c r="AB66" i="1"/>
  <c r="AD66" i="1"/>
  <c r="E67" i="1"/>
  <c r="G67" i="1"/>
  <c r="I67" i="1"/>
  <c r="K67" i="1"/>
  <c r="O67" i="1"/>
  <c r="Q67" i="1"/>
  <c r="U67" i="1"/>
  <c r="W67" i="1"/>
  <c r="Y67" i="1"/>
  <c r="AA67" i="1"/>
  <c r="AB67" i="1"/>
  <c r="AD67" i="1"/>
  <c r="E68" i="1"/>
  <c r="G68" i="1"/>
  <c r="I68" i="1"/>
  <c r="K68" i="1"/>
  <c r="O68" i="1"/>
  <c r="Q68" i="1"/>
  <c r="U68" i="1"/>
  <c r="W68" i="1"/>
  <c r="Y68" i="1"/>
  <c r="AA68" i="1"/>
  <c r="AB68" i="1"/>
  <c r="AD68" i="1"/>
  <c r="E69" i="1"/>
  <c r="G69" i="1"/>
  <c r="I69" i="1"/>
  <c r="K69" i="1"/>
  <c r="O69" i="1"/>
  <c r="Q69" i="1"/>
  <c r="U69" i="1"/>
  <c r="W69" i="1"/>
  <c r="Y69" i="1"/>
  <c r="AA69" i="1"/>
  <c r="AB69" i="1"/>
  <c r="AD69" i="1"/>
  <c r="E70" i="1"/>
  <c r="G70" i="1"/>
  <c r="I70" i="1"/>
  <c r="K70" i="1"/>
  <c r="O70" i="1"/>
  <c r="Q70" i="1"/>
  <c r="U70" i="1"/>
  <c r="W70" i="1"/>
  <c r="Y70" i="1"/>
  <c r="AA70" i="1"/>
  <c r="AB70" i="1"/>
  <c r="AD70" i="1"/>
  <c r="E71" i="1"/>
  <c r="G71" i="1"/>
  <c r="I71" i="1"/>
  <c r="K71" i="1"/>
  <c r="O71" i="1"/>
  <c r="Q71" i="1"/>
  <c r="U71" i="1"/>
  <c r="W71" i="1"/>
  <c r="Y71" i="1"/>
  <c r="AA71" i="1"/>
  <c r="AB71" i="1"/>
  <c r="AD71" i="1"/>
  <c r="E72" i="1"/>
  <c r="G72" i="1"/>
  <c r="I72" i="1"/>
  <c r="K72" i="1"/>
  <c r="O72" i="1"/>
  <c r="Q72" i="1"/>
  <c r="U72" i="1"/>
  <c r="W72" i="1"/>
  <c r="Y72" i="1"/>
  <c r="AA72" i="1"/>
  <c r="AB72" i="1"/>
  <c r="AD72" i="1"/>
  <c r="E73" i="1"/>
  <c r="G73" i="1"/>
  <c r="I73" i="1"/>
  <c r="K73" i="1"/>
  <c r="O73" i="1"/>
  <c r="Q73" i="1"/>
  <c r="U73" i="1"/>
  <c r="W73" i="1"/>
  <c r="Y73" i="1"/>
  <c r="AA73" i="1"/>
  <c r="AB73" i="1"/>
  <c r="AD73" i="1"/>
  <c r="E74" i="1"/>
  <c r="G74" i="1"/>
  <c r="I74" i="1"/>
  <c r="K74" i="1"/>
  <c r="O74" i="1"/>
  <c r="Q74" i="1"/>
  <c r="U74" i="1"/>
  <c r="W74" i="1"/>
  <c r="Y74" i="1"/>
  <c r="AA74" i="1"/>
  <c r="AB74" i="1"/>
  <c r="AD74" i="1"/>
  <c r="E75" i="1"/>
  <c r="G75" i="1"/>
  <c r="I75" i="1"/>
  <c r="K75" i="1"/>
  <c r="O75" i="1"/>
  <c r="Q75" i="1"/>
  <c r="U75" i="1"/>
  <c r="W75" i="1"/>
  <c r="Y75" i="1"/>
  <c r="AA75" i="1"/>
  <c r="AB75" i="1"/>
  <c r="AD75" i="1"/>
  <c r="E76" i="1"/>
  <c r="G76" i="1"/>
  <c r="I76" i="1"/>
  <c r="K76" i="1"/>
  <c r="O76" i="1"/>
  <c r="Q76" i="1"/>
  <c r="U76" i="1"/>
  <c r="W76" i="1"/>
  <c r="Y76" i="1"/>
  <c r="AA76" i="1"/>
  <c r="AB76" i="1"/>
  <c r="AD76" i="1"/>
  <c r="E77" i="1"/>
  <c r="G77" i="1"/>
  <c r="P17" i="106" s="1"/>
  <c r="I77" i="1"/>
  <c r="K77" i="1"/>
  <c r="O77" i="1"/>
  <c r="Q77" i="1"/>
  <c r="U77" i="1"/>
  <c r="W77" i="1"/>
  <c r="Y77" i="1"/>
  <c r="AA77" i="1"/>
  <c r="AB77" i="1"/>
  <c r="AD77" i="1"/>
  <c r="E78" i="1"/>
  <c r="G78" i="1"/>
  <c r="I78" i="1"/>
  <c r="K78" i="1"/>
  <c r="O78" i="1"/>
  <c r="Q78" i="1"/>
  <c r="U78" i="1"/>
  <c r="W78" i="1"/>
  <c r="Y78" i="1"/>
  <c r="AA78" i="1"/>
  <c r="AB78" i="1"/>
  <c r="AD78" i="1"/>
  <c r="E79" i="1"/>
  <c r="G79" i="1"/>
  <c r="I79" i="1"/>
  <c r="K79" i="1"/>
  <c r="O79" i="1"/>
  <c r="Q79" i="1"/>
  <c r="U79" i="1"/>
  <c r="W79" i="1"/>
  <c r="Y79" i="1"/>
  <c r="AA79" i="1"/>
  <c r="AB79" i="1"/>
  <c r="AD79" i="1"/>
  <c r="E80" i="1"/>
  <c r="G80" i="1"/>
  <c r="I80" i="1"/>
  <c r="K80" i="1"/>
  <c r="O80" i="1"/>
  <c r="Q80" i="1"/>
  <c r="U80" i="1"/>
  <c r="W80" i="1"/>
  <c r="Y80" i="1"/>
  <c r="AA80" i="1"/>
  <c r="AB80" i="1"/>
  <c r="AD80" i="1"/>
  <c r="E81" i="1"/>
  <c r="G81" i="1"/>
  <c r="I81" i="1"/>
  <c r="K81" i="1"/>
  <c r="O81" i="1"/>
  <c r="Q81" i="1"/>
  <c r="U81" i="1"/>
  <c r="W81" i="1"/>
  <c r="Y81" i="1"/>
  <c r="AA81" i="1"/>
  <c r="AB81" i="1"/>
  <c r="AD81" i="1"/>
  <c r="E82" i="1"/>
  <c r="G82" i="1"/>
  <c r="I82" i="1"/>
  <c r="K82" i="1"/>
  <c r="O82" i="1"/>
  <c r="Q82" i="1"/>
  <c r="U82" i="1"/>
  <c r="W82" i="1"/>
  <c r="Y82" i="1"/>
  <c r="AA82" i="1"/>
  <c r="AB82" i="1"/>
  <c r="AD82" i="1"/>
  <c r="E83" i="1"/>
  <c r="G83" i="1"/>
  <c r="I83" i="1"/>
  <c r="K83" i="1"/>
  <c r="O83" i="1"/>
  <c r="Q83" i="1"/>
  <c r="U83" i="1"/>
  <c r="W83" i="1"/>
  <c r="Y83" i="1"/>
  <c r="AA83" i="1"/>
  <c r="AB83" i="1"/>
  <c r="AD83" i="1"/>
  <c r="E84" i="1"/>
  <c r="G84" i="1"/>
  <c r="I84" i="1"/>
  <c r="K84" i="1"/>
  <c r="O84" i="1"/>
  <c r="Q84" i="1"/>
  <c r="U84" i="1"/>
  <c r="W84" i="1"/>
  <c r="Y84" i="1"/>
  <c r="AA84" i="1"/>
  <c r="AB84" i="1"/>
  <c r="AD84" i="1"/>
  <c r="E86" i="1"/>
  <c r="E23" i="101" s="1"/>
  <c r="G86" i="1"/>
  <c r="G23" i="101" s="1"/>
  <c r="I86" i="1"/>
  <c r="K86" i="1"/>
  <c r="O86" i="1"/>
  <c r="Q86" i="1"/>
  <c r="U86" i="1"/>
  <c r="W86" i="1"/>
  <c r="Y86" i="1"/>
  <c r="AA86" i="1"/>
  <c r="AB86" i="1"/>
  <c r="AD86" i="1"/>
  <c r="E87" i="1"/>
  <c r="G87" i="1"/>
  <c r="I87" i="1"/>
  <c r="K87" i="1"/>
  <c r="O87" i="1"/>
  <c r="Q87" i="1"/>
  <c r="U87" i="1"/>
  <c r="W87" i="1"/>
  <c r="Y87" i="1"/>
  <c r="AA87" i="1"/>
  <c r="AB87" i="1"/>
  <c r="AD87" i="1"/>
  <c r="E88" i="1"/>
  <c r="G88" i="1"/>
  <c r="I88" i="1"/>
  <c r="K88" i="1"/>
  <c r="O88" i="1"/>
  <c r="Q88" i="1"/>
  <c r="U88" i="1"/>
  <c r="W88" i="1"/>
  <c r="Y88" i="1"/>
  <c r="AA88" i="1"/>
  <c r="AB88" i="1"/>
  <c r="AD88" i="1"/>
  <c r="E89" i="1"/>
  <c r="G89" i="1"/>
  <c r="I89" i="1"/>
  <c r="K89" i="1"/>
  <c r="O89" i="1"/>
  <c r="Q89" i="1"/>
  <c r="U89" i="1"/>
  <c r="W89" i="1"/>
  <c r="Y89" i="1"/>
  <c r="AA89" i="1"/>
  <c r="AB89" i="1"/>
  <c r="AD89" i="1"/>
  <c r="E90" i="1"/>
  <c r="G90" i="1"/>
  <c r="I90" i="1"/>
  <c r="K90" i="1"/>
  <c r="O90" i="1"/>
  <c r="Q90" i="1"/>
  <c r="U90" i="1"/>
  <c r="W90" i="1"/>
  <c r="Y90" i="1"/>
  <c r="AA90" i="1"/>
  <c r="AD90" i="1"/>
  <c r="G91" i="1"/>
  <c r="O91" i="1"/>
  <c r="Q91" i="1"/>
  <c r="S91" i="1"/>
  <c r="AD91" i="1"/>
  <c r="E92" i="1"/>
  <c r="G92" i="1"/>
  <c r="O92" i="1"/>
  <c r="Q92" i="1"/>
  <c r="S92" i="1"/>
  <c r="AH92" i="1"/>
  <c r="AD92" i="1"/>
  <c r="E93" i="1"/>
  <c r="G93" i="1"/>
  <c r="O93" i="1"/>
  <c r="Q93" i="1"/>
  <c r="S93" i="1"/>
  <c r="AH93" i="1"/>
  <c r="AD93" i="1"/>
  <c r="E96" i="1"/>
  <c r="G96" i="1"/>
  <c r="I96" i="1"/>
  <c r="K96" i="1"/>
  <c r="O96" i="1"/>
  <c r="Q96" i="1"/>
  <c r="U96" i="1"/>
  <c r="W96" i="1"/>
  <c r="Y96" i="1"/>
  <c r="AA96" i="1"/>
  <c r="AB96" i="1"/>
  <c r="AD96" i="1"/>
  <c r="E97" i="1"/>
  <c r="G97" i="1"/>
  <c r="I97" i="1"/>
  <c r="K97" i="1"/>
  <c r="O97" i="1"/>
  <c r="Q97" i="1"/>
  <c r="U97" i="1"/>
  <c r="W97" i="1"/>
  <c r="Y97" i="1"/>
  <c r="AA97" i="1"/>
  <c r="AB97" i="1"/>
  <c r="AD97" i="1"/>
  <c r="E98" i="1"/>
  <c r="G98" i="1"/>
  <c r="I98" i="1"/>
  <c r="K98" i="1"/>
  <c r="O98" i="1"/>
  <c r="Q98" i="1"/>
  <c r="U98" i="1"/>
  <c r="W98" i="1"/>
  <c r="Y98" i="1"/>
  <c r="AA98" i="1"/>
  <c r="AB98" i="1"/>
  <c r="AD98" i="1"/>
  <c r="E99" i="1"/>
  <c r="G99" i="1"/>
  <c r="I99" i="1"/>
  <c r="K99" i="1"/>
  <c r="O99" i="1"/>
  <c r="Q99" i="1"/>
  <c r="U99" i="1"/>
  <c r="W99" i="1"/>
  <c r="Y99" i="1"/>
  <c r="AA99" i="1"/>
  <c r="AB99" i="1"/>
  <c r="AD99" i="1"/>
  <c r="E100" i="1"/>
  <c r="G100" i="1"/>
  <c r="I100" i="1"/>
  <c r="K100" i="1"/>
  <c r="O100" i="1"/>
  <c r="Q100" i="1"/>
  <c r="U100" i="1"/>
  <c r="W100" i="1"/>
  <c r="Y100" i="1"/>
  <c r="AA100" i="1"/>
  <c r="AB100" i="1"/>
  <c r="AD100" i="1"/>
  <c r="E101" i="1"/>
  <c r="G101" i="1"/>
  <c r="I101" i="1"/>
  <c r="K101" i="1"/>
  <c r="O101" i="1"/>
  <c r="Q101" i="1"/>
  <c r="U101" i="1"/>
  <c r="W101" i="1"/>
  <c r="Y101" i="1"/>
  <c r="AA101" i="1"/>
  <c r="AB101" i="1"/>
  <c r="AD101" i="1"/>
  <c r="E102" i="1"/>
  <c r="G102" i="1"/>
  <c r="I102" i="1"/>
  <c r="K102" i="1"/>
  <c r="O102" i="1"/>
  <c r="Q102" i="1"/>
  <c r="U102" i="1"/>
  <c r="W102" i="1"/>
  <c r="Y102" i="1"/>
  <c r="AA102" i="1"/>
  <c r="AB102" i="1"/>
  <c r="AD102" i="1"/>
  <c r="E103" i="1"/>
  <c r="G103" i="1"/>
  <c r="I103" i="1"/>
  <c r="K103" i="1"/>
  <c r="O103" i="1"/>
  <c r="Q103" i="1"/>
  <c r="U103" i="1"/>
  <c r="W103" i="1"/>
  <c r="Y103" i="1"/>
  <c r="AA103" i="1"/>
  <c r="AB103" i="1"/>
  <c r="AD103" i="1"/>
  <c r="E104" i="1"/>
  <c r="G104" i="1"/>
  <c r="I104" i="1"/>
  <c r="K104" i="1"/>
  <c r="O104" i="1"/>
  <c r="Q104" i="1"/>
  <c r="U104" i="1"/>
  <c r="W104" i="1"/>
  <c r="Y104" i="1"/>
  <c r="AA104" i="1"/>
  <c r="AB104" i="1"/>
  <c r="AD104" i="1"/>
  <c r="E105" i="1"/>
  <c r="G105" i="1"/>
  <c r="I105" i="1"/>
  <c r="K105" i="1"/>
  <c r="O105" i="1"/>
  <c r="Q105" i="1"/>
  <c r="U105" i="1"/>
  <c r="W105" i="1"/>
  <c r="Y105" i="1"/>
  <c r="AA105" i="1"/>
  <c r="AB105" i="1"/>
  <c r="AD105" i="1"/>
  <c r="E106" i="1"/>
  <c r="G106" i="1"/>
  <c r="I106" i="1"/>
  <c r="K106" i="1"/>
  <c r="O106" i="1"/>
  <c r="Q106" i="1"/>
  <c r="U106" i="1"/>
  <c r="W106" i="1"/>
  <c r="Y106" i="1"/>
  <c r="AA106" i="1"/>
  <c r="AB106" i="1"/>
  <c r="AD106" i="1"/>
  <c r="E107" i="1"/>
  <c r="G107" i="1"/>
  <c r="I107" i="1"/>
  <c r="K107" i="1"/>
  <c r="O107" i="1"/>
  <c r="Q107" i="1"/>
  <c r="U107" i="1"/>
  <c r="W107" i="1"/>
  <c r="Y107" i="1"/>
  <c r="AA107" i="1"/>
  <c r="AB107" i="1"/>
  <c r="AD107" i="1"/>
  <c r="E108" i="1"/>
  <c r="G108" i="1"/>
  <c r="I108" i="1"/>
  <c r="K108" i="1"/>
  <c r="O108" i="1"/>
  <c r="Q108" i="1"/>
  <c r="U108" i="1"/>
  <c r="W108" i="1"/>
  <c r="Y108" i="1"/>
  <c r="AA108" i="1"/>
  <c r="AB108" i="1"/>
  <c r="AD108" i="1"/>
  <c r="E109" i="1"/>
  <c r="G109" i="1"/>
  <c r="I109" i="1"/>
  <c r="K109" i="1"/>
  <c r="O109" i="1"/>
  <c r="Q109" i="1"/>
  <c r="U109" i="1"/>
  <c r="W109" i="1"/>
  <c r="Y109" i="1"/>
  <c r="AA109" i="1"/>
  <c r="AB109" i="1"/>
  <c r="AD109" i="1"/>
  <c r="E110" i="1"/>
  <c r="G110" i="1"/>
  <c r="I110" i="1"/>
  <c r="K110" i="1"/>
  <c r="O110" i="1"/>
  <c r="Q110" i="1"/>
  <c r="U110" i="1"/>
  <c r="W110" i="1"/>
  <c r="Y110" i="1"/>
  <c r="AA110" i="1"/>
  <c r="AB110" i="1"/>
  <c r="AD110" i="1"/>
  <c r="E111" i="1"/>
  <c r="G111" i="1"/>
  <c r="I111" i="1"/>
  <c r="K111" i="1"/>
  <c r="O111" i="1"/>
  <c r="Q111" i="1"/>
  <c r="U111" i="1"/>
  <c r="W111" i="1"/>
  <c r="Y111" i="1"/>
  <c r="AA111" i="1"/>
  <c r="AB111" i="1"/>
  <c r="AD111" i="1"/>
  <c r="E112" i="1"/>
  <c r="G112" i="1"/>
  <c r="I112" i="1"/>
  <c r="K112" i="1"/>
  <c r="O112" i="1"/>
  <c r="Q112" i="1"/>
  <c r="U112" i="1"/>
  <c r="W112" i="1"/>
  <c r="Y112" i="1"/>
  <c r="AA112" i="1"/>
  <c r="AB112" i="1"/>
  <c r="AD112" i="1"/>
  <c r="E113" i="1"/>
  <c r="G113" i="1"/>
  <c r="I113" i="1"/>
  <c r="K113" i="1"/>
  <c r="O113" i="1"/>
  <c r="Q113" i="1"/>
  <c r="U113" i="1"/>
  <c r="W113" i="1"/>
  <c r="Y113" i="1"/>
  <c r="AA113" i="1"/>
  <c r="AB113" i="1"/>
  <c r="AD113" i="1"/>
  <c r="E114" i="1"/>
  <c r="G114" i="1"/>
  <c r="I114" i="1"/>
  <c r="K114" i="1"/>
  <c r="O114" i="1"/>
  <c r="Q114" i="1"/>
  <c r="U114" i="1"/>
  <c r="W114" i="1"/>
  <c r="Y114" i="1"/>
  <c r="AA114" i="1"/>
  <c r="AB114" i="1"/>
  <c r="AD114" i="1"/>
  <c r="E115" i="1"/>
  <c r="G115" i="1"/>
  <c r="I115" i="1"/>
  <c r="K115" i="1"/>
  <c r="O115" i="1"/>
  <c r="Q115" i="1"/>
  <c r="U115" i="1"/>
  <c r="W115" i="1"/>
  <c r="Y115" i="1"/>
  <c r="AA115" i="1"/>
  <c r="AB115" i="1"/>
  <c r="AD115" i="1"/>
  <c r="E116" i="1"/>
  <c r="G116" i="1"/>
  <c r="I116" i="1"/>
  <c r="K116" i="1"/>
  <c r="O116" i="1"/>
  <c r="Q116" i="1"/>
  <c r="U116" i="1"/>
  <c r="W116" i="1"/>
  <c r="Y116" i="1"/>
  <c r="AA116" i="1"/>
  <c r="AB116" i="1"/>
  <c r="AD116" i="1"/>
  <c r="E117" i="1"/>
  <c r="G117" i="1"/>
  <c r="I117" i="1"/>
  <c r="K117" i="1"/>
  <c r="O117" i="1"/>
  <c r="Q117" i="1"/>
  <c r="U117" i="1"/>
  <c r="W117" i="1"/>
  <c r="Y117" i="1"/>
  <c r="AA117" i="1"/>
  <c r="AB117" i="1"/>
  <c r="AD117" i="1"/>
  <c r="E118" i="1"/>
  <c r="G118" i="1"/>
  <c r="I118" i="1"/>
  <c r="K118" i="1"/>
  <c r="O118" i="1"/>
  <c r="Q118" i="1"/>
  <c r="U118" i="1"/>
  <c r="W118" i="1"/>
  <c r="Y118" i="1"/>
  <c r="AA118" i="1"/>
  <c r="AB118" i="1"/>
  <c r="AD118" i="1"/>
  <c r="E119" i="1"/>
  <c r="G119" i="1"/>
  <c r="I119" i="1"/>
  <c r="K119" i="1"/>
  <c r="O119" i="1"/>
  <c r="Q119" i="1"/>
  <c r="U119" i="1"/>
  <c r="W119" i="1"/>
  <c r="Y119" i="1"/>
  <c r="AA119" i="1"/>
  <c r="AB119" i="1"/>
  <c r="AD119" i="1"/>
  <c r="E120" i="1"/>
  <c r="G120" i="1"/>
  <c r="I120" i="1"/>
  <c r="K120" i="1"/>
  <c r="O120" i="1"/>
  <c r="Q120" i="1"/>
  <c r="U120" i="1"/>
  <c r="W120" i="1"/>
  <c r="Y120" i="1"/>
  <c r="AA120" i="1"/>
  <c r="AB120" i="1"/>
  <c r="AD120" i="1"/>
  <c r="E121" i="1"/>
  <c r="G121" i="1"/>
  <c r="I121" i="1"/>
  <c r="K121" i="1"/>
  <c r="O121" i="1"/>
  <c r="Q121" i="1"/>
  <c r="U121" i="1"/>
  <c r="W121" i="1"/>
  <c r="Y121" i="1"/>
  <c r="AA121" i="1"/>
  <c r="AB121" i="1"/>
  <c r="AD121" i="1"/>
  <c r="E122" i="1"/>
  <c r="G122" i="1"/>
  <c r="I122" i="1"/>
  <c r="K122" i="1"/>
  <c r="O122" i="1"/>
  <c r="Q122" i="1"/>
  <c r="U122" i="1"/>
  <c r="W122" i="1"/>
  <c r="Y122" i="1"/>
  <c r="AA122" i="1"/>
  <c r="AB122" i="1"/>
  <c r="AD122" i="1"/>
  <c r="E123" i="1"/>
  <c r="G123" i="1"/>
  <c r="I123" i="1"/>
  <c r="K123" i="1"/>
  <c r="O123" i="1"/>
  <c r="Q123" i="1"/>
  <c r="U123" i="1"/>
  <c r="W123" i="1"/>
  <c r="Y123" i="1"/>
  <c r="AA123" i="1"/>
  <c r="AB123" i="1"/>
  <c r="AD123" i="1"/>
  <c r="E124" i="1"/>
  <c r="G124" i="1"/>
  <c r="I124" i="1"/>
  <c r="K124" i="1"/>
  <c r="O124" i="1"/>
  <c r="Q124" i="1"/>
  <c r="U124" i="1"/>
  <c r="W124" i="1"/>
  <c r="Y124" i="1"/>
  <c r="AA124" i="1"/>
  <c r="AB124" i="1"/>
  <c r="AD124" i="1"/>
  <c r="E125" i="1"/>
  <c r="G125" i="1"/>
  <c r="I125" i="1"/>
  <c r="K125" i="1"/>
  <c r="O125" i="1"/>
  <c r="Q125" i="1"/>
  <c r="U125" i="1"/>
  <c r="W125" i="1"/>
  <c r="Y125" i="1"/>
  <c r="AA125" i="1"/>
  <c r="AB125" i="1"/>
  <c r="AD125" i="1"/>
  <c r="E126" i="1"/>
  <c r="G126" i="1"/>
  <c r="I126" i="1"/>
  <c r="K126" i="1"/>
  <c r="O126" i="1"/>
  <c r="Q126" i="1"/>
  <c r="U126" i="1"/>
  <c r="W126" i="1"/>
  <c r="Y126" i="1"/>
  <c r="AA126" i="1"/>
  <c r="AB126" i="1"/>
  <c r="AD126" i="1"/>
  <c r="E127" i="1"/>
  <c r="G127" i="1"/>
  <c r="I127" i="1"/>
  <c r="K127" i="1"/>
  <c r="O127" i="1"/>
  <c r="Q127" i="1"/>
  <c r="U127" i="1"/>
  <c r="W127" i="1"/>
  <c r="Y127" i="1"/>
  <c r="AA127" i="1"/>
  <c r="AB127" i="1"/>
  <c r="AD127" i="1"/>
  <c r="E128" i="1"/>
  <c r="G128" i="1"/>
  <c r="I128" i="1"/>
  <c r="K128" i="1"/>
  <c r="O128" i="1"/>
  <c r="Q128" i="1"/>
  <c r="U128" i="1"/>
  <c r="W128" i="1"/>
  <c r="Y128" i="1"/>
  <c r="AA128" i="1"/>
  <c r="AB128" i="1"/>
  <c r="AD128" i="1"/>
  <c r="E129" i="1"/>
  <c r="G129" i="1"/>
  <c r="I129" i="1"/>
  <c r="K129" i="1"/>
  <c r="O129" i="1"/>
  <c r="Q129" i="1"/>
  <c r="U129" i="1"/>
  <c r="W129" i="1"/>
  <c r="Y129" i="1"/>
  <c r="AA129" i="1"/>
  <c r="AB129" i="1"/>
  <c r="AD129" i="1"/>
  <c r="E130" i="1"/>
  <c r="G130" i="1"/>
  <c r="I130" i="1"/>
  <c r="K130" i="1"/>
  <c r="O130" i="1"/>
  <c r="Q130" i="1"/>
  <c r="U130" i="1"/>
  <c r="W130" i="1"/>
  <c r="Y130" i="1"/>
  <c r="AA130" i="1"/>
  <c r="AB130" i="1"/>
  <c r="AD130" i="1"/>
  <c r="E131" i="1"/>
  <c r="G131" i="1"/>
  <c r="I131" i="1"/>
  <c r="K131" i="1"/>
  <c r="O131" i="1"/>
  <c r="Q131" i="1"/>
  <c r="U131" i="1"/>
  <c r="W131" i="1"/>
  <c r="Y131" i="1"/>
  <c r="AA131" i="1"/>
  <c r="AB131" i="1"/>
  <c r="AD131" i="1"/>
  <c r="E132" i="1"/>
  <c r="G132" i="1"/>
  <c r="I132" i="1"/>
  <c r="K132" i="1"/>
  <c r="O132" i="1"/>
  <c r="Q132" i="1"/>
  <c r="U132" i="1"/>
  <c r="W132" i="1"/>
  <c r="Y132" i="1"/>
  <c r="AA132" i="1"/>
  <c r="AB132" i="1"/>
  <c r="AD132" i="1"/>
  <c r="E133" i="1"/>
  <c r="G133" i="1"/>
  <c r="I133" i="1"/>
  <c r="K133" i="1"/>
  <c r="O133" i="1"/>
  <c r="Q133" i="1"/>
  <c r="U133" i="1"/>
  <c r="W133" i="1"/>
  <c r="Y133" i="1"/>
  <c r="AA133" i="1"/>
  <c r="AB133" i="1"/>
  <c r="AD133" i="1"/>
  <c r="E134" i="1"/>
  <c r="G134" i="1"/>
  <c r="I134" i="1"/>
  <c r="K134" i="1"/>
  <c r="O134" i="1"/>
  <c r="Q134" i="1"/>
  <c r="U134" i="1"/>
  <c r="W134" i="1"/>
  <c r="Y134" i="1"/>
  <c r="AA134" i="1"/>
  <c r="AB134" i="1"/>
  <c r="AD134" i="1"/>
  <c r="E136" i="1"/>
  <c r="G136" i="1"/>
  <c r="I136" i="1"/>
  <c r="K136" i="1"/>
  <c r="O136" i="1"/>
  <c r="Q136" i="1"/>
  <c r="U136" i="1"/>
  <c r="W136" i="1"/>
  <c r="Y136" i="1"/>
  <c r="AA136" i="1"/>
  <c r="AB136" i="1"/>
  <c r="AD136" i="1"/>
  <c r="E137" i="1"/>
  <c r="G137" i="1"/>
  <c r="I137" i="1"/>
  <c r="K137" i="1"/>
  <c r="O137" i="1"/>
  <c r="Q137" i="1"/>
  <c r="U137" i="1"/>
  <c r="W137" i="1"/>
  <c r="Y137" i="1"/>
  <c r="AA137" i="1"/>
  <c r="AB137" i="1"/>
  <c r="AD137" i="1"/>
  <c r="E138" i="1"/>
  <c r="G138" i="1"/>
  <c r="I138" i="1"/>
  <c r="K138" i="1"/>
  <c r="O138" i="1"/>
  <c r="Q138" i="1"/>
  <c r="U138" i="1"/>
  <c r="W138" i="1"/>
  <c r="Y138" i="1"/>
  <c r="AA138" i="1"/>
  <c r="AB138" i="1"/>
  <c r="AD138" i="1"/>
  <c r="E139" i="1"/>
  <c r="G139" i="1"/>
  <c r="I139" i="1"/>
  <c r="K139" i="1"/>
  <c r="O139" i="1"/>
  <c r="Q139" i="1"/>
  <c r="U139" i="1"/>
  <c r="W139" i="1"/>
  <c r="Y139" i="1"/>
  <c r="AA139" i="1"/>
  <c r="AB139" i="1"/>
  <c r="AD139" i="1"/>
  <c r="E140" i="1"/>
  <c r="G140" i="1"/>
  <c r="I140" i="1"/>
  <c r="K140" i="1"/>
  <c r="O140" i="1"/>
  <c r="Q140" i="1"/>
  <c r="U140" i="1"/>
  <c r="W140" i="1"/>
  <c r="Y140" i="1"/>
  <c r="AA140" i="1"/>
  <c r="AB140" i="1"/>
  <c r="AD140" i="1"/>
  <c r="E141" i="1"/>
  <c r="G141" i="1"/>
  <c r="I141" i="1"/>
  <c r="K141" i="1"/>
  <c r="O141" i="1"/>
  <c r="Q141" i="1"/>
  <c r="U141" i="1"/>
  <c r="W141" i="1"/>
  <c r="Y141" i="1"/>
  <c r="AA141" i="1"/>
  <c r="AB141" i="1"/>
  <c r="AD141" i="1"/>
  <c r="E142" i="1"/>
  <c r="G142" i="1"/>
  <c r="I142" i="1"/>
  <c r="K142" i="1"/>
  <c r="O142" i="1"/>
  <c r="Q142" i="1"/>
  <c r="U142" i="1"/>
  <c r="W142" i="1"/>
  <c r="Y142" i="1"/>
  <c r="AA142" i="1"/>
  <c r="AB142" i="1"/>
  <c r="AD142" i="1"/>
  <c r="E143" i="1"/>
  <c r="G143" i="1"/>
  <c r="I143" i="1"/>
  <c r="K143" i="1"/>
  <c r="O143" i="1"/>
  <c r="Q143" i="1"/>
  <c r="U143" i="1"/>
  <c r="W143" i="1"/>
  <c r="Y143" i="1"/>
  <c r="AA143" i="1"/>
  <c r="AB143" i="1"/>
  <c r="AD143" i="1"/>
  <c r="E144" i="1"/>
  <c r="G144" i="1"/>
  <c r="I144" i="1"/>
  <c r="K144" i="1"/>
  <c r="O144" i="1"/>
  <c r="Q144" i="1"/>
  <c r="U144" i="1"/>
  <c r="W144" i="1"/>
  <c r="Y144" i="1"/>
  <c r="AA144" i="1"/>
  <c r="AB144" i="1"/>
  <c r="AD144" i="1"/>
  <c r="E145" i="1"/>
  <c r="G145" i="1"/>
  <c r="I145" i="1"/>
  <c r="K145" i="1"/>
  <c r="O145" i="1"/>
  <c r="Q145" i="1"/>
  <c r="U145" i="1"/>
  <c r="W145" i="1"/>
  <c r="Y145" i="1"/>
  <c r="AA145" i="1"/>
  <c r="AB145" i="1"/>
  <c r="AD145" i="1"/>
  <c r="E146" i="1"/>
  <c r="G146" i="1"/>
  <c r="I146" i="1"/>
  <c r="K146" i="1"/>
  <c r="O146" i="1"/>
  <c r="Q146" i="1"/>
  <c r="U146" i="1"/>
  <c r="W146" i="1"/>
  <c r="Y146" i="1"/>
  <c r="AA146" i="1"/>
  <c r="AB146" i="1"/>
  <c r="AD146" i="1"/>
  <c r="E147" i="1"/>
  <c r="G147" i="1"/>
  <c r="I147" i="1"/>
  <c r="K147" i="1"/>
  <c r="O147" i="1"/>
  <c r="Q147" i="1"/>
  <c r="U147" i="1"/>
  <c r="W147" i="1"/>
  <c r="Y147" i="1"/>
  <c r="AA147" i="1"/>
  <c r="AB147" i="1"/>
  <c r="AD147" i="1"/>
  <c r="E148" i="1"/>
  <c r="G148" i="1"/>
  <c r="I148" i="1"/>
  <c r="K148" i="1"/>
  <c r="O148" i="1"/>
  <c r="Q148" i="1"/>
  <c r="U148" i="1"/>
  <c r="W148" i="1"/>
  <c r="Y148" i="1"/>
  <c r="AA148" i="1"/>
  <c r="AB148" i="1"/>
  <c r="AD148" i="1"/>
  <c r="E149" i="1"/>
  <c r="G149" i="1"/>
  <c r="I149" i="1"/>
  <c r="K149" i="1"/>
  <c r="O149" i="1"/>
  <c r="Q149" i="1"/>
  <c r="U149" i="1"/>
  <c r="W149" i="1"/>
  <c r="Y149" i="1"/>
  <c r="AA149" i="1"/>
  <c r="AB149" i="1"/>
  <c r="AD149" i="1"/>
  <c r="E150" i="1"/>
  <c r="G150" i="1"/>
  <c r="I150" i="1"/>
  <c r="K150" i="1"/>
  <c r="O150" i="1"/>
  <c r="Q150" i="1"/>
  <c r="U150" i="1"/>
  <c r="W150" i="1"/>
  <c r="Y150" i="1"/>
  <c r="AA150" i="1"/>
  <c r="AB150" i="1"/>
  <c r="AD150" i="1"/>
  <c r="E151" i="1"/>
  <c r="G151" i="1"/>
  <c r="I151" i="1"/>
  <c r="K151" i="1"/>
  <c r="O151" i="1"/>
  <c r="Q151" i="1"/>
  <c r="U151" i="1"/>
  <c r="W151" i="1"/>
  <c r="Y151" i="1"/>
  <c r="AA151" i="1"/>
  <c r="AB151" i="1"/>
  <c r="AD151" i="1"/>
  <c r="E152" i="1"/>
  <c r="G152" i="1"/>
  <c r="I152" i="1"/>
  <c r="K152" i="1"/>
  <c r="O152" i="1"/>
  <c r="Q152" i="1"/>
  <c r="U152" i="1"/>
  <c r="W152" i="1"/>
  <c r="Y152" i="1"/>
  <c r="AA152" i="1"/>
  <c r="AB152" i="1"/>
  <c r="AD152" i="1"/>
  <c r="E153" i="1"/>
  <c r="G153" i="1"/>
  <c r="I153" i="1"/>
  <c r="K153" i="1"/>
  <c r="O153" i="1"/>
  <c r="Q153" i="1"/>
  <c r="U153" i="1"/>
  <c r="W153" i="1"/>
  <c r="Y153" i="1"/>
  <c r="AA153" i="1"/>
  <c r="AB153" i="1"/>
  <c r="AD153" i="1"/>
  <c r="E154" i="1"/>
  <c r="G154" i="1"/>
  <c r="I154" i="1"/>
  <c r="K154" i="1"/>
  <c r="O154" i="1"/>
  <c r="Q154" i="1"/>
  <c r="U154" i="1"/>
  <c r="W154" i="1"/>
  <c r="Y154" i="1"/>
  <c r="AA154" i="1"/>
  <c r="AB154" i="1"/>
  <c r="AD154" i="1"/>
  <c r="E155" i="1"/>
  <c r="G155" i="1"/>
  <c r="I155" i="1"/>
  <c r="K155" i="1"/>
  <c r="O155" i="1"/>
  <c r="Q155" i="1"/>
  <c r="U155" i="1"/>
  <c r="W155" i="1"/>
  <c r="Y155" i="1"/>
  <c r="AA155" i="1"/>
  <c r="AB155" i="1"/>
  <c r="AD155" i="1"/>
  <c r="E156" i="1"/>
  <c r="G156" i="1"/>
  <c r="I156" i="1"/>
  <c r="K156" i="1"/>
  <c r="O156" i="1"/>
  <c r="Q156" i="1"/>
  <c r="U156" i="1"/>
  <c r="W156" i="1"/>
  <c r="Y156" i="1"/>
  <c r="AA156" i="1"/>
  <c r="AB156" i="1"/>
  <c r="AD156" i="1"/>
  <c r="E157" i="1"/>
  <c r="G157" i="1"/>
  <c r="I157" i="1"/>
  <c r="K157" i="1"/>
  <c r="O157" i="1"/>
  <c r="Q157" i="1"/>
  <c r="U157" i="1"/>
  <c r="W157" i="1"/>
  <c r="Y157" i="1"/>
  <c r="AA157" i="1"/>
  <c r="AB157" i="1"/>
  <c r="AD157" i="1"/>
  <c r="E158" i="1"/>
  <c r="G158" i="1"/>
  <c r="I158" i="1"/>
  <c r="K158" i="1"/>
  <c r="O158" i="1"/>
  <c r="Q158" i="1"/>
  <c r="U158" i="1"/>
  <c r="W158" i="1"/>
  <c r="Y158" i="1"/>
  <c r="AA158" i="1"/>
  <c r="AB158" i="1"/>
  <c r="AD158" i="1"/>
  <c r="E159" i="1"/>
  <c r="G159" i="1"/>
  <c r="I159" i="1"/>
  <c r="K159" i="1"/>
  <c r="O159" i="1"/>
  <c r="Q159" i="1"/>
  <c r="U159" i="1"/>
  <c r="W159" i="1"/>
  <c r="Y159" i="1"/>
  <c r="AA159" i="1"/>
  <c r="AB159" i="1"/>
  <c r="AD159" i="1"/>
  <c r="E160" i="1"/>
  <c r="G160" i="1"/>
  <c r="I160" i="1"/>
  <c r="K160" i="1"/>
  <c r="O160" i="1"/>
  <c r="Q160" i="1"/>
  <c r="U160" i="1"/>
  <c r="W160" i="1"/>
  <c r="Y160" i="1"/>
  <c r="AA160" i="1"/>
  <c r="AB160" i="1"/>
  <c r="AD160" i="1"/>
  <c r="E161" i="1"/>
  <c r="G161" i="1"/>
  <c r="I161" i="1"/>
  <c r="K161" i="1"/>
  <c r="O161" i="1"/>
  <c r="Q161" i="1"/>
  <c r="U161" i="1"/>
  <c r="W161" i="1"/>
  <c r="Y161" i="1"/>
  <c r="AA161" i="1"/>
  <c r="AB161" i="1"/>
  <c r="AD161" i="1"/>
  <c r="E162" i="1"/>
  <c r="G162" i="1"/>
  <c r="I162" i="1"/>
  <c r="K162" i="1"/>
  <c r="O162" i="1"/>
  <c r="Q162" i="1"/>
  <c r="U162" i="1"/>
  <c r="W162" i="1"/>
  <c r="Y162" i="1"/>
  <c r="AA162" i="1"/>
  <c r="AB162" i="1"/>
  <c r="AD162" i="1"/>
  <c r="E163" i="1"/>
  <c r="G163" i="1"/>
  <c r="I163" i="1"/>
  <c r="K163" i="1"/>
  <c r="O163" i="1"/>
  <c r="Q163" i="1"/>
  <c r="U163" i="1"/>
  <c r="W163" i="1"/>
  <c r="Y163" i="1"/>
  <c r="AA163" i="1"/>
  <c r="AB163" i="1"/>
  <c r="AD163" i="1"/>
  <c r="E164" i="1"/>
  <c r="G164" i="1"/>
  <c r="I164" i="1"/>
  <c r="K164" i="1"/>
  <c r="O164" i="1"/>
  <c r="Q164" i="1"/>
  <c r="U164" i="1"/>
  <c r="W164" i="1"/>
  <c r="Y164" i="1"/>
  <c r="AA164" i="1"/>
  <c r="AB164" i="1"/>
  <c r="AD164" i="1"/>
  <c r="E165" i="1"/>
  <c r="G165" i="1"/>
  <c r="I165" i="1"/>
  <c r="K165" i="1"/>
  <c r="O165" i="1"/>
  <c r="Q165" i="1"/>
  <c r="U165" i="1"/>
  <c r="W165" i="1"/>
  <c r="Y165" i="1"/>
  <c r="AA165" i="1"/>
  <c r="AB165" i="1"/>
  <c r="AD165" i="1"/>
  <c r="E166" i="1"/>
  <c r="G166" i="1"/>
  <c r="I166" i="1"/>
  <c r="K166" i="1"/>
  <c r="O166" i="1"/>
  <c r="Q166" i="1"/>
  <c r="U166" i="1"/>
  <c r="W166" i="1"/>
  <c r="Y166" i="1"/>
  <c r="AA166" i="1"/>
  <c r="AB166" i="1"/>
  <c r="AD166" i="1"/>
  <c r="E167" i="1"/>
  <c r="G167" i="1"/>
  <c r="I167" i="1"/>
  <c r="K167" i="1"/>
  <c r="O167" i="1"/>
  <c r="Q167" i="1"/>
  <c r="U167" i="1"/>
  <c r="W167" i="1"/>
  <c r="Y167" i="1"/>
  <c r="AA167" i="1"/>
  <c r="AB167" i="1"/>
  <c r="AD167" i="1"/>
  <c r="E168" i="1"/>
  <c r="G168" i="1"/>
  <c r="I168" i="1"/>
  <c r="K168" i="1"/>
  <c r="O168" i="1"/>
  <c r="Q168" i="1"/>
  <c r="U168" i="1"/>
  <c r="W168" i="1"/>
  <c r="Y168" i="1"/>
  <c r="AA168" i="1"/>
  <c r="AB168" i="1"/>
  <c r="AD168" i="1"/>
  <c r="E169" i="1"/>
  <c r="G169" i="1"/>
  <c r="I169" i="1"/>
  <c r="K169" i="1"/>
  <c r="O169" i="1"/>
  <c r="Q169" i="1"/>
  <c r="U169" i="1"/>
  <c r="W169" i="1"/>
  <c r="Y169" i="1"/>
  <c r="AA169" i="1"/>
  <c r="AB169" i="1"/>
  <c r="AD169" i="1"/>
  <c r="E170" i="1"/>
  <c r="G170" i="1"/>
  <c r="I170" i="1"/>
  <c r="K170" i="1"/>
  <c r="O170" i="1"/>
  <c r="Q170" i="1"/>
  <c r="U170" i="1"/>
  <c r="W170" i="1"/>
  <c r="Y170" i="1"/>
  <c r="AA170" i="1"/>
  <c r="AB170" i="1"/>
  <c r="AD170" i="1"/>
  <c r="E171" i="1"/>
  <c r="G171" i="1"/>
  <c r="I171" i="1"/>
  <c r="K171" i="1"/>
  <c r="O171" i="1"/>
  <c r="Q171" i="1"/>
  <c r="U171" i="1"/>
  <c r="W171" i="1"/>
  <c r="Y171" i="1"/>
  <c r="AA171" i="1"/>
  <c r="AB171" i="1"/>
  <c r="AD171" i="1"/>
  <c r="E172" i="1"/>
  <c r="G172" i="1"/>
  <c r="I172" i="1"/>
  <c r="K172" i="1"/>
  <c r="O172" i="1"/>
  <c r="Q172" i="1"/>
  <c r="U172" i="1"/>
  <c r="W172" i="1"/>
  <c r="Y172" i="1"/>
  <c r="AA172" i="1"/>
  <c r="AB172" i="1"/>
  <c r="AD172" i="1"/>
  <c r="E174" i="1"/>
  <c r="G174" i="1"/>
  <c r="I174" i="1"/>
  <c r="K174" i="1"/>
  <c r="O174" i="1"/>
  <c r="Q174" i="1"/>
  <c r="U174" i="1"/>
  <c r="W174" i="1"/>
  <c r="Y174" i="1"/>
  <c r="AA174" i="1"/>
  <c r="AB174" i="1"/>
  <c r="AD174" i="1"/>
  <c r="E175" i="1"/>
  <c r="G175" i="1"/>
  <c r="I175" i="1"/>
  <c r="K175" i="1"/>
  <c r="O175" i="1"/>
  <c r="Q175" i="1"/>
  <c r="U175" i="1"/>
  <c r="W175" i="1"/>
  <c r="Y175" i="1"/>
  <c r="AA175" i="1"/>
  <c r="AB175" i="1"/>
  <c r="AD175" i="1"/>
  <c r="E176" i="1"/>
  <c r="G176" i="1"/>
  <c r="I176" i="1"/>
  <c r="K176" i="1"/>
  <c r="O176" i="1"/>
  <c r="Q176" i="1"/>
  <c r="U176" i="1"/>
  <c r="W176" i="1"/>
  <c r="Y176" i="1"/>
  <c r="AA176" i="1"/>
  <c r="AB176" i="1"/>
  <c r="AD176" i="1"/>
  <c r="E177" i="1"/>
  <c r="G177" i="1"/>
  <c r="I177" i="1"/>
  <c r="K177" i="1"/>
  <c r="O177" i="1"/>
  <c r="Q177" i="1"/>
  <c r="U177" i="1"/>
  <c r="W177" i="1"/>
  <c r="Y177" i="1"/>
  <c r="AA177" i="1"/>
  <c r="AB177" i="1"/>
  <c r="AD177" i="1"/>
  <c r="E178" i="1"/>
  <c r="G178" i="1"/>
  <c r="I178" i="1"/>
  <c r="K178" i="1"/>
  <c r="O178" i="1"/>
  <c r="Q178" i="1"/>
  <c r="U178" i="1"/>
  <c r="W178" i="1"/>
  <c r="Y178" i="1"/>
  <c r="AA178" i="1"/>
  <c r="AB178" i="1"/>
  <c r="AD178" i="1"/>
  <c r="E179" i="1"/>
  <c r="G179" i="1"/>
  <c r="I179" i="1"/>
  <c r="K179" i="1"/>
  <c r="O179" i="1"/>
  <c r="Q179" i="1"/>
  <c r="U179" i="1"/>
  <c r="W179" i="1"/>
  <c r="Y179" i="1"/>
  <c r="AA179" i="1"/>
  <c r="AB179" i="1"/>
  <c r="AD179" i="1"/>
  <c r="E180" i="1"/>
  <c r="G180" i="1"/>
  <c r="I180" i="1"/>
  <c r="K180" i="1"/>
  <c r="O180" i="1"/>
  <c r="Q180" i="1"/>
  <c r="U180" i="1"/>
  <c r="W180" i="1"/>
  <c r="Y180" i="1"/>
  <c r="AA180" i="1"/>
  <c r="AB180" i="1"/>
  <c r="AD180" i="1"/>
  <c r="E181" i="1"/>
  <c r="G181" i="1"/>
  <c r="I181" i="1"/>
  <c r="K181" i="1"/>
  <c r="O181" i="1"/>
  <c r="Q181" i="1"/>
  <c r="U181" i="1"/>
  <c r="W181" i="1"/>
  <c r="Y181" i="1"/>
  <c r="AA181" i="1"/>
  <c r="AB181" i="1"/>
  <c r="AD181" i="1"/>
  <c r="E182" i="1"/>
  <c r="G182" i="1"/>
  <c r="I182" i="1"/>
  <c r="K182" i="1"/>
  <c r="O182" i="1"/>
  <c r="Q182" i="1"/>
  <c r="U182" i="1"/>
  <c r="W182" i="1"/>
  <c r="Y182" i="1"/>
  <c r="AA182" i="1"/>
  <c r="AB182" i="1"/>
  <c r="AD182" i="1"/>
  <c r="E183" i="1"/>
  <c r="G183" i="1"/>
  <c r="I183" i="1"/>
  <c r="K183" i="1"/>
  <c r="O183" i="1"/>
  <c r="Q183" i="1"/>
  <c r="U183" i="1"/>
  <c r="W183" i="1"/>
  <c r="Y183" i="1"/>
  <c r="AA183" i="1"/>
  <c r="AB183" i="1"/>
  <c r="AD183" i="1"/>
  <c r="E184" i="1"/>
  <c r="G184" i="1"/>
  <c r="I184" i="1"/>
  <c r="K184" i="1"/>
  <c r="O184" i="1"/>
  <c r="Q184" i="1"/>
  <c r="U184" i="1"/>
  <c r="W184" i="1"/>
  <c r="Y184" i="1"/>
  <c r="AA184" i="1"/>
  <c r="AB184" i="1"/>
  <c r="AD184" i="1"/>
  <c r="E185" i="1"/>
  <c r="G185" i="1"/>
  <c r="I185" i="1"/>
  <c r="K185" i="1"/>
  <c r="O185" i="1"/>
  <c r="Q185" i="1"/>
  <c r="U185" i="1"/>
  <c r="W185" i="1"/>
  <c r="Y185" i="1"/>
  <c r="AA185" i="1"/>
  <c r="AB185" i="1"/>
  <c r="AD185" i="1"/>
  <c r="E186" i="1"/>
  <c r="G186" i="1"/>
  <c r="I186" i="1"/>
  <c r="K186" i="1"/>
  <c r="O186" i="1"/>
  <c r="Q186" i="1"/>
  <c r="U186" i="1"/>
  <c r="W186" i="1"/>
  <c r="Y186" i="1"/>
  <c r="AA186" i="1"/>
  <c r="AB186" i="1"/>
  <c r="AD186" i="1"/>
  <c r="E187" i="1"/>
  <c r="G187" i="1"/>
  <c r="I187" i="1"/>
  <c r="K187" i="1"/>
  <c r="O187" i="1"/>
  <c r="Q187" i="1"/>
  <c r="U187" i="1"/>
  <c r="W187" i="1"/>
  <c r="Y187" i="1"/>
  <c r="AA187" i="1"/>
  <c r="AB187" i="1"/>
  <c r="AD187" i="1"/>
  <c r="E188" i="1"/>
  <c r="G188" i="1"/>
  <c r="I188" i="1"/>
  <c r="K188" i="1"/>
  <c r="O188" i="1"/>
  <c r="Q188" i="1"/>
  <c r="U188" i="1"/>
  <c r="W188" i="1"/>
  <c r="Y188" i="1"/>
  <c r="AA188" i="1"/>
  <c r="AB188" i="1"/>
  <c r="AD188" i="1"/>
  <c r="E189" i="1"/>
  <c r="G189" i="1"/>
  <c r="I189" i="1"/>
  <c r="K189" i="1"/>
  <c r="O189" i="1"/>
  <c r="Q189" i="1"/>
  <c r="U189" i="1"/>
  <c r="W189" i="1"/>
  <c r="Y189" i="1"/>
  <c r="AA189" i="1"/>
  <c r="AB189" i="1"/>
  <c r="AD189" i="1"/>
  <c r="E190" i="1"/>
  <c r="G190" i="1"/>
  <c r="I190" i="1"/>
  <c r="K190" i="1"/>
  <c r="O190" i="1"/>
  <c r="Q190" i="1"/>
  <c r="U190" i="1"/>
  <c r="W190" i="1"/>
  <c r="Y190" i="1"/>
  <c r="AA190" i="1"/>
  <c r="AB190" i="1"/>
  <c r="AD190" i="1"/>
  <c r="E191" i="1"/>
  <c r="G191" i="1"/>
  <c r="I191" i="1"/>
  <c r="K191" i="1"/>
  <c r="O191" i="1"/>
  <c r="Q191" i="1"/>
  <c r="U191" i="1"/>
  <c r="W191" i="1"/>
  <c r="Y191" i="1"/>
  <c r="AA191" i="1"/>
  <c r="AB191" i="1"/>
  <c r="AD191" i="1"/>
  <c r="E192" i="1"/>
  <c r="G192" i="1"/>
  <c r="I192" i="1"/>
  <c r="K192" i="1"/>
  <c r="O192" i="1"/>
  <c r="Q192" i="1"/>
  <c r="U192" i="1"/>
  <c r="W192" i="1"/>
  <c r="Y192" i="1"/>
  <c r="AA192" i="1"/>
  <c r="AB192" i="1"/>
  <c r="AD192" i="1"/>
  <c r="E193" i="1"/>
  <c r="G193" i="1"/>
  <c r="I193" i="1"/>
  <c r="K193" i="1"/>
  <c r="O193" i="1"/>
  <c r="Q193" i="1"/>
  <c r="U193" i="1"/>
  <c r="W193" i="1"/>
  <c r="Y193" i="1"/>
  <c r="AA193" i="1"/>
  <c r="AB193" i="1"/>
  <c r="AD193" i="1"/>
  <c r="E194" i="1"/>
  <c r="G194" i="1"/>
  <c r="I194" i="1"/>
  <c r="K194" i="1"/>
  <c r="O194" i="1"/>
  <c r="Q194" i="1"/>
  <c r="U194" i="1"/>
  <c r="W194" i="1"/>
  <c r="Y194" i="1"/>
  <c r="AA194" i="1"/>
  <c r="AB194" i="1"/>
  <c r="AD194" i="1"/>
  <c r="E195" i="1"/>
  <c r="G195" i="1"/>
  <c r="I195" i="1"/>
  <c r="K195" i="1"/>
  <c r="O195" i="1"/>
  <c r="Q195" i="1"/>
  <c r="U195" i="1"/>
  <c r="W195" i="1"/>
  <c r="Y195" i="1"/>
  <c r="AA195" i="1"/>
  <c r="AB195" i="1"/>
  <c r="AD195" i="1"/>
  <c r="E196" i="1"/>
  <c r="G196" i="1"/>
  <c r="I196" i="1"/>
  <c r="K196" i="1"/>
  <c r="O196" i="1"/>
  <c r="Q196" i="1"/>
  <c r="U196" i="1"/>
  <c r="W196" i="1"/>
  <c r="Y196" i="1"/>
  <c r="AA196" i="1"/>
  <c r="AB196" i="1"/>
  <c r="AD196" i="1"/>
  <c r="E197" i="1"/>
  <c r="G197" i="1"/>
  <c r="I197" i="1"/>
  <c r="K197" i="1"/>
  <c r="O197" i="1"/>
  <c r="Q197" i="1"/>
  <c r="U197" i="1"/>
  <c r="W197" i="1"/>
  <c r="Y197" i="1"/>
  <c r="AA197" i="1"/>
  <c r="AB197" i="1"/>
  <c r="AD197" i="1"/>
  <c r="E198" i="1"/>
  <c r="G198" i="1"/>
  <c r="I198" i="1"/>
  <c r="K198" i="1"/>
  <c r="O198" i="1"/>
  <c r="Q198" i="1"/>
  <c r="U198" i="1"/>
  <c r="W198" i="1"/>
  <c r="Y198" i="1"/>
  <c r="AA198" i="1"/>
  <c r="AB198" i="1"/>
  <c r="AD198" i="1"/>
  <c r="E199" i="1"/>
  <c r="G199" i="1"/>
  <c r="I199" i="1"/>
  <c r="K199" i="1"/>
  <c r="O199" i="1"/>
  <c r="Q199" i="1"/>
  <c r="U199" i="1"/>
  <c r="W199" i="1"/>
  <c r="Y199" i="1"/>
  <c r="AA199" i="1"/>
  <c r="AB199" i="1"/>
  <c r="AD199" i="1"/>
  <c r="E200" i="1"/>
  <c r="G200" i="1"/>
  <c r="I200" i="1"/>
  <c r="K200" i="1"/>
  <c r="O200" i="1"/>
  <c r="Q200" i="1"/>
  <c r="U200" i="1"/>
  <c r="W200" i="1"/>
  <c r="Y200" i="1"/>
  <c r="AA200" i="1"/>
  <c r="AB200" i="1"/>
  <c r="AD200" i="1"/>
  <c r="E201" i="1"/>
  <c r="G201" i="1"/>
  <c r="I201" i="1"/>
  <c r="K201" i="1"/>
  <c r="O201" i="1"/>
  <c r="Q201" i="1"/>
  <c r="U201" i="1"/>
  <c r="W201" i="1"/>
  <c r="Y201" i="1"/>
  <c r="AA201" i="1"/>
  <c r="AB201" i="1"/>
  <c r="AD201" i="1"/>
  <c r="E202" i="1"/>
  <c r="G202" i="1"/>
  <c r="I202" i="1"/>
  <c r="K202" i="1"/>
  <c r="O202" i="1"/>
  <c r="Q202" i="1"/>
  <c r="U202" i="1"/>
  <c r="W202" i="1"/>
  <c r="Y202" i="1"/>
  <c r="AA202" i="1"/>
  <c r="AB202" i="1"/>
  <c r="AD202" i="1"/>
  <c r="E203" i="1"/>
  <c r="G203" i="1"/>
  <c r="I203" i="1"/>
  <c r="K203" i="1"/>
  <c r="O203" i="1"/>
  <c r="Q203" i="1"/>
  <c r="U203" i="1"/>
  <c r="W203" i="1"/>
  <c r="Y203" i="1"/>
  <c r="AA203" i="1"/>
  <c r="AB203" i="1"/>
  <c r="AD203" i="1"/>
  <c r="E204" i="1"/>
  <c r="G204" i="1"/>
  <c r="I204" i="1"/>
  <c r="K204" i="1"/>
  <c r="O204" i="1"/>
  <c r="Q204" i="1"/>
  <c r="U204" i="1"/>
  <c r="W204" i="1"/>
  <c r="Y204" i="1"/>
  <c r="AA204" i="1"/>
  <c r="AB204" i="1"/>
  <c r="AD204" i="1"/>
  <c r="E205" i="1"/>
  <c r="G205" i="1"/>
  <c r="I205" i="1"/>
  <c r="K205" i="1"/>
  <c r="O205" i="1"/>
  <c r="Q205" i="1"/>
  <c r="U205" i="1"/>
  <c r="W205" i="1"/>
  <c r="Y205" i="1"/>
  <c r="AA205" i="1"/>
  <c r="AB205" i="1"/>
  <c r="AD205" i="1"/>
  <c r="E206" i="1"/>
  <c r="G206" i="1"/>
  <c r="I206" i="1"/>
  <c r="K206" i="1"/>
  <c r="O206" i="1"/>
  <c r="Q206" i="1"/>
  <c r="U206" i="1"/>
  <c r="W206" i="1"/>
  <c r="Y206" i="1"/>
  <c r="AA206" i="1"/>
  <c r="AB206" i="1"/>
  <c r="AD206" i="1"/>
  <c r="E207" i="1"/>
  <c r="G207" i="1"/>
  <c r="I207" i="1"/>
  <c r="K207" i="1"/>
  <c r="O207" i="1"/>
  <c r="Q207" i="1"/>
  <c r="U207" i="1"/>
  <c r="W207" i="1"/>
  <c r="Y207" i="1"/>
  <c r="AA207" i="1"/>
  <c r="AB207" i="1"/>
  <c r="AD207" i="1"/>
  <c r="E208" i="1"/>
  <c r="G208" i="1"/>
  <c r="I208" i="1"/>
  <c r="K208" i="1"/>
  <c r="O208" i="1"/>
  <c r="Q208" i="1"/>
  <c r="U208" i="1"/>
  <c r="W208" i="1"/>
  <c r="Y208" i="1"/>
  <c r="AA208" i="1"/>
  <c r="AB208" i="1"/>
  <c r="AD208" i="1"/>
  <c r="E209" i="1"/>
  <c r="G209" i="1"/>
  <c r="I209" i="1"/>
  <c r="K209" i="1"/>
  <c r="O209" i="1"/>
  <c r="Q209" i="1"/>
  <c r="U209" i="1"/>
  <c r="W209" i="1"/>
  <c r="Y209" i="1"/>
  <c r="AA209" i="1"/>
  <c r="AB209" i="1"/>
  <c r="AD209" i="1"/>
  <c r="E210" i="1"/>
  <c r="G210" i="1"/>
  <c r="I210" i="1"/>
  <c r="K210" i="1"/>
  <c r="O210" i="1"/>
  <c r="Q210" i="1"/>
  <c r="U210" i="1"/>
  <c r="W210" i="1"/>
  <c r="Y210" i="1"/>
  <c r="AA210" i="1"/>
  <c r="AB210" i="1"/>
  <c r="AD210" i="1"/>
  <c r="E211" i="1"/>
  <c r="G211" i="1"/>
  <c r="I211" i="1"/>
  <c r="K211" i="1"/>
  <c r="O211" i="1"/>
  <c r="Q211" i="1"/>
  <c r="U211" i="1"/>
  <c r="W211" i="1"/>
  <c r="Y211" i="1"/>
  <c r="AA211" i="1"/>
  <c r="AB211" i="1"/>
  <c r="AD211" i="1"/>
  <c r="E214" i="1"/>
  <c r="G214" i="1"/>
  <c r="I214" i="1"/>
  <c r="K214" i="1"/>
  <c r="O214" i="1"/>
  <c r="Q214" i="1"/>
  <c r="U214" i="1"/>
  <c r="W214" i="1"/>
  <c r="Y214" i="1"/>
  <c r="AA214" i="1"/>
  <c r="AB214" i="1"/>
  <c r="AD214" i="1"/>
  <c r="E215" i="1"/>
  <c r="G215" i="1"/>
  <c r="I215" i="1"/>
  <c r="K215" i="1"/>
  <c r="O215" i="1"/>
  <c r="Q215" i="1"/>
  <c r="U215" i="1"/>
  <c r="W215" i="1"/>
  <c r="Y215" i="1"/>
  <c r="AA215" i="1"/>
  <c r="AB215" i="1"/>
  <c r="AD215" i="1"/>
  <c r="E216" i="1"/>
  <c r="G216" i="1"/>
  <c r="I216" i="1"/>
  <c r="K216" i="1"/>
  <c r="O216" i="1"/>
  <c r="Q216" i="1"/>
  <c r="U216" i="1"/>
  <c r="W216" i="1"/>
  <c r="Y216" i="1"/>
  <c r="AA216" i="1"/>
  <c r="AB216" i="1"/>
  <c r="AD216" i="1"/>
  <c r="E217" i="1"/>
  <c r="G217" i="1"/>
  <c r="I217" i="1"/>
  <c r="K217" i="1"/>
  <c r="O217" i="1"/>
  <c r="Q217" i="1"/>
  <c r="U217" i="1"/>
  <c r="W217" i="1"/>
  <c r="Y217" i="1"/>
  <c r="AA217" i="1"/>
  <c r="AB217" i="1"/>
  <c r="AD217" i="1"/>
  <c r="E218" i="1"/>
  <c r="G218" i="1"/>
  <c r="I218" i="1"/>
  <c r="K218" i="1"/>
  <c r="O218" i="1"/>
  <c r="Q218" i="1"/>
  <c r="U218" i="1"/>
  <c r="W218" i="1"/>
  <c r="Y218" i="1"/>
  <c r="AA218" i="1"/>
  <c r="AB218" i="1"/>
  <c r="AD218" i="1"/>
  <c r="E219" i="1"/>
  <c r="G219" i="1"/>
  <c r="I219" i="1"/>
  <c r="K219" i="1"/>
  <c r="O219" i="1"/>
  <c r="Q219" i="1"/>
  <c r="U219" i="1"/>
  <c r="W219" i="1"/>
  <c r="Y219" i="1"/>
  <c r="AA219" i="1"/>
  <c r="AB219" i="1"/>
  <c r="AD219" i="1"/>
  <c r="E220" i="1"/>
  <c r="G220" i="1"/>
  <c r="I220" i="1"/>
  <c r="K220" i="1"/>
  <c r="O220" i="1"/>
  <c r="Q220" i="1"/>
  <c r="U220" i="1"/>
  <c r="W220" i="1"/>
  <c r="Y220" i="1"/>
  <c r="AA220" i="1"/>
  <c r="AB220" i="1"/>
  <c r="AD220" i="1"/>
  <c r="E221" i="1"/>
  <c r="G221" i="1"/>
  <c r="I221" i="1"/>
  <c r="K221" i="1"/>
  <c r="O221" i="1"/>
  <c r="Q221" i="1"/>
  <c r="U221" i="1"/>
  <c r="W221" i="1"/>
  <c r="Y221" i="1"/>
  <c r="AA221" i="1"/>
  <c r="AB221" i="1"/>
  <c r="AD221" i="1"/>
  <c r="E222" i="1"/>
  <c r="G222" i="1"/>
  <c r="I222" i="1"/>
  <c r="K222" i="1"/>
  <c r="O222" i="1"/>
  <c r="Q222" i="1"/>
  <c r="U222" i="1"/>
  <c r="W222" i="1"/>
  <c r="Y222" i="1"/>
  <c r="AA222" i="1"/>
  <c r="AB222" i="1"/>
  <c r="AD222" i="1"/>
  <c r="E223" i="1"/>
  <c r="G223" i="1"/>
  <c r="I223" i="1"/>
  <c r="K223" i="1"/>
  <c r="O223" i="1"/>
  <c r="Q223" i="1"/>
  <c r="U223" i="1"/>
  <c r="W223" i="1"/>
  <c r="Y223" i="1"/>
  <c r="AA223" i="1"/>
  <c r="AB223" i="1"/>
  <c r="AD223" i="1"/>
  <c r="E224" i="1"/>
  <c r="G224" i="1"/>
  <c r="I224" i="1"/>
  <c r="K224" i="1"/>
  <c r="O224" i="1"/>
  <c r="Q224" i="1"/>
  <c r="U224" i="1"/>
  <c r="W224" i="1"/>
  <c r="Y224" i="1"/>
  <c r="AA224" i="1"/>
  <c r="AB224" i="1"/>
  <c r="AD224" i="1"/>
  <c r="E225" i="1"/>
  <c r="G225" i="1"/>
  <c r="I225" i="1"/>
  <c r="K225" i="1"/>
  <c r="O225" i="1"/>
  <c r="Q225" i="1"/>
  <c r="U225" i="1"/>
  <c r="W225" i="1"/>
  <c r="Y225" i="1"/>
  <c r="AA225" i="1"/>
  <c r="AB225" i="1"/>
  <c r="AD225" i="1"/>
  <c r="E226" i="1"/>
  <c r="G226" i="1"/>
  <c r="I226" i="1"/>
  <c r="K226" i="1"/>
  <c r="O226" i="1"/>
  <c r="Q226" i="1"/>
  <c r="U226" i="1"/>
  <c r="W226" i="1"/>
  <c r="Y226" i="1"/>
  <c r="AA226" i="1"/>
  <c r="AB226" i="1"/>
  <c r="AD226" i="1"/>
  <c r="E227" i="1"/>
  <c r="G227" i="1"/>
  <c r="I227" i="1"/>
  <c r="K227" i="1"/>
  <c r="O227" i="1"/>
  <c r="Q227" i="1"/>
  <c r="U227" i="1"/>
  <c r="W227" i="1"/>
  <c r="Y227" i="1"/>
  <c r="AA227" i="1"/>
  <c r="AB227" i="1"/>
  <c r="AD227" i="1"/>
  <c r="E228" i="1"/>
  <c r="G228" i="1"/>
  <c r="I228" i="1"/>
  <c r="K228" i="1"/>
  <c r="O228" i="1"/>
  <c r="Q228" i="1"/>
  <c r="U228" i="1"/>
  <c r="W228" i="1"/>
  <c r="Y228" i="1"/>
  <c r="AA228" i="1"/>
  <c r="AB228" i="1"/>
  <c r="AD228" i="1"/>
  <c r="E229" i="1"/>
  <c r="G229" i="1"/>
  <c r="I229" i="1"/>
  <c r="K229" i="1"/>
  <c r="O229" i="1"/>
  <c r="Q229" i="1"/>
  <c r="U229" i="1"/>
  <c r="W229" i="1"/>
  <c r="Y229" i="1"/>
  <c r="AA229" i="1"/>
  <c r="AB229" i="1"/>
  <c r="AD229" i="1"/>
  <c r="E230" i="1"/>
  <c r="G230" i="1"/>
  <c r="I230" i="1"/>
  <c r="K230" i="1"/>
  <c r="O230" i="1"/>
  <c r="Q230" i="1"/>
  <c r="U230" i="1"/>
  <c r="W230" i="1"/>
  <c r="Y230" i="1"/>
  <c r="AA230" i="1"/>
  <c r="AB230" i="1"/>
  <c r="AD230" i="1"/>
  <c r="E231" i="1"/>
  <c r="G231" i="1"/>
  <c r="I231" i="1"/>
  <c r="K231" i="1"/>
  <c r="O231" i="1"/>
  <c r="Q231" i="1"/>
  <c r="U231" i="1"/>
  <c r="W231" i="1"/>
  <c r="Y231" i="1"/>
  <c r="AA231" i="1"/>
  <c r="AB231" i="1"/>
  <c r="AD231" i="1"/>
  <c r="E232" i="1"/>
  <c r="G232" i="1"/>
  <c r="I232" i="1"/>
  <c r="K232" i="1"/>
  <c r="O232" i="1"/>
  <c r="Q232" i="1"/>
  <c r="U232" i="1"/>
  <c r="W232" i="1"/>
  <c r="Y232" i="1"/>
  <c r="AA232" i="1"/>
  <c r="AB232" i="1"/>
  <c r="AD232" i="1"/>
  <c r="E233" i="1"/>
  <c r="G233" i="1"/>
  <c r="I233" i="1"/>
  <c r="K233" i="1"/>
  <c r="O233" i="1"/>
  <c r="Q233" i="1"/>
  <c r="U233" i="1"/>
  <c r="W233" i="1"/>
  <c r="Y233" i="1"/>
  <c r="AA233" i="1"/>
  <c r="AB233" i="1"/>
  <c r="AD233" i="1"/>
  <c r="E234" i="1"/>
  <c r="G234" i="1"/>
  <c r="I234" i="1"/>
  <c r="K234" i="1"/>
  <c r="O234" i="1"/>
  <c r="Q234" i="1"/>
  <c r="U234" i="1"/>
  <c r="W234" i="1"/>
  <c r="Y234" i="1"/>
  <c r="AA234" i="1"/>
  <c r="AB234" i="1"/>
  <c r="AD234" i="1"/>
  <c r="E235" i="1"/>
  <c r="G235" i="1"/>
  <c r="I235" i="1"/>
  <c r="K235" i="1"/>
  <c r="O235" i="1"/>
  <c r="Q235" i="1"/>
  <c r="U235" i="1"/>
  <c r="W235" i="1"/>
  <c r="Y235" i="1"/>
  <c r="AA235" i="1"/>
  <c r="AB235" i="1"/>
  <c r="AD235" i="1"/>
  <c r="E236" i="1"/>
  <c r="G236" i="1"/>
  <c r="I236" i="1"/>
  <c r="K236" i="1"/>
  <c r="O236" i="1"/>
  <c r="Q236" i="1"/>
  <c r="U236" i="1"/>
  <c r="W236" i="1"/>
  <c r="Y236" i="1"/>
  <c r="AA236" i="1"/>
  <c r="AB236" i="1"/>
  <c r="AD236" i="1"/>
  <c r="E237" i="1"/>
  <c r="G237" i="1"/>
  <c r="I237" i="1"/>
  <c r="K237" i="1"/>
  <c r="O237" i="1"/>
  <c r="Q237" i="1"/>
  <c r="U237" i="1"/>
  <c r="W237" i="1"/>
  <c r="Y237" i="1"/>
  <c r="AA237" i="1"/>
  <c r="AB237" i="1"/>
  <c r="AD237" i="1"/>
  <c r="E238" i="1"/>
  <c r="G238" i="1"/>
  <c r="I238" i="1"/>
  <c r="K238" i="1"/>
  <c r="O238" i="1"/>
  <c r="Q238" i="1"/>
  <c r="U238" i="1"/>
  <c r="W238" i="1"/>
  <c r="Y238" i="1"/>
  <c r="AA238" i="1"/>
  <c r="AB238" i="1"/>
  <c r="AD238" i="1"/>
  <c r="E239" i="1"/>
  <c r="G239" i="1"/>
  <c r="I239" i="1"/>
  <c r="K239" i="1"/>
  <c r="O239" i="1"/>
  <c r="Q239" i="1"/>
  <c r="U239" i="1"/>
  <c r="W239" i="1"/>
  <c r="Y239" i="1"/>
  <c r="AA239" i="1"/>
  <c r="AB239" i="1"/>
  <c r="AD239" i="1"/>
  <c r="E241" i="1"/>
  <c r="G241" i="1"/>
  <c r="I241" i="1"/>
  <c r="K241" i="1"/>
  <c r="O241" i="1"/>
  <c r="Q241" i="1"/>
  <c r="U241" i="1"/>
  <c r="W241" i="1"/>
  <c r="Y241" i="1"/>
  <c r="AA241" i="1"/>
  <c r="AB241" i="1"/>
  <c r="AD241" i="1"/>
  <c r="E242" i="1"/>
  <c r="G242" i="1"/>
  <c r="I242" i="1"/>
  <c r="K242" i="1"/>
  <c r="O242" i="1"/>
  <c r="Q242" i="1"/>
  <c r="U242" i="1"/>
  <c r="W242" i="1"/>
  <c r="Y242" i="1"/>
  <c r="AA242" i="1"/>
  <c r="AB242" i="1"/>
  <c r="AD242" i="1"/>
  <c r="E243" i="1"/>
  <c r="G243" i="1"/>
  <c r="I243" i="1"/>
  <c r="K243" i="1"/>
  <c r="O243" i="1"/>
  <c r="Q243" i="1"/>
  <c r="U243" i="1"/>
  <c r="W243" i="1"/>
  <c r="Y243" i="1"/>
  <c r="AA243" i="1"/>
  <c r="AB243" i="1"/>
  <c r="AD243" i="1"/>
  <c r="E244" i="1"/>
  <c r="G244" i="1"/>
  <c r="I244" i="1"/>
  <c r="K244" i="1"/>
  <c r="O244" i="1"/>
  <c r="Q244" i="1"/>
  <c r="U244" i="1"/>
  <c r="W244" i="1"/>
  <c r="Y244" i="1"/>
  <c r="AA244" i="1"/>
  <c r="AB244" i="1"/>
  <c r="AD244" i="1"/>
  <c r="E245" i="1"/>
  <c r="G245" i="1"/>
  <c r="I245" i="1"/>
  <c r="K245" i="1"/>
  <c r="O245" i="1"/>
  <c r="Q245" i="1"/>
  <c r="U245" i="1"/>
  <c r="W245" i="1"/>
  <c r="Y245" i="1"/>
  <c r="AA245" i="1"/>
  <c r="AB245" i="1"/>
  <c r="AD245" i="1"/>
  <c r="E246" i="1"/>
  <c r="G246" i="1"/>
  <c r="I246" i="1"/>
  <c r="K246" i="1"/>
  <c r="O246" i="1"/>
  <c r="Q246" i="1"/>
  <c r="U246" i="1"/>
  <c r="W246" i="1"/>
  <c r="Y246" i="1"/>
  <c r="AA246" i="1"/>
  <c r="AB246" i="1"/>
  <c r="AD246" i="1"/>
  <c r="E247" i="1"/>
  <c r="G247" i="1"/>
  <c r="I247" i="1"/>
  <c r="K247" i="1"/>
  <c r="O247" i="1"/>
  <c r="Q247" i="1"/>
  <c r="U247" i="1"/>
  <c r="W247" i="1"/>
  <c r="Y247" i="1"/>
  <c r="AA247" i="1"/>
  <c r="AB247" i="1"/>
  <c r="AD247" i="1"/>
  <c r="E248" i="1"/>
  <c r="G248" i="1"/>
  <c r="I248" i="1"/>
  <c r="K248" i="1"/>
  <c r="O248" i="1"/>
  <c r="Q248" i="1"/>
  <c r="U248" i="1"/>
  <c r="W248" i="1"/>
  <c r="Y248" i="1"/>
  <c r="AA248" i="1"/>
  <c r="AB248" i="1"/>
  <c r="AD248" i="1"/>
  <c r="E249" i="1"/>
  <c r="G249" i="1"/>
  <c r="I249" i="1"/>
  <c r="K249" i="1"/>
  <c r="O249" i="1"/>
  <c r="Q249" i="1"/>
  <c r="U249" i="1"/>
  <c r="W249" i="1"/>
  <c r="Y249" i="1"/>
  <c r="AA249" i="1"/>
  <c r="AB249" i="1"/>
  <c r="AD249" i="1"/>
  <c r="E250" i="1"/>
  <c r="G250" i="1"/>
  <c r="I250" i="1"/>
  <c r="K250" i="1"/>
  <c r="O250" i="1"/>
  <c r="Q250" i="1"/>
  <c r="U250" i="1"/>
  <c r="W250" i="1"/>
  <c r="Y250" i="1"/>
  <c r="AA250" i="1"/>
  <c r="AB250" i="1"/>
  <c r="AD250" i="1"/>
  <c r="E251" i="1"/>
  <c r="G251" i="1"/>
  <c r="I251" i="1"/>
  <c r="K251" i="1"/>
  <c r="O251" i="1"/>
  <c r="Q251" i="1"/>
  <c r="U251" i="1"/>
  <c r="W251" i="1"/>
  <c r="Y251" i="1"/>
  <c r="AA251" i="1"/>
  <c r="AB251" i="1"/>
  <c r="AD251" i="1"/>
  <c r="E252" i="1"/>
  <c r="G252" i="1"/>
  <c r="I252" i="1"/>
  <c r="K252" i="1"/>
  <c r="O252" i="1"/>
  <c r="Q252" i="1"/>
  <c r="U252" i="1"/>
  <c r="W252" i="1"/>
  <c r="Y252" i="1"/>
  <c r="AA252" i="1"/>
  <c r="AB252" i="1"/>
  <c r="AD252" i="1"/>
  <c r="E253" i="1"/>
  <c r="G253" i="1"/>
  <c r="I253" i="1"/>
  <c r="K253" i="1"/>
  <c r="O253" i="1"/>
  <c r="Q253" i="1"/>
  <c r="U253" i="1"/>
  <c r="W253" i="1"/>
  <c r="Y253" i="1"/>
  <c r="AA253" i="1"/>
  <c r="AB253" i="1"/>
  <c r="AD253" i="1"/>
  <c r="E254" i="1"/>
  <c r="G254" i="1"/>
  <c r="I254" i="1"/>
  <c r="K254" i="1"/>
  <c r="O254" i="1"/>
  <c r="Q254" i="1"/>
  <c r="U254" i="1"/>
  <c r="W254" i="1"/>
  <c r="Y254" i="1"/>
  <c r="AA254" i="1"/>
  <c r="AB254" i="1"/>
  <c r="AD254" i="1"/>
  <c r="E255" i="1"/>
  <c r="G255" i="1"/>
  <c r="I255" i="1"/>
  <c r="K255" i="1"/>
  <c r="O255" i="1"/>
  <c r="Q255" i="1"/>
  <c r="U255" i="1"/>
  <c r="W255" i="1"/>
  <c r="Y255" i="1"/>
  <c r="AA255" i="1"/>
  <c r="AB255" i="1"/>
  <c r="AD255" i="1"/>
  <c r="E256" i="1"/>
  <c r="G256" i="1"/>
  <c r="I256" i="1"/>
  <c r="K256" i="1"/>
  <c r="O256" i="1"/>
  <c r="Q256" i="1"/>
  <c r="U256" i="1"/>
  <c r="W256" i="1"/>
  <c r="Y256" i="1"/>
  <c r="AA256" i="1"/>
  <c r="AB256" i="1"/>
  <c r="AD256" i="1"/>
  <c r="E257" i="1"/>
  <c r="G257" i="1"/>
  <c r="I257" i="1"/>
  <c r="K257" i="1"/>
  <c r="O257" i="1"/>
  <c r="Q257" i="1"/>
  <c r="U257" i="1"/>
  <c r="W257" i="1"/>
  <c r="Y257" i="1"/>
  <c r="AA257" i="1"/>
  <c r="AB257" i="1"/>
  <c r="AD257" i="1"/>
  <c r="E258" i="1"/>
  <c r="G258" i="1"/>
  <c r="I258" i="1"/>
  <c r="K258" i="1"/>
  <c r="O258" i="1"/>
  <c r="Q258" i="1"/>
  <c r="U258" i="1"/>
  <c r="W258" i="1"/>
  <c r="Y258" i="1"/>
  <c r="AA258" i="1"/>
  <c r="AB258" i="1"/>
  <c r="AD258" i="1"/>
  <c r="E259" i="1"/>
  <c r="G259" i="1"/>
  <c r="I259" i="1"/>
  <c r="K259" i="1"/>
  <c r="O259" i="1"/>
  <c r="Q259" i="1"/>
  <c r="U259" i="1"/>
  <c r="W259" i="1"/>
  <c r="Y259" i="1"/>
  <c r="AA259" i="1"/>
  <c r="AB259" i="1"/>
  <c r="AD259" i="1"/>
  <c r="E260" i="1"/>
  <c r="G260" i="1"/>
  <c r="I260" i="1"/>
  <c r="K260" i="1"/>
  <c r="O260" i="1"/>
  <c r="Q260" i="1"/>
  <c r="U260" i="1"/>
  <c r="W260" i="1"/>
  <c r="Y260" i="1"/>
  <c r="AA260" i="1"/>
  <c r="AB260" i="1"/>
  <c r="AD260" i="1"/>
  <c r="E261" i="1"/>
  <c r="G261" i="1"/>
  <c r="I261" i="1"/>
  <c r="K261" i="1"/>
  <c r="O261" i="1"/>
  <c r="Q261" i="1"/>
  <c r="U261" i="1"/>
  <c r="W261" i="1"/>
  <c r="Y261" i="1"/>
  <c r="AA261" i="1"/>
  <c r="AB261" i="1"/>
  <c r="AD261" i="1"/>
  <c r="E262" i="1"/>
  <c r="G262" i="1"/>
  <c r="I262" i="1"/>
  <c r="K262" i="1"/>
  <c r="O262" i="1"/>
  <c r="Q262" i="1"/>
  <c r="U262" i="1"/>
  <c r="W262" i="1"/>
  <c r="Y262" i="1"/>
  <c r="AA262" i="1"/>
  <c r="AB262" i="1"/>
  <c r="AD262" i="1"/>
  <c r="E263" i="1"/>
  <c r="G263" i="1"/>
  <c r="I263" i="1"/>
  <c r="K263" i="1"/>
  <c r="O263" i="1"/>
  <c r="Q263" i="1"/>
  <c r="U263" i="1"/>
  <c r="W263" i="1"/>
  <c r="Y263" i="1"/>
  <c r="AA263" i="1"/>
  <c r="AB263" i="1"/>
  <c r="AD263" i="1"/>
  <c r="E264" i="1"/>
  <c r="G264" i="1"/>
  <c r="I264" i="1"/>
  <c r="K264" i="1"/>
  <c r="O264" i="1"/>
  <c r="Q264" i="1"/>
  <c r="U264" i="1"/>
  <c r="W264" i="1"/>
  <c r="Y264" i="1"/>
  <c r="AA264" i="1"/>
  <c r="AB264" i="1"/>
  <c r="AD264" i="1"/>
  <c r="E265" i="1"/>
  <c r="G265" i="1"/>
  <c r="I265" i="1"/>
  <c r="K265" i="1"/>
  <c r="O265" i="1"/>
  <c r="Q265" i="1"/>
  <c r="U265" i="1"/>
  <c r="W265" i="1"/>
  <c r="Y265" i="1"/>
  <c r="AA265" i="1"/>
  <c r="AB265" i="1"/>
  <c r="AD265" i="1"/>
  <c r="E266" i="1"/>
  <c r="G266" i="1"/>
  <c r="I266" i="1"/>
  <c r="K266" i="1"/>
  <c r="O266" i="1"/>
  <c r="Q266" i="1"/>
  <c r="U266" i="1"/>
  <c r="W266" i="1"/>
  <c r="Y266" i="1"/>
  <c r="AA266" i="1"/>
  <c r="AD266" i="1"/>
  <c r="E269" i="1"/>
  <c r="G269" i="1"/>
  <c r="I269" i="1"/>
  <c r="K269" i="1"/>
  <c r="O269" i="1"/>
  <c r="Q269" i="1"/>
  <c r="U269" i="1"/>
  <c r="W269" i="1"/>
  <c r="Y269" i="1"/>
  <c r="AA269" i="1"/>
  <c r="AB269" i="1"/>
  <c r="AD269" i="1"/>
  <c r="E270" i="1"/>
  <c r="G270" i="1"/>
  <c r="I270" i="1"/>
  <c r="K270" i="1"/>
  <c r="O270" i="1"/>
  <c r="Q270" i="1"/>
  <c r="U270" i="1"/>
  <c r="W270" i="1"/>
  <c r="Y270" i="1"/>
  <c r="AA270" i="1"/>
  <c r="AB270" i="1"/>
  <c r="AD270" i="1"/>
  <c r="E271" i="1"/>
  <c r="G271" i="1"/>
  <c r="I271" i="1"/>
  <c r="K271" i="1"/>
  <c r="O271" i="1"/>
  <c r="Q271" i="1"/>
  <c r="U271" i="1"/>
  <c r="W271" i="1"/>
  <c r="Y271" i="1"/>
  <c r="AA271" i="1"/>
  <c r="AB271" i="1"/>
  <c r="AD271" i="1"/>
  <c r="E272" i="1"/>
  <c r="G272" i="1"/>
  <c r="I272" i="1"/>
  <c r="K272" i="1"/>
  <c r="O272" i="1"/>
  <c r="Q272" i="1"/>
  <c r="U272" i="1"/>
  <c r="W272" i="1"/>
  <c r="Y272" i="1"/>
  <c r="AA272" i="1"/>
  <c r="AB272" i="1"/>
  <c r="AD272" i="1"/>
  <c r="E273" i="1"/>
  <c r="G273" i="1"/>
  <c r="I273" i="1"/>
  <c r="K273" i="1"/>
  <c r="M273" i="1"/>
  <c r="O273" i="1"/>
  <c r="Q273" i="1"/>
  <c r="U273" i="1"/>
  <c r="W273" i="1"/>
  <c r="Y273" i="1"/>
  <c r="AA273" i="1"/>
  <c r="AD273" i="1"/>
  <c r="C6" i="23"/>
  <c r="C8" i="23" s="1"/>
  <c r="C10" i="23" s="1"/>
  <c r="D6" i="23"/>
  <c r="D8" i="23" s="1"/>
  <c r="D10" i="23" s="1"/>
  <c r="E6" i="23"/>
  <c r="E26" i="23" s="1"/>
  <c r="F6" i="23"/>
  <c r="F8" i="23" s="1"/>
  <c r="F10" i="23" s="1"/>
  <c r="H6" i="23"/>
  <c r="H26" i="23" s="1"/>
  <c r="I6" i="23"/>
  <c r="I8" i="23" s="1"/>
  <c r="I10" i="23" s="1"/>
  <c r="J6" i="23"/>
  <c r="J8" i="23" s="1"/>
  <c r="J10" i="23" s="1"/>
  <c r="K6" i="23"/>
  <c r="K8" i="23" s="1"/>
  <c r="K10" i="23" s="1"/>
  <c r="L6" i="23"/>
  <c r="L26" i="23" s="1"/>
  <c r="M6" i="23"/>
  <c r="M8" i="23" s="1"/>
  <c r="M10" i="23" s="1"/>
  <c r="N6" i="23"/>
  <c r="N26" i="23" s="1"/>
  <c r="O6" i="23"/>
  <c r="O8" i="23" s="1"/>
  <c r="O10" i="23" s="1"/>
  <c r="P6" i="23"/>
  <c r="P8" i="23" s="1"/>
  <c r="P10" i="23" s="1"/>
  <c r="Q6" i="23"/>
  <c r="Q8" i="23" s="1"/>
  <c r="Q10" i="23" s="1"/>
  <c r="R6" i="23"/>
  <c r="R8" i="23" s="1"/>
  <c r="R10" i="23" s="1"/>
  <c r="S6" i="23"/>
  <c r="S8" i="23" s="1"/>
  <c r="S10" i="23" s="1"/>
  <c r="T6" i="23"/>
  <c r="T26" i="23" s="1"/>
  <c r="U6" i="23"/>
  <c r="U8" i="23" s="1"/>
  <c r="U10" i="23" s="1"/>
  <c r="V6" i="23"/>
  <c r="V26" i="23" s="1"/>
  <c r="W6" i="23"/>
  <c r="W8" i="23" s="1"/>
  <c r="W10" i="23" s="1"/>
  <c r="X6" i="23"/>
  <c r="X8" i="23" s="1"/>
  <c r="X10" i="23" s="1"/>
  <c r="Y6" i="23"/>
  <c r="Y8" i="23" s="1"/>
  <c r="Y10" i="23" s="1"/>
  <c r="Z6" i="23"/>
  <c r="Z8" i="23" s="1"/>
  <c r="Z10" i="23" s="1"/>
  <c r="AA6" i="23"/>
  <c r="AA8" i="23" s="1"/>
  <c r="AA10" i="23" s="1"/>
  <c r="AB6" i="23"/>
  <c r="AB8" i="23" s="1"/>
  <c r="AB10" i="23" s="1"/>
  <c r="H8" i="23"/>
  <c r="H10" i="23" s="1"/>
  <c r="H19" i="23"/>
  <c r="I19" i="23" s="1"/>
  <c r="O19" i="23"/>
  <c r="P19" i="23" s="1"/>
  <c r="AA19" i="23"/>
  <c r="AA32" i="23" s="1"/>
  <c r="AB19" i="23"/>
  <c r="AB32" i="23" s="1"/>
  <c r="AB33" i="23" s="1"/>
  <c r="AB8" i="83" s="1"/>
  <c r="AC19" i="23"/>
  <c r="AC32" i="23" s="1"/>
  <c r="P26" i="23"/>
  <c r="AC26" i="23"/>
  <c r="C27" i="23"/>
  <c r="D27" i="23"/>
  <c r="E27" i="23"/>
  <c r="F27" i="23"/>
  <c r="H27" i="23"/>
  <c r="I27" i="23"/>
  <c r="J27" i="23"/>
  <c r="K27" i="23"/>
  <c r="L27" i="23"/>
  <c r="M27" i="23"/>
  <c r="N27" i="23"/>
  <c r="O27" i="23"/>
  <c r="P27" i="23"/>
  <c r="Q27" i="23"/>
  <c r="R27" i="23"/>
  <c r="S27" i="23"/>
  <c r="T27" i="23"/>
  <c r="U27" i="23"/>
  <c r="V27" i="23"/>
  <c r="W27" i="23"/>
  <c r="X27" i="23"/>
  <c r="Y27" i="23"/>
  <c r="Z27" i="23"/>
  <c r="AA27" i="23"/>
  <c r="AB27" i="23"/>
  <c r="AC27" i="23"/>
  <c r="C28" i="23"/>
  <c r="D28" i="23"/>
  <c r="D29" i="23" s="1"/>
  <c r="D4" i="83" s="1"/>
  <c r="E28" i="23"/>
  <c r="E29" i="23" s="1"/>
  <c r="E4" i="83" s="1"/>
  <c r="F28" i="23"/>
  <c r="F3" i="83" s="1"/>
  <c r="H28" i="23"/>
  <c r="H3" i="83" s="1"/>
  <c r="I28" i="23"/>
  <c r="J28" i="23"/>
  <c r="J3" i="83" s="1"/>
  <c r="K28" i="23"/>
  <c r="K29" i="23" s="1"/>
  <c r="K4" i="83" s="1"/>
  <c r="L28" i="23"/>
  <c r="L3" i="83" s="1"/>
  <c r="M28" i="23"/>
  <c r="M3" i="83" s="1"/>
  <c r="N28" i="23"/>
  <c r="N3" i="83" s="1"/>
  <c r="O28" i="23"/>
  <c r="O29" i="23" s="1"/>
  <c r="O4" i="83" s="1"/>
  <c r="P28" i="23"/>
  <c r="P3" i="83" s="1"/>
  <c r="Q28" i="23"/>
  <c r="Q29" i="23" s="1"/>
  <c r="Q4" i="83" s="1"/>
  <c r="R28" i="23"/>
  <c r="R3" i="83" s="1"/>
  <c r="S28" i="23"/>
  <c r="S29" i="23" s="1"/>
  <c r="S4" i="83" s="1"/>
  <c r="T28" i="23"/>
  <c r="T3" i="83" s="1"/>
  <c r="U28" i="23"/>
  <c r="U29" i="23" s="1"/>
  <c r="U4" i="83" s="1"/>
  <c r="V28" i="23"/>
  <c r="V3" i="83" s="1"/>
  <c r="W28" i="23"/>
  <c r="W29" i="23" s="1"/>
  <c r="W4" i="83" s="1"/>
  <c r="X28" i="23"/>
  <c r="X3" i="83" s="1"/>
  <c r="Y28" i="23"/>
  <c r="Y3" i="83" s="1"/>
  <c r="Z28" i="23"/>
  <c r="Z3" i="83" s="1"/>
  <c r="AA28" i="23"/>
  <c r="AA29" i="23" s="1"/>
  <c r="AA4" i="83" s="1"/>
  <c r="AB28" i="23"/>
  <c r="AB3" i="83" s="1"/>
  <c r="AC28" i="23"/>
  <c r="AC29" i="23" s="1"/>
  <c r="AC4" i="83" s="1"/>
  <c r="C29" i="23"/>
  <c r="C4" i="83" s="1"/>
  <c r="H29" i="23"/>
  <c r="H4" i="83" s="1"/>
  <c r="I29" i="23"/>
  <c r="I4" i="83" s="1"/>
  <c r="L29" i="23"/>
  <c r="L4" i="83" s="1"/>
  <c r="T29" i="23"/>
  <c r="T4" i="83" s="1"/>
  <c r="Y29" i="23"/>
  <c r="Y4" i="83" s="1"/>
  <c r="AB29" i="23"/>
  <c r="C30" i="23"/>
  <c r="C5" i="83" s="1"/>
  <c r="D30" i="23"/>
  <c r="D31" i="23" s="1"/>
  <c r="D6" i="83" s="1"/>
  <c r="E30" i="23"/>
  <c r="E31" i="23" s="1"/>
  <c r="E6" i="83" s="1"/>
  <c r="F30" i="23"/>
  <c r="F5" i="83" s="1"/>
  <c r="H30" i="23"/>
  <c r="H5" i="83" s="1"/>
  <c r="I30" i="23"/>
  <c r="J30" i="23"/>
  <c r="J5" i="83" s="1"/>
  <c r="K30" i="23"/>
  <c r="K31" i="23" s="1"/>
  <c r="K6" i="83" s="1"/>
  <c r="L30" i="23"/>
  <c r="L5" i="83" s="1"/>
  <c r="M30" i="23"/>
  <c r="M31" i="23" s="1"/>
  <c r="M6" i="83" s="1"/>
  <c r="N30" i="23"/>
  <c r="N5" i="83" s="1"/>
  <c r="O30" i="23"/>
  <c r="O31" i="23" s="1"/>
  <c r="O6" i="83" s="1"/>
  <c r="P30" i="23"/>
  <c r="P5" i="83" s="1"/>
  <c r="Q30" i="23"/>
  <c r="Q5" i="83" s="1"/>
  <c r="R30" i="23"/>
  <c r="R5" i="83" s="1"/>
  <c r="S30" i="23"/>
  <c r="S31" i="23" s="1"/>
  <c r="S6" i="83" s="1"/>
  <c r="T30" i="23"/>
  <c r="T5" i="83" s="1"/>
  <c r="U30" i="23"/>
  <c r="U31" i="23" s="1"/>
  <c r="U6" i="83" s="1"/>
  <c r="V30" i="23"/>
  <c r="V5" i="83" s="1"/>
  <c r="W30" i="23"/>
  <c r="W31" i="23" s="1"/>
  <c r="W6" i="83" s="1"/>
  <c r="X30" i="23"/>
  <c r="X5" i="83" s="1"/>
  <c r="Y30" i="23"/>
  <c r="Z30" i="23"/>
  <c r="Z5" i="83" s="1"/>
  <c r="AA30" i="23"/>
  <c r="AA31" i="23" s="1"/>
  <c r="AA6" i="83" s="1"/>
  <c r="AB30" i="23"/>
  <c r="AB5" i="83" s="1"/>
  <c r="AC30" i="23"/>
  <c r="AC31" i="23" s="1"/>
  <c r="AC6" i="83" s="1"/>
  <c r="H31" i="23"/>
  <c r="H6" i="83" s="1"/>
  <c r="I31" i="23"/>
  <c r="P31" i="23"/>
  <c r="P6" i="83" s="1"/>
  <c r="Q31" i="23"/>
  <c r="Q6" i="83" s="1"/>
  <c r="T31" i="23"/>
  <c r="T6" i="83" s="1"/>
  <c r="X31" i="23"/>
  <c r="X6" i="83" s="1"/>
  <c r="Y31" i="23"/>
  <c r="Y6" i="83" s="1"/>
  <c r="C32" i="23"/>
  <c r="C7" i="83" s="1"/>
  <c r="D32" i="23"/>
  <c r="D33" i="23" s="1"/>
  <c r="E32" i="23"/>
  <c r="E7" i="83" s="1"/>
  <c r="F32" i="23"/>
  <c r="F33" i="23" s="1"/>
  <c r="F8" i="83" s="1"/>
  <c r="C33" i="23"/>
  <c r="C8" i="83" s="1"/>
  <c r="C34" i="23"/>
  <c r="D34" i="23"/>
  <c r="E34" i="23"/>
  <c r="F34" i="23"/>
  <c r="H34" i="23"/>
  <c r="I34" i="23"/>
  <c r="J34" i="23"/>
  <c r="K34" i="23"/>
  <c r="L34" i="23"/>
  <c r="M34" i="23"/>
  <c r="N34" i="23"/>
  <c r="O34" i="23"/>
  <c r="P34" i="23"/>
  <c r="Q34" i="23"/>
  <c r="R34" i="23"/>
  <c r="S34" i="23"/>
  <c r="T34" i="23"/>
  <c r="U34" i="23"/>
  <c r="V34" i="23"/>
  <c r="W34" i="23"/>
  <c r="X34" i="23"/>
  <c r="Y34" i="23"/>
  <c r="Z34" i="23"/>
  <c r="AA34" i="23"/>
  <c r="AB34" i="23"/>
  <c r="AC34" i="23"/>
  <c r="C35" i="23"/>
  <c r="D35" i="23"/>
  <c r="E35" i="23"/>
  <c r="F35" i="23"/>
  <c r="H35" i="23"/>
  <c r="I35" i="23"/>
  <c r="J35" i="23"/>
  <c r="K35" i="23"/>
  <c r="L35" i="23"/>
  <c r="M35" i="23"/>
  <c r="N35" i="23"/>
  <c r="O35" i="23"/>
  <c r="P35" i="23"/>
  <c r="Q35" i="23"/>
  <c r="R35" i="23"/>
  <c r="S35" i="23"/>
  <c r="T35" i="23"/>
  <c r="U35" i="23"/>
  <c r="V35" i="23"/>
  <c r="W35" i="23"/>
  <c r="X35" i="23"/>
  <c r="Y35" i="23"/>
  <c r="Z35" i="23"/>
  <c r="AA35" i="23"/>
  <c r="AB35" i="23"/>
  <c r="AC35" i="23"/>
  <c r="C36" i="23"/>
  <c r="D36" i="23"/>
  <c r="E36" i="23"/>
  <c r="F36" i="23"/>
  <c r="H36" i="23"/>
  <c r="I36" i="23"/>
  <c r="J36" i="23"/>
  <c r="K36" i="23"/>
  <c r="L36" i="23"/>
  <c r="M36" i="23"/>
  <c r="N36" i="23"/>
  <c r="O36" i="23"/>
  <c r="P36" i="23"/>
  <c r="Q36" i="23"/>
  <c r="R36" i="23"/>
  <c r="S36" i="23"/>
  <c r="T36" i="23"/>
  <c r="U36" i="23"/>
  <c r="V36" i="23"/>
  <c r="W36" i="23"/>
  <c r="X36" i="23"/>
  <c r="Y36" i="23"/>
  <c r="Z36" i="23"/>
  <c r="AA36" i="23"/>
  <c r="AB36" i="23"/>
  <c r="AC36" i="23"/>
  <c r="C37" i="23"/>
  <c r="D37" i="23"/>
  <c r="E37" i="23"/>
  <c r="F37" i="23"/>
  <c r="H37" i="23"/>
  <c r="I37" i="23"/>
  <c r="J37" i="23"/>
  <c r="K37" i="23"/>
  <c r="L37" i="23"/>
  <c r="M37" i="23"/>
  <c r="N37" i="23"/>
  <c r="O37" i="23"/>
  <c r="P37" i="23"/>
  <c r="Q37" i="23"/>
  <c r="R37" i="23"/>
  <c r="S37" i="23"/>
  <c r="T37" i="23"/>
  <c r="U37" i="23"/>
  <c r="V37" i="23"/>
  <c r="W37" i="23"/>
  <c r="X37" i="23"/>
  <c r="Y37" i="23"/>
  <c r="Z37" i="23"/>
  <c r="AA37" i="23"/>
  <c r="AB37" i="23"/>
  <c r="AC37" i="23"/>
  <c r="AD40" i="23"/>
  <c r="AI43" i="23"/>
  <c r="AJ43" i="23"/>
  <c r="AM43" i="23"/>
  <c r="B3" i="83"/>
  <c r="C3" i="83"/>
  <c r="G3" i="83"/>
  <c r="I3" i="83"/>
  <c r="Q3" i="83"/>
  <c r="AC3" i="83"/>
  <c r="AD3" i="83"/>
  <c r="AE3" i="83"/>
  <c r="AF3" i="83"/>
  <c r="AG3" i="83"/>
  <c r="AH3" i="83"/>
  <c r="AI3" i="83"/>
  <c r="AJ3" i="83"/>
  <c r="AK3" i="83"/>
  <c r="AL3" i="83"/>
  <c r="AM3" i="83"/>
  <c r="AN3" i="83"/>
  <c r="AO3" i="83"/>
  <c r="AP3" i="83"/>
  <c r="AQ3" i="83"/>
  <c r="AR3" i="83"/>
  <c r="AS3" i="83"/>
  <c r="AT3" i="83"/>
  <c r="AU3" i="83"/>
  <c r="AV3" i="83"/>
  <c r="AW3" i="83"/>
  <c r="B4" i="83"/>
  <c r="G4" i="83"/>
  <c r="AD4" i="83"/>
  <c r="AE4" i="83"/>
  <c r="AF4" i="83"/>
  <c r="AG4" i="83"/>
  <c r="AH4" i="83"/>
  <c r="AI4" i="83"/>
  <c r="AJ4" i="83"/>
  <c r="AK4" i="83"/>
  <c r="AL4" i="83"/>
  <c r="AM4" i="83"/>
  <c r="AN4" i="83"/>
  <c r="AO4" i="83"/>
  <c r="AP4" i="83"/>
  <c r="AQ4" i="83"/>
  <c r="AR4" i="83"/>
  <c r="AS4" i="83"/>
  <c r="AT4" i="83"/>
  <c r="AU4" i="83"/>
  <c r="AV4" i="83"/>
  <c r="AW4" i="83"/>
  <c r="B5" i="83"/>
  <c r="D5" i="83"/>
  <c r="G5" i="83"/>
  <c r="I5" i="83"/>
  <c r="Y5" i="83"/>
  <c r="AD5" i="83"/>
  <c r="AE5" i="83"/>
  <c r="AF5" i="83"/>
  <c r="AG5" i="83"/>
  <c r="AH5" i="83"/>
  <c r="AI5" i="83"/>
  <c r="AJ5" i="83"/>
  <c r="AK5" i="83"/>
  <c r="AL5" i="83"/>
  <c r="AM5" i="83"/>
  <c r="AN5" i="83"/>
  <c r="AO5" i="83"/>
  <c r="AP5" i="83"/>
  <c r="AQ5" i="83"/>
  <c r="AR5" i="83"/>
  <c r="AS5" i="83"/>
  <c r="AT5" i="83"/>
  <c r="AU5" i="83"/>
  <c r="AV5" i="83"/>
  <c r="AW5" i="83"/>
  <c r="B6" i="83"/>
  <c r="G6" i="83"/>
  <c r="I6" i="83"/>
  <c r="AD6" i="83"/>
  <c r="AE6" i="83"/>
  <c r="AF6" i="83"/>
  <c r="AG6" i="83"/>
  <c r="AH6" i="83"/>
  <c r="AI6" i="83"/>
  <c r="AJ6" i="83"/>
  <c r="AK6" i="83"/>
  <c r="AL6" i="83"/>
  <c r="AM6" i="83"/>
  <c r="AN6" i="83"/>
  <c r="AO6" i="83"/>
  <c r="AP6" i="83"/>
  <c r="AQ6" i="83"/>
  <c r="AR6" i="83"/>
  <c r="AS6" i="83"/>
  <c r="AT6" i="83"/>
  <c r="AU6" i="83"/>
  <c r="AV6" i="83"/>
  <c r="AW6" i="83"/>
  <c r="B7" i="83"/>
  <c r="D7" i="83"/>
  <c r="G7" i="83"/>
  <c r="AD7" i="83"/>
  <c r="AE7" i="83"/>
  <c r="AF7" i="83"/>
  <c r="AG7" i="83"/>
  <c r="AH7" i="83"/>
  <c r="AI7" i="83"/>
  <c r="AJ7" i="83"/>
  <c r="AK7" i="83"/>
  <c r="AL7" i="83"/>
  <c r="AM7" i="83"/>
  <c r="AN7" i="83"/>
  <c r="AO7" i="83"/>
  <c r="AP7" i="83"/>
  <c r="AQ7" i="83"/>
  <c r="AR7" i="83"/>
  <c r="AS7" i="83"/>
  <c r="AT7" i="83"/>
  <c r="AU7" i="83"/>
  <c r="AV7" i="83"/>
  <c r="AW7" i="83"/>
  <c r="B8" i="83"/>
  <c r="G8" i="83"/>
  <c r="AD8" i="83"/>
  <c r="AE8" i="83"/>
  <c r="AF8" i="83"/>
  <c r="AG8" i="83"/>
  <c r="AH8" i="83"/>
  <c r="AI8" i="83"/>
  <c r="AJ8" i="83"/>
  <c r="AK8" i="83"/>
  <c r="AL8" i="83"/>
  <c r="AM8" i="83"/>
  <c r="AN8" i="83"/>
  <c r="AO8" i="83"/>
  <c r="AP8" i="83"/>
  <c r="AQ8" i="83"/>
  <c r="AR8" i="83"/>
  <c r="AS8" i="83"/>
  <c r="AT8" i="83"/>
  <c r="AU8" i="83"/>
  <c r="AV8" i="83"/>
  <c r="AW8" i="83"/>
  <c r="A1" i="86"/>
  <c r="F2" i="86"/>
  <c r="F39" i="86" s="1"/>
  <c r="P2" i="86"/>
  <c r="I41" i="86"/>
  <c r="F1" i="72"/>
  <c r="I40" i="86"/>
  <c r="I42" i="86"/>
  <c r="I43" i="86"/>
  <c r="D1" i="54"/>
  <c r="E11" i="58"/>
  <c r="O3" i="54"/>
  <c r="D11" i="58" s="1"/>
  <c r="E21" i="54"/>
  <c r="E23" i="54" s="1"/>
  <c r="H1" i="87"/>
  <c r="H16" i="87"/>
  <c r="M18" i="87"/>
  <c r="C10" i="28"/>
  <c r="D10" i="28"/>
  <c r="E10" i="28"/>
  <c r="F10" i="28"/>
  <c r="G10" i="28"/>
  <c r="G12" i="28" s="1"/>
  <c r="G14" i="28" s="1"/>
  <c r="K10" i="28"/>
  <c r="D11" i="28"/>
  <c r="E11" i="28"/>
  <c r="F11" i="28"/>
  <c r="O7" i="105"/>
  <c r="O9" i="105"/>
  <c r="O11" i="105"/>
  <c r="O12" i="105"/>
  <c r="O13" i="105"/>
  <c r="O14" i="105"/>
  <c r="O26" i="105"/>
  <c r="O27" i="105"/>
  <c r="O28" i="105"/>
  <c r="O29" i="105"/>
  <c r="C7" i="70"/>
  <c r="D7" i="70"/>
  <c r="E7" i="70"/>
  <c r="F7" i="70"/>
  <c r="G7" i="70"/>
  <c r="H7" i="70"/>
  <c r="I7" i="70"/>
  <c r="J7" i="70"/>
  <c r="K7" i="70"/>
  <c r="L7" i="70"/>
  <c r="M7" i="70"/>
  <c r="N7" i="70"/>
  <c r="C9" i="70"/>
  <c r="D9" i="70"/>
  <c r="E9" i="70"/>
  <c r="F9" i="70"/>
  <c r="G9" i="70"/>
  <c r="H9" i="70"/>
  <c r="I9" i="70"/>
  <c r="J9" i="70"/>
  <c r="K9" i="70"/>
  <c r="L9" i="70"/>
  <c r="M9" i="70"/>
  <c r="C10" i="70"/>
  <c r="D10" i="70"/>
  <c r="E10" i="70"/>
  <c r="F10" i="70"/>
  <c r="G10" i="70"/>
  <c r="H10" i="70"/>
  <c r="I10" i="70"/>
  <c r="J10" i="70"/>
  <c r="L10" i="70"/>
  <c r="M10" i="70"/>
  <c r="C11" i="70"/>
  <c r="D11" i="70"/>
  <c r="E11" i="70"/>
  <c r="F11" i="70"/>
  <c r="G11" i="70"/>
  <c r="H11" i="70"/>
  <c r="I11" i="70"/>
  <c r="J11" i="70"/>
  <c r="K11" i="70"/>
  <c r="L11" i="70"/>
  <c r="M11" i="70"/>
  <c r="N11" i="70"/>
  <c r="C12" i="70"/>
  <c r="D12" i="70"/>
  <c r="E12" i="70"/>
  <c r="F12" i="70"/>
  <c r="G12" i="70"/>
  <c r="H12" i="70"/>
  <c r="I12" i="70"/>
  <c r="J12" i="70"/>
  <c r="K12" i="70"/>
  <c r="L12" i="70"/>
  <c r="M12" i="70"/>
  <c r="N12" i="70"/>
  <c r="C13" i="70"/>
  <c r="D13" i="70"/>
  <c r="E13" i="70"/>
  <c r="F13" i="70"/>
  <c r="G13" i="70"/>
  <c r="H13" i="70"/>
  <c r="I13" i="70"/>
  <c r="J13" i="70"/>
  <c r="K13" i="70"/>
  <c r="L13" i="70"/>
  <c r="M13" i="70"/>
  <c r="N13" i="70"/>
  <c r="C14" i="70"/>
  <c r="D14" i="70"/>
  <c r="E14" i="70"/>
  <c r="F14" i="70"/>
  <c r="G14" i="70"/>
  <c r="H14" i="70"/>
  <c r="I14" i="70"/>
  <c r="J14" i="70"/>
  <c r="K14" i="70"/>
  <c r="L14" i="70"/>
  <c r="M14" i="70"/>
  <c r="N14" i="70"/>
  <c r="C26" i="70"/>
  <c r="D26" i="70"/>
  <c r="E26" i="70"/>
  <c r="F26" i="70"/>
  <c r="G26" i="70"/>
  <c r="H26" i="70"/>
  <c r="I26" i="70"/>
  <c r="J26" i="70"/>
  <c r="K26" i="70"/>
  <c r="L26" i="70"/>
  <c r="M26" i="70"/>
  <c r="N26" i="70"/>
  <c r="C27" i="70"/>
  <c r="D27" i="70"/>
  <c r="E27" i="70"/>
  <c r="F27" i="70"/>
  <c r="G27" i="70"/>
  <c r="H27" i="70"/>
  <c r="I27" i="70"/>
  <c r="J27" i="70"/>
  <c r="K27" i="70"/>
  <c r="L27" i="70"/>
  <c r="M27" i="70"/>
  <c r="N27" i="70"/>
  <c r="C28" i="70"/>
  <c r="D28" i="70"/>
  <c r="E28" i="70"/>
  <c r="F28" i="70"/>
  <c r="G28" i="70"/>
  <c r="H28" i="70"/>
  <c r="I28" i="70"/>
  <c r="J28" i="70"/>
  <c r="K28" i="70"/>
  <c r="L28" i="70"/>
  <c r="M28" i="70"/>
  <c r="N28" i="70"/>
  <c r="C29" i="70"/>
  <c r="D29" i="70"/>
  <c r="E29" i="70"/>
  <c r="F29" i="70"/>
  <c r="G29" i="70"/>
  <c r="H29" i="70"/>
  <c r="I29" i="70"/>
  <c r="J29" i="70"/>
  <c r="K29" i="70"/>
  <c r="L29" i="70"/>
  <c r="M29" i="70"/>
  <c r="N29" i="70"/>
  <c r="O5" i="5"/>
  <c r="AB5" i="5" s="1"/>
  <c r="AO5" i="5" s="1"/>
  <c r="P5" i="5"/>
  <c r="AC5" i="5" s="1"/>
  <c r="AP5" i="5" s="1"/>
  <c r="Q5" i="5"/>
  <c r="AD5" i="5" s="1"/>
  <c r="AQ5" i="5" s="1"/>
  <c r="R5" i="5"/>
  <c r="AE5" i="5" s="1"/>
  <c r="AR5" i="5" s="1"/>
  <c r="S5" i="5"/>
  <c r="T5" i="5"/>
  <c r="AG5" i="5" s="1"/>
  <c r="AT5" i="5" s="1"/>
  <c r="U5" i="5"/>
  <c r="AH5" i="5" s="1"/>
  <c r="AU5" i="5" s="1"/>
  <c r="V5" i="5"/>
  <c r="AI5" i="5" s="1"/>
  <c r="AV5" i="5" s="1"/>
  <c r="W5" i="5"/>
  <c r="X5" i="5"/>
  <c r="AK5" i="5" s="1"/>
  <c r="AX5" i="5" s="1"/>
  <c r="Y5" i="5"/>
  <c r="AL5" i="5" s="1"/>
  <c r="AY5" i="5" s="1"/>
  <c r="Z5" i="5"/>
  <c r="AM5" i="5" s="1"/>
  <c r="AZ5" i="5" s="1"/>
  <c r="AF5" i="5"/>
  <c r="AS5" i="5" s="1"/>
  <c r="AJ5" i="5"/>
  <c r="AW5" i="5" s="1"/>
  <c r="BB6" i="5"/>
  <c r="BO6" i="5" s="1"/>
  <c r="BC6" i="5"/>
  <c r="BP6" i="5" s="1"/>
  <c r="BD6" i="5"/>
  <c r="BQ6" i="5" s="1"/>
  <c r="BE6" i="5"/>
  <c r="BR6" i="5" s="1"/>
  <c r="BF6" i="5"/>
  <c r="BS6" i="5" s="1"/>
  <c r="BG6" i="5"/>
  <c r="BT6" i="5" s="1"/>
  <c r="BH6" i="5"/>
  <c r="BU6" i="5" s="1"/>
  <c r="BI6" i="5"/>
  <c r="BV6" i="5" s="1"/>
  <c r="BJ6" i="5"/>
  <c r="BW6" i="5" s="1"/>
  <c r="BK6" i="5"/>
  <c r="BX6" i="5" s="1"/>
  <c r="BL6" i="5"/>
  <c r="BY6" i="5" s="1"/>
  <c r="BM6" i="5"/>
  <c r="BZ6" i="5" s="1"/>
  <c r="BB7" i="5"/>
  <c r="BO7" i="5" s="1"/>
  <c r="BC7" i="5"/>
  <c r="BP7" i="5" s="1"/>
  <c r="BD7" i="5"/>
  <c r="BQ7" i="5" s="1"/>
  <c r="BE7" i="5"/>
  <c r="BR7" i="5" s="1"/>
  <c r="BF7" i="5"/>
  <c r="BS7" i="5" s="1"/>
  <c r="BG7" i="5"/>
  <c r="BT7" i="5" s="1"/>
  <c r="BH7" i="5"/>
  <c r="BU7" i="5" s="1"/>
  <c r="BI7" i="5"/>
  <c r="BV7" i="5" s="1"/>
  <c r="BJ7" i="5"/>
  <c r="BW7" i="5" s="1"/>
  <c r="BK7" i="5"/>
  <c r="BX7" i="5" s="1"/>
  <c r="BL7" i="5"/>
  <c r="BY7" i="5" s="1"/>
  <c r="BM7" i="5"/>
  <c r="BZ7" i="5" s="1"/>
  <c r="BO8" i="5"/>
  <c r="BP8" i="5"/>
  <c r="BQ8" i="5"/>
  <c r="BR8" i="5"/>
  <c r="BS8" i="5"/>
  <c r="BT8" i="5"/>
  <c r="BU8" i="5"/>
  <c r="BV8" i="5"/>
  <c r="BW8" i="5"/>
  <c r="BX8" i="5"/>
  <c r="BY8" i="5"/>
  <c r="BZ8" i="5"/>
  <c r="BO9" i="5"/>
  <c r="BP9" i="5"/>
  <c r="BQ9" i="5"/>
  <c r="BR9" i="5"/>
  <c r="BS9" i="5"/>
  <c r="BT9" i="5"/>
  <c r="BU9" i="5"/>
  <c r="BV9" i="5"/>
  <c r="BW9" i="5"/>
  <c r="BX9" i="5"/>
  <c r="BY9" i="5"/>
  <c r="BZ9" i="5"/>
  <c r="BB10" i="5"/>
  <c r="BO10" i="5" s="1"/>
  <c r="BC10" i="5"/>
  <c r="BP10" i="5" s="1"/>
  <c r="BD10" i="5"/>
  <c r="BQ10" i="5" s="1"/>
  <c r="BE10" i="5"/>
  <c r="BR10" i="5" s="1"/>
  <c r="BF10" i="5"/>
  <c r="BS10" i="5" s="1"/>
  <c r="BG10" i="5"/>
  <c r="BT10" i="5" s="1"/>
  <c r="BH10" i="5"/>
  <c r="BU10" i="5" s="1"/>
  <c r="BI10" i="5"/>
  <c r="BV10" i="5" s="1"/>
  <c r="BJ10" i="5"/>
  <c r="BW10" i="5" s="1"/>
  <c r="BK10" i="5"/>
  <c r="BX10" i="5" s="1"/>
  <c r="BL10" i="5"/>
  <c r="BY10" i="5" s="1"/>
  <c r="BM10" i="5"/>
  <c r="BZ10" i="5" s="1"/>
  <c r="BB11" i="5"/>
  <c r="BO11" i="5" s="1"/>
  <c r="BC11" i="5"/>
  <c r="BP11" i="5" s="1"/>
  <c r="BD11" i="5"/>
  <c r="BQ11" i="5" s="1"/>
  <c r="BE11" i="5"/>
  <c r="BR11" i="5" s="1"/>
  <c r="BF11" i="5"/>
  <c r="BS11" i="5" s="1"/>
  <c r="BG11" i="5"/>
  <c r="BT11" i="5" s="1"/>
  <c r="BH11" i="5"/>
  <c r="BU11" i="5" s="1"/>
  <c r="BI11" i="5"/>
  <c r="BV11" i="5" s="1"/>
  <c r="BJ11" i="5"/>
  <c r="BW11" i="5" s="1"/>
  <c r="BK11" i="5"/>
  <c r="BX11" i="5" s="1"/>
  <c r="BL11" i="5"/>
  <c r="BY11" i="5" s="1"/>
  <c r="BM11" i="5"/>
  <c r="BZ11" i="5" s="1"/>
  <c r="BB12" i="5"/>
  <c r="BO12" i="5" s="1"/>
  <c r="BC12" i="5"/>
  <c r="BP12" i="5" s="1"/>
  <c r="BD12" i="5"/>
  <c r="BQ12" i="5" s="1"/>
  <c r="BE12" i="5"/>
  <c r="BR12" i="5" s="1"/>
  <c r="BF12" i="5"/>
  <c r="BS12" i="5" s="1"/>
  <c r="BG12" i="5"/>
  <c r="BT12" i="5" s="1"/>
  <c r="BH12" i="5"/>
  <c r="BU12" i="5" s="1"/>
  <c r="BI12" i="5"/>
  <c r="BV12" i="5" s="1"/>
  <c r="BJ12" i="5"/>
  <c r="BW12" i="5" s="1"/>
  <c r="BK12" i="5"/>
  <c r="BX12" i="5" s="1"/>
  <c r="BL12" i="5"/>
  <c r="BY12" i="5" s="1"/>
  <c r="BM12" i="5"/>
  <c r="BZ12" i="5" s="1"/>
  <c r="BB13" i="5"/>
  <c r="BO13" i="5" s="1"/>
  <c r="BC13" i="5"/>
  <c r="BP13" i="5" s="1"/>
  <c r="BD13" i="5"/>
  <c r="BQ13" i="5" s="1"/>
  <c r="BE13" i="5"/>
  <c r="BR13" i="5" s="1"/>
  <c r="BF13" i="5"/>
  <c r="BS13" i="5" s="1"/>
  <c r="BG13" i="5"/>
  <c r="BT13" i="5" s="1"/>
  <c r="BH13" i="5"/>
  <c r="BU13" i="5" s="1"/>
  <c r="BI13" i="5"/>
  <c r="BV13" i="5" s="1"/>
  <c r="BJ13" i="5"/>
  <c r="BW13" i="5" s="1"/>
  <c r="BK13" i="5"/>
  <c r="BX13" i="5" s="1"/>
  <c r="BL13" i="5"/>
  <c r="BY13" i="5" s="1"/>
  <c r="BM13" i="5"/>
  <c r="BZ13" i="5" s="1"/>
  <c r="BO14" i="5"/>
  <c r="BP14" i="5"/>
  <c r="BQ14" i="5"/>
  <c r="BR14" i="5"/>
  <c r="BS14" i="5"/>
  <c r="BT14" i="5"/>
  <c r="BU14" i="5"/>
  <c r="BV14" i="5"/>
  <c r="BW14" i="5"/>
  <c r="BX14" i="5"/>
  <c r="BY14" i="5"/>
  <c r="BZ14" i="5"/>
  <c r="B15" i="5"/>
  <c r="C15" i="5"/>
  <c r="D15" i="5"/>
  <c r="E15" i="5"/>
  <c r="F15" i="5"/>
  <c r="G15" i="5"/>
  <c r="H15" i="5"/>
  <c r="I15" i="5"/>
  <c r="J15" i="5"/>
  <c r="K15" i="5"/>
  <c r="L15" i="5"/>
  <c r="M15" i="5"/>
  <c r="O15" i="5"/>
  <c r="P15" i="5"/>
  <c r="Q15" i="5"/>
  <c r="R15" i="5"/>
  <c r="S15" i="5"/>
  <c r="T15" i="5"/>
  <c r="U15" i="5"/>
  <c r="V15" i="5"/>
  <c r="W15" i="5"/>
  <c r="X15" i="5"/>
  <c r="Y15" i="5"/>
  <c r="Z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16" i="5"/>
  <c r="C16" i="5"/>
  <c r="D16" i="5"/>
  <c r="E16" i="5"/>
  <c r="F16" i="5"/>
  <c r="G16" i="5"/>
  <c r="H16" i="5"/>
  <c r="I16" i="5"/>
  <c r="J16" i="5"/>
  <c r="K16" i="5"/>
  <c r="L16" i="5"/>
  <c r="M16" i="5"/>
  <c r="O16" i="5"/>
  <c r="P16" i="5"/>
  <c r="Q16" i="5"/>
  <c r="R16" i="5"/>
  <c r="S16" i="5"/>
  <c r="T16" i="5"/>
  <c r="U16" i="5"/>
  <c r="V16" i="5"/>
  <c r="W16" i="5"/>
  <c r="X16" i="5"/>
  <c r="Y16" i="5"/>
  <c r="Z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17" i="5"/>
  <c r="C17" i="5"/>
  <c r="D17" i="5"/>
  <c r="E17" i="5"/>
  <c r="F17" i="5"/>
  <c r="G17" i="5"/>
  <c r="H17" i="5"/>
  <c r="I17" i="5"/>
  <c r="J17" i="5"/>
  <c r="K17" i="5"/>
  <c r="L17" i="5"/>
  <c r="M17" i="5"/>
  <c r="O17" i="5"/>
  <c r="P17" i="5"/>
  <c r="Q17" i="5"/>
  <c r="R17" i="5"/>
  <c r="S17" i="5"/>
  <c r="T17" i="5"/>
  <c r="U17" i="5"/>
  <c r="V17" i="5"/>
  <c r="W17" i="5"/>
  <c r="X17" i="5"/>
  <c r="Y17" i="5"/>
  <c r="Z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18" i="5"/>
  <c r="C18" i="5"/>
  <c r="D18" i="5"/>
  <c r="E18" i="5"/>
  <c r="F18" i="5"/>
  <c r="G18" i="5"/>
  <c r="H18" i="5"/>
  <c r="I18" i="5"/>
  <c r="J18" i="5"/>
  <c r="K18" i="5"/>
  <c r="L18" i="5"/>
  <c r="M18" i="5"/>
  <c r="O18" i="5"/>
  <c r="P18" i="5"/>
  <c r="Q18" i="5"/>
  <c r="R18" i="5"/>
  <c r="S18" i="5"/>
  <c r="T18" i="5"/>
  <c r="U18" i="5"/>
  <c r="V18" i="5"/>
  <c r="W18" i="5"/>
  <c r="X18" i="5"/>
  <c r="Y18" i="5"/>
  <c r="Z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19" i="5"/>
  <c r="C19" i="5"/>
  <c r="D19" i="5"/>
  <c r="E19" i="5"/>
  <c r="F19" i="5"/>
  <c r="G19" i="5"/>
  <c r="H19" i="5"/>
  <c r="I19" i="5"/>
  <c r="J19" i="5"/>
  <c r="K19" i="5"/>
  <c r="L19" i="5"/>
  <c r="M19" i="5"/>
  <c r="O19" i="5"/>
  <c r="P19" i="5"/>
  <c r="Q19" i="5"/>
  <c r="R19" i="5"/>
  <c r="S19" i="5"/>
  <c r="T19" i="5"/>
  <c r="U19" i="5"/>
  <c r="V19" i="5"/>
  <c r="W19" i="5"/>
  <c r="X19" i="5"/>
  <c r="Y19" i="5"/>
  <c r="Z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20" i="5"/>
  <c r="C20" i="5"/>
  <c r="D20" i="5"/>
  <c r="E20" i="5"/>
  <c r="F20" i="5"/>
  <c r="G20" i="5"/>
  <c r="H20" i="5"/>
  <c r="I20" i="5"/>
  <c r="J20" i="5"/>
  <c r="K20" i="5"/>
  <c r="L20" i="5"/>
  <c r="M20" i="5"/>
  <c r="O20" i="5"/>
  <c r="P20" i="5"/>
  <c r="Q20" i="5"/>
  <c r="R20" i="5"/>
  <c r="S20" i="5"/>
  <c r="T20" i="5"/>
  <c r="U20" i="5"/>
  <c r="V20" i="5"/>
  <c r="W20" i="5"/>
  <c r="X20" i="5"/>
  <c r="Y20" i="5"/>
  <c r="Z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21" i="5"/>
  <c r="C21" i="5"/>
  <c r="D21" i="5"/>
  <c r="E21" i="5"/>
  <c r="F21" i="5"/>
  <c r="G21" i="5"/>
  <c r="H21" i="5"/>
  <c r="I21" i="5"/>
  <c r="J21" i="5"/>
  <c r="K21" i="5"/>
  <c r="L21" i="5"/>
  <c r="M21" i="5"/>
  <c r="O21" i="5"/>
  <c r="P21" i="5"/>
  <c r="Q21" i="5"/>
  <c r="R21" i="5"/>
  <c r="S21" i="5"/>
  <c r="T21" i="5"/>
  <c r="U21" i="5"/>
  <c r="V21" i="5"/>
  <c r="W21" i="5"/>
  <c r="X21" i="5"/>
  <c r="Y21" i="5"/>
  <c r="Z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22" i="5"/>
  <c r="C22" i="5"/>
  <c r="D22" i="5"/>
  <c r="E22" i="5"/>
  <c r="F22" i="5"/>
  <c r="G22" i="5"/>
  <c r="H22" i="5"/>
  <c r="I22" i="5"/>
  <c r="J22" i="5"/>
  <c r="K22" i="5"/>
  <c r="L22" i="5"/>
  <c r="M22" i="5"/>
  <c r="O22" i="5"/>
  <c r="P22" i="5"/>
  <c r="Q22" i="5"/>
  <c r="R22" i="5"/>
  <c r="S22" i="5"/>
  <c r="T22" i="5"/>
  <c r="U22" i="5"/>
  <c r="V22" i="5"/>
  <c r="W22" i="5"/>
  <c r="X22" i="5"/>
  <c r="Y22" i="5"/>
  <c r="Z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23" i="5"/>
  <c r="C23" i="5"/>
  <c r="D23" i="5"/>
  <c r="E23" i="5"/>
  <c r="F23" i="5"/>
  <c r="G23" i="5"/>
  <c r="H23" i="5"/>
  <c r="I23" i="5"/>
  <c r="J23" i="5"/>
  <c r="K23" i="5"/>
  <c r="L23" i="5"/>
  <c r="M23" i="5"/>
  <c r="O23" i="5"/>
  <c r="P23" i="5"/>
  <c r="Q23" i="5"/>
  <c r="R23" i="5"/>
  <c r="S23" i="5"/>
  <c r="T23" i="5"/>
  <c r="U23" i="5"/>
  <c r="V23" i="5"/>
  <c r="W23" i="5"/>
  <c r="X23" i="5"/>
  <c r="Y23" i="5"/>
  <c r="Z23" i="5"/>
  <c r="AB23" i="5"/>
  <c r="AC23" i="5"/>
  <c r="AD23" i="5"/>
  <c r="AE23" i="5"/>
  <c r="AF23" i="5"/>
  <c r="AG23" i="5"/>
  <c r="AH23" i="5"/>
  <c r="AI23" i="5"/>
  <c r="AJ23" i="5"/>
  <c r="AK23" i="5"/>
  <c r="AX23" i="5" s="1"/>
  <c r="AL23" i="5"/>
  <c r="AM23" i="5"/>
  <c r="AZ23" i="5" s="1"/>
  <c r="BB23" i="5"/>
  <c r="BC23" i="5"/>
  <c r="BD23" i="5"/>
  <c r="BE23" i="5"/>
  <c r="BF23" i="5"/>
  <c r="BG23" i="5"/>
  <c r="BH23" i="5"/>
  <c r="BI23" i="5"/>
  <c r="BJ23" i="5"/>
  <c r="BK23" i="5"/>
  <c r="BL23" i="5"/>
  <c r="BM23" i="5"/>
  <c r="B24" i="5"/>
  <c r="C24" i="5"/>
  <c r="D24" i="5"/>
  <c r="E24" i="5"/>
  <c r="F24" i="5"/>
  <c r="G24" i="5"/>
  <c r="H24" i="5"/>
  <c r="I24" i="5"/>
  <c r="J24" i="5"/>
  <c r="K24" i="5"/>
  <c r="L24" i="5"/>
  <c r="M24" i="5"/>
  <c r="O24" i="5"/>
  <c r="P24" i="5"/>
  <c r="Q24" i="5"/>
  <c r="R24" i="5"/>
  <c r="S24" i="5"/>
  <c r="T24" i="5"/>
  <c r="U24" i="5"/>
  <c r="V24" i="5"/>
  <c r="W24" i="5"/>
  <c r="X24" i="5"/>
  <c r="Y24" i="5"/>
  <c r="Z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25" i="5"/>
  <c r="C25" i="5"/>
  <c r="D25" i="5"/>
  <c r="E25" i="5"/>
  <c r="F25" i="5"/>
  <c r="G25" i="5"/>
  <c r="H25" i="5"/>
  <c r="I25" i="5"/>
  <c r="J25" i="5"/>
  <c r="K25" i="5"/>
  <c r="L25" i="5"/>
  <c r="M25" i="5"/>
  <c r="O25" i="5"/>
  <c r="P25" i="5"/>
  <c r="Q25" i="5"/>
  <c r="R25" i="5"/>
  <c r="S25" i="5"/>
  <c r="T25" i="5"/>
  <c r="U25" i="5"/>
  <c r="V25" i="5"/>
  <c r="W25" i="5"/>
  <c r="X25" i="5"/>
  <c r="Y25" i="5"/>
  <c r="Z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26" i="5"/>
  <c r="C26" i="5"/>
  <c r="D26" i="5"/>
  <c r="E26" i="5"/>
  <c r="F26" i="5"/>
  <c r="G26" i="5"/>
  <c r="H26" i="5"/>
  <c r="I26" i="5"/>
  <c r="J26" i="5"/>
  <c r="K26" i="5"/>
  <c r="L26" i="5"/>
  <c r="M26" i="5"/>
  <c r="O26" i="5"/>
  <c r="P26" i="5"/>
  <c r="Q26" i="5"/>
  <c r="R26" i="5"/>
  <c r="S26" i="5"/>
  <c r="T26" i="5"/>
  <c r="U26" i="5"/>
  <c r="V26" i="5"/>
  <c r="W26" i="5"/>
  <c r="X26" i="5"/>
  <c r="Y26" i="5"/>
  <c r="Z26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B27" i="5"/>
  <c r="BC27" i="5"/>
  <c r="BD27" i="5"/>
  <c r="BE27" i="5"/>
  <c r="BG27" i="5"/>
  <c r="BH27" i="5"/>
  <c r="BI27" i="5"/>
  <c r="BJ27" i="5"/>
  <c r="BK27" i="5"/>
  <c r="BL27" i="5"/>
  <c r="BM27" i="5"/>
  <c r="B28" i="5"/>
  <c r="C28" i="5"/>
  <c r="D28" i="5"/>
  <c r="E28" i="5"/>
  <c r="F28" i="5"/>
  <c r="G28" i="5"/>
  <c r="H28" i="5"/>
  <c r="I28" i="5"/>
  <c r="J28" i="5"/>
  <c r="K28" i="5"/>
  <c r="L28" i="5"/>
  <c r="M28" i="5"/>
  <c r="O28" i="5"/>
  <c r="P28" i="5"/>
  <c r="Q28" i="5"/>
  <c r="R28" i="5"/>
  <c r="S28" i="5"/>
  <c r="T28" i="5"/>
  <c r="U28" i="5"/>
  <c r="V28" i="5"/>
  <c r="W28" i="5"/>
  <c r="X28" i="5"/>
  <c r="Y28" i="5"/>
  <c r="Z28" i="5"/>
  <c r="AB28" i="5"/>
  <c r="AC28" i="5"/>
  <c r="AD28" i="5"/>
  <c r="AE28" i="5"/>
  <c r="AF28" i="5"/>
  <c r="AG28" i="5"/>
  <c r="AH28" i="5"/>
  <c r="AI28" i="5"/>
  <c r="AJ28" i="5"/>
  <c r="AK28" i="5"/>
  <c r="AX28" i="5" s="1"/>
  <c r="AL28" i="5"/>
  <c r="AM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29" i="5"/>
  <c r="C29" i="5"/>
  <c r="D29" i="5"/>
  <c r="E29" i="5"/>
  <c r="F29" i="5"/>
  <c r="G29" i="5"/>
  <c r="H29" i="5"/>
  <c r="I29" i="5"/>
  <c r="J29" i="5"/>
  <c r="K29" i="5"/>
  <c r="L29" i="5"/>
  <c r="M29" i="5"/>
  <c r="O29" i="5"/>
  <c r="P29" i="5"/>
  <c r="Q29" i="5"/>
  <c r="R29" i="5"/>
  <c r="S29" i="5"/>
  <c r="T29" i="5"/>
  <c r="U29" i="5"/>
  <c r="V29" i="5"/>
  <c r="W29" i="5"/>
  <c r="X29" i="5"/>
  <c r="Y29" i="5"/>
  <c r="Z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30" i="5"/>
  <c r="C30" i="5"/>
  <c r="D30" i="5"/>
  <c r="E30" i="5"/>
  <c r="F30" i="5"/>
  <c r="G30" i="5"/>
  <c r="H30" i="5"/>
  <c r="I30" i="5"/>
  <c r="J30" i="5"/>
  <c r="K30" i="5"/>
  <c r="L30" i="5"/>
  <c r="M30" i="5"/>
  <c r="O30" i="5"/>
  <c r="P30" i="5"/>
  <c r="Q30" i="5"/>
  <c r="R30" i="5"/>
  <c r="S30" i="5"/>
  <c r="T30" i="5"/>
  <c r="U30" i="5"/>
  <c r="V30" i="5"/>
  <c r="W30" i="5"/>
  <c r="X30" i="5"/>
  <c r="Y30" i="5"/>
  <c r="Z30" i="5"/>
  <c r="AB30" i="5"/>
  <c r="AC30" i="5"/>
  <c r="AD30" i="5"/>
  <c r="AE30" i="5"/>
  <c r="AF30" i="5"/>
  <c r="AG30" i="5"/>
  <c r="AH30" i="5"/>
  <c r="AI30" i="5"/>
  <c r="AJ30" i="5"/>
  <c r="AK30" i="5"/>
  <c r="AX30" i="5" s="1"/>
  <c r="AL30" i="5"/>
  <c r="AM30" i="5"/>
  <c r="B31" i="5"/>
  <c r="AO31" i="5" s="1"/>
  <c r="C31" i="5"/>
  <c r="D31" i="5"/>
  <c r="E31" i="5"/>
  <c r="F31" i="5"/>
  <c r="G31" i="5"/>
  <c r="H31" i="5"/>
  <c r="I31" i="5"/>
  <c r="J31" i="5"/>
  <c r="K31" i="5"/>
  <c r="L31" i="5"/>
  <c r="M31" i="5"/>
  <c r="O31" i="5"/>
  <c r="P31" i="5"/>
  <c r="Q31" i="5"/>
  <c r="R31" i="5"/>
  <c r="S31" i="5"/>
  <c r="T31" i="5"/>
  <c r="U31" i="5"/>
  <c r="V31" i="5"/>
  <c r="W31" i="5"/>
  <c r="X31" i="5"/>
  <c r="Y31" i="5"/>
  <c r="Z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33" i="5"/>
  <c r="AO33" i="5" s="1"/>
  <c r="C33" i="5"/>
  <c r="D33" i="5"/>
  <c r="E33" i="5"/>
  <c r="F33" i="5"/>
  <c r="G33" i="5"/>
  <c r="H33" i="5"/>
  <c r="I33" i="5"/>
  <c r="J33" i="5"/>
  <c r="K33" i="5"/>
  <c r="L33" i="5"/>
  <c r="M33" i="5"/>
  <c r="O33" i="5"/>
  <c r="P33" i="5"/>
  <c r="Q33" i="5"/>
  <c r="R33" i="5"/>
  <c r="S33" i="5"/>
  <c r="T33" i="5"/>
  <c r="U33" i="5"/>
  <c r="V33" i="5"/>
  <c r="W33" i="5"/>
  <c r="X33" i="5"/>
  <c r="Y33" i="5"/>
  <c r="Z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BB33" i="5"/>
  <c r="BC33" i="5"/>
  <c r="BD33" i="5"/>
  <c r="BE33" i="5"/>
  <c r="BG33" i="5"/>
  <c r="BH33" i="5"/>
  <c r="BI33" i="5"/>
  <c r="BJ33" i="5"/>
  <c r="BK33" i="5"/>
  <c r="BL33" i="5"/>
  <c r="BM33" i="5"/>
  <c r="B34" i="5"/>
  <c r="C34" i="5"/>
  <c r="D34" i="5"/>
  <c r="E34" i="5"/>
  <c r="F34" i="5"/>
  <c r="G34" i="5"/>
  <c r="H34" i="5"/>
  <c r="I34" i="5"/>
  <c r="J34" i="5"/>
  <c r="K34" i="5"/>
  <c r="L34" i="5"/>
  <c r="M34" i="5"/>
  <c r="O34" i="5"/>
  <c r="P34" i="5"/>
  <c r="Q34" i="5"/>
  <c r="R34" i="5"/>
  <c r="S34" i="5"/>
  <c r="T34" i="5"/>
  <c r="U34" i="5"/>
  <c r="V34" i="5"/>
  <c r="W34" i="5"/>
  <c r="X34" i="5"/>
  <c r="Y34" i="5"/>
  <c r="Z34" i="5"/>
  <c r="B35" i="5"/>
  <c r="C35" i="5"/>
  <c r="D35" i="5"/>
  <c r="E35" i="5"/>
  <c r="F35" i="5"/>
  <c r="G35" i="5"/>
  <c r="H35" i="5"/>
  <c r="I35" i="5"/>
  <c r="J35" i="5"/>
  <c r="K35" i="5"/>
  <c r="L35" i="5"/>
  <c r="M35" i="5"/>
  <c r="O35" i="5"/>
  <c r="P35" i="5"/>
  <c r="Q35" i="5"/>
  <c r="R35" i="5"/>
  <c r="S35" i="5"/>
  <c r="T35" i="5"/>
  <c r="U35" i="5"/>
  <c r="V35" i="5"/>
  <c r="W35" i="5"/>
  <c r="X35" i="5"/>
  <c r="Y35" i="5"/>
  <c r="Z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36" i="5"/>
  <c r="C36" i="5"/>
  <c r="D36" i="5"/>
  <c r="E36" i="5"/>
  <c r="F36" i="5"/>
  <c r="G36" i="5"/>
  <c r="H36" i="5"/>
  <c r="I36" i="5"/>
  <c r="J36" i="5"/>
  <c r="K36" i="5"/>
  <c r="L36" i="5"/>
  <c r="M36" i="5"/>
  <c r="O36" i="5"/>
  <c r="P36" i="5"/>
  <c r="Q36" i="5"/>
  <c r="R36" i="5"/>
  <c r="S36" i="5"/>
  <c r="T36" i="5"/>
  <c r="U36" i="5"/>
  <c r="V36" i="5"/>
  <c r="W36" i="5"/>
  <c r="X36" i="5"/>
  <c r="Y36" i="5"/>
  <c r="Z36" i="5"/>
  <c r="AB36" i="5"/>
  <c r="AC36" i="5"/>
  <c r="AD36" i="5"/>
  <c r="AE36" i="5"/>
  <c r="AF36" i="5"/>
  <c r="AG36" i="5"/>
  <c r="AH36" i="5"/>
  <c r="AI36" i="5"/>
  <c r="AJ36" i="5"/>
  <c r="AK36" i="5"/>
  <c r="AX36" i="5" s="1"/>
  <c r="AL36" i="5"/>
  <c r="AM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37" i="5"/>
  <c r="C37" i="5"/>
  <c r="D37" i="5"/>
  <c r="E37" i="5"/>
  <c r="F37" i="5"/>
  <c r="G37" i="5"/>
  <c r="H37" i="5"/>
  <c r="I37" i="5"/>
  <c r="J37" i="5"/>
  <c r="K37" i="5"/>
  <c r="L37" i="5"/>
  <c r="M37" i="5"/>
  <c r="O37" i="5"/>
  <c r="P37" i="5"/>
  <c r="Q37" i="5"/>
  <c r="R37" i="5"/>
  <c r="S37" i="5"/>
  <c r="T37" i="5"/>
  <c r="U37" i="5"/>
  <c r="V37" i="5"/>
  <c r="W37" i="5"/>
  <c r="X37" i="5"/>
  <c r="Y37" i="5"/>
  <c r="Z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38" i="5"/>
  <c r="C38" i="5"/>
  <c r="D38" i="5"/>
  <c r="E38" i="5"/>
  <c r="F38" i="5"/>
  <c r="G38" i="5"/>
  <c r="H38" i="5"/>
  <c r="I38" i="5"/>
  <c r="J38" i="5"/>
  <c r="K38" i="5"/>
  <c r="L38" i="5"/>
  <c r="M38" i="5"/>
  <c r="O38" i="5"/>
  <c r="P38" i="5"/>
  <c r="Q38" i="5"/>
  <c r="R38" i="5"/>
  <c r="S38" i="5"/>
  <c r="T38" i="5"/>
  <c r="U38" i="5"/>
  <c r="V38" i="5"/>
  <c r="W38" i="5"/>
  <c r="X38" i="5"/>
  <c r="Y38" i="5"/>
  <c r="Z38" i="5"/>
  <c r="AB38" i="5"/>
  <c r="AC38" i="5"/>
  <c r="AD38" i="5"/>
  <c r="AE38" i="5"/>
  <c r="AF38" i="5"/>
  <c r="AG38" i="5"/>
  <c r="AH38" i="5"/>
  <c r="AI38" i="5"/>
  <c r="AJ38" i="5"/>
  <c r="AW38" i="5" s="1"/>
  <c r="AK38" i="5"/>
  <c r="AL38" i="5"/>
  <c r="AM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AB39" i="5"/>
  <c r="AC39" i="5"/>
  <c r="AD39" i="5"/>
  <c r="AE39" i="5"/>
  <c r="AF39" i="5"/>
  <c r="AS39" i="5" s="1"/>
  <c r="AG39" i="5"/>
  <c r="AH39" i="5"/>
  <c r="AI39" i="5"/>
  <c r="AJ39" i="5"/>
  <c r="AK39" i="5"/>
  <c r="AL39" i="5"/>
  <c r="AM39" i="5"/>
  <c r="B40" i="5"/>
  <c r="C40" i="5"/>
  <c r="D40" i="5"/>
  <c r="E40" i="5"/>
  <c r="F40" i="5"/>
  <c r="G40" i="5"/>
  <c r="H40" i="5"/>
  <c r="I40" i="5"/>
  <c r="J40" i="5"/>
  <c r="K40" i="5"/>
  <c r="AX40" i="5" s="1"/>
  <c r="BX40" i="5" s="1"/>
  <c r="L40" i="5"/>
  <c r="M40" i="5"/>
  <c r="B41" i="5"/>
  <c r="C41" i="5"/>
  <c r="D41" i="5"/>
  <c r="E41" i="5"/>
  <c r="F41" i="5"/>
  <c r="G41" i="5"/>
  <c r="H41" i="5"/>
  <c r="I41" i="5"/>
  <c r="J41" i="5"/>
  <c r="K41" i="5"/>
  <c r="L41" i="5"/>
  <c r="M41" i="5"/>
  <c r="O41" i="5"/>
  <c r="P41" i="5"/>
  <c r="Q41" i="5"/>
  <c r="R41" i="5"/>
  <c r="S41" i="5"/>
  <c r="T41" i="5"/>
  <c r="U41" i="5"/>
  <c r="V41" i="5"/>
  <c r="W41" i="5"/>
  <c r="X41" i="5"/>
  <c r="Y41" i="5"/>
  <c r="Z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42" i="5"/>
  <c r="C42" i="5"/>
  <c r="D42" i="5"/>
  <c r="E42" i="5"/>
  <c r="F42" i="5"/>
  <c r="G42" i="5"/>
  <c r="H42" i="5"/>
  <c r="I42" i="5"/>
  <c r="J42" i="5"/>
  <c r="K42" i="5"/>
  <c r="AX42" i="5" s="1"/>
  <c r="BX42" i="5" s="1"/>
  <c r="L42" i="5"/>
  <c r="M42" i="5"/>
  <c r="B43" i="5"/>
  <c r="C43" i="5"/>
  <c r="D43" i="5"/>
  <c r="E43" i="5"/>
  <c r="F43" i="5"/>
  <c r="G43" i="5"/>
  <c r="H43" i="5"/>
  <c r="I43" i="5"/>
  <c r="J43" i="5"/>
  <c r="K43" i="5"/>
  <c r="L43" i="5"/>
  <c r="M43" i="5"/>
  <c r="O43" i="5"/>
  <c r="P43" i="5"/>
  <c r="Q43" i="5"/>
  <c r="R43" i="5"/>
  <c r="S43" i="5"/>
  <c r="T43" i="5"/>
  <c r="U43" i="5"/>
  <c r="V43" i="5"/>
  <c r="W43" i="5"/>
  <c r="X43" i="5"/>
  <c r="Y43" i="5"/>
  <c r="Z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44" i="5"/>
  <c r="C44" i="5"/>
  <c r="D44" i="5"/>
  <c r="E44" i="5"/>
  <c r="F44" i="5"/>
  <c r="G44" i="5"/>
  <c r="H44" i="5"/>
  <c r="I44" i="5"/>
  <c r="J44" i="5"/>
  <c r="K44" i="5"/>
  <c r="L44" i="5"/>
  <c r="M44" i="5"/>
  <c r="O44" i="5"/>
  <c r="P44" i="5"/>
  <c r="Q44" i="5"/>
  <c r="R44" i="5"/>
  <c r="S44" i="5"/>
  <c r="T44" i="5"/>
  <c r="U44" i="5"/>
  <c r="V44" i="5"/>
  <c r="W44" i="5"/>
  <c r="X44" i="5"/>
  <c r="Y44" i="5"/>
  <c r="Z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45" i="5"/>
  <c r="C45" i="5"/>
  <c r="D45" i="5"/>
  <c r="E45" i="5"/>
  <c r="F45" i="5"/>
  <c r="G45" i="5"/>
  <c r="H45" i="5"/>
  <c r="I45" i="5"/>
  <c r="J45" i="5"/>
  <c r="K45" i="5"/>
  <c r="AX45" i="5" s="1"/>
  <c r="BX45" i="5" s="1"/>
  <c r="L45" i="5"/>
  <c r="M45" i="5"/>
  <c r="B46" i="5"/>
  <c r="C46" i="5"/>
  <c r="D46" i="5"/>
  <c r="E46" i="5"/>
  <c r="F46" i="5"/>
  <c r="G46" i="5"/>
  <c r="H46" i="5"/>
  <c r="I46" i="5"/>
  <c r="J46" i="5"/>
  <c r="K46" i="5"/>
  <c r="L46" i="5"/>
  <c r="M46" i="5"/>
  <c r="O46" i="5"/>
  <c r="P46" i="5"/>
  <c r="Q46" i="5"/>
  <c r="R46" i="5"/>
  <c r="S46" i="5"/>
  <c r="T46" i="5"/>
  <c r="U46" i="5"/>
  <c r="V46" i="5"/>
  <c r="W46" i="5"/>
  <c r="X46" i="5"/>
  <c r="Y46" i="5"/>
  <c r="Z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47" i="5"/>
  <c r="C47" i="5"/>
  <c r="D47" i="5"/>
  <c r="E47" i="5"/>
  <c r="F47" i="5"/>
  <c r="G47" i="5"/>
  <c r="H47" i="5"/>
  <c r="I47" i="5"/>
  <c r="J47" i="5"/>
  <c r="K47" i="5"/>
  <c r="L47" i="5"/>
  <c r="M47" i="5"/>
  <c r="O47" i="5"/>
  <c r="P47" i="5"/>
  <c r="Q47" i="5"/>
  <c r="R47" i="5"/>
  <c r="S47" i="5"/>
  <c r="T47" i="5"/>
  <c r="U47" i="5"/>
  <c r="V47" i="5"/>
  <c r="W47" i="5"/>
  <c r="X47" i="5"/>
  <c r="Y47" i="5"/>
  <c r="Z47" i="5"/>
  <c r="AB47" i="5"/>
  <c r="AC47" i="5"/>
  <c r="AD47" i="5"/>
  <c r="AE47" i="5"/>
  <c r="AR47" i="5" s="1"/>
  <c r="AF47" i="5"/>
  <c r="AG47" i="5"/>
  <c r="AH47" i="5"/>
  <c r="AI47" i="5"/>
  <c r="AJ47" i="5"/>
  <c r="AK47" i="5"/>
  <c r="AL47" i="5"/>
  <c r="AM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48" i="5"/>
  <c r="C48" i="5"/>
  <c r="D48" i="5"/>
  <c r="E48" i="5"/>
  <c r="F48" i="5"/>
  <c r="G48" i="5"/>
  <c r="H48" i="5"/>
  <c r="I48" i="5"/>
  <c r="J48" i="5"/>
  <c r="K48" i="5"/>
  <c r="L48" i="5"/>
  <c r="M48" i="5"/>
  <c r="O48" i="5"/>
  <c r="P48" i="5"/>
  <c r="Q48" i="5"/>
  <c r="R48" i="5"/>
  <c r="S48" i="5"/>
  <c r="T48" i="5"/>
  <c r="U48" i="5"/>
  <c r="V48" i="5"/>
  <c r="W48" i="5"/>
  <c r="X48" i="5"/>
  <c r="Y48" i="5"/>
  <c r="Z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49" i="5"/>
  <c r="C49" i="5"/>
  <c r="D49" i="5"/>
  <c r="E49" i="5"/>
  <c r="F49" i="5"/>
  <c r="G49" i="5"/>
  <c r="H49" i="5"/>
  <c r="I49" i="5"/>
  <c r="J49" i="5"/>
  <c r="K49" i="5"/>
  <c r="L49" i="5"/>
  <c r="M49" i="5"/>
  <c r="O49" i="5"/>
  <c r="P49" i="5"/>
  <c r="Q49" i="5"/>
  <c r="R49" i="5"/>
  <c r="S49" i="5"/>
  <c r="T49" i="5"/>
  <c r="U49" i="5"/>
  <c r="V49" i="5"/>
  <c r="W49" i="5"/>
  <c r="X49" i="5"/>
  <c r="Y49" i="5"/>
  <c r="Z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50" i="5"/>
  <c r="C50" i="5"/>
  <c r="D50" i="5"/>
  <c r="E50" i="5"/>
  <c r="F50" i="5"/>
  <c r="G50" i="5"/>
  <c r="H50" i="5"/>
  <c r="I50" i="5"/>
  <c r="J50" i="5"/>
  <c r="K50" i="5"/>
  <c r="L50" i="5"/>
  <c r="M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Z51" i="5" s="1"/>
  <c r="BZ51" i="5" s="1"/>
  <c r="AO51" i="5"/>
  <c r="B52" i="5"/>
  <c r="C52" i="5"/>
  <c r="D52" i="5"/>
  <c r="E52" i="5"/>
  <c r="F52" i="5"/>
  <c r="G52" i="5"/>
  <c r="H52" i="5"/>
  <c r="I52" i="5"/>
  <c r="J52" i="5"/>
  <c r="K52" i="5"/>
  <c r="L52" i="5"/>
  <c r="M52" i="5"/>
  <c r="O52" i="5"/>
  <c r="P52" i="5"/>
  <c r="Q52" i="5"/>
  <c r="R52" i="5"/>
  <c r="S52" i="5"/>
  <c r="T52" i="5"/>
  <c r="U52" i="5"/>
  <c r="V52" i="5"/>
  <c r="W52" i="5"/>
  <c r="X52" i="5"/>
  <c r="Y52" i="5"/>
  <c r="Z52" i="5"/>
  <c r="AB52" i="5"/>
  <c r="AC52" i="5"/>
  <c r="AD52" i="5"/>
  <c r="AE52" i="5"/>
  <c r="AF52" i="5"/>
  <c r="AG52" i="5"/>
  <c r="AH52" i="5"/>
  <c r="AI52" i="5"/>
  <c r="AV52" i="5" s="1"/>
  <c r="AJ52" i="5"/>
  <c r="AK52" i="5"/>
  <c r="AL52" i="5"/>
  <c r="AM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D5" i="101"/>
  <c r="F5" i="101"/>
  <c r="H5" i="101"/>
  <c r="J5" i="101"/>
  <c r="L5" i="101"/>
  <c r="N5" i="101"/>
  <c r="P5" i="101"/>
  <c r="R5" i="101"/>
  <c r="T5" i="101"/>
  <c r="V5" i="101"/>
  <c r="X5" i="101"/>
  <c r="Z5" i="101"/>
  <c r="D6" i="101"/>
  <c r="H6" i="101"/>
  <c r="J6" i="101"/>
  <c r="L6" i="101"/>
  <c r="N6" i="101"/>
  <c r="P6" i="101"/>
  <c r="R6" i="101"/>
  <c r="T6" i="101"/>
  <c r="V6" i="101"/>
  <c r="X6" i="101"/>
  <c r="Z6" i="101"/>
  <c r="L13" i="101"/>
  <c r="N13" i="101"/>
  <c r="P13" i="101"/>
  <c r="Z13" i="101"/>
  <c r="D15" i="101"/>
  <c r="F15" i="101"/>
  <c r="H15" i="101"/>
  <c r="J15" i="101"/>
  <c r="L15" i="101"/>
  <c r="N15" i="101"/>
  <c r="P15" i="101"/>
  <c r="T15" i="101"/>
  <c r="V15" i="101"/>
  <c r="X15" i="101"/>
  <c r="Z15" i="101"/>
  <c r="D16" i="101"/>
  <c r="H16" i="101"/>
  <c r="J16" i="101"/>
  <c r="L16" i="101"/>
  <c r="N16" i="101"/>
  <c r="P16" i="101"/>
  <c r="R16" i="101"/>
  <c r="T16" i="101"/>
  <c r="V16" i="101"/>
  <c r="X16" i="101"/>
  <c r="Z16" i="101"/>
  <c r="D17" i="101"/>
  <c r="H17" i="101"/>
  <c r="J17" i="101"/>
  <c r="L17" i="101"/>
  <c r="N17" i="101"/>
  <c r="P17" i="101"/>
  <c r="R17" i="101"/>
  <c r="T17" i="101"/>
  <c r="V17" i="101"/>
  <c r="X17" i="101"/>
  <c r="Z17" i="101"/>
  <c r="D18" i="101"/>
  <c r="H18" i="101"/>
  <c r="J18" i="101"/>
  <c r="L18" i="101"/>
  <c r="N18" i="101"/>
  <c r="P18" i="101"/>
  <c r="R18" i="101"/>
  <c r="T18" i="101"/>
  <c r="V18" i="101"/>
  <c r="X18" i="101"/>
  <c r="Z18" i="101"/>
  <c r="D19" i="101"/>
  <c r="H19" i="101"/>
  <c r="J19" i="101"/>
  <c r="L19" i="101"/>
  <c r="N19" i="101"/>
  <c r="P19" i="101"/>
  <c r="R19" i="101"/>
  <c r="T19" i="101"/>
  <c r="V19" i="101"/>
  <c r="X19" i="101"/>
  <c r="Z19" i="101"/>
  <c r="D20" i="101"/>
  <c r="H20" i="101"/>
  <c r="J20" i="101"/>
  <c r="L20" i="101"/>
  <c r="N20" i="101"/>
  <c r="P20" i="101"/>
  <c r="R20" i="101"/>
  <c r="T20" i="101"/>
  <c r="V20" i="101"/>
  <c r="X20" i="101"/>
  <c r="Z20" i="101"/>
  <c r="D21" i="101"/>
  <c r="H21" i="101"/>
  <c r="J21" i="101"/>
  <c r="L21" i="101"/>
  <c r="N21" i="101"/>
  <c r="P21" i="101"/>
  <c r="R21" i="101"/>
  <c r="T21" i="101"/>
  <c r="V21" i="101"/>
  <c r="X21" i="101"/>
  <c r="Z21" i="101"/>
  <c r="D23" i="101"/>
  <c r="H23" i="101"/>
  <c r="J23" i="101"/>
  <c r="L23" i="101"/>
  <c r="N23" i="101"/>
  <c r="P23" i="101"/>
  <c r="R23" i="101"/>
  <c r="T23" i="101"/>
  <c r="V23" i="101"/>
  <c r="X23" i="101"/>
  <c r="Z23" i="101"/>
  <c r="D28" i="101"/>
  <c r="F28" i="101"/>
  <c r="H28" i="101"/>
  <c r="J28" i="101"/>
  <c r="L28" i="101"/>
  <c r="N28" i="101"/>
  <c r="P28" i="101"/>
  <c r="R28" i="101"/>
  <c r="T28" i="101"/>
  <c r="V28" i="101"/>
  <c r="X28" i="101"/>
  <c r="Z28" i="101"/>
  <c r="D29" i="101"/>
  <c r="F29" i="101"/>
  <c r="H29" i="101"/>
  <c r="J29" i="101"/>
  <c r="L29" i="101"/>
  <c r="N29" i="101"/>
  <c r="P29" i="101"/>
  <c r="R29" i="101"/>
  <c r="T29" i="101"/>
  <c r="V29" i="101"/>
  <c r="X29" i="101"/>
  <c r="Z29" i="101"/>
  <c r="D30" i="101"/>
  <c r="F30" i="101"/>
  <c r="H30" i="101"/>
  <c r="J30" i="101"/>
  <c r="L30" i="101"/>
  <c r="N30" i="101"/>
  <c r="P30" i="101"/>
  <c r="R30" i="101"/>
  <c r="T30" i="101"/>
  <c r="V30" i="101"/>
  <c r="X30" i="101"/>
  <c r="Z30" i="101"/>
  <c r="D34" i="101"/>
  <c r="F34" i="101"/>
  <c r="H34" i="101"/>
  <c r="J34" i="101"/>
  <c r="L34" i="101"/>
  <c r="N34" i="101"/>
  <c r="P34" i="101"/>
  <c r="R34" i="101"/>
  <c r="T34" i="101"/>
  <c r="V34" i="101"/>
  <c r="X34" i="101"/>
  <c r="Z34" i="101"/>
  <c r="D35" i="101"/>
  <c r="F35" i="101"/>
  <c r="H35" i="101"/>
  <c r="J35" i="101"/>
  <c r="L35" i="101"/>
  <c r="N35" i="101"/>
  <c r="P35" i="101"/>
  <c r="R35" i="101"/>
  <c r="T35" i="101"/>
  <c r="V35" i="101"/>
  <c r="X35" i="101"/>
  <c r="Z35" i="101"/>
  <c r="AD38" i="101"/>
  <c r="AD39" i="101"/>
  <c r="P4" i="63"/>
  <c r="AB4" i="101" s="1"/>
  <c r="P22" i="63"/>
  <c r="P23" i="63"/>
  <c r="P24" i="63"/>
  <c r="P25" i="63"/>
  <c r="E5" i="59"/>
  <c r="E5" i="63" s="1"/>
  <c r="F5" i="59"/>
  <c r="F5" i="63" s="1"/>
  <c r="G5" i="59"/>
  <c r="G5" i="63" s="1"/>
  <c r="H5" i="59"/>
  <c r="H5" i="63" s="1"/>
  <c r="I5" i="59"/>
  <c r="I5" i="63" s="1"/>
  <c r="J5" i="59"/>
  <c r="J5" i="63" s="1"/>
  <c r="K5" i="59"/>
  <c r="K5" i="63" s="1"/>
  <c r="L5" i="59"/>
  <c r="L5" i="63" s="1"/>
  <c r="M5" i="59"/>
  <c r="M5" i="63" s="1"/>
  <c r="N5" i="59"/>
  <c r="N5" i="63" s="1"/>
  <c r="O5" i="59"/>
  <c r="O5" i="63" s="1"/>
  <c r="D6" i="63"/>
  <c r="E6" i="63"/>
  <c r="F6" i="63"/>
  <c r="G6" i="63"/>
  <c r="H6" i="63"/>
  <c r="I6" i="63"/>
  <c r="J6" i="63"/>
  <c r="K6" i="63"/>
  <c r="L6" i="63"/>
  <c r="M6" i="63"/>
  <c r="N6" i="63"/>
  <c r="O6" i="63"/>
  <c r="D7" i="63"/>
  <c r="E7" i="63"/>
  <c r="G7" i="63"/>
  <c r="H7" i="63"/>
  <c r="I7" i="63"/>
  <c r="J7" i="63"/>
  <c r="K7" i="63"/>
  <c r="L7" i="63"/>
  <c r="M7" i="63"/>
  <c r="N7" i="63"/>
  <c r="O7" i="63"/>
  <c r="D10" i="63"/>
  <c r="E10" i="63"/>
  <c r="F10" i="63"/>
  <c r="G10" i="63"/>
  <c r="H10" i="63"/>
  <c r="I10" i="63"/>
  <c r="J10" i="63"/>
  <c r="K10" i="63"/>
  <c r="L10" i="63"/>
  <c r="M10" i="63"/>
  <c r="N10" i="63"/>
  <c r="O10" i="63"/>
  <c r="D11" i="63"/>
  <c r="E11" i="63"/>
  <c r="F11" i="63"/>
  <c r="G11" i="63"/>
  <c r="H11" i="63"/>
  <c r="I11" i="63"/>
  <c r="J11" i="63"/>
  <c r="K11" i="63"/>
  <c r="L11" i="63"/>
  <c r="M11" i="63"/>
  <c r="N11" i="63"/>
  <c r="O11" i="63"/>
  <c r="D12" i="63"/>
  <c r="E12" i="63"/>
  <c r="F12" i="63"/>
  <c r="G12" i="63"/>
  <c r="H12" i="63"/>
  <c r="I12" i="63"/>
  <c r="J12" i="63"/>
  <c r="K12" i="63"/>
  <c r="L12" i="63"/>
  <c r="L13" i="63" s="1"/>
  <c r="M12" i="63"/>
  <c r="N12" i="63"/>
  <c r="O12" i="63"/>
  <c r="D16" i="63"/>
  <c r="E16" i="63"/>
  <c r="F16" i="63"/>
  <c r="G16" i="63"/>
  <c r="H16" i="63"/>
  <c r="I16" i="63"/>
  <c r="J16" i="63"/>
  <c r="K16" i="63"/>
  <c r="L16" i="63"/>
  <c r="M16" i="63"/>
  <c r="N16" i="63"/>
  <c r="O16" i="63"/>
  <c r="D17" i="63"/>
  <c r="E17" i="63"/>
  <c r="F17" i="63"/>
  <c r="G17" i="63"/>
  <c r="H17" i="63"/>
  <c r="I17" i="63"/>
  <c r="J17" i="63"/>
  <c r="K17" i="63"/>
  <c r="K18" i="63" s="1"/>
  <c r="L17" i="63"/>
  <c r="L18" i="63" s="1"/>
  <c r="M17" i="63"/>
  <c r="M18" i="63" s="1"/>
  <c r="N17" i="63"/>
  <c r="N18" i="63" s="1"/>
  <c r="O17" i="63"/>
  <c r="C6" i="7"/>
  <c r="J48" i="105" s="1"/>
  <c r="K6" i="7"/>
  <c r="O6" i="7" s="1"/>
  <c r="J35" i="105" s="1"/>
  <c r="C7" i="7"/>
  <c r="G7" i="7" s="1"/>
  <c r="K7" i="7"/>
  <c r="CD18" i="23" s="1"/>
  <c r="C8" i="7"/>
  <c r="G8" i="7" s="1"/>
  <c r="K8" i="7"/>
  <c r="CD17" i="23" s="1"/>
  <c r="C9" i="7"/>
  <c r="CD14" i="23" s="1"/>
  <c r="CD28" i="23" s="1"/>
  <c r="K9" i="7"/>
  <c r="O9" i="7" s="1"/>
  <c r="J21" i="105" s="1"/>
  <c r="K10" i="7"/>
  <c r="O10" i="7" s="1"/>
  <c r="J22" i="105" s="1"/>
  <c r="G11" i="7"/>
  <c r="K11" i="7"/>
  <c r="O11" i="7" s="1"/>
  <c r="J23" i="105" s="1"/>
  <c r="G12" i="7"/>
  <c r="J16" i="105" s="1"/>
  <c r="G14" i="7"/>
  <c r="J19" i="105" s="1"/>
  <c r="G15" i="7"/>
  <c r="K16" i="7"/>
  <c r="O16" i="7" s="1"/>
  <c r="K17" i="7"/>
  <c r="O17" i="7" s="1"/>
  <c r="O20" i="7"/>
  <c r="G21" i="7"/>
  <c r="G22" i="7"/>
  <c r="G23" i="7"/>
  <c r="G24" i="7"/>
  <c r="G25" i="7"/>
  <c r="G26" i="7"/>
  <c r="K26" i="7"/>
  <c r="G27" i="7"/>
  <c r="K27" i="7"/>
  <c r="O27" i="7" s="1"/>
  <c r="G28" i="7"/>
  <c r="G29" i="7"/>
  <c r="K29" i="7"/>
  <c r="O29" i="7" s="1"/>
  <c r="G30" i="7"/>
  <c r="O31" i="7"/>
  <c r="O32" i="7"/>
  <c r="K33" i="7"/>
  <c r="O33" i="7" s="1"/>
  <c r="K34" i="7"/>
  <c r="O34" i="7" s="1"/>
  <c r="G35" i="7"/>
  <c r="J31" i="105" s="1"/>
  <c r="K35" i="7"/>
  <c r="O35" i="7" s="1"/>
  <c r="G36" i="7"/>
  <c r="J32" i="105" s="1"/>
  <c r="K36" i="7"/>
  <c r="O36" i="7" s="1"/>
  <c r="G37" i="7"/>
  <c r="D8" i="107"/>
  <c r="G8" i="107"/>
  <c r="J8" i="107"/>
  <c r="K8" i="107"/>
  <c r="L8" i="107"/>
  <c r="W8" i="107"/>
  <c r="X8" i="107"/>
  <c r="AU8" i="107"/>
  <c r="AV8" i="107"/>
  <c r="D9" i="107"/>
  <c r="G9" i="107"/>
  <c r="J9" i="107"/>
  <c r="K9" i="107"/>
  <c r="L9" i="107"/>
  <c r="W9" i="107"/>
  <c r="AU9" i="107"/>
  <c r="AV9" i="107"/>
  <c r="D11" i="107"/>
  <c r="G11" i="107"/>
  <c r="J11" i="107"/>
  <c r="K11" i="107"/>
  <c r="L11" i="107"/>
  <c r="W11" i="107"/>
  <c r="AI11" i="107"/>
  <c r="AU11" i="107"/>
  <c r="AV11" i="107"/>
  <c r="I13" i="107"/>
  <c r="K12" i="107"/>
  <c r="M12" i="106" s="1"/>
  <c r="W12" i="107"/>
  <c r="Q12" i="106" s="1"/>
  <c r="X12" i="107"/>
  <c r="AU12" i="107"/>
  <c r="AV12" i="107"/>
  <c r="B13" i="107"/>
  <c r="B15" i="107" s="1"/>
  <c r="B16" i="107" s="1"/>
  <c r="C13" i="107"/>
  <c r="E13" i="107"/>
  <c r="E15" i="107" s="1"/>
  <c r="E16" i="107" s="1"/>
  <c r="F13" i="107"/>
  <c r="H13" i="107"/>
  <c r="N13" i="107"/>
  <c r="N15" i="107" s="1"/>
  <c r="Q13" i="107"/>
  <c r="S13" i="107" s="1"/>
  <c r="T13" i="107"/>
  <c r="T15" i="107" s="1"/>
  <c r="U13" i="107"/>
  <c r="Z13" i="107"/>
  <c r="Z15" i="107" s="1"/>
  <c r="Z16" i="107" s="1"/>
  <c r="AA13" i="107"/>
  <c r="AC13" i="107"/>
  <c r="AC15" i="107" s="1"/>
  <c r="AD13" i="107"/>
  <c r="AF13" i="107"/>
  <c r="AF15" i="107" s="1"/>
  <c r="AG13" i="107"/>
  <c r="AL13" i="107"/>
  <c r="AL15" i="107" s="1"/>
  <c r="AM13" i="107"/>
  <c r="AO13" i="107"/>
  <c r="AO15" i="107" s="1"/>
  <c r="AP13" i="107"/>
  <c r="AR13" i="107"/>
  <c r="AR15" i="107" s="1"/>
  <c r="AR16" i="107" s="1"/>
  <c r="AS13" i="107"/>
  <c r="K14" i="107"/>
  <c r="W14" i="107"/>
  <c r="Q14" i="106" s="1"/>
  <c r="AI14" i="107"/>
  <c r="K18" i="107"/>
  <c r="W18" i="107"/>
  <c r="AI18" i="107"/>
  <c r="AU18" i="107"/>
  <c r="K19" i="107"/>
  <c r="W19" i="107"/>
  <c r="AI19" i="107"/>
  <c r="AU19" i="107"/>
  <c r="K20" i="107"/>
  <c r="W20" i="107"/>
  <c r="AI20" i="107"/>
  <c r="AU20" i="107"/>
  <c r="E21" i="107"/>
  <c r="H21" i="107"/>
  <c r="N21" i="107"/>
  <c r="Q21" i="107"/>
  <c r="T21" i="107"/>
  <c r="Z21" i="107"/>
  <c r="AC21" i="107"/>
  <c r="AF21" i="107"/>
  <c r="AL21" i="107"/>
  <c r="AO21" i="107"/>
  <c r="AR21" i="107"/>
  <c r="F25" i="107"/>
  <c r="C26" i="106" s="1"/>
  <c r="DT26" i="106" s="1"/>
  <c r="DU26" i="106" s="1"/>
  <c r="I25" i="107"/>
  <c r="D26" i="106" s="1"/>
  <c r="K25" i="107"/>
  <c r="O25" i="107"/>
  <c r="F26" i="106" s="1"/>
  <c r="R25" i="107"/>
  <c r="G26" i="106" s="1"/>
  <c r="U25" i="107"/>
  <c r="H26" i="106" s="1"/>
  <c r="W25" i="107"/>
  <c r="AA25" i="107"/>
  <c r="J26" i="106" s="1"/>
  <c r="AD25" i="107"/>
  <c r="K26" i="106" s="1"/>
  <c r="AG25" i="107"/>
  <c r="L26" i="106" s="1"/>
  <c r="AM25" i="107"/>
  <c r="N26" i="106" s="1"/>
  <c r="AP25" i="107"/>
  <c r="O26" i="106" s="1"/>
  <c r="AS25" i="107"/>
  <c r="P26" i="106" s="1"/>
  <c r="AU25" i="107"/>
  <c r="C26" i="107"/>
  <c r="B27" i="106" s="1"/>
  <c r="F26" i="107"/>
  <c r="C27" i="106" s="1"/>
  <c r="DT27" i="106" s="1"/>
  <c r="I26" i="107"/>
  <c r="D27" i="106" s="1"/>
  <c r="K26" i="107"/>
  <c r="O26" i="107"/>
  <c r="F27" i="106" s="1"/>
  <c r="R26" i="107"/>
  <c r="G27" i="106" s="1"/>
  <c r="U26" i="107"/>
  <c r="H27" i="106" s="1"/>
  <c r="W26" i="107"/>
  <c r="AA26" i="107"/>
  <c r="J27" i="106" s="1"/>
  <c r="AD26" i="107"/>
  <c r="K27" i="106" s="1"/>
  <c r="AG26" i="107"/>
  <c r="L27" i="106" s="1"/>
  <c r="AM26" i="107"/>
  <c r="N27" i="106" s="1"/>
  <c r="AP26" i="107"/>
  <c r="O27" i="106" s="1"/>
  <c r="AS26" i="107"/>
  <c r="P27" i="106" s="1"/>
  <c r="AU26" i="107"/>
  <c r="C27" i="107"/>
  <c r="B28" i="106" s="1"/>
  <c r="F27" i="107"/>
  <c r="C28" i="106" s="1"/>
  <c r="DT28" i="106" s="1"/>
  <c r="DU28" i="106" s="1"/>
  <c r="I27" i="107"/>
  <c r="D28" i="106" s="1"/>
  <c r="K27" i="107"/>
  <c r="O27" i="107"/>
  <c r="F28" i="106" s="1"/>
  <c r="R27" i="107"/>
  <c r="G28" i="106" s="1"/>
  <c r="U27" i="107"/>
  <c r="H28" i="106" s="1"/>
  <c r="W27" i="107"/>
  <c r="AA27" i="107"/>
  <c r="J28" i="106" s="1"/>
  <c r="AD27" i="107"/>
  <c r="K28" i="106" s="1"/>
  <c r="AG27" i="107"/>
  <c r="L28" i="106" s="1"/>
  <c r="AM27" i="107"/>
  <c r="N28" i="106" s="1"/>
  <c r="AP27" i="107"/>
  <c r="O28" i="106" s="1"/>
  <c r="AS27" i="107"/>
  <c r="P28" i="106" s="1"/>
  <c r="AU27" i="107"/>
  <c r="C28" i="107"/>
  <c r="B29" i="106" s="1"/>
  <c r="F28" i="107"/>
  <c r="C29" i="106" s="1"/>
  <c r="DT29" i="106" s="1"/>
  <c r="I28" i="107"/>
  <c r="D29" i="106" s="1"/>
  <c r="K28" i="107"/>
  <c r="O28" i="107"/>
  <c r="F29" i="106" s="1"/>
  <c r="R28" i="107"/>
  <c r="G29" i="106" s="1"/>
  <c r="U28" i="107"/>
  <c r="H29" i="106" s="1"/>
  <c r="W28" i="107"/>
  <c r="AA28" i="107"/>
  <c r="J29" i="106" s="1"/>
  <c r="AD28" i="107"/>
  <c r="K29" i="106" s="1"/>
  <c r="AG28" i="107"/>
  <c r="L29" i="106" s="1"/>
  <c r="AM28" i="107"/>
  <c r="N29" i="106" s="1"/>
  <c r="AP28" i="107"/>
  <c r="O29" i="106" s="1"/>
  <c r="AS28" i="107"/>
  <c r="P29" i="106" s="1"/>
  <c r="AU28" i="107"/>
  <c r="C29" i="107"/>
  <c r="B30" i="106" s="1"/>
  <c r="F29" i="107"/>
  <c r="C30" i="106" s="1"/>
  <c r="DT30" i="106" s="1"/>
  <c r="I29" i="107"/>
  <c r="D30" i="106" s="1"/>
  <c r="K29" i="107"/>
  <c r="O29" i="107"/>
  <c r="F30" i="106" s="1"/>
  <c r="R29" i="107"/>
  <c r="G30" i="106" s="1"/>
  <c r="U29" i="107"/>
  <c r="H30" i="106" s="1"/>
  <c r="W29" i="107"/>
  <c r="AA29" i="107"/>
  <c r="J30" i="106" s="1"/>
  <c r="AD29" i="107"/>
  <c r="K30" i="106" s="1"/>
  <c r="AG29" i="107"/>
  <c r="L30" i="106" s="1"/>
  <c r="AM29" i="107"/>
  <c r="N30" i="106" s="1"/>
  <c r="AP29" i="107"/>
  <c r="O30" i="106" s="1"/>
  <c r="AS29" i="107"/>
  <c r="P30" i="106" s="1"/>
  <c r="AU29" i="107"/>
  <c r="F30" i="107"/>
  <c r="C31" i="106" s="1"/>
  <c r="DT31" i="106" s="1"/>
  <c r="DU31" i="106" s="1"/>
  <c r="I30" i="107"/>
  <c r="D31" i="106" s="1"/>
  <c r="K30" i="107"/>
  <c r="O30" i="107"/>
  <c r="F31" i="106" s="1"/>
  <c r="R30" i="107"/>
  <c r="G31" i="106" s="1"/>
  <c r="U30" i="107"/>
  <c r="H31" i="106" s="1"/>
  <c r="W30" i="107"/>
  <c r="AA30" i="107"/>
  <c r="J31" i="106" s="1"/>
  <c r="AD30" i="107"/>
  <c r="K31" i="106" s="1"/>
  <c r="AG30" i="107"/>
  <c r="L31" i="106" s="1"/>
  <c r="AM30" i="107"/>
  <c r="N31" i="106" s="1"/>
  <c r="AP30" i="107"/>
  <c r="O31" i="106" s="1"/>
  <c r="AS30" i="107"/>
  <c r="P31" i="106" s="1"/>
  <c r="AU30" i="107"/>
  <c r="C31" i="107"/>
  <c r="B32" i="106" s="1"/>
  <c r="F31" i="107"/>
  <c r="C32" i="106" s="1"/>
  <c r="DT32" i="106" s="1"/>
  <c r="I31" i="107"/>
  <c r="D32" i="106" s="1"/>
  <c r="K31" i="107"/>
  <c r="O31" i="107"/>
  <c r="F32" i="106" s="1"/>
  <c r="R31" i="107"/>
  <c r="G32" i="106" s="1"/>
  <c r="U31" i="107"/>
  <c r="H32" i="106" s="1"/>
  <c r="W31" i="107"/>
  <c r="AA31" i="107"/>
  <c r="J32" i="106" s="1"/>
  <c r="AD31" i="107"/>
  <c r="K32" i="106" s="1"/>
  <c r="AG31" i="107"/>
  <c r="L32" i="106" s="1"/>
  <c r="AM31" i="107"/>
  <c r="N32" i="106" s="1"/>
  <c r="AP31" i="107"/>
  <c r="O32" i="106" s="1"/>
  <c r="AS31" i="107"/>
  <c r="P32" i="106" s="1"/>
  <c r="AU31" i="107"/>
  <c r="C32" i="107"/>
  <c r="B33" i="106" s="1"/>
  <c r="F32" i="107"/>
  <c r="C33" i="106" s="1"/>
  <c r="DT33" i="106" s="1"/>
  <c r="I32" i="107"/>
  <c r="D33" i="106" s="1"/>
  <c r="K32" i="107"/>
  <c r="O32" i="107"/>
  <c r="F33" i="106" s="1"/>
  <c r="R32" i="107"/>
  <c r="G33" i="106" s="1"/>
  <c r="U32" i="107"/>
  <c r="H33" i="106" s="1"/>
  <c r="W32" i="107"/>
  <c r="AA32" i="107"/>
  <c r="J33" i="106" s="1"/>
  <c r="AD32" i="107"/>
  <c r="K33" i="106" s="1"/>
  <c r="AG32" i="107"/>
  <c r="L33" i="106" s="1"/>
  <c r="AM32" i="107"/>
  <c r="N33" i="106" s="1"/>
  <c r="AP32" i="107"/>
  <c r="O33" i="106" s="1"/>
  <c r="AS32" i="107"/>
  <c r="P33" i="106" s="1"/>
  <c r="AU32" i="107"/>
  <c r="C33" i="107"/>
  <c r="B34" i="106" s="1"/>
  <c r="F33" i="107"/>
  <c r="C34" i="106" s="1"/>
  <c r="DT34" i="106" s="1"/>
  <c r="I33" i="107"/>
  <c r="D34" i="106" s="1"/>
  <c r="K33" i="107"/>
  <c r="O33" i="107"/>
  <c r="F34" i="106" s="1"/>
  <c r="R33" i="107"/>
  <c r="G34" i="106" s="1"/>
  <c r="U33" i="107"/>
  <c r="H34" i="106" s="1"/>
  <c r="W33" i="107"/>
  <c r="AA33" i="107"/>
  <c r="J34" i="106" s="1"/>
  <c r="AD33" i="107"/>
  <c r="K34" i="106" s="1"/>
  <c r="AG33" i="107"/>
  <c r="L34" i="106" s="1"/>
  <c r="AM33" i="107"/>
  <c r="N34" i="106" s="1"/>
  <c r="AP33" i="107"/>
  <c r="O34" i="106" s="1"/>
  <c r="AS33" i="107"/>
  <c r="P34" i="106" s="1"/>
  <c r="AU33" i="107"/>
  <c r="F34" i="107"/>
  <c r="C35" i="106" s="1"/>
  <c r="DT35" i="106" s="1"/>
  <c r="DU35" i="106" s="1"/>
  <c r="I34" i="107"/>
  <c r="D35" i="106" s="1"/>
  <c r="K34" i="107"/>
  <c r="O34" i="107"/>
  <c r="F35" i="106" s="1"/>
  <c r="R34" i="107"/>
  <c r="G35" i="106" s="1"/>
  <c r="U34" i="107"/>
  <c r="H35" i="106" s="1"/>
  <c r="W34" i="107"/>
  <c r="AA34" i="107"/>
  <c r="J35" i="106" s="1"/>
  <c r="AD34" i="107"/>
  <c r="K35" i="106" s="1"/>
  <c r="AG34" i="107"/>
  <c r="L35" i="106" s="1"/>
  <c r="AM34" i="107"/>
  <c r="N35" i="106" s="1"/>
  <c r="AP34" i="107"/>
  <c r="O35" i="106" s="1"/>
  <c r="AS34" i="107"/>
  <c r="P35" i="106" s="1"/>
  <c r="AU34" i="107"/>
  <c r="B35" i="107"/>
  <c r="E35" i="107"/>
  <c r="H35" i="107"/>
  <c r="N35" i="107"/>
  <c r="Q35" i="107"/>
  <c r="T35" i="107"/>
  <c r="Z35" i="107"/>
  <c r="AC35" i="107"/>
  <c r="AF35" i="107"/>
  <c r="AL35" i="107"/>
  <c r="AO35" i="107"/>
  <c r="AR35" i="107"/>
  <c r="C37" i="107"/>
  <c r="B38" i="106" s="1"/>
  <c r="K37" i="107"/>
  <c r="R37" i="107"/>
  <c r="G38" i="106" s="1"/>
  <c r="U37" i="107"/>
  <c r="H38" i="106" s="1"/>
  <c r="W37" i="107"/>
  <c r="AA37" i="107"/>
  <c r="J38" i="106" s="1"/>
  <c r="AD37" i="107"/>
  <c r="K38" i="106" s="1"/>
  <c r="AG37" i="107"/>
  <c r="L38" i="106" s="1"/>
  <c r="AM37" i="107"/>
  <c r="N38" i="106" s="1"/>
  <c r="AP37" i="107"/>
  <c r="O38" i="106" s="1"/>
  <c r="AS37" i="107"/>
  <c r="P38" i="106" s="1"/>
  <c r="AU37" i="107"/>
  <c r="C38" i="107"/>
  <c r="B39" i="106" s="1"/>
  <c r="E39" i="106" s="1"/>
  <c r="K38" i="107"/>
  <c r="R38" i="107"/>
  <c r="G39" i="106" s="1"/>
  <c r="U38" i="107"/>
  <c r="H39" i="106" s="1"/>
  <c r="W38" i="107"/>
  <c r="AA38" i="107"/>
  <c r="J39" i="106" s="1"/>
  <c r="AD38" i="107"/>
  <c r="K39" i="106" s="1"/>
  <c r="AG38" i="107"/>
  <c r="L39" i="106" s="1"/>
  <c r="AM38" i="107"/>
  <c r="N39" i="106" s="1"/>
  <c r="AP38" i="107"/>
  <c r="O39" i="106" s="1"/>
  <c r="AS38" i="107"/>
  <c r="P39" i="106" s="1"/>
  <c r="AU38" i="107"/>
  <c r="C39" i="107"/>
  <c r="B40" i="106" s="1"/>
  <c r="E40" i="106" s="1"/>
  <c r="K39" i="107"/>
  <c r="R39" i="107"/>
  <c r="G40" i="106" s="1"/>
  <c r="U39" i="107"/>
  <c r="H40" i="106" s="1"/>
  <c r="W39" i="107"/>
  <c r="AA39" i="107"/>
  <c r="J40" i="106" s="1"/>
  <c r="AD39" i="107"/>
  <c r="K40" i="106" s="1"/>
  <c r="AG39" i="107"/>
  <c r="L40" i="106" s="1"/>
  <c r="AM39" i="107"/>
  <c r="N40" i="106" s="1"/>
  <c r="AP39" i="107"/>
  <c r="O40" i="106" s="1"/>
  <c r="AS39" i="107"/>
  <c r="P40" i="106" s="1"/>
  <c r="AU39" i="107"/>
  <c r="C40" i="107"/>
  <c r="B41" i="106" s="1"/>
  <c r="E41" i="106" s="1"/>
  <c r="K40" i="107"/>
  <c r="R40" i="107"/>
  <c r="G41" i="106" s="1"/>
  <c r="U40" i="107"/>
  <c r="H41" i="106" s="1"/>
  <c r="W40" i="107"/>
  <c r="AA40" i="107"/>
  <c r="J41" i="106" s="1"/>
  <c r="AD40" i="107"/>
  <c r="K41" i="106" s="1"/>
  <c r="AG40" i="107"/>
  <c r="L41" i="106" s="1"/>
  <c r="AM40" i="107"/>
  <c r="N41" i="106" s="1"/>
  <c r="AP40" i="107"/>
  <c r="O41" i="106" s="1"/>
  <c r="AS40" i="107"/>
  <c r="P41" i="106" s="1"/>
  <c r="AU40" i="107"/>
  <c r="C41" i="107"/>
  <c r="B42" i="106" s="1"/>
  <c r="E42" i="106" s="1"/>
  <c r="K41" i="107"/>
  <c r="R41" i="107"/>
  <c r="G42" i="106" s="1"/>
  <c r="U41" i="107"/>
  <c r="H42" i="106" s="1"/>
  <c r="W41" i="107"/>
  <c r="AA41" i="107"/>
  <c r="J42" i="106" s="1"/>
  <c r="AD41" i="107"/>
  <c r="K42" i="106" s="1"/>
  <c r="AG41" i="107"/>
  <c r="L42" i="106" s="1"/>
  <c r="AM41" i="107"/>
  <c r="N42" i="106" s="1"/>
  <c r="AP41" i="107"/>
  <c r="O42" i="106" s="1"/>
  <c r="AS41" i="107"/>
  <c r="P42" i="106" s="1"/>
  <c r="AU41" i="107"/>
  <c r="K42" i="107"/>
  <c r="R42" i="107"/>
  <c r="G43" i="106" s="1"/>
  <c r="U42" i="107"/>
  <c r="H43" i="106" s="1"/>
  <c r="W42" i="107"/>
  <c r="AA42" i="107"/>
  <c r="J43" i="106" s="1"/>
  <c r="AD42" i="107"/>
  <c r="K43" i="106" s="1"/>
  <c r="AG42" i="107"/>
  <c r="L43" i="106" s="1"/>
  <c r="AM42" i="107"/>
  <c r="N43" i="106" s="1"/>
  <c r="AP42" i="107"/>
  <c r="O43" i="106" s="1"/>
  <c r="AS42" i="107"/>
  <c r="P43" i="106" s="1"/>
  <c r="AU42" i="107"/>
  <c r="K43" i="107"/>
  <c r="R43" i="107"/>
  <c r="G44" i="106" s="1"/>
  <c r="U43" i="107"/>
  <c r="H44" i="106" s="1"/>
  <c r="W43" i="107"/>
  <c r="AA43" i="107"/>
  <c r="J44" i="106" s="1"/>
  <c r="AD43" i="107"/>
  <c r="K44" i="106" s="1"/>
  <c r="AG43" i="107"/>
  <c r="L44" i="106" s="1"/>
  <c r="AM43" i="107"/>
  <c r="N44" i="106" s="1"/>
  <c r="AP43" i="107"/>
  <c r="O44" i="106" s="1"/>
  <c r="AS43" i="107"/>
  <c r="P44" i="106" s="1"/>
  <c r="AU43" i="107"/>
  <c r="C44" i="107"/>
  <c r="B45" i="106" s="1"/>
  <c r="E45" i="106" s="1"/>
  <c r="K44" i="107"/>
  <c r="R44" i="107"/>
  <c r="G45" i="106" s="1"/>
  <c r="U44" i="107"/>
  <c r="H45" i="106" s="1"/>
  <c r="W44" i="107"/>
  <c r="AA44" i="107"/>
  <c r="J45" i="106" s="1"/>
  <c r="AD44" i="107"/>
  <c r="K45" i="106" s="1"/>
  <c r="AG44" i="107"/>
  <c r="L45" i="106" s="1"/>
  <c r="AM44" i="107"/>
  <c r="N45" i="106" s="1"/>
  <c r="AP44" i="107"/>
  <c r="O45" i="106" s="1"/>
  <c r="AS44" i="107"/>
  <c r="P45" i="106" s="1"/>
  <c r="AU44" i="107"/>
  <c r="C45" i="107"/>
  <c r="B46" i="106" s="1"/>
  <c r="E46" i="106" s="1"/>
  <c r="K45" i="107"/>
  <c r="R45" i="107"/>
  <c r="G46" i="106" s="1"/>
  <c r="U45" i="107"/>
  <c r="H46" i="106" s="1"/>
  <c r="W45" i="107"/>
  <c r="AA45" i="107"/>
  <c r="J46" i="106" s="1"/>
  <c r="AD45" i="107"/>
  <c r="K46" i="106" s="1"/>
  <c r="AG45" i="107"/>
  <c r="L46" i="106" s="1"/>
  <c r="AM45" i="107"/>
  <c r="N46" i="106" s="1"/>
  <c r="AP45" i="107"/>
  <c r="O46" i="106" s="1"/>
  <c r="AS45" i="107"/>
  <c r="P46" i="106" s="1"/>
  <c r="AU45" i="107"/>
  <c r="B46" i="107"/>
  <c r="E46" i="107"/>
  <c r="H46" i="107"/>
  <c r="N46" i="107"/>
  <c r="Q46" i="107"/>
  <c r="T46" i="107"/>
  <c r="Z46" i="107"/>
  <c r="AC46" i="107"/>
  <c r="AF46" i="107"/>
  <c r="AL46" i="107"/>
  <c r="AO46" i="107"/>
  <c r="AR46" i="107"/>
  <c r="D52" i="107"/>
  <c r="G52" i="107"/>
  <c r="J52" i="107"/>
  <c r="K52" i="107"/>
  <c r="L52" i="107"/>
  <c r="P52" i="107"/>
  <c r="S52" i="107"/>
  <c r="V52" i="107"/>
  <c r="X52" i="107"/>
  <c r="Y52" i="107" s="1"/>
  <c r="AB52" i="107"/>
  <c r="AE52" i="107"/>
  <c r="AH52" i="107"/>
  <c r="AI52" i="107"/>
  <c r="AN52" i="107"/>
  <c r="AQ52" i="107"/>
  <c r="AT52" i="107"/>
  <c r="AU52" i="107"/>
  <c r="AV52" i="107"/>
  <c r="D93" i="107"/>
  <c r="F94" i="107"/>
  <c r="J93" i="107"/>
  <c r="K93" i="107"/>
  <c r="M93" i="107" s="1"/>
  <c r="P93" i="107"/>
  <c r="S93" i="107"/>
  <c r="V93" i="107"/>
  <c r="W93" i="107"/>
  <c r="Y93" i="107" s="1"/>
  <c r="X93" i="107"/>
  <c r="AI93" i="107"/>
  <c r="AK93" i="107" s="1"/>
  <c r="AB93" i="107"/>
  <c r="AE93" i="107"/>
  <c r="AH93" i="107"/>
  <c r="AV93" i="107"/>
  <c r="AN93" i="107"/>
  <c r="AQ93" i="107"/>
  <c r="AT93" i="107"/>
  <c r="AU93" i="107"/>
  <c r="AW93" i="107" s="1"/>
  <c r="B94" i="107"/>
  <c r="E94" i="107"/>
  <c r="H94" i="107"/>
  <c r="I94" i="107"/>
  <c r="N94" i="107"/>
  <c r="O94" i="107"/>
  <c r="Q94" i="107"/>
  <c r="R94" i="107"/>
  <c r="T94" i="107"/>
  <c r="U94" i="107"/>
  <c r="Z94" i="107"/>
  <c r="AC94" i="107"/>
  <c r="AD94" i="107"/>
  <c r="AF94" i="107"/>
  <c r="AG94" i="107"/>
  <c r="AL94" i="107"/>
  <c r="AO94" i="107"/>
  <c r="AP94" i="107"/>
  <c r="AR94" i="107"/>
  <c r="CV8" i="106"/>
  <c r="CZ8" i="106"/>
  <c r="DA8" i="106"/>
  <c r="DD8" i="106" s="1"/>
  <c r="DH8" i="106"/>
  <c r="CV9" i="106"/>
  <c r="CZ9" i="106"/>
  <c r="DD9" i="106"/>
  <c r="DH9" i="106"/>
  <c r="DC13" i="106"/>
  <c r="DC15" i="106" s="1"/>
  <c r="CV10" i="106"/>
  <c r="CZ10" i="106"/>
  <c r="DD10" i="106"/>
  <c r="DH10" i="106"/>
  <c r="CV12" i="106"/>
  <c r="CZ12" i="106"/>
  <c r="DB12" i="106"/>
  <c r="DD12" i="106" s="1"/>
  <c r="DH12" i="106"/>
  <c r="CS13" i="106"/>
  <c r="CS15" i="106" s="1"/>
  <c r="CS16" i="106" s="1"/>
  <c r="CT13" i="106"/>
  <c r="CT15" i="106" s="1"/>
  <c r="CT16" i="106" s="1"/>
  <c r="CU13" i="106"/>
  <c r="CW13" i="106"/>
  <c r="CW15" i="106" s="1"/>
  <c r="CW16" i="106" s="1"/>
  <c r="CX13" i="106"/>
  <c r="CX15" i="106" s="1"/>
  <c r="CX16" i="106" s="1"/>
  <c r="CY13" i="106"/>
  <c r="CY15" i="106" s="1"/>
  <c r="CY16" i="106" s="1"/>
  <c r="DB13" i="106"/>
  <c r="DB15" i="106" s="1"/>
  <c r="DE13" i="106"/>
  <c r="DF13" i="106"/>
  <c r="DF15" i="106" s="1"/>
  <c r="DG13" i="106"/>
  <c r="DG15" i="106" s="1"/>
  <c r="DG16" i="106" s="1"/>
  <c r="CU14" i="106"/>
  <c r="CV14" i="106" s="1"/>
  <c r="CZ14" i="106"/>
  <c r="DD14" i="106"/>
  <c r="DH14" i="106"/>
  <c r="CU19" i="106"/>
  <c r="CV19" i="106" s="1"/>
  <c r="CZ19" i="106"/>
  <c r="DD19" i="106"/>
  <c r="DH19" i="106"/>
  <c r="CU20" i="106"/>
  <c r="CV20" i="106" s="1"/>
  <c r="CZ20" i="106"/>
  <c r="DD20" i="106"/>
  <c r="DH20" i="106"/>
  <c r="CU21" i="106"/>
  <c r="CV21" i="106" s="1"/>
  <c r="CZ21" i="106"/>
  <c r="DD21" i="106"/>
  <c r="DH21" i="106"/>
  <c r="CY22" i="106"/>
  <c r="CZ22" i="106" s="1"/>
  <c r="DA22" i="106"/>
  <c r="DB22" i="106"/>
  <c r="DC22" i="106"/>
  <c r="DE22" i="106"/>
  <c r="DF22" i="106"/>
  <c r="DG22" i="106"/>
  <c r="CV26" i="106"/>
  <c r="CZ26" i="106"/>
  <c r="DD26" i="106"/>
  <c r="DH26" i="106"/>
  <c r="CV27" i="106"/>
  <c r="CZ27" i="106"/>
  <c r="DD27" i="106"/>
  <c r="DH27" i="106"/>
  <c r="CV28" i="106"/>
  <c r="CZ28" i="106"/>
  <c r="DD28" i="106"/>
  <c r="DH28" i="106"/>
  <c r="CV29" i="106"/>
  <c r="CZ29" i="106"/>
  <c r="DD29" i="106"/>
  <c r="DH29" i="106"/>
  <c r="CV30" i="106"/>
  <c r="CZ30" i="106"/>
  <c r="DD30" i="106"/>
  <c r="DH30" i="106"/>
  <c r="CV31" i="106"/>
  <c r="CZ31" i="106"/>
  <c r="DD31" i="106"/>
  <c r="DH31" i="106"/>
  <c r="CV32" i="106"/>
  <c r="CZ32" i="106"/>
  <c r="DD32" i="106"/>
  <c r="DH32" i="106"/>
  <c r="CV33" i="106"/>
  <c r="CZ33" i="106"/>
  <c r="DD33" i="106"/>
  <c r="DH33" i="106"/>
  <c r="CV34" i="106"/>
  <c r="CZ34" i="106"/>
  <c r="DD34" i="106"/>
  <c r="DH34" i="106"/>
  <c r="CV35" i="106"/>
  <c r="CZ35" i="106"/>
  <c r="DD35" i="106"/>
  <c r="DH35" i="106"/>
  <c r="CU36" i="106"/>
  <c r="CV36" i="106" s="1"/>
  <c r="CY36" i="106"/>
  <c r="CZ36" i="106" s="1"/>
  <c r="DA36" i="106"/>
  <c r="DA48" i="106" s="1"/>
  <c r="DB36" i="106"/>
  <c r="DC36" i="106"/>
  <c r="DE36" i="106"/>
  <c r="DF36" i="106"/>
  <c r="DG36" i="106"/>
  <c r="CV38" i="106"/>
  <c r="CZ38" i="106"/>
  <c r="DD38" i="106"/>
  <c r="DH38" i="106"/>
  <c r="CV39" i="106"/>
  <c r="CZ39" i="106"/>
  <c r="DD39" i="106"/>
  <c r="DH39" i="106"/>
  <c r="CV40" i="106"/>
  <c r="CZ40" i="106"/>
  <c r="DD40" i="106"/>
  <c r="DH40" i="106"/>
  <c r="CV41" i="106"/>
  <c r="CZ41" i="106"/>
  <c r="DD41" i="106"/>
  <c r="DH41" i="106"/>
  <c r="CV42" i="106"/>
  <c r="CZ42" i="106"/>
  <c r="DD42" i="106"/>
  <c r="DH42" i="106"/>
  <c r="CV43" i="106"/>
  <c r="CZ43" i="106"/>
  <c r="DD43" i="106"/>
  <c r="DH43" i="106"/>
  <c r="CV44" i="106"/>
  <c r="CZ44" i="106"/>
  <c r="DD44" i="106"/>
  <c r="DH44" i="106"/>
  <c r="CV45" i="106"/>
  <c r="CZ45" i="106"/>
  <c r="DD45" i="106"/>
  <c r="DH45" i="106"/>
  <c r="CV46" i="106"/>
  <c r="CZ46" i="106"/>
  <c r="DD46" i="106"/>
  <c r="DH46" i="106"/>
  <c r="CU47" i="106"/>
  <c r="CV47" i="106" s="1"/>
  <c r="CY47" i="106"/>
  <c r="CZ47" i="106" s="1"/>
  <c r="DA47" i="106"/>
  <c r="DB47" i="106"/>
  <c r="DC47" i="106"/>
  <c r="DE47" i="106"/>
  <c r="DF47" i="106"/>
  <c r="DF48" i="106" s="1"/>
  <c r="DG47" i="106"/>
  <c r="CS48" i="106"/>
  <c r="CT48" i="106"/>
  <c r="CW48" i="106"/>
  <c r="CX48" i="106"/>
  <c r="AM94" i="107"/>
  <c r="AA94" i="107"/>
  <c r="AJ52" i="107"/>
  <c r="AX8" i="83"/>
  <c r="AX7" i="83"/>
  <c r="N10" i="70"/>
  <c r="N9" i="70"/>
  <c r="AX3" i="83"/>
  <c r="AX4" i="83"/>
  <c r="DN10" i="106"/>
  <c r="DO10" i="106" s="1"/>
  <c r="DN9" i="106"/>
  <c r="DO9" i="106" s="1"/>
  <c r="DO13" i="106"/>
  <c r="DN12" i="106"/>
  <c r="DO12" i="106" s="1"/>
  <c r="DN46" i="106"/>
  <c r="DO46" i="106"/>
  <c r="DN45" i="106"/>
  <c r="DN33" i="106"/>
  <c r="DN30" i="106"/>
  <c r="DN34" i="106"/>
  <c r="DN50" i="106"/>
  <c r="DO50" i="106" s="1"/>
  <c r="P42" i="9"/>
  <c r="L42" i="9"/>
  <c r="H42" i="9"/>
  <c r="G42" i="9"/>
  <c r="I21" i="107"/>
  <c r="L12" i="107"/>
  <c r="X19" i="107"/>
  <c r="AJ19" i="107"/>
  <c r="P77" i="59"/>
  <c r="AG77" i="1" s="1"/>
  <c r="P73" i="59"/>
  <c r="AG73" i="1" s="1"/>
  <c r="P61" i="59"/>
  <c r="AG61" i="1" s="1"/>
  <c r="P57" i="59"/>
  <c r="AG57" i="1" s="1"/>
  <c r="P44" i="59"/>
  <c r="AG44" i="1" s="1"/>
  <c r="X14" i="107"/>
  <c r="DN14" i="106"/>
  <c r="DO14" i="106" s="1"/>
  <c r="R15" i="107"/>
  <c r="R16" i="107" s="1"/>
  <c r="P32" i="59"/>
  <c r="AG32" i="1" s="1"/>
  <c r="P205" i="59"/>
  <c r="AG205" i="1" s="1"/>
  <c r="P148" i="59"/>
  <c r="AG148" i="1" s="1"/>
  <c r="P219" i="59"/>
  <c r="AG219" i="1" s="1"/>
  <c r="B21" i="107"/>
  <c r="DO28" i="106"/>
  <c r="DN28" i="106"/>
  <c r="DN29" i="106"/>
  <c r="DN32" i="106"/>
  <c r="DN39" i="106"/>
  <c r="DO40" i="106"/>
  <c r="DN40" i="106"/>
  <c r="DN41" i="106"/>
  <c r="DN42" i="106"/>
  <c r="DN27" i="106"/>
  <c r="DN38" i="106"/>
  <c r="DO31" i="106"/>
  <c r="DN31" i="106"/>
  <c r="DN43" i="106"/>
  <c r="DO43" i="106"/>
  <c r="DN47" i="106"/>
  <c r="DO47" i="106"/>
  <c r="DO44" i="106"/>
  <c r="DN44" i="106"/>
  <c r="DN26" i="106"/>
  <c r="DN20" i="106"/>
  <c r="DO20" i="106" s="1"/>
  <c r="DO35" i="106"/>
  <c r="DN35" i="106"/>
  <c r="DN21" i="106"/>
  <c r="DO21" i="106" s="1"/>
  <c r="DN49" i="106"/>
  <c r="DO49" i="106" s="1"/>
  <c r="DN22" i="106"/>
  <c r="DO22" i="106" s="1"/>
  <c r="DN23" i="106"/>
  <c r="DO23" i="106" s="1"/>
  <c r="DN48" i="106"/>
  <c r="DO48" i="106" s="1"/>
  <c r="DO36" i="106"/>
  <c r="DN36" i="106"/>
  <c r="DN16" i="106"/>
  <c r="DN17" i="106"/>
  <c r="DN15" i="106"/>
  <c r="DO15" i="106" s="1"/>
  <c r="AX5" i="83"/>
  <c r="AX6" i="83"/>
  <c r="D45" i="72"/>
  <c r="D47" i="72" s="1"/>
  <c r="L14" i="107"/>
  <c r="J13" i="63" l="1"/>
  <c r="AV48" i="5"/>
  <c r="BZ32" i="5"/>
  <c r="L31" i="23"/>
  <c r="L6" i="83" s="1"/>
  <c r="X29" i="23"/>
  <c r="X4" i="83" s="1"/>
  <c r="I18" i="63"/>
  <c r="AY34" i="5"/>
  <c r="BY32" i="5"/>
  <c r="U5" i="83"/>
  <c r="H18" i="63"/>
  <c r="H13" i="63"/>
  <c r="AT41" i="5"/>
  <c r="M5" i="83"/>
  <c r="AB31" i="23"/>
  <c r="AB6" i="83" s="1"/>
  <c r="O13" i="63"/>
  <c r="G13" i="63"/>
  <c r="K5" i="83"/>
  <c r="C31" i="23"/>
  <c r="C6" i="83" s="1"/>
  <c r="P29" i="23"/>
  <c r="P4" i="83" s="1"/>
  <c r="T8" i="23"/>
  <c r="T10" i="23" s="1"/>
  <c r="AW52" i="5"/>
  <c r="J30" i="105"/>
  <c r="J33" i="105" s="1"/>
  <c r="CD32" i="23"/>
  <c r="CD3" i="83"/>
  <c r="CD29" i="23"/>
  <c r="J36" i="105"/>
  <c r="J37" i="105" s="1"/>
  <c r="J17" i="105"/>
  <c r="CC37" i="23"/>
  <c r="CD24" i="23"/>
  <c r="CD37" i="23" s="1"/>
  <c r="G25" i="72"/>
  <c r="G29" i="72"/>
  <c r="G34" i="72"/>
  <c r="G27" i="72"/>
  <c r="G26" i="72"/>
  <c r="G31" i="72"/>
  <c r="G30" i="72"/>
  <c r="G35" i="72"/>
  <c r="G33" i="72"/>
  <c r="G24" i="72"/>
  <c r="G28" i="72"/>
  <c r="G32" i="72"/>
  <c r="G23" i="72"/>
  <c r="CC28" i="23"/>
  <c r="CC3" i="83" s="1"/>
  <c r="AX49" i="5"/>
  <c r="BX49" i="5" s="1"/>
  <c r="CB32" i="23"/>
  <c r="CC32" i="23"/>
  <c r="AU21" i="5"/>
  <c r="AU30" i="5"/>
  <c r="AU28" i="5"/>
  <c r="AU44" i="5"/>
  <c r="AU26" i="5"/>
  <c r="AU23" i="5"/>
  <c r="AU17" i="5"/>
  <c r="AU36" i="5"/>
  <c r="AU34" i="5"/>
  <c r="I19" i="70"/>
  <c r="H17" i="70"/>
  <c r="CB28" i="23"/>
  <c r="CA37" i="23"/>
  <c r="CB33" i="23"/>
  <c r="CB8" i="83" s="1"/>
  <c r="CB7" i="83"/>
  <c r="G19" i="70"/>
  <c r="CA32" i="23"/>
  <c r="CA7" i="83" s="1"/>
  <c r="CA28" i="23"/>
  <c r="G20" i="72"/>
  <c r="BZ32" i="23"/>
  <c r="BZ7" i="83" s="1"/>
  <c r="F19" i="70"/>
  <c r="F17" i="70"/>
  <c r="BZ28" i="23"/>
  <c r="BY37" i="23"/>
  <c r="BZ37" i="23"/>
  <c r="BY28" i="23"/>
  <c r="BY32" i="23"/>
  <c r="E19" i="70"/>
  <c r="E17" i="70"/>
  <c r="G19" i="72"/>
  <c r="G18" i="72"/>
  <c r="G7" i="72"/>
  <c r="G14" i="72"/>
  <c r="G8" i="72"/>
  <c r="G5" i="72"/>
  <c r="G11" i="72"/>
  <c r="G12" i="72"/>
  <c r="G9" i="72"/>
  <c r="G10" i="72"/>
  <c r="G15" i="72"/>
  <c r="G16" i="72"/>
  <c r="G13" i="72"/>
  <c r="G21" i="72"/>
  <c r="G22" i="72"/>
  <c r="G3" i="72"/>
  <c r="G6" i="72"/>
  <c r="G4" i="72"/>
  <c r="G17" i="72"/>
  <c r="G2" i="72"/>
  <c r="G2" i="86"/>
  <c r="F47" i="86"/>
  <c r="J47" i="86" s="1"/>
  <c r="D19" i="70"/>
  <c r="F46" i="33"/>
  <c r="B10" i="28"/>
  <c r="AX19" i="5"/>
  <c r="BX19" i="5" s="1"/>
  <c r="BW32" i="23"/>
  <c r="BW37" i="23"/>
  <c r="BX37" i="23"/>
  <c r="BX32" i="23"/>
  <c r="N23" i="70"/>
  <c r="O23" i="105"/>
  <c r="BW28" i="23"/>
  <c r="E31" i="106"/>
  <c r="I34" i="106"/>
  <c r="E34" i="106"/>
  <c r="M33" i="106"/>
  <c r="M30" i="106"/>
  <c r="I27" i="106"/>
  <c r="I46" i="106"/>
  <c r="R46" i="106" s="1"/>
  <c r="I45" i="106"/>
  <c r="R45" i="106" s="1"/>
  <c r="I44" i="106"/>
  <c r="R44" i="106" s="1"/>
  <c r="I33" i="106"/>
  <c r="E33" i="106"/>
  <c r="I30" i="106"/>
  <c r="E30" i="106"/>
  <c r="K9" i="101"/>
  <c r="K43" i="101"/>
  <c r="K41" i="101"/>
  <c r="K42" i="101"/>
  <c r="K44" i="101"/>
  <c r="K40" i="101"/>
  <c r="U9" i="101"/>
  <c r="U42" i="101"/>
  <c r="U40" i="101"/>
  <c r="U43" i="101"/>
  <c r="U44" i="101"/>
  <c r="U41" i="101"/>
  <c r="E6" i="101"/>
  <c r="E44" i="101"/>
  <c r="E41" i="101"/>
  <c r="E40" i="101"/>
  <c r="E42" i="101"/>
  <c r="E43" i="101"/>
  <c r="E36" i="101"/>
  <c r="AA11" i="101"/>
  <c r="AA43" i="101"/>
  <c r="AA44" i="101"/>
  <c r="AA40" i="101"/>
  <c r="AA41" i="101"/>
  <c r="AA42" i="101"/>
  <c r="S12" i="101"/>
  <c r="S43" i="101"/>
  <c r="S42" i="101"/>
  <c r="S44" i="101"/>
  <c r="S40" i="101"/>
  <c r="S41" i="101"/>
  <c r="M9" i="101"/>
  <c r="M42" i="101"/>
  <c r="M44" i="101"/>
  <c r="M43" i="101"/>
  <c r="M40" i="101"/>
  <c r="M41" i="101"/>
  <c r="W11" i="101"/>
  <c r="W41" i="101"/>
  <c r="W42" i="101"/>
  <c r="W43" i="101"/>
  <c r="W44" i="101"/>
  <c r="W40" i="101"/>
  <c r="O41" i="101"/>
  <c r="O40" i="101"/>
  <c r="O42" i="101"/>
  <c r="O43" i="101"/>
  <c r="O44" i="101"/>
  <c r="Y10" i="101"/>
  <c r="Y44" i="101"/>
  <c r="Y40" i="101"/>
  <c r="Y42" i="101"/>
  <c r="Y41" i="101"/>
  <c r="Y43" i="101"/>
  <c r="Q9" i="101"/>
  <c r="Q44" i="101"/>
  <c r="Q40" i="101"/>
  <c r="Q42" i="101"/>
  <c r="Q41" i="101"/>
  <c r="Q43" i="101"/>
  <c r="I9" i="101"/>
  <c r="I44" i="101"/>
  <c r="I40" i="101"/>
  <c r="I41" i="101"/>
  <c r="I42" i="101"/>
  <c r="I43" i="101"/>
  <c r="G9" i="101"/>
  <c r="G41" i="101"/>
  <c r="G43" i="101"/>
  <c r="G44" i="101"/>
  <c r="G42" i="101"/>
  <c r="G40" i="101"/>
  <c r="AX52" i="107"/>
  <c r="Y8" i="107"/>
  <c r="G47" i="106"/>
  <c r="I38" i="106"/>
  <c r="M46" i="106"/>
  <c r="M44" i="106"/>
  <c r="L47" i="106"/>
  <c r="Q30" i="106"/>
  <c r="N36" i="106"/>
  <c r="Q42" i="106"/>
  <c r="Q41" i="106"/>
  <c r="Q39" i="106"/>
  <c r="N47" i="106"/>
  <c r="M35" i="106"/>
  <c r="Q32" i="106"/>
  <c r="M29" i="106"/>
  <c r="J36" i="106"/>
  <c r="Q46" i="106"/>
  <c r="Q45" i="106"/>
  <c r="Q44" i="106"/>
  <c r="I42" i="106"/>
  <c r="R42" i="106" s="1"/>
  <c r="I41" i="106"/>
  <c r="R41" i="106" s="1"/>
  <c r="I40" i="106"/>
  <c r="R40" i="106" s="1"/>
  <c r="I39" i="106"/>
  <c r="P47" i="106"/>
  <c r="E35" i="106"/>
  <c r="Q34" i="106"/>
  <c r="M34" i="106"/>
  <c r="I31" i="106"/>
  <c r="I28" i="106"/>
  <c r="E28" i="106"/>
  <c r="Q27" i="106"/>
  <c r="M27" i="106"/>
  <c r="L36" i="106"/>
  <c r="H36" i="106"/>
  <c r="D36" i="106"/>
  <c r="D48" i="106" s="1"/>
  <c r="D49" i="106" s="1"/>
  <c r="E27" i="106"/>
  <c r="B36" i="106"/>
  <c r="B47" i="106"/>
  <c r="E47" i="106" s="1"/>
  <c r="E38" i="106"/>
  <c r="F36" i="106"/>
  <c r="F48" i="106" s="1"/>
  <c r="I26" i="106"/>
  <c r="C36" i="106"/>
  <c r="E26" i="106"/>
  <c r="M45" i="106"/>
  <c r="Q43" i="106"/>
  <c r="H47" i="106"/>
  <c r="Q33" i="106"/>
  <c r="M43" i="106"/>
  <c r="Q40" i="106"/>
  <c r="Q35" i="106"/>
  <c r="M32" i="106"/>
  <c r="Q29" i="106"/>
  <c r="I43" i="106"/>
  <c r="R43" i="106" s="1"/>
  <c r="M42" i="106"/>
  <c r="M41" i="106"/>
  <c r="M40" i="106"/>
  <c r="M39" i="106"/>
  <c r="J47" i="106"/>
  <c r="I35" i="106"/>
  <c r="I32" i="106"/>
  <c r="E32" i="106"/>
  <c r="Q31" i="106"/>
  <c r="M31" i="106"/>
  <c r="I29" i="106"/>
  <c r="E29" i="106"/>
  <c r="Q28" i="106"/>
  <c r="M28" i="106"/>
  <c r="P36" i="106"/>
  <c r="G36" i="106"/>
  <c r="AU25" i="5"/>
  <c r="AU38" i="5"/>
  <c r="AC26" i="1"/>
  <c r="AA15" i="107"/>
  <c r="AA16" i="107" s="1"/>
  <c r="AC5" i="83"/>
  <c r="U3" i="83"/>
  <c r="D3" i="83"/>
  <c r="M29" i="23"/>
  <c r="M4" i="83" s="1"/>
  <c r="X26" i="23"/>
  <c r="C26" i="23"/>
  <c r="L8" i="23"/>
  <c r="L10" i="23" s="1"/>
  <c r="AX43" i="107"/>
  <c r="Z26" i="23"/>
  <c r="J26" i="23"/>
  <c r="BV7" i="83"/>
  <c r="BV8" i="83"/>
  <c r="DI47" i="106"/>
  <c r="DI46" i="106"/>
  <c r="DJ44" i="106"/>
  <c r="DK44" i="106" s="1"/>
  <c r="DL44" i="106" s="1"/>
  <c r="DM44" i="106" s="1"/>
  <c r="DI43" i="106"/>
  <c r="DJ41" i="106"/>
  <c r="DK41" i="106" s="1"/>
  <c r="DL41" i="106" s="1"/>
  <c r="DI39" i="106"/>
  <c r="DI38" i="106"/>
  <c r="DI36" i="106"/>
  <c r="DI48" i="106" s="1"/>
  <c r="DI33" i="106"/>
  <c r="DJ31" i="106"/>
  <c r="DK31" i="106" s="1"/>
  <c r="DL31" i="106" s="1"/>
  <c r="DM31" i="106" s="1"/>
  <c r="DJ30" i="106"/>
  <c r="DJ28" i="106"/>
  <c r="DJ27" i="106"/>
  <c r="DK27" i="106" s="1"/>
  <c r="DL27" i="106" s="1"/>
  <c r="V8" i="23"/>
  <c r="V10" i="23" s="1"/>
  <c r="E8" i="23"/>
  <c r="E10" i="23" s="1"/>
  <c r="K13" i="107"/>
  <c r="K15" i="107" s="1"/>
  <c r="K16" i="107" s="1"/>
  <c r="AU21" i="107"/>
  <c r="AW52" i="107"/>
  <c r="N19" i="70"/>
  <c r="N17" i="70"/>
  <c r="BU8" i="83"/>
  <c r="AD30" i="1"/>
  <c r="G10" i="101"/>
  <c r="R12" i="33"/>
  <c r="BT4" i="83"/>
  <c r="Q8" i="106"/>
  <c r="AR22" i="107"/>
  <c r="O14" i="101"/>
  <c r="G6" i="101"/>
  <c r="E5" i="83"/>
  <c r="G17" i="101"/>
  <c r="O36" i="106"/>
  <c r="Q26" i="106"/>
  <c r="K36" i="106"/>
  <c r="M26" i="106"/>
  <c r="Q9" i="106"/>
  <c r="J13" i="107"/>
  <c r="AA5" i="83"/>
  <c r="W3" i="83"/>
  <c r="O32" i="23"/>
  <c r="AB26" i="23"/>
  <c r="R26" i="23"/>
  <c r="N8" i="23"/>
  <c r="N10" i="23" s="1"/>
  <c r="K47" i="106"/>
  <c r="M38" i="106"/>
  <c r="O47" i="106"/>
  <c r="Q38" i="106"/>
  <c r="Q11" i="106"/>
  <c r="E33" i="23"/>
  <c r="E8" i="83" s="1"/>
  <c r="S5" i="83"/>
  <c r="O3" i="83"/>
  <c r="AX14" i="107"/>
  <c r="M14" i="106"/>
  <c r="M9" i="106"/>
  <c r="S12" i="106"/>
  <c r="T12" i="106"/>
  <c r="M11" i="106"/>
  <c r="M8" i="106"/>
  <c r="V31" i="101"/>
  <c r="W31" i="101" s="1"/>
  <c r="E18" i="63"/>
  <c r="Q50" i="106"/>
  <c r="AT18" i="5"/>
  <c r="BT18" i="5" s="1"/>
  <c r="M21" i="106"/>
  <c r="M20" i="106"/>
  <c r="K21" i="107"/>
  <c r="Q21" i="106"/>
  <c r="Q20" i="106"/>
  <c r="Q19" i="106"/>
  <c r="AD34" i="1"/>
  <c r="L36" i="70"/>
  <c r="BT3" i="83"/>
  <c r="AD29" i="1"/>
  <c r="AD28" i="1"/>
  <c r="AC16" i="1"/>
  <c r="BS7" i="83"/>
  <c r="K19" i="70"/>
  <c r="BS3" i="83"/>
  <c r="BS4" i="83"/>
  <c r="Z22" i="101"/>
  <c r="AA22" i="101" s="1"/>
  <c r="DK28" i="106"/>
  <c r="DL28" i="106" s="1"/>
  <c r="CV48" i="106"/>
  <c r="DI26" i="106"/>
  <c r="AM15" i="107"/>
  <c r="AM16" i="107" s="1"/>
  <c r="BQ3" i="83"/>
  <c r="G11" i="101"/>
  <c r="AC10" i="1"/>
  <c r="G21" i="101"/>
  <c r="G12" i="101"/>
  <c r="G16" i="101"/>
  <c r="G13" i="101"/>
  <c r="AO15" i="5"/>
  <c r="G18" i="63"/>
  <c r="U10" i="101"/>
  <c r="AH13" i="107"/>
  <c r="G13" i="107"/>
  <c r="AY52" i="107"/>
  <c r="AT13" i="107"/>
  <c r="L93" i="107"/>
  <c r="AY93" i="107" s="1"/>
  <c r="AE13" i="107"/>
  <c r="AK52" i="107"/>
  <c r="AD15" i="107"/>
  <c r="AD16" i="107" s="1"/>
  <c r="AI13" i="107"/>
  <c r="AI15" i="107" s="1"/>
  <c r="AI16" i="107" s="1"/>
  <c r="J21" i="70"/>
  <c r="O35" i="105"/>
  <c r="J31" i="70"/>
  <c r="J32" i="70"/>
  <c r="J17" i="70"/>
  <c r="J30" i="70"/>
  <c r="G20" i="101"/>
  <c r="G19" i="101"/>
  <c r="L19" i="107"/>
  <c r="K12" i="28"/>
  <c r="K14" i="28" s="1"/>
  <c r="BO3" i="83"/>
  <c r="W9" i="101"/>
  <c r="H19" i="70"/>
  <c r="AD43" i="101"/>
  <c r="G17" i="70"/>
  <c r="Y9" i="101"/>
  <c r="AD38" i="1"/>
  <c r="O11" i="101"/>
  <c r="U14" i="101"/>
  <c r="AQ16" i="5"/>
  <c r="BQ16" i="5" s="1"/>
  <c r="AU15" i="5"/>
  <c r="N31" i="101"/>
  <c r="O31" i="101" s="1"/>
  <c r="AT22" i="5"/>
  <c r="BT22" i="5" s="1"/>
  <c r="E10" i="101"/>
  <c r="M11" i="101"/>
  <c r="AA13" i="101"/>
  <c r="M6" i="101"/>
  <c r="AC97" i="1"/>
  <c r="M12" i="101"/>
  <c r="M14" i="101"/>
  <c r="U6" i="101"/>
  <c r="V22" i="101"/>
  <c r="V24" i="101" s="1"/>
  <c r="W24" i="101" s="1"/>
  <c r="AO37" i="5"/>
  <c r="AT31" i="5"/>
  <c r="BT31" i="5" s="1"/>
  <c r="AP31" i="5"/>
  <c r="BP31" i="5" s="1"/>
  <c r="AW23" i="5"/>
  <c r="BW23" i="5" s="1"/>
  <c r="AO23" i="5"/>
  <c r="AS19" i="5"/>
  <c r="BS19" i="5" s="1"/>
  <c r="AO19" i="5"/>
  <c r="AD35" i="1"/>
  <c r="E20" i="101"/>
  <c r="E13" i="101"/>
  <c r="M10" i="101"/>
  <c r="U12" i="101"/>
  <c r="E11" i="101"/>
  <c r="AA14" i="101"/>
  <c r="AA12" i="101"/>
  <c r="M13" i="101"/>
  <c r="U13" i="101"/>
  <c r="E18" i="101"/>
  <c r="W5" i="83"/>
  <c r="O5" i="83"/>
  <c r="AA3" i="83"/>
  <c r="S3" i="83"/>
  <c r="K3" i="83"/>
  <c r="E3" i="83"/>
  <c r="F31" i="23"/>
  <c r="F6" i="83" s="1"/>
  <c r="F29" i="23"/>
  <c r="F4" i="83" s="1"/>
  <c r="F7" i="83"/>
  <c r="H32" i="23"/>
  <c r="Z31" i="23"/>
  <c r="Z6" i="83" s="1"/>
  <c r="V31" i="23"/>
  <c r="V6" i="83" s="1"/>
  <c r="R31" i="23"/>
  <c r="R6" i="83" s="1"/>
  <c r="N31" i="23"/>
  <c r="N6" i="83" s="1"/>
  <c r="J31" i="23"/>
  <c r="J6" i="83" s="1"/>
  <c r="Z29" i="23"/>
  <c r="Z4" i="83" s="1"/>
  <c r="V29" i="23"/>
  <c r="V4" i="83" s="1"/>
  <c r="R29" i="23"/>
  <c r="R4" i="83" s="1"/>
  <c r="N29" i="23"/>
  <c r="N4" i="83" s="1"/>
  <c r="J29" i="23"/>
  <c r="J4" i="83" s="1"/>
  <c r="AD41" i="101"/>
  <c r="AD42" i="101"/>
  <c r="AD40" i="101"/>
  <c r="CY23" i="106"/>
  <c r="CZ23" i="106" s="1"/>
  <c r="DI30" i="106"/>
  <c r="DJ35" i="106"/>
  <c r="DI34" i="106"/>
  <c r="DI32" i="106"/>
  <c r="DJ29" i="106"/>
  <c r="BN7" i="83"/>
  <c r="W13" i="107"/>
  <c r="W15" i="107" s="1"/>
  <c r="W16" i="107" s="1"/>
  <c r="R38" i="10"/>
  <c r="J36" i="101"/>
  <c r="Z31" i="101"/>
  <c r="AA31" i="101" s="1"/>
  <c r="AB17" i="101"/>
  <c r="O11" i="70"/>
  <c r="AB21" i="101"/>
  <c r="AB20" i="101"/>
  <c r="X30" i="107"/>
  <c r="Q17" i="101"/>
  <c r="Q21" i="101"/>
  <c r="Y14" i="101"/>
  <c r="K14" i="101"/>
  <c r="Q19" i="101"/>
  <c r="U35" i="107"/>
  <c r="L30" i="107"/>
  <c r="N8" i="63"/>
  <c r="N9" i="63" s="1"/>
  <c r="O8" i="63"/>
  <c r="O9" i="63" s="1"/>
  <c r="I44" i="86"/>
  <c r="I15" i="107"/>
  <c r="J31" i="101"/>
  <c r="K31" i="101" s="1"/>
  <c r="N22" i="101"/>
  <c r="O22" i="101" s="1"/>
  <c r="AO47" i="5"/>
  <c r="W94" i="107"/>
  <c r="AX8" i="107"/>
  <c r="AX9" i="107"/>
  <c r="I14" i="101"/>
  <c r="S6" i="101"/>
  <c r="AG35" i="107"/>
  <c r="AB19" i="101"/>
  <c r="R31" i="101"/>
  <c r="S31" i="101" s="1"/>
  <c r="AJ39" i="107"/>
  <c r="AQ35" i="5"/>
  <c r="BQ35" i="5" s="1"/>
  <c r="AQ25" i="5"/>
  <c r="BQ25" i="5" s="1"/>
  <c r="AQ23" i="5"/>
  <c r="BQ23" i="5" s="1"/>
  <c r="AU16" i="5"/>
  <c r="AQ15" i="5"/>
  <c r="BQ15" i="5" s="1"/>
  <c r="O35" i="107"/>
  <c r="AJ32" i="107"/>
  <c r="Q13" i="101"/>
  <c r="AO52" i="5"/>
  <c r="AU19" i="5"/>
  <c r="AV31" i="5"/>
  <c r="BV31" i="5" s="1"/>
  <c r="AX16" i="5"/>
  <c r="BX16" i="5" s="1"/>
  <c r="AV49" i="5"/>
  <c r="BV49" i="5" s="1"/>
  <c r="BZ27" i="5"/>
  <c r="AB30" i="101"/>
  <c r="U16" i="101"/>
  <c r="AT46" i="5"/>
  <c r="BT46" i="5" s="1"/>
  <c r="AW43" i="5"/>
  <c r="BW43" i="5" s="1"/>
  <c r="AU37" i="5"/>
  <c r="J18" i="63"/>
  <c r="K13" i="63"/>
  <c r="AW33" i="5"/>
  <c r="BW33" i="5" s="1"/>
  <c r="AW48" i="5"/>
  <c r="BW48" i="5" s="1"/>
  <c r="AW47" i="5"/>
  <c r="BW47" i="5" s="1"/>
  <c r="AP46" i="5"/>
  <c r="BP46" i="5" s="1"/>
  <c r="AQ41" i="5"/>
  <c r="BQ41" i="5" s="1"/>
  <c r="AD31" i="1"/>
  <c r="AO45" i="5"/>
  <c r="AO39" i="5"/>
  <c r="BO51" i="5"/>
  <c r="AO42" i="5"/>
  <c r="AO40" i="5"/>
  <c r="BO31" i="5"/>
  <c r="AY44" i="5"/>
  <c r="BY44" i="5" s="1"/>
  <c r="H15" i="107"/>
  <c r="H16" i="107" s="1"/>
  <c r="AX12" i="107"/>
  <c r="C17" i="70"/>
  <c r="T31" i="101"/>
  <c r="U31" i="101" s="1"/>
  <c r="L31" i="101"/>
  <c r="M31" i="101" s="1"/>
  <c r="P31" i="101"/>
  <c r="Q31" i="101" s="1"/>
  <c r="H31" i="101"/>
  <c r="I31" i="101" s="1"/>
  <c r="AV29" i="107"/>
  <c r="L40" i="107"/>
  <c r="H13" i="25"/>
  <c r="BK7" i="83"/>
  <c r="BK8" i="83"/>
  <c r="N35" i="70"/>
  <c r="O8" i="7"/>
  <c r="C32" i="70"/>
  <c r="J48" i="70"/>
  <c r="E48" i="70"/>
  <c r="I48" i="70"/>
  <c r="N48" i="70"/>
  <c r="H48" i="70"/>
  <c r="L48" i="70"/>
  <c r="O48" i="70"/>
  <c r="G48" i="70"/>
  <c r="K48" i="70"/>
  <c r="N16" i="70"/>
  <c r="O16" i="105"/>
  <c r="C46" i="107"/>
  <c r="AX52" i="5"/>
  <c r="BX52" i="5" s="1"/>
  <c r="AO41" i="5"/>
  <c r="AT36" i="5"/>
  <c r="BT36" i="5" s="1"/>
  <c r="AY35" i="5"/>
  <c r="BY35" i="5" s="1"/>
  <c r="AU35" i="5"/>
  <c r="AP29" i="5"/>
  <c r="BP29" i="5" s="1"/>
  <c r="AY28" i="5"/>
  <c r="BY28" i="5" s="1"/>
  <c r="AO25" i="5"/>
  <c r="AS21" i="5"/>
  <c r="BS21" i="5" s="1"/>
  <c r="AY19" i="5"/>
  <c r="BY19" i="5" s="1"/>
  <c r="AS17" i="5"/>
  <c r="BS17" i="5" s="1"/>
  <c r="AS16" i="5"/>
  <c r="BS16" i="5" s="1"/>
  <c r="L28" i="107"/>
  <c r="AC19" i="1"/>
  <c r="J8" i="63"/>
  <c r="J9" i="63" s="1"/>
  <c r="AX37" i="5"/>
  <c r="BX37" i="5" s="1"/>
  <c r="AO24" i="5"/>
  <c r="AQ22" i="5"/>
  <c r="BQ22" i="5" s="1"/>
  <c r="BB53" i="5"/>
  <c r="AC142" i="1"/>
  <c r="AO44" i="5"/>
  <c r="AT43" i="5"/>
  <c r="BT43" i="5" s="1"/>
  <c r="AW34" i="5"/>
  <c r="BW34" i="5" s="1"/>
  <c r="AS26" i="5"/>
  <c r="BS26" i="5" s="1"/>
  <c r="AS24" i="5"/>
  <c r="BS24" i="5" s="1"/>
  <c r="AX15" i="5"/>
  <c r="BX15" i="5" s="1"/>
  <c r="AR52" i="5"/>
  <c r="BR52" i="5" s="1"/>
  <c r="AO50" i="5"/>
  <c r="AR49" i="5"/>
  <c r="BR49" i="5" s="1"/>
  <c r="AS48" i="5"/>
  <c r="BS48" i="5" s="1"/>
  <c r="AO48" i="5"/>
  <c r="AY47" i="5"/>
  <c r="BY47" i="5" s="1"/>
  <c r="AU47" i="5"/>
  <c r="AV44" i="5"/>
  <c r="BV44" i="5" s="1"/>
  <c r="AU43" i="5"/>
  <c r="AS43" i="5"/>
  <c r="BS43" i="5" s="1"/>
  <c r="AO43" i="5"/>
  <c r="AU41" i="5"/>
  <c r="AW37" i="5"/>
  <c r="BW37" i="5" s="1"/>
  <c r="AS37" i="5"/>
  <c r="BS37" i="5" s="1"/>
  <c r="AP36" i="5"/>
  <c r="BP36" i="5" s="1"/>
  <c r="AW35" i="5"/>
  <c r="BW35" i="5" s="1"/>
  <c r="AS35" i="5"/>
  <c r="BS35" i="5" s="1"/>
  <c r="AO35" i="5"/>
  <c r="AZ31" i="5"/>
  <c r="BZ31" i="5" s="1"/>
  <c r="AR31" i="5"/>
  <c r="BR31" i="5" s="1"/>
  <c r="AQ30" i="5"/>
  <c r="BQ30" i="5" s="1"/>
  <c r="AZ29" i="5"/>
  <c r="BZ29" i="5" s="1"/>
  <c r="AT29" i="5"/>
  <c r="BT29" i="5" s="1"/>
  <c r="AQ28" i="5"/>
  <c r="BQ28" i="5" s="1"/>
  <c r="AS25" i="5"/>
  <c r="BS25" i="5" s="1"/>
  <c r="AY23" i="5"/>
  <c r="BY23" i="5" s="1"/>
  <c r="AS23" i="5"/>
  <c r="BS23" i="5" s="1"/>
  <c r="AX22" i="5"/>
  <c r="BX22" i="5" s="1"/>
  <c r="AP22" i="5"/>
  <c r="BP22" i="5" s="1"/>
  <c r="AW21" i="5"/>
  <c r="BW21" i="5" s="1"/>
  <c r="AO21" i="5"/>
  <c r="AW19" i="5"/>
  <c r="BW19" i="5" s="1"/>
  <c r="AQ19" i="5"/>
  <c r="BQ19" i="5" s="1"/>
  <c r="AV18" i="5"/>
  <c r="BV18" i="5" s="1"/>
  <c r="AW17" i="5"/>
  <c r="BW17" i="5" s="1"/>
  <c r="AQ17" i="5"/>
  <c r="BQ17" i="5" s="1"/>
  <c r="AO17" i="5"/>
  <c r="AW16" i="5"/>
  <c r="BW16" i="5" s="1"/>
  <c r="AO16" i="5"/>
  <c r="O53" i="5"/>
  <c r="AW15" i="5"/>
  <c r="BW15" i="5" s="1"/>
  <c r="AS15" i="5"/>
  <c r="BS15" i="5" s="1"/>
  <c r="B53" i="5"/>
  <c r="AC125" i="1"/>
  <c r="B12" i="28"/>
  <c r="B14" i="28" s="1"/>
  <c r="AO49" i="5"/>
  <c r="AO36" i="5"/>
  <c r="AO20" i="5"/>
  <c r="AB18" i="101"/>
  <c r="AZ50" i="5"/>
  <c r="BZ50" i="5" s="1"/>
  <c r="AV50" i="5"/>
  <c r="BV50" i="5" s="1"/>
  <c r="AR50" i="5"/>
  <c r="BR50" i="5" s="1"/>
  <c r="AQ46" i="5"/>
  <c r="BQ46" i="5" s="1"/>
  <c r="AQ38" i="5"/>
  <c r="BQ38" i="5" s="1"/>
  <c r="AR37" i="5"/>
  <c r="BR37" i="5" s="1"/>
  <c r="AS36" i="5"/>
  <c r="BS36" i="5" s="1"/>
  <c r="AQ34" i="5"/>
  <c r="BQ34" i="5" s="1"/>
  <c r="AU31" i="5"/>
  <c r="AZ30" i="5"/>
  <c r="BZ30" i="5" s="1"/>
  <c r="AY26" i="5"/>
  <c r="BY26" i="5" s="1"/>
  <c r="AT23" i="5"/>
  <c r="BT23" i="5" s="1"/>
  <c r="AV17" i="5"/>
  <c r="BV17" i="5" s="1"/>
  <c r="AZ16" i="5"/>
  <c r="BZ16" i="5" s="1"/>
  <c r="AZ15" i="5"/>
  <c r="BZ15" i="5" s="1"/>
  <c r="F31" i="101"/>
  <c r="G31" i="101" s="1"/>
  <c r="H8" i="63"/>
  <c r="H9" i="63" s="1"/>
  <c r="AT52" i="5"/>
  <c r="BT52" i="5" s="1"/>
  <c r="AP52" i="5"/>
  <c r="BP52" i="5" s="1"/>
  <c r="AT49" i="5"/>
  <c r="BT49" i="5" s="1"/>
  <c r="AU48" i="5"/>
  <c r="AQ48" i="5"/>
  <c r="BQ48" i="5" s="1"/>
  <c r="AQ47" i="5"/>
  <c r="BQ47" i="5" s="1"/>
  <c r="P53" i="5"/>
  <c r="AX44" i="5"/>
  <c r="BX44" i="5" s="1"/>
  <c r="AT44" i="5"/>
  <c r="BT44" i="5" s="1"/>
  <c r="AP44" i="5"/>
  <c r="BP44" i="5" s="1"/>
  <c r="AY43" i="5"/>
  <c r="BY43" i="5" s="1"/>
  <c r="AQ43" i="5"/>
  <c r="BQ43" i="5" s="1"/>
  <c r="AW41" i="5"/>
  <c r="BW41" i="5" s="1"/>
  <c r="AE53" i="5"/>
  <c r="Z53" i="5"/>
  <c r="K53" i="5"/>
  <c r="J53" i="5"/>
  <c r="AZ52" i="5"/>
  <c r="BZ52" i="5" s="1"/>
  <c r="Q41" i="8"/>
  <c r="AP47" i="5"/>
  <c r="BP47" i="5" s="1"/>
  <c r="AW44" i="5"/>
  <c r="BW44" i="5" s="1"/>
  <c r="AP43" i="5"/>
  <c r="BP43" i="5" s="1"/>
  <c r="AZ37" i="5"/>
  <c r="BZ37" i="5" s="1"/>
  <c r="AW36" i="5"/>
  <c r="BW36" i="5" s="1"/>
  <c r="AZ33" i="5"/>
  <c r="BZ33" i="5" s="1"/>
  <c r="AV33" i="5"/>
  <c r="BV33" i="5" s="1"/>
  <c r="AR33" i="5"/>
  <c r="BR33" i="5" s="1"/>
  <c r="AY31" i="5"/>
  <c r="BY31" i="5" s="1"/>
  <c r="AV30" i="5"/>
  <c r="BV30" i="5" s="1"/>
  <c r="AR30" i="5"/>
  <c r="BR30" i="5" s="1"/>
  <c r="AS29" i="5"/>
  <c r="BS29" i="5" s="1"/>
  <c r="AT28" i="5"/>
  <c r="BT28" i="5" s="1"/>
  <c r="AP28" i="5"/>
  <c r="BP28" i="5" s="1"/>
  <c r="AW24" i="5"/>
  <c r="BW24" i="5" s="1"/>
  <c r="AP23" i="5"/>
  <c r="BP23" i="5" s="1"/>
  <c r="AU22" i="5"/>
  <c r="AW20" i="5"/>
  <c r="BW20" i="5" s="1"/>
  <c r="AS20" i="5"/>
  <c r="BS20" i="5" s="1"/>
  <c r="AT19" i="5"/>
  <c r="BT19" i="5" s="1"/>
  <c r="AP19" i="5"/>
  <c r="BP19" i="5" s="1"/>
  <c r="Y53" i="5"/>
  <c r="U53" i="5"/>
  <c r="AA23" i="5" s="1"/>
  <c r="AQ18" i="5"/>
  <c r="BQ18" i="5" s="1"/>
  <c r="AZ17" i="5"/>
  <c r="BZ17" i="5" s="1"/>
  <c r="AR17" i="5"/>
  <c r="BR17" i="5" s="1"/>
  <c r="AR16" i="5"/>
  <c r="BR16" i="5" s="1"/>
  <c r="V53" i="5"/>
  <c r="R53" i="5"/>
  <c r="Q38" i="10"/>
  <c r="BW38" i="5"/>
  <c r="H53" i="5"/>
  <c r="N15" i="5" s="1"/>
  <c r="F53" i="5"/>
  <c r="AG53" i="5"/>
  <c r="AC53" i="5"/>
  <c r="AR15" i="5"/>
  <c r="BR15" i="5" s="1"/>
  <c r="T53" i="5"/>
  <c r="AS34" i="5"/>
  <c r="BS34" i="5" s="1"/>
  <c r="AO34" i="5"/>
  <c r="AP33" i="5"/>
  <c r="BP33" i="5" s="1"/>
  <c r="AW26" i="5"/>
  <c r="BW26" i="5" s="1"/>
  <c r="AO26" i="5"/>
  <c r="AT15" i="5"/>
  <c r="BT15" i="5" s="1"/>
  <c r="AW46" i="5"/>
  <c r="BW46" i="5" s="1"/>
  <c r="AO38" i="5"/>
  <c r="AY29" i="5"/>
  <c r="BY29" i="5" s="1"/>
  <c r="AR28" i="5"/>
  <c r="BR28" i="5" s="1"/>
  <c r="AY24" i="5"/>
  <c r="BY24" i="5" s="1"/>
  <c r="AY20" i="5"/>
  <c r="BY20" i="5" s="1"/>
  <c r="AV47" i="5"/>
  <c r="BV47" i="5" s="1"/>
  <c r="AS46" i="5"/>
  <c r="BS46" i="5" s="1"/>
  <c r="AZ43" i="5"/>
  <c r="BZ43" i="5" s="1"/>
  <c r="AS38" i="5"/>
  <c r="BS38" i="5" s="1"/>
  <c r="AP37" i="5"/>
  <c r="BP37" i="5" s="1"/>
  <c r="AY36" i="5"/>
  <c r="BY36" i="5" s="1"/>
  <c r="AT33" i="5"/>
  <c r="BT33" i="5" s="1"/>
  <c r="AP30" i="5"/>
  <c r="BP30" i="5" s="1"/>
  <c r="AU29" i="5"/>
  <c r="AZ28" i="5"/>
  <c r="BZ28" i="5" s="1"/>
  <c r="AQ24" i="5"/>
  <c r="BQ24" i="5" s="1"/>
  <c r="AR23" i="5"/>
  <c r="BR23" i="5" s="1"/>
  <c r="AW22" i="5"/>
  <c r="BW22" i="5" s="1"/>
  <c r="AO22" i="5"/>
  <c r="AQ20" i="5"/>
  <c r="BQ20" i="5" s="1"/>
  <c r="AP16" i="5"/>
  <c r="BP16" i="5" s="1"/>
  <c r="AP15" i="5"/>
  <c r="BP15" i="5" s="1"/>
  <c r="AS49" i="5"/>
  <c r="BS49" i="5" s="1"/>
  <c r="AT48" i="5"/>
  <c r="BT48" i="5" s="1"/>
  <c r="AP48" i="5"/>
  <c r="BP48" i="5" s="1"/>
  <c r="AY46" i="5"/>
  <c r="BY46" i="5" s="1"/>
  <c r="AS44" i="5"/>
  <c r="BS44" i="5" s="1"/>
  <c r="AT50" i="5"/>
  <c r="BT50" i="5" s="1"/>
  <c r="AZ47" i="5"/>
  <c r="BZ47" i="5" s="1"/>
  <c r="AO46" i="5"/>
  <c r="AR43" i="5"/>
  <c r="BR43" i="5" s="1"/>
  <c r="AP41" i="5"/>
  <c r="BP41" i="5" s="1"/>
  <c r="AT37" i="5"/>
  <c r="BT37" i="5" s="1"/>
  <c r="AQ36" i="5"/>
  <c r="BQ36" i="5" s="1"/>
  <c r="AQ29" i="5"/>
  <c r="BQ29" i="5" s="1"/>
  <c r="AV28" i="5"/>
  <c r="BV28" i="5" s="1"/>
  <c r="AU24" i="5"/>
  <c r="AS22" i="5"/>
  <c r="BS22" i="5" s="1"/>
  <c r="AO18" i="5"/>
  <c r="C53" i="5"/>
  <c r="AS18" i="5"/>
  <c r="BS18" i="5" s="1"/>
  <c r="AU20" i="5"/>
  <c r="D53" i="5"/>
  <c r="G53" i="5"/>
  <c r="AM46" i="107"/>
  <c r="AV41" i="107"/>
  <c r="L32" i="107"/>
  <c r="O13" i="101"/>
  <c r="W10" i="101"/>
  <c r="K12" i="101"/>
  <c r="O6" i="101"/>
  <c r="AA6" i="101"/>
  <c r="I10" i="101"/>
  <c r="Q10" i="101"/>
  <c r="Y13" i="101"/>
  <c r="Y6" i="101"/>
  <c r="AC28" i="1"/>
  <c r="Q12" i="101"/>
  <c r="Q14" i="101"/>
  <c r="Y11" i="101"/>
  <c r="I6" i="101"/>
  <c r="Q6" i="101"/>
  <c r="Y12" i="101"/>
  <c r="AB28" i="101"/>
  <c r="L8" i="63"/>
  <c r="L9" i="63" s="1"/>
  <c r="E8" i="63"/>
  <c r="E9" i="63" s="1"/>
  <c r="D31" i="101"/>
  <c r="E31" i="101" s="1"/>
  <c r="O9" i="70"/>
  <c r="K8" i="63"/>
  <c r="AJ44" i="107"/>
  <c r="O10" i="101"/>
  <c r="AC90" i="1"/>
  <c r="AC88" i="1"/>
  <c r="AC86" i="1"/>
  <c r="AC83" i="1"/>
  <c r="AC81" i="1"/>
  <c r="AC79" i="1"/>
  <c r="AC77" i="1"/>
  <c r="AH77" i="1"/>
  <c r="AC75" i="1"/>
  <c r="AC73" i="1"/>
  <c r="AH73" i="1"/>
  <c r="AC71" i="1"/>
  <c r="AC69" i="1"/>
  <c r="AC67" i="1"/>
  <c r="AC65" i="1"/>
  <c r="AC63" i="1"/>
  <c r="AC61" i="1"/>
  <c r="AH61" i="1"/>
  <c r="AC59" i="1"/>
  <c r="AC57" i="1"/>
  <c r="AH57" i="1"/>
  <c r="AC55" i="1"/>
  <c r="AC53" i="1"/>
  <c r="AC51" i="1"/>
  <c r="AC49" i="1"/>
  <c r="AC47" i="1"/>
  <c r="AC45" i="1"/>
  <c r="AC43" i="1"/>
  <c r="AH43" i="1"/>
  <c r="AC41" i="1"/>
  <c r="AC39" i="1"/>
  <c r="AC35" i="1"/>
  <c r="AC31" i="1"/>
  <c r="AC27" i="1"/>
  <c r="AC25" i="1"/>
  <c r="AC8" i="1"/>
  <c r="AC132" i="1"/>
  <c r="AC112" i="1"/>
  <c r="AC102" i="1"/>
  <c r="AH32" i="1"/>
  <c r="AH44" i="1"/>
  <c r="AH219" i="1"/>
  <c r="AH205" i="1"/>
  <c r="AH148" i="1"/>
  <c r="O18" i="63"/>
  <c r="D13" i="63"/>
  <c r="D8" i="63"/>
  <c r="D9" i="63" s="1"/>
  <c r="D18" i="63"/>
  <c r="P226" i="59"/>
  <c r="AG226" i="1" s="1"/>
  <c r="AH226" i="1" s="1"/>
  <c r="P181" i="59"/>
  <c r="AG181" i="1" s="1"/>
  <c r="AH181" i="1" s="1"/>
  <c r="P164" i="59"/>
  <c r="AG164" i="1" s="1"/>
  <c r="AH164" i="1" s="1"/>
  <c r="P145" i="59"/>
  <c r="AG145" i="1" s="1"/>
  <c r="AH145" i="1" s="1"/>
  <c r="X25" i="107"/>
  <c r="AV28" i="107"/>
  <c r="AV31" i="107"/>
  <c r="X44" i="107"/>
  <c r="AJ40" i="107"/>
  <c r="X33" i="107"/>
  <c r="AJ34" i="107"/>
  <c r="P163" i="59"/>
  <c r="AG163" i="1" s="1"/>
  <c r="AH163" i="1" s="1"/>
  <c r="P98" i="59"/>
  <c r="AG98" i="1" s="1"/>
  <c r="AH98" i="1" s="1"/>
  <c r="P81" i="59"/>
  <c r="AG81" i="1" s="1"/>
  <c r="AH81" i="1" s="1"/>
  <c r="P69" i="59"/>
  <c r="AG69" i="1" s="1"/>
  <c r="AH69" i="1" s="1"/>
  <c r="P65" i="59"/>
  <c r="AG65" i="1" s="1"/>
  <c r="AH65" i="1" s="1"/>
  <c r="P53" i="59"/>
  <c r="AG53" i="1" s="1"/>
  <c r="AH53" i="1" s="1"/>
  <c r="P48" i="59"/>
  <c r="AG48" i="1" s="1"/>
  <c r="AH48" i="1" s="1"/>
  <c r="F8" i="63"/>
  <c r="F9" i="63" s="1"/>
  <c r="P17" i="59"/>
  <c r="U46" i="107"/>
  <c r="AJ29" i="107"/>
  <c r="L29" i="107"/>
  <c r="L25" i="107"/>
  <c r="P231" i="59"/>
  <c r="AG231" i="1" s="1"/>
  <c r="AH231" i="1" s="1"/>
  <c r="P217" i="59"/>
  <c r="AG217" i="1" s="1"/>
  <c r="AH217" i="1" s="1"/>
  <c r="P193" i="59"/>
  <c r="AG193" i="1" s="1"/>
  <c r="AH193" i="1" s="1"/>
  <c r="P189" i="59"/>
  <c r="AG189" i="1" s="1"/>
  <c r="AH189" i="1" s="1"/>
  <c r="P185" i="59"/>
  <c r="AG185" i="1" s="1"/>
  <c r="AH185" i="1" s="1"/>
  <c r="P177" i="59"/>
  <c r="AG177" i="1" s="1"/>
  <c r="AH177" i="1" s="1"/>
  <c r="P168" i="59"/>
  <c r="AG168" i="1" s="1"/>
  <c r="AH168" i="1" s="1"/>
  <c r="P161" i="59"/>
  <c r="AG161" i="1" s="1"/>
  <c r="AH161" i="1" s="1"/>
  <c r="P160" i="59"/>
  <c r="AG160" i="1" s="1"/>
  <c r="AH160" i="1" s="1"/>
  <c r="P156" i="59"/>
  <c r="AG156" i="1" s="1"/>
  <c r="AH156" i="1" s="1"/>
  <c r="P155" i="59"/>
  <c r="AG155" i="1" s="1"/>
  <c r="AH155" i="1" s="1"/>
  <c r="P153" i="59"/>
  <c r="AG153" i="1" s="1"/>
  <c r="AH153" i="1" s="1"/>
  <c r="P152" i="59"/>
  <c r="AG152" i="1" s="1"/>
  <c r="AH152" i="1" s="1"/>
  <c r="P147" i="59"/>
  <c r="AG147" i="1" s="1"/>
  <c r="AH147" i="1" s="1"/>
  <c r="P144" i="59"/>
  <c r="AG144" i="1" s="1"/>
  <c r="AH144" i="1" s="1"/>
  <c r="P140" i="59"/>
  <c r="AG140" i="1" s="1"/>
  <c r="AH140" i="1" s="1"/>
  <c r="P139" i="59"/>
  <c r="AG139" i="1" s="1"/>
  <c r="AH139" i="1" s="1"/>
  <c r="P137" i="59"/>
  <c r="AG137" i="1" s="1"/>
  <c r="AH137" i="1" s="1"/>
  <c r="P136" i="59"/>
  <c r="AG136" i="1" s="1"/>
  <c r="AH136" i="1" s="1"/>
  <c r="M13" i="63"/>
  <c r="I13" i="63"/>
  <c r="E13" i="63"/>
  <c r="P123" i="59"/>
  <c r="AG123" i="1" s="1"/>
  <c r="AH123" i="1" s="1"/>
  <c r="P110" i="59"/>
  <c r="AG110" i="1" s="1"/>
  <c r="AH110" i="1" s="1"/>
  <c r="P109" i="59"/>
  <c r="AG109" i="1" s="1"/>
  <c r="AH109" i="1" s="1"/>
  <c r="P84" i="59"/>
  <c r="AG84" i="1" s="1"/>
  <c r="AH84" i="1" s="1"/>
  <c r="P83" i="59"/>
  <c r="AG83" i="1" s="1"/>
  <c r="AH83" i="1" s="1"/>
  <c r="P82" i="59"/>
  <c r="AG82" i="1" s="1"/>
  <c r="AH82" i="1" s="1"/>
  <c r="P80" i="59"/>
  <c r="AG80" i="1" s="1"/>
  <c r="AH80" i="1" s="1"/>
  <c r="P79" i="59"/>
  <c r="AG79" i="1" s="1"/>
  <c r="AH79" i="1" s="1"/>
  <c r="P78" i="59"/>
  <c r="AG78" i="1" s="1"/>
  <c r="AH78" i="1" s="1"/>
  <c r="P76" i="59"/>
  <c r="AG76" i="1" s="1"/>
  <c r="AH76" i="1" s="1"/>
  <c r="P75" i="59"/>
  <c r="AG75" i="1" s="1"/>
  <c r="AH75" i="1" s="1"/>
  <c r="P74" i="59"/>
  <c r="AG74" i="1" s="1"/>
  <c r="AH74" i="1" s="1"/>
  <c r="P72" i="59"/>
  <c r="AG72" i="1" s="1"/>
  <c r="AH72" i="1" s="1"/>
  <c r="P71" i="59"/>
  <c r="AG71" i="1" s="1"/>
  <c r="AH71" i="1" s="1"/>
  <c r="P70" i="59"/>
  <c r="AG70" i="1" s="1"/>
  <c r="AH70" i="1" s="1"/>
  <c r="P68" i="59"/>
  <c r="AG68" i="1" s="1"/>
  <c r="AH68" i="1" s="1"/>
  <c r="P67" i="59"/>
  <c r="AG67" i="1" s="1"/>
  <c r="AH67" i="1" s="1"/>
  <c r="P66" i="59"/>
  <c r="AG66" i="1" s="1"/>
  <c r="AH66" i="1" s="1"/>
  <c r="P64" i="59"/>
  <c r="AG64" i="1" s="1"/>
  <c r="AH64" i="1" s="1"/>
  <c r="P63" i="59"/>
  <c r="AG63" i="1" s="1"/>
  <c r="AH63" i="1" s="1"/>
  <c r="P62" i="59"/>
  <c r="AG62" i="1" s="1"/>
  <c r="AH62" i="1" s="1"/>
  <c r="P60" i="59"/>
  <c r="AG60" i="1" s="1"/>
  <c r="AH60" i="1" s="1"/>
  <c r="P59" i="59"/>
  <c r="AG59" i="1" s="1"/>
  <c r="AH59" i="1" s="1"/>
  <c r="P58" i="59"/>
  <c r="AG58" i="1" s="1"/>
  <c r="AH58" i="1" s="1"/>
  <c r="P56" i="59"/>
  <c r="AG56" i="1" s="1"/>
  <c r="AH56" i="1" s="1"/>
  <c r="P55" i="59"/>
  <c r="AG55" i="1" s="1"/>
  <c r="AH55" i="1" s="1"/>
  <c r="P54" i="59"/>
  <c r="AG54" i="1" s="1"/>
  <c r="AH54" i="1" s="1"/>
  <c r="P52" i="59"/>
  <c r="AG52" i="1" s="1"/>
  <c r="AH52" i="1" s="1"/>
  <c r="P51" i="59"/>
  <c r="AG51" i="1" s="1"/>
  <c r="AH51" i="1" s="1"/>
  <c r="P49" i="59"/>
  <c r="AG49" i="1" s="1"/>
  <c r="AH49" i="1" s="1"/>
  <c r="P47" i="59"/>
  <c r="AG47" i="1" s="1"/>
  <c r="AH47" i="1" s="1"/>
  <c r="P46" i="59"/>
  <c r="AG46" i="1" s="1"/>
  <c r="AH46" i="1" s="1"/>
  <c r="P45" i="59"/>
  <c r="AG45" i="1" s="1"/>
  <c r="AH45" i="1" s="1"/>
  <c r="P42" i="59"/>
  <c r="AG42" i="1" s="1"/>
  <c r="AH42" i="1" s="1"/>
  <c r="P41" i="59"/>
  <c r="AG41" i="1" s="1"/>
  <c r="AH41" i="1" s="1"/>
  <c r="P40" i="59"/>
  <c r="AG40" i="1" s="1"/>
  <c r="AH40" i="1" s="1"/>
  <c r="P36" i="59"/>
  <c r="AG36" i="1" s="1"/>
  <c r="AH36" i="1" s="1"/>
  <c r="P28" i="59"/>
  <c r="AG28" i="1" s="1"/>
  <c r="AH28" i="1" s="1"/>
  <c r="P24" i="59"/>
  <c r="AG24" i="1" s="1"/>
  <c r="AH24" i="1" s="1"/>
  <c r="I8" i="63"/>
  <c r="I9" i="63" s="1"/>
  <c r="P19" i="59"/>
  <c r="P15" i="59"/>
  <c r="P13" i="59"/>
  <c r="P12" i="59"/>
  <c r="P10" i="59"/>
  <c r="F13" i="63"/>
  <c r="P234" i="59"/>
  <c r="AG234" i="1" s="1"/>
  <c r="AH234" i="1" s="1"/>
  <c r="P215" i="59"/>
  <c r="AG215" i="1" s="1"/>
  <c r="AH215" i="1" s="1"/>
  <c r="P211" i="59"/>
  <c r="AG211" i="1" s="1"/>
  <c r="AH211" i="1" s="1"/>
  <c r="P197" i="59"/>
  <c r="AG197" i="1" s="1"/>
  <c r="AH197" i="1" s="1"/>
  <c r="P184" i="59"/>
  <c r="AG184" i="1" s="1"/>
  <c r="AH184" i="1" s="1"/>
  <c r="P171" i="59"/>
  <c r="AG171" i="1" s="1"/>
  <c r="AH171" i="1" s="1"/>
  <c r="P169" i="59"/>
  <c r="AG169" i="1" s="1"/>
  <c r="AH169" i="1" s="1"/>
  <c r="P172" i="59"/>
  <c r="AG172" i="1" s="1"/>
  <c r="AH172" i="1" s="1"/>
  <c r="P228" i="59"/>
  <c r="AG228" i="1" s="1"/>
  <c r="AH228" i="1" s="1"/>
  <c r="P227" i="59"/>
  <c r="AG227" i="1" s="1"/>
  <c r="AH227" i="1" s="1"/>
  <c r="P223" i="59"/>
  <c r="AG223" i="1" s="1"/>
  <c r="AH223" i="1" s="1"/>
  <c r="P12" i="63"/>
  <c r="P201" i="59"/>
  <c r="AG201" i="1" s="1"/>
  <c r="AH201" i="1" s="1"/>
  <c r="AJ37" i="107"/>
  <c r="AJ26" i="107"/>
  <c r="AB35" i="101"/>
  <c r="AB34" i="101"/>
  <c r="AB29" i="101"/>
  <c r="AD35" i="107"/>
  <c r="X32" i="107"/>
  <c r="AM35" i="107"/>
  <c r="P200" i="59"/>
  <c r="AG200" i="1" s="1"/>
  <c r="AH200" i="1" s="1"/>
  <c r="AX50" i="5"/>
  <c r="BX50" i="5" s="1"/>
  <c r="F41" i="10"/>
  <c r="AX48" i="5"/>
  <c r="BX48" i="5" s="1"/>
  <c r="AX47" i="5"/>
  <c r="BX47" i="5" s="1"/>
  <c r="AV32" i="107"/>
  <c r="AV27" i="107"/>
  <c r="P254" i="59"/>
  <c r="AG254" i="1" s="1"/>
  <c r="AH254" i="1" s="1"/>
  <c r="P251" i="59"/>
  <c r="AG251" i="1" s="1"/>
  <c r="AH251" i="1" s="1"/>
  <c r="P236" i="59"/>
  <c r="AG236" i="1" s="1"/>
  <c r="AH236" i="1" s="1"/>
  <c r="P204" i="59"/>
  <c r="AG204" i="1" s="1"/>
  <c r="AH204" i="1" s="1"/>
  <c r="P188" i="59"/>
  <c r="AG188" i="1" s="1"/>
  <c r="AH188" i="1" s="1"/>
  <c r="P272" i="59"/>
  <c r="AG272" i="1" s="1"/>
  <c r="AH272" i="1" s="1"/>
  <c r="P257" i="59"/>
  <c r="AG257" i="1" s="1"/>
  <c r="AH257" i="1" s="1"/>
  <c r="P246" i="59"/>
  <c r="AG246" i="1" s="1"/>
  <c r="AH246" i="1" s="1"/>
  <c r="P241" i="59"/>
  <c r="AG241" i="1" s="1"/>
  <c r="AH241" i="1" s="1"/>
  <c r="P235" i="59"/>
  <c r="AG235" i="1" s="1"/>
  <c r="AH235" i="1" s="1"/>
  <c r="P208" i="59"/>
  <c r="AG208" i="1" s="1"/>
  <c r="AH208" i="1" s="1"/>
  <c r="P196" i="59"/>
  <c r="AG196" i="1" s="1"/>
  <c r="AH196" i="1" s="1"/>
  <c r="P192" i="59"/>
  <c r="AG192" i="1" s="1"/>
  <c r="AH192" i="1" s="1"/>
  <c r="P180" i="59"/>
  <c r="AG180" i="1" s="1"/>
  <c r="AH180" i="1" s="1"/>
  <c r="P176" i="59"/>
  <c r="AG176" i="1" s="1"/>
  <c r="AH176" i="1" s="1"/>
  <c r="P50" i="59"/>
  <c r="AG50" i="1" s="1"/>
  <c r="AH50" i="1" s="1"/>
  <c r="AI21" i="107"/>
  <c r="AX19" i="107"/>
  <c r="T16" i="107"/>
  <c r="T22" i="107"/>
  <c r="AX11" i="107"/>
  <c r="L26" i="107"/>
  <c r="AW11" i="107"/>
  <c r="AW9" i="107"/>
  <c r="AW8" i="107"/>
  <c r="AK11" i="107"/>
  <c r="AK9" i="107"/>
  <c r="AK8" i="107"/>
  <c r="Q15" i="107"/>
  <c r="Q16" i="107" s="1"/>
  <c r="M8" i="107"/>
  <c r="M11" i="107"/>
  <c r="M9" i="107"/>
  <c r="AQ50" i="5"/>
  <c r="BQ50" i="5" s="1"/>
  <c r="N30" i="70"/>
  <c r="AJ45" i="107"/>
  <c r="AJ43" i="107"/>
  <c r="AS15" i="107"/>
  <c r="AS16" i="107" s="1"/>
  <c r="X31" i="107"/>
  <c r="L37" i="107"/>
  <c r="AV43" i="107"/>
  <c r="X45" i="107"/>
  <c r="X29" i="107"/>
  <c r="X28" i="107"/>
  <c r="L34" i="107"/>
  <c r="L44" i="107"/>
  <c r="AJ14" i="107"/>
  <c r="X41" i="107"/>
  <c r="AJ28" i="107"/>
  <c r="I35" i="107"/>
  <c r="L31" i="107"/>
  <c r="O26" i="7"/>
  <c r="L38" i="107"/>
  <c r="C35" i="107"/>
  <c r="AA35" i="107"/>
  <c r="X34" i="107"/>
  <c r="AJ38" i="107"/>
  <c r="AV40" i="107"/>
  <c r="AJ42" i="107"/>
  <c r="AJ25" i="107"/>
  <c r="L33" i="107"/>
  <c r="X42" i="107"/>
  <c r="I46" i="107"/>
  <c r="L43" i="107"/>
  <c r="X37" i="107"/>
  <c r="AJ27" i="107"/>
  <c r="AJ30" i="107"/>
  <c r="AJ41" i="107"/>
  <c r="X40" i="107"/>
  <c r="P239" i="59"/>
  <c r="AG239" i="1" s="1"/>
  <c r="AH239" i="1" s="1"/>
  <c r="P262" i="59"/>
  <c r="AG262" i="1" s="1"/>
  <c r="AH262" i="1" s="1"/>
  <c r="N13" i="25"/>
  <c r="N36" i="70"/>
  <c r="BJ8" i="83"/>
  <c r="BJ7" i="83"/>
  <c r="P265" i="59"/>
  <c r="P258" i="59"/>
  <c r="AG258" i="1" s="1"/>
  <c r="AH258" i="1" s="1"/>
  <c r="P256" i="59"/>
  <c r="AG256" i="1" s="1"/>
  <c r="AH256" i="1" s="1"/>
  <c r="P253" i="59"/>
  <c r="AG253" i="1" s="1"/>
  <c r="AH253" i="1" s="1"/>
  <c r="P248" i="59"/>
  <c r="AG248" i="1" s="1"/>
  <c r="AH248" i="1" s="1"/>
  <c r="P247" i="59"/>
  <c r="AG247" i="1" s="1"/>
  <c r="AH247" i="1" s="1"/>
  <c r="P16" i="63"/>
  <c r="P238" i="59"/>
  <c r="AG238" i="1" s="1"/>
  <c r="AH238" i="1" s="1"/>
  <c r="P237" i="59"/>
  <c r="AG237" i="1" s="1"/>
  <c r="AH237" i="1" s="1"/>
  <c r="P233" i="59"/>
  <c r="AG233" i="1" s="1"/>
  <c r="AH233" i="1" s="1"/>
  <c r="P232" i="59"/>
  <c r="AG232" i="1" s="1"/>
  <c r="AH232" i="1" s="1"/>
  <c r="P230" i="59"/>
  <c r="AG230" i="1" s="1"/>
  <c r="AH230" i="1" s="1"/>
  <c r="P229" i="59"/>
  <c r="AG229" i="1" s="1"/>
  <c r="AH229" i="1" s="1"/>
  <c r="P225" i="59"/>
  <c r="AG225" i="1" s="1"/>
  <c r="AH225" i="1" s="1"/>
  <c r="P224" i="59"/>
  <c r="AG224" i="1" s="1"/>
  <c r="AH224" i="1" s="1"/>
  <c r="P222" i="59"/>
  <c r="AG222" i="1" s="1"/>
  <c r="AH222" i="1" s="1"/>
  <c r="P221" i="59"/>
  <c r="AG221" i="1" s="1"/>
  <c r="AH221" i="1" s="1"/>
  <c r="P220" i="59"/>
  <c r="AG220" i="1" s="1"/>
  <c r="AH220" i="1" s="1"/>
  <c r="P218" i="59"/>
  <c r="AG218" i="1" s="1"/>
  <c r="AH218" i="1" s="1"/>
  <c r="P216" i="59"/>
  <c r="AG216" i="1" s="1"/>
  <c r="AH216" i="1" s="1"/>
  <c r="P214" i="59"/>
  <c r="AG214" i="1" s="1"/>
  <c r="AH214" i="1" s="1"/>
  <c r="P210" i="59"/>
  <c r="P207" i="59"/>
  <c r="AG207" i="1" s="1"/>
  <c r="AH207" i="1" s="1"/>
  <c r="P206" i="59"/>
  <c r="AG206" i="1" s="1"/>
  <c r="AH206" i="1" s="1"/>
  <c r="P203" i="59"/>
  <c r="AG203" i="1" s="1"/>
  <c r="AH203" i="1" s="1"/>
  <c r="P202" i="59"/>
  <c r="AG202" i="1" s="1"/>
  <c r="AH202" i="1" s="1"/>
  <c r="P199" i="59"/>
  <c r="AG199" i="1" s="1"/>
  <c r="AH199" i="1" s="1"/>
  <c r="P198" i="59"/>
  <c r="AG198" i="1" s="1"/>
  <c r="AH198" i="1" s="1"/>
  <c r="P195" i="59"/>
  <c r="AG195" i="1" s="1"/>
  <c r="AH195" i="1" s="1"/>
  <c r="P194" i="59"/>
  <c r="AG194" i="1" s="1"/>
  <c r="AH194" i="1" s="1"/>
  <c r="P191" i="59"/>
  <c r="AG191" i="1" s="1"/>
  <c r="AH191" i="1" s="1"/>
  <c r="P190" i="59"/>
  <c r="AG190" i="1" s="1"/>
  <c r="AH190" i="1" s="1"/>
  <c r="P187" i="59"/>
  <c r="AG187" i="1" s="1"/>
  <c r="AH187" i="1" s="1"/>
  <c r="P186" i="59"/>
  <c r="AG186" i="1" s="1"/>
  <c r="AH186" i="1" s="1"/>
  <c r="P183" i="59"/>
  <c r="AG183" i="1" s="1"/>
  <c r="AH183" i="1" s="1"/>
  <c r="P182" i="59"/>
  <c r="AG182" i="1" s="1"/>
  <c r="AH182" i="1" s="1"/>
  <c r="P179" i="59"/>
  <c r="AG179" i="1" s="1"/>
  <c r="AH179" i="1" s="1"/>
  <c r="P178" i="59"/>
  <c r="AG178" i="1" s="1"/>
  <c r="AH178" i="1" s="1"/>
  <c r="P175" i="59"/>
  <c r="AG175" i="1" s="1"/>
  <c r="AH175" i="1" s="1"/>
  <c r="P174" i="59"/>
  <c r="AG174" i="1" s="1"/>
  <c r="AH174" i="1" s="1"/>
  <c r="P11" i="63"/>
  <c r="P170" i="59"/>
  <c r="AG170" i="1" s="1"/>
  <c r="AH170" i="1" s="1"/>
  <c r="P167" i="59"/>
  <c r="AG167" i="1" s="1"/>
  <c r="AH167" i="1" s="1"/>
  <c r="P166" i="59"/>
  <c r="AG166" i="1" s="1"/>
  <c r="AH166" i="1" s="1"/>
  <c r="P165" i="59"/>
  <c r="AG165" i="1" s="1"/>
  <c r="AH165" i="1" s="1"/>
  <c r="P162" i="59"/>
  <c r="AG162" i="1" s="1"/>
  <c r="AH162" i="1" s="1"/>
  <c r="P159" i="59"/>
  <c r="AG159" i="1" s="1"/>
  <c r="AH159" i="1" s="1"/>
  <c r="P158" i="59"/>
  <c r="AG158" i="1" s="1"/>
  <c r="AH158" i="1" s="1"/>
  <c r="P157" i="59"/>
  <c r="AG157" i="1" s="1"/>
  <c r="AH157" i="1" s="1"/>
  <c r="P154" i="59"/>
  <c r="AG154" i="1" s="1"/>
  <c r="AH154" i="1" s="1"/>
  <c r="P151" i="59"/>
  <c r="AG151" i="1" s="1"/>
  <c r="AH151" i="1" s="1"/>
  <c r="P150" i="59"/>
  <c r="AG150" i="1" s="1"/>
  <c r="AH150" i="1" s="1"/>
  <c r="P149" i="59"/>
  <c r="AG149" i="1" s="1"/>
  <c r="AH149" i="1" s="1"/>
  <c r="P146" i="59"/>
  <c r="AG146" i="1" s="1"/>
  <c r="AH146" i="1" s="1"/>
  <c r="P143" i="59"/>
  <c r="AG143" i="1" s="1"/>
  <c r="AH143" i="1" s="1"/>
  <c r="P142" i="59"/>
  <c r="AG142" i="1" s="1"/>
  <c r="AH142" i="1" s="1"/>
  <c r="P141" i="59"/>
  <c r="AG141" i="1" s="1"/>
  <c r="AH141" i="1" s="1"/>
  <c r="P138" i="59"/>
  <c r="AG138" i="1" s="1"/>
  <c r="AH138" i="1" s="1"/>
  <c r="P130" i="59"/>
  <c r="AG130" i="1" s="1"/>
  <c r="AH130" i="1" s="1"/>
  <c r="P127" i="59"/>
  <c r="AG127" i="1" s="1"/>
  <c r="AH127" i="1" s="1"/>
  <c r="P125" i="59"/>
  <c r="AG125" i="1" s="1"/>
  <c r="AH125" i="1" s="1"/>
  <c r="P116" i="59"/>
  <c r="AG116" i="1" s="1"/>
  <c r="AH116" i="1" s="1"/>
  <c r="P104" i="59"/>
  <c r="AG104" i="1" s="1"/>
  <c r="AH104" i="1" s="1"/>
  <c r="AV30" i="107"/>
  <c r="AV44" i="107"/>
  <c r="AS35" i="107"/>
  <c r="AV38" i="107"/>
  <c r="AV34" i="107"/>
  <c r="AV26" i="107"/>
  <c r="P209" i="59"/>
  <c r="AG209" i="1" s="1"/>
  <c r="AH209" i="1" s="1"/>
  <c r="P264" i="59"/>
  <c r="AG264" i="1" s="1"/>
  <c r="AH264" i="1" s="1"/>
  <c r="AZ49" i="5"/>
  <c r="BZ49" i="5" s="1"/>
  <c r="AZ18" i="5"/>
  <c r="BZ18" i="5" s="1"/>
  <c r="AZ46" i="5"/>
  <c r="BZ46" i="5" s="1"/>
  <c r="AZ48" i="5"/>
  <c r="BZ48" i="5" s="1"/>
  <c r="AZ39" i="5"/>
  <c r="BZ39" i="5" s="1"/>
  <c r="AZ26" i="5"/>
  <c r="BZ26" i="5" s="1"/>
  <c r="BZ23" i="5"/>
  <c r="AZ42" i="5"/>
  <c r="AZ40" i="5"/>
  <c r="AZ45" i="5"/>
  <c r="M12" i="28"/>
  <c r="M14" i="28" s="1"/>
  <c r="M22" i="70"/>
  <c r="N22" i="70"/>
  <c r="M21" i="70"/>
  <c r="N21" i="70"/>
  <c r="N37" i="105"/>
  <c r="M32" i="70"/>
  <c r="N32" i="70"/>
  <c r="M31" i="70"/>
  <c r="N31" i="70"/>
  <c r="D5" i="59"/>
  <c r="D5" i="63" s="1"/>
  <c r="M48" i="70"/>
  <c r="P263" i="59"/>
  <c r="AG263" i="1" s="1"/>
  <c r="AH263" i="1" s="1"/>
  <c r="P261" i="59"/>
  <c r="AG261" i="1" s="1"/>
  <c r="AH261" i="1" s="1"/>
  <c r="P260" i="59"/>
  <c r="AG260" i="1" s="1"/>
  <c r="AH260" i="1" s="1"/>
  <c r="P259" i="59"/>
  <c r="AG259" i="1" s="1"/>
  <c r="AH259" i="1" s="1"/>
  <c r="P255" i="59"/>
  <c r="AG255" i="1" s="1"/>
  <c r="AH255" i="1" s="1"/>
  <c r="P252" i="59"/>
  <c r="AG252" i="1" s="1"/>
  <c r="AH252" i="1" s="1"/>
  <c r="P250" i="59"/>
  <c r="AG250" i="1" s="1"/>
  <c r="AH250" i="1" s="1"/>
  <c r="P249" i="59"/>
  <c r="AG249" i="1" s="1"/>
  <c r="AH249" i="1" s="1"/>
  <c r="P245" i="59"/>
  <c r="AG245" i="1" s="1"/>
  <c r="AH245" i="1" s="1"/>
  <c r="P244" i="59"/>
  <c r="AG244" i="1" s="1"/>
  <c r="AH244" i="1" s="1"/>
  <c r="P243" i="59"/>
  <c r="AG243" i="1" s="1"/>
  <c r="AH243" i="1" s="1"/>
  <c r="P242" i="59"/>
  <c r="AG242" i="1" s="1"/>
  <c r="AH242" i="1" s="1"/>
  <c r="P10" i="63"/>
  <c r="P133" i="59"/>
  <c r="AG133" i="1" s="1"/>
  <c r="AH133" i="1" s="1"/>
  <c r="P132" i="59"/>
  <c r="AG132" i="1" s="1"/>
  <c r="AH132" i="1" s="1"/>
  <c r="P131" i="59"/>
  <c r="AG131" i="1" s="1"/>
  <c r="AH131" i="1" s="1"/>
  <c r="P129" i="59"/>
  <c r="AG129" i="1" s="1"/>
  <c r="AH129" i="1" s="1"/>
  <c r="P128" i="59"/>
  <c r="AG128" i="1" s="1"/>
  <c r="AH128" i="1" s="1"/>
  <c r="P126" i="59"/>
  <c r="AG126" i="1" s="1"/>
  <c r="AH126" i="1" s="1"/>
  <c r="P124" i="59"/>
  <c r="AG124" i="1" s="1"/>
  <c r="AH124" i="1" s="1"/>
  <c r="P122" i="59"/>
  <c r="AG122" i="1" s="1"/>
  <c r="AH122" i="1" s="1"/>
  <c r="P121" i="59"/>
  <c r="AG121" i="1" s="1"/>
  <c r="AH121" i="1" s="1"/>
  <c r="P120" i="59"/>
  <c r="AG120" i="1" s="1"/>
  <c r="AH120" i="1" s="1"/>
  <c r="P119" i="59"/>
  <c r="AG119" i="1" s="1"/>
  <c r="AH119" i="1" s="1"/>
  <c r="P118" i="59"/>
  <c r="AG118" i="1" s="1"/>
  <c r="AH118" i="1" s="1"/>
  <c r="P117" i="59"/>
  <c r="AG117" i="1" s="1"/>
  <c r="AH117" i="1" s="1"/>
  <c r="P115" i="59"/>
  <c r="AG115" i="1" s="1"/>
  <c r="AH115" i="1" s="1"/>
  <c r="P114" i="59"/>
  <c r="AG114" i="1" s="1"/>
  <c r="AH114" i="1" s="1"/>
  <c r="P113" i="59"/>
  <c r="AG113" i="1" s="1"/>
  <c r="AH113" i="1" s="1"/>
  <c r="P112" i="59"/>
  <c r="AG112" i="1" s="1"/>
  <c r="AH112" i="1" s="1"/>
  <c r="P111" i="59"/>
  <c r="AG111" i="1" s="1"/>
  <c r="AH111" i="1" s="1"/>
  <c r="P108" i="59"/>
  <c r="AG108" i="1" s="1"/>
  <c r="AH108" i="1" s="1"/>
  <c r="P107" i="59"/>
  <c r="AG107" i="1" s="1"/>
  <c r="AH107" i="1" s="1"/>
  <c r="P106" i="59"/>
  <c r="AG106" i="1" s="1"/>
  <c r="AH106" i="1" s="1"/>
  <c r="P105" i="59"/>
  <c r="AG105" i="1" s="1"/>
  <c r="AH105" i="1" s="1"/>
  <c r="P103" i="59"/>
  <c r="AG103" i="1" s="1"/>
  <c r="AH103" i="1" s="1"/>
  <c r="P102" i="59"/>
  <c r="AG102" i="1" s="1"/>
  <c r="AH102" i="1" s="1"/>
  <c r="P101" i="59"/>
  <c r="AG101" i="1" s="1"/>
  <c r="AH101" i="1" s="1"/>
  <c r="P100" i="59"/>
  <c r="AG100" i="1" s="1"/>
  <c r="AH100" i="1" s="1"/>
  <c r="P99" i="59"/>
  <c r="AG99" i="1" s="1"/>
  <c r="AH99" i="1" s="1"/>
  <c r="P97" i="59"/>
  <c r="AG97" i="1" s="1"/>
  <c r="AH97" i="1" s="1"/>
  <c r="P96" i="59"/>
  <c r="AG96" i="1" s="1"/>
  <c r="AH96" i="1" s="1"/>
  <c r="P90" i="59"/>
  <c r="P87" i="59"/>
  <c r="AG87" i="1" s="1"/>
  <c r="AH87" i="1" s="1"/>
  <c r="AB23" i="101"/>
  <c r="O28" i="70"/>
  <c r="M13" i="25"/>
  <c r="AU94" i="107"/>
  <c r="D8" i="83"/>
  <c r="D40" i="23"/>
  <c r="Q19" i="23"/>
  <c r="Q32" i="23" s="1"/>
  <c r="P32" i="23"/>
  <c r="E40" i="23"/>
  <c r="C40" i="23"/>
  <c r="L12" i="28"/>
  <c r="L14" i="28" s="1"/>
  <c r="AD37" i="1"/>
  <c r="AD33" i="1"/>
  <c r="L53" i="5"/>
  <c r="AC17" i="1"/>
  <c r="AC15" i="1"/>
  <c r="AC13" i="1"/>
  <c r="AC11" i="1"/>
  <c r="AC9" i="1"/>
  <c r="BI7" i="83"/>
  <c r="M17" i="70"/>
  <c r="M36" i="70"/>
  <c r="AY18" i="5"/>
  <c r="BY18" i="5" s="1"/>
  <c r="AY51" i="5"/>
  <c r="BY51" i="5" s="1"/>
  <c r="AY48" i="5"/>
  <c r="BY48" i="5" s="1"/>
  <c r="AY39" i="5"/>
  <c r="BY39" i="5" s="1"/>
  <c r="AY22" i="5"/>
  <c r="BY22" i="5" s="1"/>
  <c r="AY38" i="5"/>
  <c r="BY38" i="5" s="1"/>
  <c r="P41" i="10"/>
  <c r="AY41" i="5"/>
  <c r="BY41" i="5" s="1"/>
  <c r="AY37" i="5"/>
  <c r="BY37" i="5" s="1"/>
  <c r="AY25" i="5"/>
  <c r="BY25" i="5" s="1"/>
  <c r="AY21" i="5"/>
  <c r="BY21" i="5" s="1"/>
  <c r="AY17" i="5"/>
  <c r="BY17" i="5" s="1"/>
  <c r="BY34" i="5"/>
  <c r="AY40" i="5"/>
  <c r="AY16" i="5"/>
  <c r="AY45" i="5"/>
  <c r="AY42" i="5"/>
  <c r="AY15" i="5"/>
  <c r="AY30" i="5"/>
  <c r="AP46" i="107"/>
  <c r="AV45" i="107"/>
  <c r="AV39" i="107"/>
  <c r="AV42" i="107"/>
  <c r="AV33" i="107"/>
  <c r="AV25" i="107"/>
  <c r="X31" i="101"/>
  <c r="N13" i="63"/>
  <c r="AP21" i="107"/>
  <c r="P134" i="59"/>
  <c r="AG134" i="1" s="1"/>
  <c r="AH134" i="1" s="1"/>
  <c r="P89" i="59"/>
  <c r="AC98" i="1"/>
  <c r="AC128" i="1"/>
  <c r="AC12" i="1"/>
  <c r="AC18" i="1"/>
  <c r="AC21" i="1"/>
  <c r="AC101" i="1"/>
  <c r="AC129" i="1"/>
  <c r="AC126" i="1"/>
  <c r="AC116" i="1"/>
  <c r="AC162" i="1"/>
  <c r="AC272" i="1"/>
  <c r="AC270" i="1"/>
  <c r="AC266" i="1"/>
  <c r="AC264" i="1"/>
  <c r="AC262" i="1"/>
  <c r="AC260" i="1"/>
  <c r="AC258" i="1"/>
  <c r="AC256" i="1"/>
  <c r="AC254" i="1"/>
  <c r="AC252" i="1"/>
  <c r="AC250" i="1"/>
  <c r="AC248" i="1"/>
  <c r="AC246" i="1"/>
  <c r="AC244" i="1"/>
  <c r="AC242" i="1"/>
  <c r="AC239" i="1"/>
  <c r="AC237" i="1"/>
  <c r="AC235" i="1"/>
  <c r="AC233" i="1"/>
  <c r="AC231" i="1"/>
  <c r="AC229" i="1"/>
  <c r="AC227" i="1"/>
  <c r="AC225" i="1"/>
  <c r="AC223" i="1"/>
  <c r="AC221" i="1"/>
  <c r="AC219" i="1"/>
  <c r="AC217" i="1"/>
  <c r="AC215" i="1"/>
  <c r="AC211" i="1"/>
  <c r="AC209" i="1"/>
  <c r="AC207" i="1"/>
  <c r="AC205" i="1"/>
  <c r="AC203" i="1"/>
  <c r="AC201" i="1"/>
  <c r="AC273" i="1"/>
  <c r="AC271" i="1"/>
  <c r="AC269" i="1"/>
  <c r="AC265" i="1"/>
  <c r="AC263" i="1"/>
  <c r="AC261" i="1"/>
  <c r="AC259" i="1"/>
  <c r="AC257" i="1"/>
  <c r="AC255" i="1"/>
  <c r="AC253" i="1"/>
  <c r="AC251" i="1"/>
  <c r="AC249" i="1"/>
  <c r="AC247" i="1"/>
  <c r="AC245" i="1"/>
  <c r="AC243" i="1"/>
  <c r="AC241" i="1"/>
  <c r="AC238" i="1"/>
  <c r="AC236" i="1"/>
  <c r="AC234" i="1"/>
  <c r="AC232" i="1"/>
  <c r="AC230" i="1"/>
  <c r="AC228" i="1"/>
  <c r="AC226" i="1"/>
  <c r="AC224" i="1"/>
  <c r="AC222" i="1"/>
  <c r="AC220" i="1"/>
  <c r="AC218" i="1"/>
  <c r="AC216" i="1"/>
  <c r="AC214" i="1"/>
  <c r="AC210" i="1"/>
  <c r="AC208" i="1"/>
  <c r="AC206" i="1"/>
  <c r="AC204" i="1"/>
  <c r="AC202" i="1"/>
  <c r="AC200" i="1"/>
  <c r="AB91" i="1"/>
  <c r="AC121" i="1"/>
  <c r="AC96" i="1"/>
  <c r="AC165" i="1"/>
  <c r="AC20" i="1"/>
  <c r="AC24" i="1"/>
  <c r="AC113" i="1"/>
  <c r="AC133" i="1"/>
  <c r="AC130" i="1"/>
  <c r="AC124" i="1"/>
  <c r="AC141" i="1"/>
  <c r="AC164" i="1"/>
  <c r="AC92" i="1"/>
  <c r="AC89" i="1"/>
  <c r="AC87" i="1"/>
  <c r="AC84" i="1"/>
  <c r="AC82" i="1"/>
  <c r="AC80" i="1"/>
  <c r="AC78" i="1"/>
  <c r="AC76" i="1"/>
  <c r="AC74" i="1"/>
  <c r="AC72" i="1"/>
  <c r="AC70" i="1"/>
  <c r="AC68" i="1"/>
  <c r="AC66" i="1"/>
  <c r="AC64" i="1"/>
  <c r="AC62" i="1"/>
  <c r="AC60" i="1"/>
  <c r="AC58" i="1"/>
  <c r="AC56" i="1"/>
  <c r="AC54" i="1"/>
  <c r="AC52" i="1"/>
  <c r="AC50" i="1"/>
  <c r="AC48" i="1"/>
  <c r="AC46" i="1"/>
  <c r="AC44" i="1"/>
  <c r="AC42" i="1"/>
  <c r="AC40" i="1"/>
  <c r="AC37" i="1"/>
  <c r="AC33" i="1"/>
  <c r="AC29" i="1"/>
  <c r="M35" i="70"/>
  <c r="L23" i="70"/>
  <c r="M23" i="70"/>
  <c r="L16" i="70"/>
  <c r="M16" i="70"/>
  <c r="M19" i="70"/>
  <c r="AN94" i="107"/>
  <c r="P38" i="59"/>
  <c r="AG38" i="1" s="1"/>
  <c r="AH38" i="1" s="1"/>
  <c r="P34" i="59"/>
  <c r="AG34" i="1" s="1"/>
  <c r="AH34" i="1" s="1"/>
  <c r="P30" i="59"/>
  <c r="AG30" i="1" s="1"/>
  <c r="AH30" i="1" s="1"/>
  <c r="P26" i="59"/>
  <c r="AG26" i="1" s="1"/>
  <c r="AH26" i="1" s="1"/>
  <c r="P6" i="63"/>
  <c r="P20" i="59"/>
  <c r="P18" i="59"/>
  <c r="P16" i="59"/>
  <c r="P11" i="59"/>
  <c r="P9" i="59"/>
  <c r="AB16" i="101"/>
  <c r="AX45" i="107"/>
  <c r="AX37" i="107"/>
  <c r="AX32" i="107"/>
  <c r="AX26" i="107"/>
  <c r="R21" i="107"/>
  <c r="R22" i="107" s="1"/>
  <c r="M8" i="63"/>
  <c r="M9" i="63" s="1"/>
  <c r="G8" i="63"/>
  <c r="G9" i="63" s="1"/>
  <c r="X22" i="101"/>
  <c r="Y22" i="101" s="1"/>
  <c r="T22" i="101"/>
  <c r="U22" i="101" s="1"/>
  <c r="AA17" i="101"/>
  <c r="K19" i="101"/>
  <c r="AA19" i="101"/>
  <c r="K21" i="101"/>
  <c r="AA21" i="101"/>
  <c r="K17" i="101"/>
  <c r="AA9" i="101"/>
  <c r="S14" i="101"/>
  <c r="D22" i="101"/>
  <c r="E22" i="101" s="1"/>
  <c r="W13" i="101"/>
  <c r="AB6" i="101"/>
  <c r="K36" i="101"/>
  <c r="K13" i="101"/>
  <c r="K11" i="101"/>
  <c r="K6" i="101"/>
  <c r="O12" i="101"/>
  <c r="O9" i="101"/>
  <c r="W12" i="101"/>
  <c r="W6" i="101"/>
  <c r="AA10" i="101"/>
  <c r="K10" i="101"/>
  <c r="P21" i="59"/>
  <c r="Q21" i="59" s="1"/>
  <c r="BH8" i="83"/>
  <c r="BH7" i="83"/>
  <c r="L17" i="70"/>
  <c r="AK53" i="5"/>
  <c r="X53" i="5"/>
  <c r="AX43" i="5"/>
  <c r="BX43" i="5" s="1"/>
  <c r="AX41" i="5"/>
  <c r="BX41" i="5" s="1"/>
  <c r="AX33" i="5"/>
  <c r="BX33" i="5" s="1"/>
  <c r="AX31" i="5"/>
  <c r="BX31" i="5" s="1"/>
  <c r="AX29" i="5"/>
  <c r="BX29" i="5" s="1"/>
  <c r="BX32" i="5"/>
  <c r="AX51" i="5"/>
  <c r="BX51" i="5" s="1"/>
  <c r="AX39" i="5"/>
  <c r="BX39" i="5" s="1"/>
  <c r="N41" i="10"/>
  <c r="AX34" i="5"/>
  <c r="BX34" i="5" s="1"/>
  <c r="BX23" i="5"/>
  <c r="BX36" i="5"/>
  <c r="BX28" i="5"/>
  <c r="BX30" i="5"/>
  <c r="K13" i="25"/>
  <c r="L13" i="25"/>
  <c r="K21" i="70"/>
  <c r="L21" i="70"/>
  <c r="L35" i="70"/>
  <c r="K22" i="70"/>
  <c r="L22" i="70"/>
  <c r="L19" i="70"/>
  <c r="L32" i="70"/>
  <c r="K31" i="70"/>
  <c r="L31" i="70"/>
  <c r="DP32" i="106"/>
  <c r="DD47" i="106"/>
  <c r="DJ45" i="106"/>
  <c r="DK45" i="106" s="1"/>
  <c r="DL45" i="106" s="1"/>
  <c r="DJ43" i="106"/>
  <c r="DK43" i="106" s="1"/>
  <c r="DL43" i="106" s="1"/>
  <c r="DM43" i="106" s="1"/>
  <c r="DJ42" i="106"/>
  <c r="DK42" i="106" s="1"/>
  <c r="DL42" i="106" s="1"/>
  <c r="DJ40" i="106"/>
  <c r="DK40" i="106" s="1"/>
  <c r="DL40" i="106" s="1"/>
  <c r="DJ39" i="106"/>
  <c r="DK39" i="106" s="1"/>
  <c r="DL39" i="106" s="1"/>
  <c r="DE48" i="106"/>
  <c r="DK35" i="106"/>
  <c r="DL35" i="106" s="1"/>
  <c r="DM35" i="106" s="1"/>
  <c r="DK30" i="106"/>
  <c r="DL30" i="106" s="1"/>
  <c r="DK29" i="106"/>
  <c r="DL29" i="106" s="1"/>
  <c r="DJ26" i="106"/>
  <c r="DK26" i="106" s="1"/>
  <c r="DL26" i="106" s="1"/>
  <c r="DM26" i="106" s="1"/>
  <c r="I13" i="25"/>
  <c r="BG7" i="83"/>
  <c r="P271" i="59"/>
  <c r="AG271" i="1" s="1"/>
  <c r="AH271" i="1" s="1"/>
  <c r="P266" i="59"/>
  <c r="X38" i="107"/>
  <c r="L39" i="107"/>
  <c r="BG6" i="83"/>
  <c r="AW25" i="5"/>
  <c r="BW25" i="5" s="1"/>
  <c r="AW51" i="5"/>
  <c r="BW51" i="5" s="1"/>
  <c r="AW39" i="5"/>
  <c r="BW39" i="5" s="1"/>
  <c r="AW42" i="5"/>
  <c r="BW42" i="5" s="1"/>
  <c r="AW40" i="5"/>
  <c r="BW40" i="5" s="1"/>
  <c r="AW45" i="5"/>
  <c r="BW45" i="5" s="1"/>
  <c r="N42" i="9"/>
  <c r="K23" i="70"/>
  <c r="K35" i="70"/>
  <c r="K30" i="70"/>
  <c r="K17" i="70"/>
  <c r="K16" i="70"/>
  <c r="DP29" i="106"/>
  <c r="DJ32" i="106"/>
  <c r="DK32" i="106" s="1"/>
  <c r="DL32" i="106" s="1"/>
  <c r="DJ34" i="106"/>
  <c r="DK34" i="106" s="1"/>
  <c r="DL34" i="106" s="1"/>
  <c r="CU48" i="106"/>
  <c r="DH47" i="106"/>
  <c r="DB48" i="106"/>
  <c r="DI35" i="106"/>
  <c r="DG23" i="106"/>
  <c r="DG49" i="106" s="1"/>
  <c r="DI45" i="106"/>
  <c r="DI41" i="106"/>
  <c r="DI29" i="106"/>
  <c r="DI9" i="106"/>
  <c r="AI53" i="5"/>
  <c r="DI12" i="106"/>
  <c r="DJ9" i="106"/>
  <c r="DK9" i="106" s="1"/>
  <c r="DL9" i="106" s="1"/>
  <c r="DM9" i="106" s="1"/>
  <c r="CY48" i="106"/>
  <c r="DI42" i="106"/>
  <c r="DI40" i="106"/>
  <c r="DI31" i="106"/>
  <c r="BV48" i="5"/>
  <c r="N16" i="107"/>
  <c r="N22" i="107"/>
  <c r="AX31" i="107"/>
  <c r="AX39" i="107"/>
  <c r="W21" i="107"/>
  <c r="H2" i="86"/>
  <c r="BF5" i="83"/>
  <c r="BF7" i="83"/>
  <c r="I12" i="28"/>
  <c r="I14" i="28" s="1"/>
  <c r="BV32" i="5"/>
  <c r="AV42" i="5"/>
  <c r="BV42" i="5" s="1"/>
  <c r="AV40" i="5"/>
  <c r="BV40" i="5" s="1"/>
  <c r="AV45" i="5"/>
  <c r="BV45" i="5" s="1"/>
  <c r="AV26" i="5"/>
  <c r="BV26" i="5" s="1"/>
  <c r="BV52" i="5"/>
  <c r="AV51" i="5"/>
  <c r="AV39" i="5"/>
  <c r="M41" i="10"/>
  <c r="I22" i="70"/>
  <c r="J22" i="70"/>
  <c r="I21" i="70"/>
  <c r="J36" i="70"/>
  <c r="J35" i="70"/>
  <c r="I16" i="70"/>
  <c r="J16" i="70"/>
  <c r="J19" i="70"/>
  <c r="I31" i="70"/>
  <c r="AX93" i="107"/>
  <c r="B22" i="107"/>
  <c r="AX44" i="107"/>
  <c r="AX41" i="107"/>
  <c r="AX27" i="107"/>
  <c r="P273" i="59"/>
  <c r="P270" i="59"/>
  <c r="AG270" i="1" s="1"/>
  <c r="AH270" i="1" s="1"/>
  <c r="P269" i="59"/>
  <c r="AG269" i="1" s="1"/>
  <c r="AH269" i="1" s="1"/>
  <c r="BE6" i="83"/>
  <c r="I36" i="70"/>
  <c r="BE7" i="83"/>
  <c r="I17" i="70"/>
  <c r="L41" i="10"/>
  <c r="BU21" i="5"/>
  <c r="H10" i="28"/>
  <c r="H12" i="28" s="1"/>
  <c r="H14" i="28" s="1"/>
  <c r="K46" i="33"/>
  <c r="AU39" i="5"/>
  <c r="AU51" i="5"/>
  <c r="BU17" i="5"/>
  <c r="BU30" i="5"/>
  <c r="BU36" i="5"/>
  <c r="BU44" i="5"/>
  <c r="AU45" i="5"/>
  <c r="BU23" i="5"/>
  <c r="BU26" i="5"/>
  <c r="BU28" i="5"/>
  <c r="BU34" i="5"/>
  <c r="AU42" i="5"/>
  <c r="AU40" i="5"/>
  <c r="H23" i="70"/>
  <c r="I23" i="70"/>
  <c r="I35" i="70"/>
  <c r="H32" i="70"/>
  <c r="I32" i="70"/>
  <c r="AC33" i="23"/>
  <c r="AC8" i="83" s="1"/>
  <c r="AC7" i="83"/>
  <c r="BD7" i="83"/>
  <c r="BO27" i="5"/>
  <c r="DI8" i="106"/>
  <c r="DH22" i="106"/>
  <c r="DJ20" i="106"/>
  <c r="DK20" i="106" s="1"/>
  <c r="DL20" i="106" s="1"/>
  <c r="DM20" i="106" s="1"/>
  <c r="DH13" i="106"/>
  <c r="DJ10" i="106"/>
  <c r="DK10" i="106" s="1"/>
  <c r="DL10" i="106" s="1"/>
  <c r="DM10" i="106" s="1"/>
  <c r="DI20" i="106"/>
  <c r="DD22" i="106"/>
  <c r="DJ21" i="106"/>
  <c r="DK21" i="106" s="1"/>
  <c r="DL21" i="106" s="1"/>
  <c r="DM21" i="106" s="1"/>
  <c r="DE15" i="106"/>
  <c r="CV13" i="106"/>
  <c r="CV15" i="106" s="1"/>
  <c r="DJ12" i="106"/>
  <c r="DK12" i="106" s="1"/>
  <c r="DL12" i="106" s="1"/>
  <c r="DM12" i="106" s="1"/>
  <c r="X94" i="107"/>
  <c r="BD5" i="83"/>
  <c r="P39" i="59"/>
  <c r="AG39" i="1" s="1"/>
  <c r="AH39" i="1" s="1"/>
  <c r="P37" i="59"/>
  <c r="AG37" i="1" s="1"/>
  <c r="AH37" i="1" s="1"/>
  <c r="P35" i="59"/>
  <c r="AG35" i="1" s="1"/>
  <c r="AH35" i="1" s="1"/>
  <c r="P33" i="59"/>
  <c r="AG33" i="1" s="1"/>
  <c r="AH33" i="1" s="1"/>
  <c r="P31" i="59"/>
  <c r="AG31" i="1" s="1"/>
  <c r="AH31" i="1" s="1"/>
  <c r="P29" i="59"/>
  <c r="AG29" i="1" s="1"/>
  <c r="AH29" i="1" s="1"/>
  <c r="P27" i="59"/>
  <c r="AG27" i="1" s="1"/>
  <c r="AH27" i="1" s="1"/>
  <c r="P25" i="59"/>
  <c r="AG25" i="1" s="1"/>
  <c r="AH25" i="1" s="1"/>
  <c r="F21" i="107"/>
  <c r="AD21" i="107"/>
  <c r="F35" i="107"/>
  <c r="AP35" i="107"/>
  <c r="AB14" i="10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2" i="1"/>
  <c r="AC171" i="1"/>
  <c r="AC170" i="1"/>
  <c r="AC169" i="1"/>
  <c r="AC168" i="1"/>
  <c r="AC167" i="1"/>
  <c r="AC166" i="1"/>
  <c r="AC163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0" i="1"/>
  <c r="AC139" i="1"/>
  <c r="AC138" i="1"/>
  <c r="AC137" i="1"/>
  <c r="AC136" i="1"/>
  <c r="AC134" i="1"/>
  <c r="AC131" i="1"/>
  <c r="AC127" i="1"/>
  <c r="AC123" i="1"/>
  <c r="AC122" i="1"/>
  <c r="AC120" i="1"/>
  <c r="AC119" i="1"/>
  <c r="AC118" i="1"/>
  <c r="AC117" i="1"/>
  <c r="AC115" i="1"/>
  <c r="AC114" i="1"/>
  <c r="AC111" i="1"/>
  <c r="AC110" i="1"/>
  <c r="AC109" i="1"/>
  <c r="AC108" i="1"/>
  <c r="AC107" i="1"/>
  <c r="AC106" i="1"/>
  <c r="AC105" i="1"/>
  <c r="AC104" i="1"/>
  <c r="AC103" i="1"/>
  <c r="AC100" i="1"/>
  <c r="AC99" i="1"/>
  <c r="AC93" i="1"/>
  <c r="AC30" i="1"/>
  <c r="BD3" i="83"/>
  <c r="H36" i="70"/>
  <c r="BD8" i="83"/>
  <c r="BD4" i="83"/>
  <c r="AT51" i="5"/>
  <c r="BT51" i="5" s="1"/>
  <c r="AT39" i="5"/>
  <c r="BT39" i="5" s="1"/>
  <c r="AT34" i="5"/>
  <c r="BT34" i="5" s="1"/>
  <c r="BT41" i="5"/>
  <c r="AT42" i="5"/>
  <c r="AT40" i="5"/>
  <c r="AT45" i="5"/>
  <c r="G21" i="70"/>
  <c r="H21" i="70"/>
  <c r="H35" i="70"/>
  <c r="G22" i="70"/>
  <c r="H22" i="70"/>
  <c r="G16" i="70"/>
  <c r="H16" i="70"/>
  <c r="G31" i="70"/>
  <c r="H31" i="70"/>
  <c r="DG48" i="106"/>
  <c r="DH36" i="106"/>
  <c r="DI28" i="106"/>
  <c r="DI27" i="106"/>
  <c r="DJ47" i="106"/>
  <c r="DJ46" i="106"/>
  <c r="DK46" i="106" s="1"/>
  <c r="DL46" i="106" s="1"/>
  <c r="DI44" i="106"/>
  <c r="DC48" i="106"/>
  <c r="DD36" i="106"/>
  <c r="BS39" i="5"/>
  <c r="F48" i="70"/>
  <c r="AS45" i="5"/>
  <c r="R35" i="107"/>
  <c r="BU27" i="5"/>
  <c r="F32" i="70"/>
  <c r="G32" i="70"/>
  <c r="F23" i="70"/>
  <c r="G23" i="70"/>
  <c r="AS51" i="5"/>
  <c r="AS50" i="5"/>
  <c r="BS50" i="5" s="1"/>
  <c r="AS42" i="5"/>
  <c r="AS40" i="5"/>
  <c r="BS32" i="5"/>
  <c r="BS27" i="5"/>
  <c r="G35" i="70"/>
  <c r="P7" i="63"/>
  <c r="P88" i="59"/>
  <c r="AG88" i="1" s="1"/>
  <c r="AH88" i="1" s="1"/>
  <c r="P86" i="59"/>
  <c r="AG86" i="1" s="1"/>
  <c r="AH86" i="1" s="1"/>
  <c r="P85" i="59"/>
  <c r="AG85" i="1" s="1"/>
  <c r="AH85" i="1" s="1"/>
  <c r="G13" i="25"/>
  <c r="AZ38" i="5"/>
  <c r="AV24" i="5"/>
  <c r="BV24" i="5" s="1"/>
  <c r="AV19" i="107"/>
  <c r="AT17" i="5"/>
  <c r="BT17" i="5" s="1"/>
  <c r="AY50" i="5"/>
  <c r="BY50" i="5" s="1"/>
  <c r="M53" i="5"/>
  <c r="BD53" i="5"/>
  <c r="BK53" i="5"/>
  <c r="AD14" i="101"/>
  <c r="AB15" i="101"/>
  <c r="AA7" i="83"/>
  <c r="AA33" i="23"/>
  <c r="DI19" i="106"/>
  <c r="AX34" i="107"/>
  <c r="AX29" i="107"/>
  <c r="AI94" i="107"/>
  <c r="K94" i="107"/>
  <c r="AU46" i="107"/>
  <c r="AX28" i="107"/>
  <c r="F36" i="70"/>
  <c r="BB7" i="83"/>
  <c r="E12" i="28"/>
  <c r="E14" i="28" s="1"/>
  <c r="AR51" i="5"/>
  <c r="BR51" i="5" s="1"/>
  <c r="AR39" i="5"/>
  <c r="BR39" i="5" s="1"/>
  <c r="AR38" i="5"/>
  <c r="BR38" i="5" s="1"/>
  <c r="AR26" i="5"/>
  <c r="BR26" i="5" s="1"/>
  <c r="Q39" i="9"/>
  <c r="R39" i="9" s="1"/>
  <c r="AR45" i="5"/>
  <c r="AR42" i="5"/>
  <c r="AR40" i="5"/>
  <c r="BR32" i="5"/>
  <c r="BR47" i="5"/>
  <c r="E21" i="70"/>
  <c r="F21" i="70"/>
  <c r="E22" i="70"/>
  <c r="F22" i="70"/>
  <c r="F35" i="70"/>
  <c r="E16" i="70"/>
  <c r="F16" i="70"/>
  <c r="E31" i="70"/>
  <c r="F31" i="70"/>
  <c r="F30" i="70"/>
  <c r="L94" i="107"/>
  <c r="BI53" i="5"/>
  <c r="AJ53" i="5"/>
  <c r="E23" i="70"/>
  <c r="V36" i="101"/>
  <c r="W36" i="101" s="1"/>
  <c r="AJ94" i="107"/>
  <c r="CU15" i="106"/>
  <c r="CU16" i="106" s="1"/>
  <c r="DI21" i="106"/>
  <c r="DJ19" i="106"/>
  <c r="DK19" i="106" s="1"/>
  <c r="DL19" i="106" s="1"/>
  <c r="DM19" i="106" s="1"/>
  <c r="E30" i="70"/>
  <c r="AZ8" i="83"/>
  <c r="E13" i="25"/>
  <c r="Y35" i="101"/>
  <c r="U35" i="101"/>
  <c r="Q35" i="101"/>
  <c r="M35" i="101"/>
  <c r="I35" i="101"/>
  <c r="E35" i="101"/>
  <c r="Y34" i="101"/>
  <c r="U34" i="101"/>
  <c r="Q34" i="101"/>
  <c r="M34" i="101"/>
  <c r="I34" i="101"/>
  <c r="E34" i="101"/>
  <c r="Y30" i="101"/>
  <c r="U30" i="101"/>
  <c r="Q30" i="101"/>
  <c r="M30" i="101"/>
  <c r="I30" i="101"/>
  <c r="E30" i="101"/>
  <c r="Y29" i="101"/>
  <c r="U29" i="101"/>
  <c r="Q29" i="101"/>
  <c r="M29" i="101"/>
  <c r="I29" i="101"/>
  <c r="E29" i="101"/>
  <c r="Y28" i="101"/>
  <c r="U28" i="101"/>
  <c r="Q28" i="101"/>
  <c r="M28" i="101"/>
  <c r="I28" i="101"/>
  <c r="E28" i="101"/>
  <c r="Y23" i="101"/>
  <c r="U23" i="101"/>
  <c r="Q23" i="101"/>
  <c r="M23" i="101"/>
  <c r="I23" i="101"/>
  <c r="Q11" i="101"/>
  <c r="N36" i="101"/>
  <c r="O36" i="101" s="1"/>
  <c r="M21" i="101"/>
  <c r="Y20" i="101"/>
  <c r="U20" i="101"/>
  <c r="Q20" i="101"/>
  <c r="Y19" i="101"/>
  <c r="U19" i="101"/>
  <c r="Y18" i="101"/>
  <c r="U18" i="101"/>
  <c r="Q18" i="101"/>
  <c r="I17" i="101"/>
  <c r="E17" i="101"/>
  <c r="Y16" i="101"/>
  <c r="E16" i="101"/>
  <c r="Y15" i="101"/>
  <c r="U15" i="101"/>
  <c r="Q15" i="101"/>
  <c r="M15" i="101"/>
  <c r="I15" i="101"/>
  <c r="E15" i="101"/>
  <c r="E12" i="101"/>
  <c r="I11" i="101"/>
  <c r="AD32" i="1"/>
  <c r="AQ51" i="5"/>
  <c r="BQ51" i="5" s="1"/>
  <c r="AQ39" i="5"/>
  <c r="BQ39" i="5" s="1"/>
  <c r="AQ26" i="5"/>
  <c r="BQ26" i="5" s="1"/>
  <c r="AQ31" i="5"/>
  <c r="BQ31" i="5" s="1"/>
  <c r="AQ37" i="5"/>
  <c r="BQ37" i="5" s="1"/>
  <c r="Q53" i="5"/>
  <c r="AQ49" i="5"/>
  <c r="BQ49" i="5" s="1"/>
  <c r="AQ21" i="5"/>
  <c r="BQ21" i="5" s="1"/>
  <c r="AQ42" i="5"/>
  <c r="AQ40" i="5"/>
  <c r="R41" i="8"/>
  <c r="AQ45" i="5"/>
  <c r="BQ27" i="5"/>
  <c r="E36" i="70"/>
  <c r="E35" i="70"/>
  <c r="D32" i="70"/>
  <c r="X26" i="107"/>
  <c r="O21" i="101"/>
  <c r="AU50" i="5"/>
  <c r="BC53" i="5"/>
  <c r="BC54" i="5" s="1"/>
  <c r="AR44" i="5"/>
  <c r="AT38" i="5"/>
  <c r="BT38" i="5" s="1"/>
  <c r="BO33" i="5"/>
  <c r="AS31" i="5"/>
  <c r="AT30" i="5"/>
  <c r="AW29" i="5"/>
  <c r="BW29" i="5" s="1"/>
  <c r="AO29" i="5"/>
  <c r="BV27" i="5"/>
  <c r="BT27" i="5"/>
  <c r="BR27" i="5"/>
  <c r="AV20" i="5"/>
  <c r="BV20" i="5" s="1"/>
  <c r="AX17" i="5"/>
  <c r="AV16" i="5"/>
  <c r="AV15" i="5"/>
  <c r="BV15" i="5" s="1"/>
  <c r="AD17" i="101"/>
  <c r="AD19" i="101"/>
  <c r="AD21" i="101"/>
  <c r="AD6" i="101"/>
  <c r="Z36" i="101"/>
  <c r="AA36" i="101" s="1"/>
  <c r="R36" i="101"/>
  <c r="S36" i="101" s="1"/>
  <c r="AB53" i="5"/>
  <c r="AV35" i="5"/>
  <c r="AW28" i="5"/>
  <c r="BW28" i="5" s="1"/>
  <c r="AO28" i="5"/>
  <c r="BY27" i="5"/>
  <c r="BW27" i="5"/>
  <c r="D12" i="28"/>
  <c r="D14" i="28" s="1"/>
  <c r="AD16" i="101"/>
  <c r="AD18" i="101"/>
  <c r="AD20" i="101"/>
  <c r="AD23" i="101"/>
  <c r="J21" i="54"/>
  <c r="DI14" i="106"/>
  <c r="M52" i="107"/>
  <c r="AG15" i="107"/>
  <c r="AG16" i="107" s="1"/>
  <c r="BX27" i="5"/>
  <c r="DJ14" i="106"/>
  <c r="DK14" i="106" s="1"/>
  <c r="DL14" i="106" s="1"/>
  <c r="DM14" i="106" s="1"/>
  <c r="CU22" i="106"/>
  <c r="D13" i="25"/>
  <c r="G35" i="101"/>
  <c r="AD35" i="101"/>
  <c r="G34" i="101"/>
  <c r="AD34" i="101"/>
  <c r="L41" i="107"/>
  <c r="G30" i="101"/>
  <c r="AD30" i="101"/>
  <c r="G29" i="101"/>
  <c r="AD29" i="101"/>
  <c r="G28" i="101"/>
  <c r="AD28" i="101"/>
  <c r="F22" i="101"/>
  <c r="AD15" i="101"/>
  <c r="AZ3" i="83"/>
  <c r="AZ4" i="83"/>
  <c r="C48" i="70"/>
  <c r="D48" i="70"/>
  <c r="K18" i="7"/>
  <c r="O18" i="7" s="1"/>
  <c r="AZ7" i="83"/>
  <c r="AP51" i="5"/>
  <c r="BP51" i="5" s="1"/>
  <c r="AP39" i="5"/>
  <c r="BP39" i="5" s="1"/>
  <c r="F42" i="9"/>
  <c r="AP34" i="5"/>
  <c r="BP34" i="5" s="1"/>
  <c r="AP38" i="5"/>
  <c r="BP38" i="5" s="1"/>
  <c r="AP17" i="5"/>
  <c r="AP40" i="5"/>
  <c r="AP45" i="5"/>
  <c r="AP42" i="5"/>
  <c r="BP32" i="5"/>
  <c r="V13" i="107"/>
  <c r="D13" i="107"/>
  <c r="AX20" i="107"/>
  <c r="AX18" i="107"/>
  <c r="AC22" i="107"/>
  <c r="AJ13" i="107"/>
  <c r="K35" i="107"/>
  <c r="B47" i="107"/>
  <c r="AX42" i="107"/>
  <c r="AX40" i="107"/>
  <c r="W46" i="107"/>
  <c r="AX38" i="107"/>
  <c r="AO47" i="107"/>
  <c r="AF47" i="107"/>
  <c r="Z47" i="107"/>
  <c r="Q47" i="107"/>
  <c r="H47" i="107"/>
  <c r="AX33" i="107"/>
  <c r="K46" i="107"/>
  <c r="AR47" i="107"/>
  <c r="AL47" i="107"/>
  <c r="AC47" i="107"/>
  <c r="T47" i="107"/>
  <c r="N47" i="107"/>
  <c r="E47" i="107"/>
  <c r="AX30" i="107"/>
  <c r="AU35" i="107"/>
  <c r="W35" i="107"/>
  <c r="AX25" i="107"/>
  <c r="AL22" i="107"/>
  <c r="AL16" i="107"/>
  <c r="AF16" i="107"/>
  <c r="AF22" i="107"/>
  <c r="C15" i="107"/>
  <c r="E22" i="107"/>
  <c r="AY8" i="107"/>
  <c r="AC16" i="107"/>
  <c r="AQ13" i="107"/>
  <c r="Z22" i="107"/>
  <c r="AN13" i="107"/>
  <c r="AB13" i="107"/>
  <c r="AV13" i="107"/>
  <c r="AU13" i="107"/>
  <c r="AU15" i="107" s="1"/>
  <c r="U15" i="107"/>
  <c r="U16" i="107" s="1"/>
  <c r="D21" i="70"/>
  <c r="D22" i="70"/>
  <c r="D31" i="70"/>
  <c r="D16" i="70"/>
  <c r="U21" i="107"/>
  <c r="L13" i="107"/>
  <c r="AY12" i="107"/>
  <c r="BO45" i="5"/>
  <c r="R46" i="107"/>
  <c r="X39" i="107"/>
  <c r="X43" i="107"/>
  <c r="AG46" i="107"/>
  <c r="L42" i="107"/>
  <c r="C31" i="7"/>
  <c r="G31" i="7" s="1"/>
  <c r="AW50" i="5"/>
  <c r="BW50" i="5" s="1"/>
  <c r="AW49" i="5"/>
  <c r="BW49" i="5" s="1"/>
  <c r="AU49" i="5"/>
  <c r="BM53" i="5"/>
  <c r="BE53" i="5"/>
  <c r="AR48" i="5"/>
  <c r="AS41" i="5"/>
  <c r="AZ36" i="5"/>
  <c r="AR36" i="5"/>
  <c r="AV36" i="5"/>
  <c r="AZ35" i="5"/>
  <c r="AR35" i="5"/>
  <c r="AW31" i="5"/>
  <c r="BW31" i="5" s="1"/>
  <c r="AX26" i="5"/>
  <c r="AT26" i="5"/>
  <c r="AP26" i="5"/>
  <c r="AZ21" i="5"/>
  <c r="AT21" i="5"/>
  <c r="AX21" i="5"/>
  <c r="AV21" i="5"/>
  <c r="AR20" i="5"/>
  <c r="F36" i="101"/>
  <c r="G36" i="101" s="1"/>
  <c r="W21" i="101"/>
  <c r="S21" i="101"/>
  <c r="AA20" i="101"/>
  <c r="W20" i="101"/>
  <c r="S20" i="101"/>
  <c r="O20" i="101"/>
  <c r="K20" i="101"/>
  <c r="W19" i="101"/>
  <c r="S19" i="101"/>
  <c r="O19" i="101"/>
  <c r="BW52" i="5"/>
  <c r="AT47" i="5"/>
  <c r="E53" i="5"/>
  <c r="AF53" i="5"/>
  <c r="S53" i="5"/>
  <c r="AU46" i="5"/>
  <c r="AZ44" i="5"/>
  <c r="W53" i="5"/>
  <c r="AX38" i="5"/>
  <c r="AV38" i="5"/>
  <c r="AZ34" i="5"/>
  <c r="AV34" i="5"/>
  <c r="BV34" i="5" s="1"/>
  <c r="AR34" i="5"/>
  <c r="AY33" i="5"/>
  <c r="BQ32" i="5"/>
  <c r="BO32" i="5"/>
  <c r="AO30" i="5"/>
  <c r="AZ25" i="5"/>
  <c r="AZ24" i="5"/>
  <c r="BZ24" i="5" s="1"/>
  <c r="AP24" i="5"/>
  <c r="O7" i="70"/>
  <c r="DF23" i="106"/>
  <c r="DF16" i="106"/>
  <c r="DH15" i="106"/>
  <c r="DB16" i="106"/>
  <c r="DB23" i="106"/>
  <c r="DB49" i="106" s="1"/>
  <c r="DC23" i="106"/>
  <c r="DC49" i="106" s="1"/>
  <c r="DC16" i="106"/>
  <c r="AO22" i="107"/>
  <c r="AO16" i="107"/>
  <c r="I32" i="23"/>
  <c r="J19" i="23"/>
  <c r="AB40" i="23"/>
  <c r="DJ8" i="106"/>
  <c r="DK8" i="106" s="1"/>
  <c r="CZ48" i="106"/>
  <c r="CZ13" i="106"/>
  <c r="K13" i="7"/>
  <c r="CD21" i="23" s="1"/>
  <c r="AP50" i="5"/>
  <c r="BH53" i="5"/>
  <c r="BN33" i="5" s="1"/>
  <c r="BF53" i="5"/>
  <c r="BF54" i="5" s="1"/>
  <c r="AQ44" i="5"/>
  <c r="AV43" i="5"/>
  <c r="AX35" i="5"/>
  <c r="AT35" i="5"/>
  <c r="AP35" i="5"/>
  <c r="AU33" i="5"/>
  <c r="AS33" i="5"/>
  <c r="AQ33" i="5"/>
  <c r="BT32" i="5"/>
  <c r="AS30" i="5"/>
  <c r="AW30" i="5"/>
  <c r="BW30" i="5" s="1"/>
  <c r="AV29" i="5"/>
  <c r="AR29" i="5"/>
  <c r="AX25" i="5"/>
  <c r="AV25" i="5"/>
  <c r="AT25" i="5"/>
  <c r="AR25" i="5"/>
  <c r="AP25" i="5"/>
  <c r="AZ22" i="5"/>
  <c r="AV22" i="5"/>
  <c r="AR22" i="5"/>
  <c r="AZ20" i="5"/>
  <c r="AX20" i="5"/>
  <c r="AT20" i="5"/>
  <c r="AP20" i="5"/>
  <c r="AX18" i="5"/>
  <c r="AR18" i="5"/>
  <c r="AP18" i="5"/>
  <c r="DJ38" i="106"/>
  <c r="DK38" i="106" s="1"/>
  <c r="DL38" i="106" s="1"/>
  <c r="DM38" i="106" s="1"/>
  <c r="DJ33" i="106"/>
  <c r="DK33" i="106" s="1"/>
  <c r="DL33" i="106" s="1"/>
  <c r="DA13" i="106"/>
  <c r="DI10" i="106"/>
  <c r="AS46" i="107"/>
  <c r="AD46" i="107"/>
  <c r="AA46" i="107"/>
  <c r="AV37" i="107"/>
  <c r="AJ33" i="107"/>
  <c r="L27" i="107"/>
  <c r="F15" i="107"/>
  <c r="C38" i="7"/>
  <c r="G38" i="7" s="1"/>
  <c r="K37" i="7"/>
  <c r="O37" i="7" s="1"/>
  <c r="G10" i="7"/>
  <c r="G9" i="7"/>
  <c r="J15" i="105" s="1"/>
  <c r="O7" i="7"/>
  <c r="J20" i="105" s="1"/>
  <c r="C16" i="7"/>
  <c r="CD20" i="23" s="1"/>
  <c r="G6" i="7"/>
  <c r="X36" i="101"/>
  <c r="Y36" i="101" s="1"/>
  <c r="T36" i="101"/>
  <c r="U36" i="101" s="1"/>
  <c r="P36" i="101"/>
  <c r="Q36" i="101" s="1"/>
  <c r="L36" i="101"/>
  <c r="M36" i="101" s="1"/>
  <c r="K18" i="101"/>
  <c r="K15" i="101"/>
  <c r="AL53" i="5"/>
  <c r="AH53" i="5"/>
  <c r="AS52" i="5"/>
  <c r="AD53" i="5"/>
  <c r="AD54" i="5" s="1"/>
  <c r="AY52" i="5"/>
  <c r="I53" i="5"/>
  <c r="AY49" i="5"/>
  <c r="AP49" i="5"/>
  <c r="BL53" i="5"/>
  <c r="BJ53" i="5"/>
  <c r="AS47" i="5"/>
  <c r="BG53" i="5"/>
  <c r="BG54" i="5" s="1"/>
  <c r="AX46" i="5"/>
  <c r="BX46" i="5" s="1"/>
  <c r="AV46" i="5"/>
  <c r="AR46" i="5"/>
  <c r="AZ41" i="5"/>
  <c r="AV41" i="5"/>
  <c r="AR41" i="5"/>
  <c r="AV37" i="5"/>
  <c r="BW32" i="5"/>
  <c r="BU32" i="5"/>
  <c r="AS28" i="5"/>
  <c r="BP27" i="5"/>
  <c r="AX24" i="5"/>
  <c r="AT24" i="5"/>
  <c r="AR24" i="5"/>
  <c r="AV23" i="5"/>
  <c r="AR21" i="5"/>
  <c r="AP21" i="5"/>
  <c r="AZ19" i="5"/>
  <c r="AV19" i="5"/>
  <c r="AR19" i="5"/>
  <c r="AW18" i="5"/>
  <c r="AU18" i="5"/>
  <c r="AT16" i="5"/>
  <c r="O29" i="70"/>
  <c r="O27" i="70"/>
  <c r="O26" i="70"/>
  <c r="AB7" i="83"/>
  <c r="AB4" i="83"/>
  <c r="AA26" i="23"/>
  <c r="Y26" i="23"/>
  <c r="W26" i="23"/>
  <c r="U26" i="23"/>
  <c r="S26" i="23"/>
  <c r="Q26" i="23"/>
  <c r="O26" i="23"/>
  <c r="M26" i="23"/>
  <c r="K26" i="23"/>
  <c r="I26" i="23"/>
  <c r="F26" i="23"/>
  <c r="D26" i="23"/>
  <c r="Q44" i="33"/>
  <c r="R44" i="33" s="1"/>
  <c r="AC38" i="1"/>
  <c r="AC36" i="1"/>
  <c r="AD36" i="1"/>
  <c r="AC34" i="1"/>
  <c r="AC32" i="1"/>
  <c r="C44" i="86"/>
  <c r="P17" i="63"/>
  <c r="F18" i="63"/>
  <c r="O17" i="101"/>
  <c r="F12" i="28"/>
  <c r="F14" i="28" s="1"/>
  <c r="AA35" i="101"/>
  <c r="W35" i="101"/>
  <c r="S35" i="101"/>
  <c r="O35" i="101"/>
  <c r="AA34" i="101"/>
  <c r="W34" i="101"/>
  <c r="S34" i="101"/>
  <c r="O34" i="101"/>
  <c r="AA30" i="101"/>
  <c r="W30" i="101"/>
  <c r="S30" i="101"/>
  <c r="O30" i="101"/>
  <c r="AA29" i="101"/>
  <c r="W29" i="101"/>
  <c r="S29" i="101"/>
  <c r="O29" i="101"/>
  <c r="AA28" i="101"/>
  <c r="W28" i="101"/>
  <c r="S28" i="101"/>
  <c r="O28" i="101"/>
  <c r="AA23" i="101"/>
  <c r="W23" i="101"/>
  <c r="S23" i="101"/>
  <c r="O23" i="101"/>
  <c r="I21" i="101"/>
  <c r="E21" i="101"/>
  <c r="M20" i="101"/>
  <c r="I20" i="101"/>
  <c r="M19" i="101"/>
  <c r="I19" i="101"/>
  <c r="E19" i="101"/>
  <c r="AA18" i="101"/>
  <c r="W18" i="101"/>
  <c r="S18" i="101"/>
  <c r="O18" i="101"/>
  <c r="M18" i="101"/>
  <c r="I18" i="101"/>
  <c r="W17" i="101"/>
  <c r="S17" i="101"/>
  <c r="M17" i="101"/>
  <c r="AA16" i="101"/>
  <c r="W16" i="101"/>
  <c r="S16" i="101"/>
  <c r="O16" i="101"/>
  <c r="AA15" i="101"/>
  <c r="W15" i="101"/>
  <c r="S15" i="101"/>
  <c r="O15" i="101"/>
  <c r="X27" i="107"/>
  <c r="X18" i="107"/>
  <c r="H36" i="101"/>
  <c r="I36" i="101" s="1"/>
  <c r="K35" i="101"/>
  <c r="K34" i="101"/>
  <c r="K30" i="101"/>
  <c r="K29" i="101"/>
  <c r="K28" i="101"/>
  <c r="K23" i="101"/>
  <c r="Y21" i="101"/>
  <c r="U21" i="101"/>
  <c r="Y17" i="101"/>
  <c r="U17" i="101"/>
  <c r="G15" i="101"/>
  <c r="O14" i="70"/>
  <c r="O13" i="70"/>
  <c r="O12" i="70"/>
  <c r="C12" i="28"/>
  <c r="C14" i="28" s="1"/>
  <c r="C19" i="70"/>
  <c r="C23" i="70"/>
  <c r="C35" i="70"/>
  <c r="K16" i="101"/>
  <c r="J22" i="101"/>
  <c r="Q16" i="101"/>
  <c r="P22" i="101"/>
  <c r="M16" i="101"/>
  <c r="L22" i="101"/>
  <c r="I16" i="101"/>
  <c r="O46" i="107"/>
  <c r="F46" i="107"/>
  <c r="L45" i="107"/>
  <c r="AJ31" i="107"/>
  <c r="G13" i="7"/>
  <c r="J18" i="105" s="1"/>
  <c r="AU52" i="5"/>
  <c r="AQ52" i="5"/>
  <c r="W14" i="101"/>
  <c r="E14" i="101"/>
  <c r="U11" i="101"/>
  <c r="E9" i="101"/>
  <c r="AM53" i="5"/>
  <c r="J24" i="105" l="1"/>
  <c r="CD4" i="83"/>
  <c r="J39" i="105"/>
  <c r="CD34" i="23"/>
  <c r="CD35" i="23"/>
  <c r="CD7" i="83"/>
  <c r="CD33" i="23"/>
  <c r="CD8" i="83" s="1"/>
  <c r="CC29" i="23"/>
  <c r="I20" i="70"/>
  <c r="CC34" i="23"/>
  <c r="CC35" i="23"/>
  <c r="BU50" i="5"/>
  <c r="AN42" i="5"/>
  <c r="AN34" i="5"/>
  <c r="AN26" i="5"/>
  <c r="AN27" i="5"/>
  <c r="AN32" i="5"/>
  <c r="AN45" i="5"/>
  <c r="AN53" i="5"/>
  <c r="AN40" i="5"/>
  <c r="BU51" i="5"/>
  <c r="BU20" i="5"/>
  <c r="BU29" i="5"/>
  <c r="BU47" i="5"/>
  <c r="BU35" i="5"/>
  <c r="BU19" i="5"/>
  <c r="BU38" i="5"/>
  <c r="N17" i="5"/>
  <c r="BN19" i="5"/>
  <c r="AA22" i="5"/>
  <c r="BN25" i="5"/>
  <c r="N35" i="5"/>
  <c r="N38" i="5"/>
  <c r="AN43" i="5"/>
  <c r="N46" i="5"/>
  <c r="AA48" i="5"/>
  <c r="AA34" i="5"/>
  <c r="N52" i="5"/>
  <c r="AA15" i="5"/>
  <c r="BN17" i="5"/>
  <c r="N21" i="5"/>
  <c r="AA25" i="5"/>
  <c r="AA33" i="5"/>
  <c r="BN36" i="5"/>
  <c r="N41" i="5"/>
  <c r="N44" i="5"/>
  <c r="AA47" i="5"/>
  <c r="AN49" i="5"/>
  <c r="AN23" i="5"/>
  <c r="AN44" i="5"/>
  <c r="AA28" i="5"/>
  <c r="AN29" i="5"/>
  <c r="N31" i="5"/>
  <c r="AN15" i="5"/>
  <c r="N20" i="5"/>
  <c r="AN39" i="5"/>
  <c r="N49" i="5"/>
  <c r="BN42" i="5"/>
  <c r="BN34" i="5"/>
  <c r="BN30" i="5"/>
  <c r="BN26" i="5"/>
  <c r="BN51" i="5"/>
  <c r="BN39" i="5"/>
  <c r="BN31" i="5"/>
  <c r="BN40" i="5"/>
  <c r="BN53" i="5"/>
  <c r="BN45" i="5"/>
  <c r="AA51" i="5"/>
  <c r="AA39" i="5"/>
  <c r="AA27" i="5"/>
  <c r="AA40" i="5"/>
  <c r="AA32" i="5"/>
  <c r="AA53" i="5"/>
  <c r="AA50" i="5"/>
  <c r="AA42" i="5"/>
  <c r="AA45" i="5"/>
  <c r="BU41" i="5"/>
  <c r="BU37" i="5"/>
  <c r="CC7" i="83"/>
  <c r="CC33" i="23"/>
  <c r="CC8" i="83" s="1"/>
  <c r="AN16" i="5"/>
  <c r="AN19" i="5"/>
  <c r="BN21" i="5"/>
  <c r="N25" i="5"/>
  <c r="AN33" i="5"/>
  <c r="AA37" i="5"/>
  <c r="BN41" i="5"/>
  <c r="BN44" i="5"/>
  <c r="BN47" i="5"/>
  <c r="AN51" i="5"/>
  <c r="BN52" i="5"/>
  <c r="AA17" i="5"/>
  <c r="AA20" i="5"/>
  <c r="AN24" i="5"/>
  <c r="BN32" i="5"/>
  <c r="AA36" i="5"/>
  <c r="AN38" i="5"/>
  <c r="AA43" i="5"/>
  <c r="N47" i="5"/>
  <c r="AA49" i="5"/>
  <c r="N28" i="5"/>
  <c r="AA29" i="5"/>
  <c r="AA30" i="5"/>
  <c r="AN18" i="5"/>
  <c r="AN22" i="5"/>
  <c r="AN25" i="5"/>
  <c r="BN37" i="5"/>
  <c r="AN47" i="5"/>
  <c r="AN28" i="5"/>
  <c r="N51" i="5"/>
  <c r="N39" i="5"/>
  <c r="N27" i="5"/>
  <c r="N53" i="5"/>
  <c r="N32" i="5"/>
  <c r="BU43" i="5"/>
  <c r="BU16" i="5"/>
  <c r="N16" i="5"/>
  <c r="N19" i="5"/>
  <c r="AA21" i="5"/>
  <c r="N24" i="5"/>
  <c r="N33" i="5"/>
  <c r="N36" i="5"/>
  <c r="N40" i="5"/>
  <c r="AA44" i="5"/>
  <c r="BN46" i="5"/>
  <c r="N50" i="5"/>
  <c r="AN36" i="5"/>
  <c r="AN52" i="5"/>
  <c r="AA16" i="5"/>
  <c r="AA19" i="5"/>
  <c r="BN23" i="5"/>
  <c r="AA35" i="5"/>
  <c r="AA38" i="5"/>
  <c r="N42" i="5"/>
  <c r="AA46" i="5"/>
  <c r="AN48" i="5"/>
  <c r="AN17" i="5"/>
  <c r="AA26" i="5"/>
  <c r="BN27" i="5"/>
  <c r="N29" i="5"/>
  <c r="N30" i="5"/>
  <c r="AN31" i="5"/>
  <c r="N18" i="5"/>
  <c r="N22" i="5"/>
  <c r="BN24" i="5"/>
  <c r="N37" i="5"/>
  <c r="N43" i="5"/>
  <c r="BN50" i="5"/>
  <c r="BU39" i="5"/>
  <c r="BU24" i="5"/>
  <c r="BU22" i="5"/>
  <c r="BU48" i="5"/>
  <c r="BU31" i="5"/>
  <c r="BU15" i="5"/>
  <c r="BU25" i="5"/>
  <c r="AA18" i="5"/>
  <c r="AN20" i="5"/>
  <c r="BN22" i="5"/>
  <c r="AN35" i="5"/>
  <c r="BN38" i="5"/>
  <c r="BN43" i="5"/>
  <c r="AN46" i="5"/>
  <c r="BN48" i="5"/>
  <c r="AA52" i="5"/>
  <c r="BN15" i="5"/>
  <c r="BN18" i="5"/>
  <c r="N23" i="5"/>
  <c r="N26" i="5"/>
  <c r="N34" i="5"/>
  <c r="AN37" i="5"/>
  <c r="AN41" i="5"/>
  <c r="N45" i="5"/>
  <c r="N48" i="5"/>
  <c r="AN50" i="5"/>
  <c r="BN28" i="5"/>
  <c r="BN29" i="5"/>
  <c r="AA31" i="5"/>
  <c r="BN16" i="5"/>
  <c r="BN20" i="5"/>
  <c r="AA24" i="5"/>
  <c r="BN35" i="5"/>
  <c r="AA41" i="5"/>
  <c r="BN49" i="5"/>
  <c r="AN30" i="5"/>
  <c r="AN21" i="5"/>
  <c r="CY49" i="106"/>
  <c r="CZ49" i="106" s="1"/>
  <c r="BD55" i="5"/>
  <c r="BD54" i="5"/>
  <c r="BE54" i="5"/>
  <c r="CB34" i="23"/>
  <c r="CB35" i="23"/>
  <c r="CB3" i="83"/>
  <c r="CB29" i="23"/>
  <c r="CA33" i="23"/>
  <c r="CA8" i="83" s="1"/>
  <c r="L54" i="5"/>
  <c r="G30" i="70"/>
  <c r="G33" i="70" s="1"/>
  <c r="CA34" i="23"/>
  <c r="CA35" i="23"/>
  <c r="CA29" i="23"/>
  <c r="CA3" i="83"/>
  <c r="BZ33" i="23"/>
  <c r="BZ8" i="83" s="1"/>
  <c r="F20" i="70"/>
  <c r="BZ3" i="83"/>
  <c r="BZ29" i="23"/>
  <c r="BZ34" i="23"/>
  <c r="BZ35" i="23"/>
  <c r="BY29" i="23"/>
  <c r="BY4" i="83" s="1"/>
  <c r="BY3" i="83"/>
  <c r="E15" i="70"/>
  <c r="E20" i="70"/>
  <c r="BY33" i="23"/>
  <c r="BY8" i="83" s="1"/>
  <c r="BY7" i="83"/>
  <c r="BY34" i="23"/>
  <c r="BY35" i="23"/>
  <c r="D36" i="70"/>
  <c r="AF54" i="5"/>
  <c r="BX33" i="23"/>
  <c r="BX8" i="83" s="1"/>
  <c r="BX7" i="83"/>
  <c r="C48" i="106"/>
  <c r="DT36" i="106"/>
  <c r="DU36" i="106" s="1"/>
  <c r="R31" i="106"/>
  <c r="S33" i="106"/>
  <c r="S30" i="106"/>
  <c r="D17" i="70"/>
  <c r="O17" i="70" s="1"/>
  <c r="R33" i="106"/>
  <c r="T45" i="106"/>
  <c r="R27" i="106"/>
  <c r="S54" i="5"/>
  <c r="T30" i="106"/>
  <c r="R34" i="106"/>
  <c r="S31" i="106"/>
  <c r="T44" i="106"/>
  <c r="S44" i="106"/>
  <c r="BX28" i="23"/>
  <c r="BW34" i="23"/>
  <c r="D30" i="70"/>
  <c r="D33" i="70" s="1"/>
  <c r="D23" i="70"/>
  <c r="BW35" i="23"/>
  <c r="BW7" i="83"/>
  <c r="BW33" i="23"/>
  <c r="BW8" i="83" s="1"/>
  <c r="BW3" i="83"/>
  <c r="BW29" i="23"/>
  <c r="AG9" i="1"/>
  <c r="AH9" i="1" s="1"/>
  <c r="AG20" i="1"/>
  <c r="AH20" i="1" s="1"/>
  <c r="AG11" i="1"/>
  <c r="AH11" i="1" s="1"/>
  <c r="AG15" i="1"/>
  <c r="AH15" i="1" s="1"/>
  <c r="AG17" i="1"/>
  <c r="AH17" i="1" s="1"/>
  <c r="AG18" i="1"/>
  <c r="AH18" i="1" s="1"/>
  <c r="AG12" i="1"/>
  <c r="AH12" i="1" s="1"/>
  <c r="AG13" i="1"/>
  <c r="AH13" i="1" s="1"/>
  <c r="AG16" i="1"/>
  <c r="AH16" i="1" s="1"/>
  <c r="AG10" i="1"/>
  <c r="AH10" i="1" s="1"/>
  <c r="AG19" i="1"/>
  <c r="AH19" i="1" s="1"/>
  <c r="S29" i="106"/>
  <c r="S45" i="106"/>
  <c r="T33" i="106"/>
  <c r="R26" i="106"/>
  <c r="S34" i="106"/>
  <c r="R30" i="106"/>
  <c r="AL54" i="5"/>
  <c r="C54" i="5"/>
  <c r="Z54" i="5"/>
  <c r="AH54" i="5"/>
  <c r="K54" i="5"/>
  <c r="X54" i="5"/>
  <c r="AK54" i="5"/>
  <c r="E54" i="5"/>
  <c r="G54" i="5"/>
  <c r="V54" i="5"/>
  <c r="BO23" i="5"/>
  <c r="BO37" i="5"/>
  <c r="BO15" i="5"/>
  <c r="T54" i="5"/>
  <c r="F54" i="5"/>
  <c r="R54" i="5"/>
  <c r="P48" i="106"/>
  <c r="P49" i="106" s="1"/>
  <c r="BO39" i="5"/>
  <c r="AG54" i="5"/>
  <c r="Y54" i="5"/>
  <c r="J54" i="5"/>
  <c r="G48" i="106"/>
  <c r="G49" i="106" s="1"/>
  <c r="S32" i="106"/>
  <c r="T28" i="106"/>
  <c r="BO47" i="5"/>
  <c r="AC18" i="101"/>
  <c r="AC44" i="101"/>
  <c r="AC42" i="101"/>
  <c r="AC40" i="101"/>
  <c r="AC41" i="101"/>
  <c r="AC43" i="101"/>
  <c r="BO18" i="5"/>
  <c r="AA6" i="5"/>
  <c r="BO19" i="5"/>
  <c r="H54" i="5"/>
  <c r="I54" i="5"/>
  <c r="AI54" i="5"/>
  <c r="AM54" i="5"/>
  <c r="Q54" i="5"/>
  <c r="M54" i="5"/>
  <c r="W54" i="5"/>
  <c r="AJ54" i="5"/>
  <c r="D54" i="5"/>
  <c r="U54" i="5"/>
  <c r="AE54" i="5"/>
  <c r="Q47" i="106"/>
  <c r="T42" i="106"/>
  <c r="R38" i="106"/>
  <c r="T27" i="106"/>
  <c r="W22" i="101"/>
  <c r="T32" i="106"/>
  <c r="S39" i="106"/>
  <c r="AZ8" i="107"/>
  <c r="T43" i="106"/>
  <c r="S40" i="106"/>
  <c r="S42" i="106"/>
  <c r="T35" i="106"/>
  <c r="T41" i="106"/>
  <c r="S43" i="106"/>
  <c r="T31" i="106"/>
  <c r="T46" i="106"/>
  <c r="T29" i="106"/>
  <c r="T40" i="106"/>
  <c r="L48" i="106"/>
  <c r="L49" i="106" s="1"/>
  <c r="S28" i="106"/>
  <c r="N48" i="106"/>
  <c r="N49" i="106" s="1"/>
  <c r="AZ52" i="107"/>
  <c r="T39" i="106"/>
  <c r="Q36" i="106"/>
  <c r="S27" i="106"/>
  <c r="S46" i="106"/>
  <c r="T34" i="106"/>
  <c r="H48" i="106"/>
  <c r="H49" i="106" s="1"/>
  <c r="R28" i="106"/>
  <c r="J48" i="106"/>
  <c r="J49" i="106" s="1"/>
  <c r="B48" i="106"/>
  <c r="E36" i="106"/>
  <c r="I47" i="106"/>
  <c r="S35" i="106"/>
  <c r="S41" i="106"/>
  <c r="R39" i="106"/>
  <c r="R47" i="106" s="1"/>
  <c r="R29" i="106"/>
  <c r="R32" i="106"/>
  <c r="I36" i="106"/>
  <c r="R35" i="106"/>
  <c r="AR48" i="107"/>
  <c r="N20" i="70"/>
  <c r="Q22" i="107"/>
  <c r="Q48" i="107" s="1"/>
  <c r="AK13" i="107"/>
  <c r="DK47" i="106"/>
  <c r="DL47" i="106" s="1"/>
  <c r="DM47" i="106" s="1"/>
  <c r="BU7" i="83"/>
  <c r="N15" i="70"/>
  <c r="AD47" i="107"/>
  <c r="AY26" i="107"/>
  <c r="Z24" i="101"/>
  <c r="AA24" i="101" s="1"/>
  <c r="M30" i="70"/>
  <c r="M33" i="70" s="1"/>
  <c r="BQ7" i="83"/>
  <c r="DR20" i="106"/>
  <c r="DS20" i="106" s="1"/>
  <c r="U47" i="107"/>
  <c r="BU4" i="83"/>
  <c r="BU3" i="83"/>
  <c r="L30" i="70"/>
  <c r="L33" i="70" s="1"/>
  <c r="DR10" i="106"/>
  <c r="DS10" i="106" s="1"/>
  <c r="DR9" i="106"/>
  <c r="DS9" i="106" s="1"/>
  <c r="Q13" i="106"/>
  <c r="Q15" i="106" s="1"/>
  <c r="Q16" i="106" s="1"/>
  <c r="O33" i="23"/>
  <c r="O7" i="83"/>
  <c r="R19" i="23"/>
  <c r="K48" i="106"/>
  <c r="M36" i="106"/>
  <c r="T26" i="106"/>
  <c r="S26" i="106"/>
  <c r="O13" i="106"/>
  <c r="O15" i="106" s="1"/>
  <c r="T38" i="106"/>
  <c r="S38" i="106"/>
  <c r="M47" i="106"/>
  <c r="O48" i="106"/>
  <c r="DR21" i="106"/>
  <c r="DS21" i="106" s="1"/>
  <c r="K13" i="106"/>
  <c r="K15" i="106" s="1"/>
  <c r="T8" i="106"/>
  <c r="S8" i="106"/>
  <c r="M13" i="106"/>
  <c r="S14" i="106"/>
  <c r="T14" i="106"/>
  <c r="K22" i="106"/>
  <c r="M19" i="106"/>
  <c r="T21" i="106"/>
  <c r="S21" i="106"/>
  <c r="T50" i="106"/>
  <c r="O22" i="106"/>
  <c r="S20" i="106"/>
  <c r="T20" i="106"/>
  <c r="Q22" i="106"/>
  <c r="O37" i="105"/>
  <c r="BT8" i="83"/>
  <c r="BT7" i="83"/>
  <c r="BS8" i="83"/>
  <c r="V25" i="101"/>
  <c r="W25" i="101" s="1"/>
  <c r="N37" i="70"/>
  <c r="BP7" i="83"/>
  <c r="I47" i="107"/>
  <c r="K36" i="70"/>
  <c r="K37" i="70" s="1"/>
  <c r="L35" i="107"/>
  <c r="AY19" i="107"/>
  <c r="H22" i="107"/>
  <c r="H48" i="107" s="1"/>
  <c r="J23" i="70"/>
  <c r="BR7" i="83"/>
  <c r="BR8" i="83"/>
  <c r="BR3" i="83"/>
  <c r="BR4" i="83"/>
  <c r="BQ4" i="83"/>
  <c r="BN6" i="5"/>
  <c r="BO4" i="83"/>
  <c r="F22" i="107"/>
  <c r="AD22" i="107"/>
  <c r="AX13" i="107"/>
  <c r="AX15" i="107" s="1"/>
  <c r="AX16" i="107" s="1"/>
  <c r="T48" i="107"/>
  <c r="AO48" i="107"/>
  <c r="AL48" i="107"/>
  <c r="J20" i="70"/>
  <c r="J18" i="70"/>
  <c r="J15" i="70"/>
  <c r="O14" i="63"/>
  <c r="O19" i="63" s="1"/>
  <c r="O26" i="63" s="1"/>
  <c r="BP4" i="83"/>
  <c r="BP3" i="83"/>
  <c r="L46" i="107"/>
  <c r="DR35" i="106"/>
  <c r="DS35" i="106" s="1"/>
  <c r="AA47" i="107"/>
  <c r="AS47" i="107"/>
  <c r="N24" i="101"/>
  <c r="N25" i="101" s="1"/>
  <c r="N26" i="101" s="1"/>
  <c r="O26" i="101" s="1"/>
  <c r="O17" i="105"/>
  <c r="N7" i="5"/>
  <c r="AY45" i="107"/>
  <c r="N9" i="5"/>
  <c r="N12" i="5"/>
  <c r="BN8" i="5"/>
  <c r="BN11" i="5"/>
  <c r="D24" i="101"/>
  <c r="D25" i="101" s="1"/>
  <c r="D26" i="101" s="1"/>
  <c r="E26" i="101" s="1"/>
  <c r="AY40" i="107"/>
  <c r="BN8" i="83"/>
  <c r="AC40" i="23"/>
  <c r="BM3" i="83"/>
  <c r="H7" i="83"/>
  <c r="H33" i="23"/>
  <c r="DR46" i="106"/>
  <c r="BO7" i="83"/>
  <c r="BO8" i="83"/>
  <c r="G36" i="70"/>
  <c r="G37" i="70" s="1"/>
  <c r="AM47" i="107"/>
  <c r="AB31" i="101"/>
  <c r="AC31" i="101" s="1"/>
  <c r="AA9" i="5"/>
  <c r="AY32" i="107"/>
  <c r="C47" i="107"/>
  <c r="AU47" i="107"/>
  <c r="AG47" i="107"/>
  <c r="AI22" i="107"/>
  <c r="AI48" i="107" s="1"/>
  <c r="AY25" i="107"/>
  <c r="W22" i="107"/>
  <c r="N48" i="107"/>
  <c r="AX94" i="107"/>
  <c r="AY28" i="107"/>
  <c r="DR40" i="106"/>
  <c r="BN3" i="83"/>
  <c r="DR30" i="106"/>
  <c r="DR34" i="106"/>
  <c r="DR31" i="106"/>
  <c r="DS31" i="106" s="1"/>
  <c r="Q45" i="33"/>
  <c r="AY30" i="107"/>
  <c r="AY43" i="107"/>
  <c r="DR27" i="106"/>
  <c r="DR45" i="106"/>
  <c r="AY29" i="107"/>
  <c r="AY34" i="107"/>
  <c r="AJ46" i="107"/>
  <c r="AY38" i="107"/>
  <c r="DR42" i="106"/>
  <c r="AY41" i="107"/>
  <c r="O47" i="107"/>
  <c r="DR28" i="106"/>
  <c r="DS28" i="106" s="1"/>
  <c r="DR41" i="106"/>
  <c r="AY44" i="107"/>
  <c r="BQ5" i="83"/>
  <c r="BR5" i="83"/>
  <c r="BO5" i="83"/>
  <c r="J14" i="63"/>
  <c r="J19" i="63" s="1"/>
  <c r="J26" i="63" s="1"/>
  <c r="Q265" i="59"/>
  <c r="AV35" i="107"/>
  <c r="BM4" i="83"/>
  <c r="BM7" i="83"/>
  <c r="BM8" i="83"/>
  <c r="I16" i="107"/>
  <c r="I22" i="107"/>
  <c r="J33" i="70"/>
  <c r="DR29" i="106"/>
  <c r="DR44" i="106"/>
  <c r="DS44" i="106" s="1"/>
  <c r="DR33" i="106"/>
  <c r="DR39" i="106"/>
  <c r="DR43" i="106"/>
  <c r="DS43" i="106" s="1"/>
  <c r="DR32" i="106"/>
  <c r="AV46" i="107"/>
  <c r="AC6" i="101"/>
  <c r="AY42" i="107"/>
  <c r="I37" i="70"/>
  <c r="AC54" i="5"/>
  <c r="BL8" i="83"/>
  <c r="BL7" i="83"/>
  <c r="P54" i="5"/>
  <c r="C16" i="70"/>
  <c r="O16" i="70" s="1"/>
  <c r="K14" i="63"/>
  <c r="K19" i="63" s="1"/>
  <c r="K26" i="63" s="1"/>
  <c r="L14" i="63"/>
  <c r="L19" i="63" s="1"/>
  <c r="L26" i="63" s="1"/>
  <c r="F14" i="63"/>
  <c r="F19" i="63" s="1"/>
  <c r="F26" i="63" s="1"/>
  <c r="F33" i="70"/>
  <c r="L37" i="70"/>
  <c r="G14" i="63"/>
  <c r="G19" i="63" s="1"/>
  <c r="G26" i="63" s="1"/>
  <c r="BO22" i="5"/>
  <c r="BO38" i="5"/>
  <c r="BO34" i="5"/>
  <c r="BO20" i="5"/>
  <c r="BO49" i="5"/>
  <c r="AA13" i="5"/>
  <c r="BO35" i="5"/>
  <c r="BO50" i="5"/>
  <c r="BO25" i="5"/>
  <c r="BO41" i="5"/>
  <c r="BO28" i="5"/>
  <c r="AN12" i="5"/>
  <c r="BO29" i="5"/>
  <c r="BO46" i="5"/>
  <c r="BO26" i="5"/>
  <c r="BO36" i="5"/>
  <c r="BO16" i="5"/>
  <c r="BO17" i="5"/>
  <c r="BO21" i="5"/>
  <c r="BO43" i="5"/>
  <c r="BO48" i="5"/>
  <c r="BO44" i="5"/>
  <c r="BN12" i="5"/>
  <c r="BO24" i="5"/>
  <c r="BO40" i="5"/>
  <c r="BO42" i="5"/>
  <c r="AC29" i="101"/>
  <c r="AC15" i="101"/>
  <c r="H37" i="70"/>
  <c r="M37" i="70"/>
  <c r="D14" i="63"/>
  <c r="D19" i="63" s="1"/>
  <c r="D26" i="63" s="1"/>
  <c r="N11" i="5"/>
  <c r="N8" i="5"/>
  <c r="BN14" i="5"/>
  <c r="N10" i="5"/>
  <c r="N14" i="5"/>
  <c r="K9" i="63"/>
  <c r="N13" i="5"/>
  <c r="N6" i="5"/>
  <c r="BN7" i="5"/>
  <c r="BN9" i="5"/>
  <c r="BN10" i="5"/>
  <c r="Q12" i="63"/>
  <c r="BN13" i="5"/>
  <c r="P18" i="63"/>
  <c r="Q18" i="63" s="1"/>
  <c r="AA14" i="5"/>
  <c r="H14" i="63"/>
  <c r="H19" i="63" s="1"/>
  <c r="H26" i="63" s="1"/>
  <c r="AA12" i="5"/>
  <c r="P13" i="63"/>
  <c r="Q13" i="63" s="1"/>
  <c r="DR14" i="106"/>
  <c r="DS14" i="106" s="1"/>
  <c r="E37" i="70"/>
  <c r="AG90" i="1"/>
  <c r="AH90" i="1" s="1"/>
  <c r="P91" i="59"/>
  <c r="AG91" i="1" s="1"/>
  <c r="AH91" i="1" s="1"/>
  <c r="E48" i="107"/>
  <c r="W47" i="107"/>
  <c r="AP47" i="107"/>
  <c r="Z48" i="107"/>
  <c r="O19" i="70"/>
  <c r="AY33" i="107"/>
  <c r="E14" i="63"/>
  <c r="E19" i="63" s="1"/>
  <c r="E26" i="63" s="1"/>
  <c r="I14" i="63"/>
  <c r="I19" i="63" s="1"/>
  <c r="I26" i="63" s="1"/>
  <c r="AA11" i="5"/>
  <c r="AA7" i="5"/>
  <c r="AA10" i="5"/>
  <c r="AA8" i="5"/>
  <c r="AN7" i="5"/>
  <c r="AN13" i="5"/>
  <c r="AN6" i="5"/>
  <c r="AG210" i="1"/>
  <c r="AH210" i="1" s="1"/>
  <c r="AG21" i="1"/>
  <c r="AH21" i="1" s="1"/>
  <c r="AG89" i="1"/>
  <c r="AH89" i="1" s="1"/>
  <c r="AG265" i="1"/>
  <c r="AH265" i="1" s="1"/>
  <c r="Q24" i="63"/>
  <c r="N14" i="63"/>
  <c r="N19" i="63" s="1"/>
  <c r="N26" i="63" s="1"/>
  <c r="AN10" i="5"/>
  <c r="AN14" i="5"/>
  <c r="AN9" i="5"/>
  <c r="AN8" i="5"/>
  <c r="AC20" i="101"/>
  <c r="AC16" i="101"/>
  <c r="AN11" i="5"/>
  <c r="P8" i="63"/>
  <c r="P9" i="63" s="1"/>
  <c r="X24" i="101"/>
  <c r="X25" i="101" s="1"/>
  <c r="Q17" i="63"/>
  <c r="M14" i="63"/>
  <c r="M19" i="63" s="1"/>
  <c r="M26" i="63" s="1"/>
  <c r="AC23" i="101"/>
  <c r="Q25" i="63"/>
  <c r="Q21" i="63"/>
  <c r="Q7" i="63"/>
  <c r="AC19" i="101"/>
  <c r="AC34" i="101"/>
  <c r="Q273" i="59"/>
  <c r="AG273" i="1"/>
  <c r="AH273" i="1" s="1"/>
  <c r="Q266" i="59"/>
  <c r="AG266" i="1"/>
  <c r="AH266" i="1" s="1"/>
  <c r="Q264" i="59"/>
  <c r="Q272" i="59"/>
  <c r="Q11" i="63"/>
  <c r="Q23" i="63"/>
  <c r="Q16" i="63"/>
  <c r="Q270" i="59"/>
  <c r="Q209" i="59"/>
  <c r="Q210" i="59"/>
  <c r="Q239" i="59"/>
  <c r="Q172" i="59"/>
  <c r="Q269" i="59"/>
  <c r="Q10" i="63"/>
  <c r="R47" i="107"/>
  <c r="R48" i="107" s="1"/>
  <c r="AC30" i="101"/>
  <c r="AC35" i="101"/>
  <c r="AC14" i="101"/>
  <c r="AC28" i="101"/>
  <c r="AC17" i="101"/>
  <c r="AC21" i="101"/>
  <c r="Q22" i="63"/>
  <c r="Q6" i="63"/>
  <c r="DR26" i="106"/>
  <c r="DS26" i="106" s="1"/>
  <c r="DR38" i="106"/>
  <c r="DS38" i="106" s="1"/>
  <c r="AX21" i="107"/>
  <c r="DR19" i="106"/>
  <c r="DS19" i="106" s="1"/>
  <c r="K22" i="107"/>
  <c r="DR8" i="106"/>
  <c r="DS8" i="106" s="1"/>
  <c r="N33" i="70"/>
  <c r="C21" i="107"/>
  <c r="C22" i="107" s="1"/>
  <c r="AJ18" i="107"/>
  <c r="AG21" i="107"/>
  <c r="AG22" i="107" s="1"/>
  <c r="L20" i="107"/>
  <c r="BJ6" i="23"/>
  <c r="BJ5" i="83"/>
  <c r="BZ41" i="5"/>
  <c r="BZ20" i="5"/>
  <c r="BZ22" i="5"/>
  <c r="BZ25" i="5"/>
  <c r="BZ35" i="5"/>
  <c r="BZ45" i="5"/>
  <c r="BZ40" i="5"/>
  <c r="BZ42" i="5"/>
  <c r="BZ34" i="5"/>
  <c r="BZ44" i="5"/>
  <c r="BZ21" i="5"/>
  <c r="BZ36" i="5"/>
  <c r="BZ38" i="5"/>
  <c r="M20" i="70"/>
  <c r="M18" i="70"/>
  <c r="N18" i="70"/>
  <c r="N33" i="105"/>
  <c r="B48" i="107"/>
  <c r="T24" i="101"/>
  <c r="P7" i="83"/>
  <c r="P33" i="23"/>
  <c r="BI8" i="83"/>
  <c r="BY30" i="5"/>
  <c r="BY52" i="5"/>
  <c r="BY15" i="5"/>
  <c r="BY16" i="5"/>
  <c r="BY42" i="5"/>
  <c r="BY45" i="5"/>
  <c r="BY33" i="5"/>
  <c r="BY40" i="5"/>
  <c r="Y31" i="101"/>
  <c r="AD31" i="101"/>
  <c r="AV18" i="107"/>
  <c r="BI5" i="83"/>
  <c r="Q89" i="59"/>
  <c r="AP15" i="107"/>
  <c r="AV14" i="107"/>
  <c r="AY14" i="107" s="1"/>
  <c r="Q211" i="59"/>
  <c r="Q271" i="59"/>
  <c r="M15" i="70"/>
  <c r="Q90" i="59"/>
  <c r="AZ93" i="107"/>
  <c r="Q134" i="59"/>
  <c r="BX24" i="5"/>
  <c r="BX35" i="5"/>
  <c r="BX20" i="5"/>
  <c r="BX25" i="5"/>
  <c r="BX38" i="5"/>
  <c r="BX21" i="5"/>
  <c r="BX26" i="5"/>
  <c r="BX17" i="5"/>
  <c r="K20" i="70"/>
  <c r="L20" i="70"/>
  <c r="K18" i="70"/>
  <c r="L18" i="70"/>
  <c r="K15" i="70"/>
  <c r="DP45" i="106"/>
  <c r="DP35" i="106"/>
  <c r="DQ35" i="106" s="1"/>
  <c r="DP44" i="106"/>
  <c r="DQ44" i="106" s="1"/>
  <c r="DP27" i="106"/>
  <c r="DP30" i="106"/>
  <c r="DP34" i="106"/>
  <c r="DP41" i="106"/>
  <c r="DP10" i="106"/>
  <c r="DQ10" i="106" s="1"/>
  <c r="J37" i="70"/>
  <c r="BG8" i="83"/>
  <c r="DP28" i="106"/>
  <c r="DQ28" i="106" s="1"/>
  <c r="DP39" i="106"/>
  <c r="DP43" i="106"/>
  <c r="DQ43" i="106" s="1"/>
  <c r="DP38" i="106"/>
  <c r="DP42" i="106"/>
  <c r="DP40" i="106"/>
  <c r="DP31" i="106"/>
  <c r="DQ31" i="106" s="1"/>
  <c r="DP26" i="106"/>
  <c r="DQ26" i="106" s="1"/>
  <c r="DP33" i="106"/>
  <c r="DP46" i="106"/>
  <c r="DP8" i="106"/>
  <c r="DQ8" i="106" s="1"/>
  <c r="BG5" i="83"/>
  <c r="U22" i="107"/>
  <c r="BG3" i="83"/>
  <c r="O10" i="105"/>
  <c r="K10" i="70"/>
  <c r="DL8" i="106"/>
  <c r="DM8" i="106" s="1"/>
  <c r="F37" i="70"/>
  <c r="AX46" i="107"/>
  <c r="AJ15" i="107"/>
  <c r="AJ16" i="107" s="1"/>
  <c r="BF6" i="83"/>
  <c r="BF8" i="83"/>
  <c r="BF3" i="83"/>
  <c r="BV41" i="5"/>
  <c r="BV23" i="5"/>
  <c r="BV46" i="5"/>
  <c r="BV25" i="5"/>
  <c r="BV43" i="5"/>
  <c r="BV38" i="5"/>
  <c r="BV21" i="5"/>
  <c r="BV35" i="5"/>
  <c r="BV16" i="5"/>
  <c r="BV37" i="5"/>
  <c r="BV22" i="5"/>
  <c r="BV29" i="5"/>
  <c r="BV36" i="5"/>
  <c r="BV39" i="5"/>
  <c r="BV51" i="5"/>
  <c r="I18" i="70"/>
  <c r="BE8" i="83"/>
  <c r="AJ20" i="107"/>
  <c r="AA21" i="107"/>
  <c r="AA22" i="107" s="1"/>
  <c r="O13" i="7"/>
  <c r="C40" i="7"/>
  <c r="CD22" i="23" s="1"/>
  <c r="K42" i="7"/>
  <c r="I30" i="70"/>
  <c r="I33" i="70" s="1"/>
  <c r="BE5" i="83"/>
  <c r="BE3" i="83"/>
  <c r="BU18" i="5"/>
  <c r="BU33" i="5"/>
  <c r="BU46" i="5"/>
  <c r="BU49" i="5"/>
  <c r="BU40" i="5"/>
  <c r="BU42" i="5"/>
  <c r="BU45" i="5"/>
  <c r="DE16" i="106"/>
  <c r="DE23" i="106"/>
  <c r="DE49" i="106" s="1"/>
  <c r="BT25" i="5"/>
  <c r="BT35" i="5"/>
  <c r="BT21" i="5"/>
  <c r="BT26" i="5"/>
  <c r="BT30" i="5"/>
  <c r="BT40" i="5"/>
  <c r="BT42" i="5"/>
  <c r="BT24" i="5"/>
  <c r="BT20" i="5"/>
  <c r="BT47" i="5"/>
  <c r="BT45" i="5"/>
  <c r="G20" i="70"/>
  <c r="H20" i="70"/>
  <c r="G18" i="70"/>
  <c r="H18" i="70"/>
  <c r="H30" i="70"/>
  <c r="H33" i="70" s="1"/>
  <c r="DJ36" i="106"/>
  <c r="DJ48" i="106" s="1"/>
  <c r="DD48" i="106"/>
  <c r="DH48" i="106"/>
  <c r="BS47" i="5"/>
  <c r="BS33" i="5"/>
  <c r="BS52" i="5"/>
  <c r="BS30" i="5"/>
  <c r="BS41" i="5"/>
  <c r="BS31" i="5"/>
  <c r="BS40" i="5"/>
  <c r="BS42" i="5"/>
  <c r="BS51" i="5"/>
  <c r="BS45" i="5"/>
  <c r="BC5" i="83"/>
  <c r="BC7" i="83"/>
  <c r="AA40" i="23"/>
  <c r="AA8" i="83"/>
  <c r="AF48" i="107"/>
  <c r="AC48" i="107"/>
  <c r="BB8" i="83"/>
  <c r="BB4" i="83"/>
  <c r="BB3" i="83"/>
  <c r="BR41" i="5"/>
  <c r="BR34" i="5"/>
  <c r="BR20" i="5"/>
  <c r="BR35" i="5"/>
  <c r="BR40" i="5"/>
  <c r="BR42" i="5"/>
  <c r="BR45" i="5"/>
  <c r="BR19" i="5"/>
  <c r="BR21" i="5"/>
  <c r="BR24" i="5"/>
  <c r="BR46" i="5"/>
  <c r="BR22" i="5"/>
  <c r="BR25" i="5"/>
  <c r="BR29" i="5"/>
  <c r="BR36" i="5"/>
  <c r="BR48" i="5"/>
  <c r="BR44" i="5"/>
  <c r="E18" i="70"/>
  <c r="F18" i="70"/>
  <c r="AQ53" i="5"/>
  <c r="K22" i="7"/>
  <c r="G16" i="7"/>
  <c r="O19" i="105"/>
  <c r="BA8" i="83"/>
  <c r="BA7" i="83"/>
  <c r="BA3" i="83"/>
  <c r="BA4" i="83"/>
  <c r="BQ33" i="5"/>
  <c r="BQ44" i="5"/>
  <c r="BQ45" i="5"/>
  <c r="BQ40" i="5"/>
  <c r="BQ42" i="5"/>
  <c r="O32" i="105"/>
  <c r="E32" i="70"/>
  <c r="E33" i="70" s="1"/>
  <c r="AO53" i="5"/>
  <c r="CV16" i="106"/>
  <c r="CV22" i="106"/>
  <c r="CU23" i="106"/>
  <c r="AD36" i="101"/>
  <c r="F16" i="107"/>
  <c r="G22" i="101"/>
  <c r="F24" i="101"/>
  <c r="BP21" i="5"/>
  <c r="BP49" i="5"/>
  <c r="BP20" i="5"/>
  <c r="BP25" i="5"/>
  <c r="BP50" i="5"/>
  <c r="BP26" i="5"/>
  <c r="BP40" i="5"/>
  <c r="BP35" i="5"/>
  <c r="BP24" i="5"/>
  <c r="BP42" i="5"/>
  <c r="BP45" i="5"/>
  <c r="BP17" i="5"/>
  <c r="AX35" i="107"/>
  <c r="K47" i="107"/>
  <c r="F47" i="107"/>
  <c r="AU16" i="107"/>
  <c r="AU22" i="107"/>
  <c r="C16" i="107"/>
  <c r="AW13" i="107"/>
  <c r="D20" i="70"/>
  <c r="C22" i="70"/>
  <c r="O22" i="70" s="1"/>
  <c r="O22" i="105"/>
  <c r="C21" i="70"/>
  <c r="O21" i="70" s="1"/>
  <c r="O21" i="105"/>
  <c r="O36" i="105"/>
  <c r="C36" i="70"/>
  <c r="D35" i="70"/>
  <c r="O31" i="105"/>
  <c r="C31" i="70"/>
  <c r="O31" i="70" s="1"/>
  <c r="D18" i="70"/>
  <c r="BO52" i="5"/>
  <c r="O30" i="105"/>
  <c r="C30" i="70"/>
  <c r="BO30" i="5"/>
  <c r="L15" i="107"/>
  <c r="M13" i="107"/>
  <c r="X46" i="107"/>
  <c r="AY39" i="107"/>
  <c r="BT16" i="5"/>
  <c r="AT53" i="5"/>
  <c r="BV19" i="5"/>
  <c r="AV53" i="5"/>
  <c r="BS28" i="5"/>
  <c r="AS53" i="5"/>
  <c r="AP53" i="5"/>
  <c r="BP18" i="5"/>
  <c r="AX53" i="5"/>
  <c r="BX18" i="5"/>
  <c r="CZ15" i="106"/>
  <c r="DI13" i="106"/>
  <c r="I33" i="23"/>
  <c r="I7" i="83"/>
  <c r="Q33" i="23"/>
  <c r="Q7" i="83"/>
  <c r="BW18" i="5"/>
  <c r="BW53" i="5" s="1"/>
  <c r="AW53" i="5"/>
  <c r="BZ19" i="5"/>
  <c r="AZ53" i="5"/>
  <c r="BY49" i="5"/>
  <c r="AY53" i="5"/>
  <c r="C15" i="70"/>
  <c r="DD13" i="106"/>
  <c r="DA15" i="106"/>
  <c r="BR18" i="5"/>
  <c r="AR53" i="5"/>
  <c r="K19" i="23"/>
  <c r="J32" i="23"/>
  <c r="S19" i="23"/>
  <c r="R32" i="23"/>
  <c r="DH16" i="106"/>
  <c r="DF49" i="106"/>
  <c r="AY37" i="107"/>
  <c r="AV20" i="107"/>
  <c r="AM21" i="107"/>
  <c r="AM22" i="107" s="1"/>
  <c r="AY27" i="107"/>
  <c r="X35" i="107"/>
  <c r="X20" i="107"/>
  <c r="O21" i="107"/>
  <c r="AS21" i="107"/>
  <c r="AS22" i="107" s="1"/>
  <c r="AB36" i="101"/>
  <c r="AC36" i="101" s="1"/>
  <c r="O18" i="105"/>
  <c r="C18" i="70"/>
  <c r="J24" i="101"/>
  <c r="K22" i="101"/>
  <c r="BQ52" i="5"/>
  <c r="AY31" i="107"/>
  <c r="AJ35" i="107"/>
  <c r="M22" i="101"/>
  <c r="L24" i="101"/>
  <c r="Q22" i="101"/>
  <c r="P24" i="101"/>
  <c r="BU52" i="5"/>
  <c r="AU53" i="5"/>
  <c r="BY40" i="23" l="1"/>
  <c r="CD40" i="23"/>
  <c r="CC36" i="23"/>
  <c r="CD23" i="23"/>
  <c r="CD36" i="23" s="1"/>
  <c r="CC40" i="23"/>
  <c r="CC4" i="83"/>
  <c r="BA53" i="5"/>
  <c r="BA27" i="5"/>
  <c r="BA32" i="5"/>
  <c r="BA30" i="5"/>
  <c r="BA17" i="5"/>
  <c r="BA41" i="5"/>
  <c r="BA33" i="5"/>
  <c r="BA23" i="5"/>
  <c r="BA34" i="5"/>
  <c r="BA15" i="5"/>
  <c r="BA48" i="5"/>
  <c r="BA24" i="5"/>
  <c r="BA21" i="5"/>
  <c r="BA43" i="5"/>
  <c r="BA26" i="5"/>
  <c r="BA36" i="5"/>
  <c r="BA45" i="5"/>
  <c r="BA52" i="5"/>
  <c r="BA46" i="5"/>
  <c r="BA38" i="5"/>
  <c r="BA35" i="5"/>
  <c r="BA29" i="5"/>
  <c r="BA51" i="5"/>
  <c r="BA44" i="5"/>
  <c r="BA40" i="5"/>
  <c r="BA37" i="5"/>
  <c r="BA25" i="5"/>
  <c r="BA31" i="5"/>
  <c r="BA22" i="5"/>
  <c r="BA39" i="5"/>
  <c r="BA16" i="5"/>
  <c r="BA49" i="5"/>
  <c r="BA42" i="5"/>
  <c r="BA28" i="5"/>
  <c r="BA18" i="5"/>
  <c r="BA19" i="5"/>
  <c r="BA47" i="5"/>
  <c r="BA20" i="5"/>
  <c r="BA50" i="5"/>
  <c r="H15" i="70"/>
  <c r="H24" i="70" s="1"/>
  <c r="H39" i="70" s="1"/>
  <c r="CA36" i="23"/>
  <c r="CB36" i="23"/>
  <c r="CB4" i="83"/>
  <c r="CB40" i="23"/>
  <c r="CA4" i="83"/>
  <c r="CA40" i="23"/>
  <c r="BZ36" i="23"/>
  <c r="BZ4" i="83"/>
  <c r="BZ40" i="23"/>
  <c r="BY36" i="23"/>
  <c r="D37" i="70"/>
  <c r="BX29" i="23"/>
  <c r="BX3" i="83"/>
  <c r="C49" i="106"/>
  <c r="DT49" i="106" s="1"/>
  <c r="DU49" i="106" s="1"/>
  <c r="DT48" i="106"/>
  <c r="DU48" i="106" s="1"/>
  <c r="DH23" i="106"/>
  <c r="U48" i="107"/>
  <c r="O23" i="70"/>
  <c r="BX34" i="23"/>
  <c r="BX35" i="23"/>
  <c r="BW36" i="23"/>
  <c r="BW4" i="83"/>
  <c r="BW40" i="23"/>
  <c r="AX54" i="5"/>
  <c r="AR54" i="5"/>
  <c r="AU54" i="5"/>
  <c r="AZ54" i="5"/>
  <c r="AQ55" i="5"/>
  <c r="AQ54" i="5"/>
  <c r="AV54" i="5"/>
  <c r="I48" i="106"/>
  <c r="AY54" i="5"/>
  <c r="AW54" i="5"/>
  <c r="AS54" i="5"/>
  <c r="AT54" i="5"/>
  <c r="I48" i="107"/>
  <c r="Q48" i="106"/>
  <c r="T47" i="106"/>
  <c r="S36" i="106"/>
  <c r="R36" i="106"/>
  <c r="R48" i="106" s="1"/>
  <c r="E48" i="106"/>
  <c r="B49" i="106"/>
  <c r="S47" i="106"/>
  <c r="AU48" i="107"/>
  <c r="BQ8" i="83"/>
  <c r="N24" i="105"/>
  <c r="N39" i="105" s="1"/>
  <c r="Z25" i="101"/>
  <c r="Z32" i="101" s="1"/>
  <c r="Z37" i="101" s="1"/>
  <c r="AA37" i="101" s="1"/>
  <c r="K23" i="106"/>
  <c r="K49" i="106" s="1"/>
  <c r="AD48" i="107"/>
  <c r="Q23" i="106"/>
  <c r="Q17" i="106"/>
  <c r="O23" i="106"/>
  <c r="O49" i="106" s="1"/>
  <c r="D32" i="101"/>
  <c r="E32" i="101" s="1"/>
  <c r="E24" i="101"/>
  <c r="O36" i="70"/>
  <c r="V32" i="101"/>
  <c r="W32" i="101" s="1"/>
  <c r="C48" i="107"/>
  <c r="AA48" i="107"/>
  <c r="E25" i="101"/>
  <c r="DR22" i="106"/>
  <c r="DS22" i="106" s="1"/>
  <c r="V26" i="101"/>
  <c r="W26" i="101" s="1"/>
  <c r="O16" i="106"/>
  <c r="O17" i="106"/>
  <c r="O40" i="23"/>
  <c r="O8" i="83"/>
  <c r="T36" i="106"/>
  <c r="M48" i="106"/>
  <c r="K16" i="106"/>
  <c r="K17" i="106"/>
  <c r="M15" i="106"/>
  <c r="T19" i="106"/>
  <c r="M22" i="106"/>
  <c r="S19" i="106"/>
  <c r="S22" i="106" s="1"/>
  <c r="BP8" i="83"/>
  <c r="L47" i="107"/>
  <c r="AJ47" i="107"/>
  <c r="F48" i="107"/>
  <c r="AM48" i="107"/>
  <c r="AV21" i="107"/>
  <c r="AX47" i="107"/>
  <c r="AX22" i="107"/>
  <c r="AJ21" i="107"/>
  <c r="AJ22" i="107" s="1"/>
  <c r="D16" i="7"/>
  <c r="AS48" i="107"/>
  <c r="O24" i="101"/>
  <c r="O25" i="101"/>
  <c r="N32" i="101"/>
  <c r="AV47" i="107"/>
  <c r="Q8" i="63"/>
  <c r="BM40" i="23"/>
  <c r="H8" i="83"/>
  <c r="H40" i="23"/>
  <c r="DH49" i="106"/>
  <c r="F15" i="70"/>
  <c r="F24" i="70" s="1"/>
  <c r="F39" i="70" s="1"/>
  <c r="AG48" i="107"/>
  <c r="W48" i="107"/>
  <c r="BN4" i="83"/>
  <c r="BN40" i="23"/>
  <c r="BO6" i="83"/>
  <c r="BO40" i="23"/>
  <c r="BR6" i="83"/>
  <c r="BR40" i="23"/>
  <c r="BP5" i="83"/>
  <c r="BT5" i="83"/>
  <c r="BQ6" i="83"/>
  <c r="BQ40" i="23"/>
  <c r="AY46" i="107"/>
  <c r="M24" i="70"/>
  <c r="M39" i="70" s="1"/>
  <c r="AP54" i="5"/>
  <c r="O15" i="105"/>
  <c r="D9" i="7"/>
  <c r="BA8" i="5"/>
  <c r="D24" i="7"/>
  <c r="D37" i="7"/>
  <c r="D25" i="7"/>
  <c r="D40" i="7"/>
  <c r="D15" i="7"/>
  <c r="O35" i="70"/>
  <c r="AY18" i="107"/>
  <c r="D29" i="7"/>
  <c r="D7" i="7"/>
  <c r="D11" i="7"/>
  <c r="D38" i="7"/>
  <c r="D27" i="7"/>
  <c r="D26" i="7"/>
  <c r="D6" i="7"/>
  <c r="D10" i="7"/>
  <c r="D31" i="7"/>
  <c r="G40" i="7"/>
  <c r="C37" i="70"/>
  <c r="D23" i="7"/>
  <c r="D22" i="7"/>
  <c r="D30" i="7"/>
  <c r="D8" i="7"/>
  <c r="D12" i="7"/>
  <c r="D36" i="7"/>
  <c r="D14" i="7"/>
  <c r="D21" i="7"/>
  <c r="D28" i="7"/>
  <c r="D35" i="7"/>
  <c r="D13" i="7"/>
  <c r="P26" i="63"/>
  <c r="Q26" i="63" s="1"/>
  <c r="P14" i="63"/>
  <c r="Q14" i="63" s="1"/>
  <c r="P19" i="63"/>
  <c r="Q19" i="63" s="1"/>
  <c r="Y24" i="101"/>
  <c r="DR36" i="106"/>
  <c r="DS36" i="106" s="1"/>
  <c r="BV6" i="83"/>
  <c r="BV5" i="83"/>
  <c r="BK5" i="83"/>
  <c r="BK6" i="83"/>
  <c r="BL6" i="83"/>
  <c r="BL5" i="83"/>
  <c r="O18" i="70"/>
  <c r="BA12" i="5"/>
  <c r="DR47" i="106"/>
  <c r="DS47" i="106" s="1"/>
  <c r="K48" i="107"/>
  <c r="DR13" i="106"/>
  <c r="DS13" i="106" s="1"/>
  <c r="DP12" i="106"/>
  <c r="DQ12" i="106" s="1"/>
  <c r="DP9" i="106"/>
  <c r="DQ9" i="106" s="1"/>
  <c r="DP20" i="106"/>
  <c r="DQ20" i="106" s="1"/>
  <c r="DP14" i="106"/>
  <c r="DQ14" i="106" s="1"/>
  <c r="BA9" i="5"/>
  <c r="BA13" i="5"/>
  <c r="L21" i="107"/>
  <c r="L22" i="107" s="1"/>
  <c r="BJ6" i="83"/>
  <c r="BJ8" i="23"/>
  <c r="BJ10" i="23" s="1"/>
  <c r="BJ3" i="83"/>
  <c r="BZ53" i="5"/>
  <c r="N24" i="70"/>
  <c r="N39" i="70" s="1"/>
  <c r="BA14" i="5"/>
  <c r="BA11" i="5"/>
  <c r="T25" i="101"/>
  <c r="U24" i="101"/>
  <c r="P8" i="83"/>
  <c r="P40" i="23"/>
  <c r="BY53" i="5"/>
  <c r="AP16" i="107"/>
  <c r="AP22" i="107"/>
  <c r="AP48" i="107" s="1"/>
  <c r="AV15" i="107"/>
  <c r="AV16" i="107" s="1"/>
  <c r="BI6" i="83"/>
  <c r="BX53" i="5"/>
  <c r="L15" i="70"/>
  <c r="L24" i="70" s="1"/>
  <c r="L39" i="70" s="1"/>
  <c r="DP36" i="106"/>
  <c r="DQ36" i="106" s="1"/>
  <c r="DP47" i="106"/>
  <c r="DQ47" i="106" s="1"/>
  <c r="BG4" i="83"/>
  <c r="O33" i="105"/>
  <c r="K32" i="70"/>
  <c r="K33" i="70" s="1"/>
  <c r="O10" i="70"/>
  <c r="K24" i="70"/>
  <c r="E24" i="70"/>
  <c r="E39" i="70" s="1"/>
  <c r="DK36" i="106"/>
  <c r="DL36" i="106" s="1"/>
  <c r="BF4" i="83"/>
  <c r="BV53" i="5"/>
  <c r="J24" i="70"/>
  <c r="J39" i="70" s="1"/>
  <c r="BA6" i="5"/>
  <c r="BA10" i="5"/>
  <c r="BA7" i="5"/>
  <c r="BE4" i="83"/>
  <c r="BU53" i="5"/>
  <c r="I15" i="70"/>
  <c r="I24" i="70" s="1"/>
  <c r="I39" i="70" s="1"/>
  <c r="BD6" i="83"/>
  <c r="BT53" i="5"/>
  <c r="BS53" i="5"/>
  <c r="G15" i="70"/>
  <c r="G24" i="70" s="1"/>
  <c r="G39" i="70" s="1"/>
  <c r="BC8" i="83"/>
  <c r="BC3" i="83"/>
  <c r="X32" i="101"/>
  <c r="Y25" i="101"/>
  <c r="X26" i="101"/>
  <c r="Y26" i="101" s="1"/>
  <c r="K40" i="7"/>
  <c r="L22" i="7" s="1"/>
  <c r="BB5" i="83"/>
  <c r="BR53" i="5"/>
  <c r="O22" i="7"/>
  <c r="BQ53" i="5"/>
  <c r="BA5" i="83"/>
  <c r="F21" i="58"/>
  <c r="DI22" i="106"/>
  <c r="DJ22" i="106"/>
  <c r="DK22" i="106" s="1"/>
  <c r="DL22" i="106" s="1"/>
  <c r="DM22" i="106" s="1"/>
  <c r="CV23" i="106"/>
  <c r="CU49" i="106"/>
  <c r="CV49" i="106" s="1"/>
  <c r="F25" i="101"/>
  <c r="G24" i="101"/>
  <c r="BP53" i="5"/>
  <c r="AZ5" i="83"/>
  <c r="X47" i="107"/>
  <c r="C20" i="70"/>
  <c r="O20" i="70" s="1"/>
  <c r="O20" i="105"/>
  <c r="D15" i="70"/>
  <c r="D24" i="70" s="1"/>
  <c r="L16" i="107"/>
  <c r="BO53" i="5"/>
  <c r="O30" i="70"/>
  <c r="C33" i="70"/>
  <c r="S32" i="23"/>
  <c r="T19" i="23"/>
  <c r="K32" i="23"/>
  <c r="L19" i="23"/>
  <c r="DD15" i="106"/>
  <c r="DJ15" i="106" s="1"/>
  <c r="CZ16" i="106"/>
  <c r="DI15" i="106"/>
  <c r="R7" i="83"/>
  <c r="R33" i="23"/>
  <c r="J7" i="83"/>
  <c r="J33" i="23"/>
  <c r="DA16" i="106"/>
  <c r="DA23" i="106"/>
  <c r="Q40" i="23"/>
  <c r="Q8" i="83"/>
  <c r="I40" i="23"/>
  <c r="I8" i="83"/>
  <c r="DJ13" i="106"/>
  <c r="DK13" i="106" s="1"/>
  <c r="DL13" i="106" s="1"/>
  <c r="DM13" i="106" s="1"/>
  <c r="AY20" i="107"/>
  <c r="X21" i="107"/>
  <c r="AA32" i="101"/>
  <c r="P25" i="101"/>
  <c r="Q24" i="101"/>
  <c r="L25" i="101"/>
  <c r="M24" i="101"/>
  <c r="AY35" i="107"/>
  <c r="J25" i="101"/>
  <c r="K24" i="101"/>
  <c r="BQ54" i="5" l="1"/>
  <c r="BV54" i="5"/>
  <c r="CB55" i="5"/>
  <c r="CA18" i="5"/>
  <c r="BU54" i="5"/>
  <c r="CA47" i="5"/>
  <c r="CA39" i="5"/>
  <c r="CA45" i="5"/>
  <c r="CA35" i="5"/>
  <c r="CA48" i="5"/>
  <c r="CA53" i="5"/>
  <c r="CA44" i="5"/>
  <c r="CA26" i="5"/>
  <c r="CA32" i="5"/>
  <c r="CA28" i="5"/>
  <c r="CA17" i="5"/>
  <c r="CA27" i="5"/>
  <c r="CA21" i="5"/>
  <c r="CA30" i="5"/>
  <c r="CA34" i="5"/>
  <c r="CA23" i="5"/>
  <c r="CA36" i="5"/>
  <c r="CA20" i="5"/>
  <c r="CA16" i="5"/>
  <c r="CA25" i="5"/>
  <c r="CA37" i="5"/>
  <c r="CA46" i="5"/>
  <c r="CA29" i="5"/>
  <c r="CA24" i="5"/>
  <c r="CA42" i="5"/>
  <c r="CA50" i="5"/>
  <c r="CA31" i="5"/>
  <c r="CA51" i="5"/>
  <c r="CA33" i="5"/>
  <c r="CA41" i="5"/>
  <c r="CA52" i="5"/>
  <c r="CA19" i="5"/>
  <c r="CA22" i="5"/>
  <c r="CA40" i="5"/>
  <c r="CA38" i="5"/>
  <c r="CA43" i="5"/>
  <c r="CA15" i="5"/>
  <c r="CA49" i="5"/>
  <c r="BT54" i="5"/>
  <c r="BP54" i="5"/>
  <c r="BS54" i="5"/>
  <c r="BR54" i="5"/>
  <c r="O37" i="70"/>
  <c r="D39" i="70"/>
  <c r="BX40" i="23"/>
  <c r="BX4" i="83"/>
  <c r="E49" i="106"/>
  <c r="Q49" i="106"/>
  <c r="BX36" i="23"/>
  <c r="T48" i="106"/>
  <c r="AA25" i="101"/>
  <c r="Z26" i="101"/>
  <c r="AA26" i="101" s="1"/>
  <c r="S48" i="106"/>
  <c r="D37" i="101"/>
  <c r="E37" i="101" s="1"/>
  <c r="V37" i="101"/>
  <c r="W37" i="101" s="1"/>
  <c r="AX48" i="107"/>
  <c r="M17" i="106"/>
  <c r="M16" i="106"/>
  <c r="M23" i="106"/>
  <c r="T22" i="106"/>
  <c r="AJ48" i="107"/>
  <c r="DK48" i="106"/>
  <c r="N37" i="101"/>
  <c r="O37" i="101" s="1"/>
  <c r="O32" i="101"/>
  <c r="L8" i="7"/>
  <c r="L40" i="7"/>
  <c r="AY47" i="107"/>
  <c r="AY21" i="107"/>
  <c r="BP6" i="83"/>
  <c r="BP40" i="23"/>
  <c r="BU5" i="83"/>
  <c r="BT6" i="83"/>
  <c r="BT40" i="23"/>
  <c r="BS5" i="83"/>
  <c r="L35" i="7"/>
  <c r="L31" i="7"/>
  <c r="L18" i="7"/>
  <c r="L17" i="7"/>
  <c r="C24" i="70"/>
  <c r="C39" i="70" s="1"/>
  <c r="C41" i="70" s="1"/>
  <c r="D40" i="70" s="1"/>
  <c r="DR48" i="106"/>
  <c r="DS48" i="106" s="1"/>
  <c r="BV3" i="83"/>
  <c r="BK3" i="83"/>
  <c r="BL3" i="83"/>
  <c r="DR15" i="106"/>
  <c r="DS15" i="106" s="1"/>
  <c r="DP13" i="106"/>
  <c r="DQ13" i="106" s="1"/>
  <c r="K39" i="70"/>
  <c r="AV22" i="107"/>
  <c r="AV48" i="107" s="1"/>
  <c r="BJ4" i="83"/>
  <c r="T26" i="101"/>
  <c r="U26" i="101" s="1"/>
  <c r="U25" i="101"/>
  <c r="T32" i="101"/>
  <c r="L13" i="7"/>
  <c r="L29" i="7"/>
  <c r="L32" i="7"/>
  <c r="L20" i="7"/>
  <c r="L6" i="7"/>
  <c r="L10" i="7"/>
  <c r="BI3" i="83"/>
  <c r="BH4" i="83"/>
  <c r="BH3" i="83"/>
  <c r="BH5" i="83"/>
  <c r="DP15" i="106"/>
  <c r="DP48" i="106"/>
  <c r="DQ48" i="106" s="1"/>
  <c r="O33" i="70"/>
  <c r="DL48" i="106"/>
  <c r="DM36" i="106"/>
  <c r="BC6" i="83"/>
  <c r="L37" i="7"/>
  <c r="L26" i="7"/>
  <c r="O40" i="7"/>
  <c r="L27" i="7"/>
  <c r="L34" i="7"/>
  <c r="L36" i="7"/>
  <c r="L16" i="7"/>
  <c r="L33" i="7"/>
  <c r="L7" i="7"/>
  <c r="L9" i="7"/>
  <c r="L11" i="7"/>
  <c r="BC4" i="83"/>
  <c r="X37" i="101"/>
  <c r="Y37" i="101" s="1"/>
  <c r="Y32" i="101"/>
  <c r="BB6" i="83"/>
  <c r="BA6" i="83"/>
  <c r="DI23" i="106"/>
  <c r="DI49" i="106"/>
  <c r="F26" i="101"/>
  <c r="F32" i="101"/>
  <c r="G32" i="101" s="1"/>
  <c r="G25" i="101"/>
  <c r="O24" i="105"/>
  <c r="O39" i="105" s="1"/>
  <c r="O41" i="105" s="1"/>
  <c r="AZ6" i="83"/>
  <c r="L48" i="107"/>
  <c r="O15" i="70"/>
  <c r="CA6" i="5"/>
  <c r="CA8" i="5"/>
  <c r="CA14" i="5"/>
  <c r="CA11" i="5"/>
  <c r="CA12" i="5"/>
  <c r="CA13" i="5"/>
  <c r="CA10" i="5"/>
  <c r="CA7" i="5"/>
  <c r="CA9" i="5"/>
  <c r="DD23" i="106"/>
  <c r="DA49" i="106"/>
  <c r="DD49" i="106" s="1"/>
  <c r="J8" i="83"/>
  <c r="J40" i="23"/>
  <c r="R8" i="83"/>
  <c r="R40" i="23"/>
  <c r="DI16" i="106"/>
  <c r="DD16" i="106"/>
  <c r="K33" i="23"/>
  <c r="K7" i="83"/>
  <c r="S33" i="23"/>
  <c r="S7" i="83"/>
  <c r="DJ16" i="106"/>
  <c r="DK15" i="106"/>
  <c r="DK17" i="106" s="1"/>
  <c r="DL17" i="106" s="1"/>
  <c r="M19" i="23"/>
  <c r="L32" i="23"/>
  <c r="U19" i="23"/>
  <c r="T32" i="23"/>
  <c r="J32" i="101"/>
  <c r="K25" i="101"/>
  <c r="J26" i="101"/>
  <c r="K26" i="101" s="1"/>
  <c r="M25" i="101"/>
  <c r="L32" i="101"/>
  <c r="L37" i="101" s="1"/>
  <c r="M37" i="101" s="1"/>
  <c r="L26" i="101"/>
  <c r="M26" i="101" s="1"/>
  <c r="P26" i="101"/>
  <c r="Q26" i="101" s="1"/>
  <c r="P32" i="101"/>
  <c r="Q25" i="101"/>
  <c r="D41" i="70" l="1"/>
  <c r="D49" i="70" s="1"/>
  <c r="DM48" i="106"/>
  <c r="M49" i="106"/>
  <c r="DR16" i="106"/>
  <c r="DR17" i="106"/>
  <c r="BS6" i="83"/>
  <c r="BU6" i="83"/>
  <c r="BU40" i="23"/>
  <c r="O24" i="70"/>
  <c r="O39" i="70" s="1"/>
  <c r="O41" i="70" s="1"/>
  <c r="O49" i="70" s="1"/>
  <c r="BL4" i="83"/>
  <c r="BL40" i="23"/>
  <c r="BV40" i="23"/>
  <c r="BV4" i="83"/>
  <c r="BK4" i="83"/>
  <c r="BK40" i="23"/>
  <c r="C49" i="70"/>
  <c r="DR49" i="106"/>
  <c r="DS49" i="106" s="1"/>
  <c r="DR23" i="106"/>
  <c r="DS23" i="106" s="1"/>
  <c r="DP21" i="106"/>
  <c r="DQ21" i="106" s="1"/>
  <c r="DP19" i="106"/>
  <c r="DQ19" i="106" s="1"/>
  <c r="DP16" i="106"/>
  <c r="DQ15" i="106"/>
  <c r="U32" i="101"/>
  <c r="T37" i="101"/>
  <c r="U37" i="101" s="1"/>
  <c r="BI4" i="83"/>
  <c r="BH6" i="83"/>
  <c r="DP17" i="106"/>
  <c r="F37" i="101"/>
  <c r="G37" i="101" s="1"/>
  <c r="G26" i="101"/>
  <c r="U32" i="23"/>
  <c r="V19" i="23"/>
  <c r="M32" i="23"/>
  <c r="N19" i="23"/>
  <c r="N32" i="23" s="1"/>
  <c r="S40" i="23"/>
  <c r="S8" i="83"/>
  <c r="K40" i="23"/>
  <c r="K8" i="83"/>
  <c r="DJ23" i="106"/>
  <c r="DK23" i="106" s="1"/>
  <c r="DL23" i="106" s="1"/>
  <c r="DM23" i="106" s="1"/>
  <c r="T7" i="83"/>
  <c r="T33" i="23"/>
  <c r="L7" i="83"/>
  <c r="L33" i="23"/>
  <c r="DL15" i="106"/>
  <c r="DM15" i="106" s="1"/>
  <c r="DK16" i="106"/>
  <c r="DL16" i="106" s="1"/>
  <c r="DJ49" i="106"/>
  <c r="DK49" i="106" s="1"/>
  <c r="DL49" i="106" s="1"/>
  <c r="DM49" i="106" s="1"/>
  <c r="J37" i="101"/>
  <c r="K32" i="101"/>
  <c r="P37" i="101"/>
  <c r="Q37" i="101" s="1"/>
  <c r="Q32" i="101"/>
  <c r="E40" i="70" l="1"/>
  <c r="E41" i="70" s="1"/>
  <c r="F40" i="70" s="1"/>
  <c r="F41" i="70" s="1"/>
  <c r="DP22" i="106"/>
  <c r="DQ22" i="106" s="1"/>
  <c r="DP23" i="106"/>
  <c r="DQ23" i="106" s="1"/>
  <c r="K37" i="101"/>
  <c r="L8" i="83"/>
  <c r="L40" i="23"/>
  <c r="T8" i="83"/>
  <c r="T40" i="23"/>
  <c r="N7" i="83"/>
  <c r="N33" i="23"/>
  <c r="M33" i="23"/>
  <c r="M7" i="83"/>
  <c r="U33" i="23"/>
  <c r="U7" i="83"/>
  <c r="W19" i="23"/>
  <c r="V32" i="23"/>
  <c r="E49" i="70" l="1"/>
  <c r="DP49" i="106"/>
  <c r="DQ49" i="106" s="1"/>
  <c r="V7" i="83"/>
  <c r="V33" i="23"/>
  <c r="N8" i="83"/>
  <c r="N40" i="23"/>
  <c r="W32" i="23"/>
  <c r="X19" i="23"/>
  <c r="U40" i="23"/>
  <c r="U8" i="83"/>
  <c r="M40" i="23"/>
  <c r="M8" i="83"/>
  <c r="G40" i="70"/>
  <c r="G41" i="70" s="1"/>
  <c r="F49" i="70"/>
  <c r="J42" i="105" l="1"/>
  <c r="J40" i="105"/>
  <c r="J41" i="105" s="1"/>
  <c r="Y19" i="23"/>
  <c r="X32" i="23"/>
  <c r="V8" i="83"/>
  <c r="V40" i="23"/>
  <c r="W33" i="23"/>
  <c r="W7" i="83"/>
  <c r="H40" i="70"/>
  <c r="H41" i="70" s="1"/>
  <c r="G49" i="70"/>
  <c r="J43" i="105" l="1"/>
  <c r="K42" i="105" s="1"/>
  <c r="J44" i="105"/>
  <c r="K40" i="105"/>
  <c r="K41" i="105" s="1"/>
  <c r="J49" i="105"/>
  <c r="X7" i="83"/>
  <c r="X33" i="23"/>
  <c r="W40" i="23"/>
  <c r="W8" i="83"/>
  <c r="Y32" i="23"/>
  <c r="Z19" i="23"/>
  <c r="Z32" i="23" s="1"/>
  <c r="I40" i="70"/>
  <c r="I41" i="70" s="1"/>
  <c r="H49" i="70"/>
  <c r="J46" i="105" l="1"/>
  <c r="J45" i="105"/>
  <c r="K44" i="105" s="1"/>
  <c r="K43" i="105"/>
  <c r="L40" i="105"/>
  <c r="L41" i="105" s="1"/>
  <c r="K49" i="105"/>
  <c r="Z7" i="83"/>
  <c r="Z33" i="23"/>
  <c r="X8" i="83"/>
  <c r="X40" i="23"/>
  <c r="Y33" i="23"/>
  <c r="Y7" i="83"/>
  <c r="J40" i="70"/>
  <c r="J41" i="70" s="1"/>
  <c r="I49" i="70"/>
  <c r="K45" i="105" l="1"/>
  <c r="L44" i="105" s="1"/>
  <c r="J47" i="105"/>
  <c r="K46" i="105" s="1"/>
  <c r="L42" i="105"/>
  <c r="L43" i="105" s="1"/>
  <c r="M42" i="105" s="1"/>
  <c r="M40" i="105"/>
  <c r="M41" i="105" s="1"/>
  <c r="M49" i="105" s="1"/>
  <c r="L49" i="105"/>
  <c r="Z8" i="83"/>
  <c r="Z40" i="23"/>
  <c r="Y40" i="23"/>
  <c r="Y8" i="83"/>
  <c r="K40" i="70"/>
  <c r="K41" i="70" s="1"/>
  <c r="J49" i="70"/>
  <c r="K47" i="105" l="1"/>
  <c r="L46" i="105" s="1"/>
  <c r="M43" i="105"/>
  <c r="L45" i="105"/>
  <c r="M44" i="105" s="1"/>
  <c r="L40" i="70"/>
  <c r="L41" i="70" s="1"/>
  <c r="K49" i="70"/>
  <c r="M45" i="105" l="1"/>
  <c r="L47" i="105"/>
  <c r="M46" i="105" s="1"/>
  <c r="N42" i="105"/>
  <c r="N40" i="105"/>
  <c r="N41" i="105" s="1"/>
  <c r="L49" i="70"/>
  <c r="M40" i="70"/>
  <c r="M41" i="70" s="1"/>
  <c r="M47" i="105" l="1"/>
  <c r="N49" i="105"/>
  <c r="N43" i="105"/>
  <c r="N40" i="70"/>
  <c r="N41" i="70" s="1"/>
  <c r="N49" i="70" s="1"/>
  <c r="M49" i="70"/>
  <c r="N46" i="105" l="1"/>
  <c r="N44" i="105"/>
  <c r="N45" i="105" s="1"/>
  <c r="AD12" i="101"/>
  <c r="AC12" i="101"/>
  <c r="H13" i="101"/>
  <c r="I12" i="101"/>
  <c r="N47" i="105" l="1"/>
  <c r="I13" i="101"/>
  <c r="H22" i="101"/>
  <c r="H24" i="101" l="1"/>
  <c r="I22" i="101"/>
  <c r="H25" i="101" l="1"/>
  <c r="I24" i="101"/>
  <c r="H26" i="101" l="1"/>
  <c r="H32" i="101"/>
  <c r="I25" i="101"/>
  <c r="I32" i="101" l="1"/>
  <c r="H37" i="101"/>
  <c r="I26" i="101"/>
  <c r="I37" i="101" l="1"/>
  <c r="AB11" i="101" l="1"/>
  <c r="AC11" i="101" s="1"/>
  <c r="AD11" i="101"/>
  <c r="S11" i="101"/>
  <c r="R13" i="101" l="1"/>
  <c r="AB9" i="101"/>
  <c r="AC9" i="101" s="1"/>
  <c r="AD9" i="101"/>
  <c r="S9" i="101"/>
  <c r="AD10" i="101"/>
  <c r="AB10" i="101"/>
  <c r="AC10" i="101" s="1"/>
  <c r="S10" i="101"/>
  <c r="S13" i="101" l="1"/>
  <c r="R22" i="101"/>
  <c r="AB22" i="101" s="1"/>
  <c r="AB13" i="101"/>
  <c r="AC13" i="101" s="1"/>
  <c r="AD13" i="101"/>
  <c r="R24" i="101" l="1"/>
  <c r="S22" i="101"/>
  <c r="AD22" i="101"/>
  <c r="AC22" i="101"/>
  <c r="S24" i="101" l="1"/>
  <c r="R25" i="101"/>
  <c r="AD24" i="101"/>
  <c r="AB24" i="101"/>
  <c r="AC24" i="101" l="1"/>
  <c r="AB46" i="101"/>
  <c r="S25" i="101"/>
  <c r="R26" i="101"/>
  <c r="R32" i="101"/>
  <c r="AD25" i="101"/>
  <c r="AB25" i="101"/>
  <c r="AC25" i="101" s="1"/>
  <c r="S26" i="101" l="1"/>
  <c r="AD26" i="101"/>
  <c r="AB26" i="101"/>
  <c r="AC26" i="101" s="1"/>
  <c r="S32" i="101"/>
  <c r="R37" i="101"/>
  <c r="AD32" i="101"/>
  <c r="AB32" i="101"/>
  <c r="AC32" i="101" s="1"/>
  <c r="S37" i="101" l="1"/>
  <c r="AB37" i="101"/>
  <c r="AC37" i="101" s="1"/>
  <c r="AD37" i="101"/>
  <c r="P8" i="59" l="1"/>
  <c r="AG8" i="1" l="1"/>
  <c r="AH8" i="1" s="1"/>
  <c r="AH274" i="1" s="1"/>
  <c r="Q8" i="59"/>
  <c r="Q14" i="59"/>
  <c r="Q20" i="59"/>
  <c r="Q15" i="59"/>
  <c r="Q18" i="59"/>
  <c r="Q13" i="59"/>
  <c r="Q10" i="59"/>
  <c r="Q9" i="59"/>
  <c r="Q11" i="59"/>
  <c r="Q17" i="59"/>
  <c r="Q12" i="59"/>
  <c r="Q16" i="59"/>
  <c r="Q19" i="59"/>
  <c r="Q196" i="59"/>
  <c r="Q43" i="59"/>
  <c r="Q129" i="59"/>
  <c r="Q260" i="59"/>
  <c r="Q70" i="59"/>
  <c r="Q153" i="59"/>
  <c r="Q35" i="59"/>
  <c r="Q135" i="59"/>
  <c r="Q156" i="59"/>
  <c r="Q253" i="59"/>
  <c r="Q55" i="59"/>
  <c r="Q32" i="59"/>
  <c r="Q221" i="59"/>
  <c r="Q207" i="59"/>
  <c r="Q140" i="59"/>
  <c r="Q58" i="59"/>
  <c r="Q147" i="59"/>
  <c r="Q220" i="59"/>
  <c r="Q69" i="59"/>
  <c r="Q56" i="59"/>
  <c r="Q96" i="59"/>
  <c r="Q235" i="59"/>
  <c r="Q45" i="59"/>
  <c r="Q168" i="59"/>
  <c r="Q79" i="59"/>
  <c r="Q100" i="59"/>
  <c r="Q182" i="59"/>
  <c r="Q30" i="59"/>
  <c r="Q52" i="59"/>
  <c r="Q162" i="59"/>
  <c r="Q27" i="59"/>
  <c r="Q104" i="59"/>
  <c r="Q259" i="59"/>
  <c r="Q208" i="59"/>
  <c r="Q119" i="59"/>
  <c r="Q102" i="59"/>
  <c r="Q136" i="59"/>
  <c r="Q36" i="59"/>
  <c r="Q141" i="59"/>
  <c r="Q184" i="59"/>
  <c r="Q80" i="59"/>
  <c r="Q166" i="59"/>
  <c r="Q51" i="59"/>
  <c r="Q194" i="59"/>
  <c r="Q139" i="59"/>
  <c r="Q230" i="59"/>
  <c r="Q195" i="59"/>
  <c r="Q180" i="59"/>
  <c r="Q67" i="59"/>
  <c r="Q246" i="59"/>
  <c r="Q101" i="59"/>
  <c r="Q244" i="59"/>
  <c r="Q82" i="59"/>
  <c r="Q224" i="59"/>
  <c r="Q143" i="59"/>
  <c r="Q48" i="59"/>
  <c r="Q72" i="59"/>
  <c r="Q33" i="59"/>
  <c r="Q255" i="59"/>
  <c r="Q152" i="59"/>
  <c r="Q163" i="59"/>
  <c r="Q215" i="59"/>
  <c r="Q169" i="59"/>
  <c r="Q75" i="59"/>
  <c r="Q57" i="59"/>
  <c r="Q243" i="59"/>
  <c r="Q37" i="59"/>
  <c r="Q148" i="59"/>
  <c r="Q60" i="59"/>
  <c r="Q248" i="59"/>
  <c r="Q98" i="59"/>
  <c r="Q256" i="59"/>
  <c r="Q81" i="59"/>
  <c r="Q165" i="59"/>
  <c r="Q62" i="59"/>
  <c r="Q261" i="59"/>
  <c r="Q74" i="59"/>
  <c r="Q138" i="59"/>
  <c r="Q24" i="59"/>
  <c r="Q191" i="59"/>
  <c r="Q41" i="59"/>
  <c r="Q174" i="59"/>
  <c r="Q133" i="59"/>
  <c r="Q170" i="59"/>
  <c r="Q130" i="59"/>
  <c r="Q157" i="59"/>
  <c r="Q54" i="59"/>
  <c r="Q161" i="59"/>
  <c r="Q238" i="59"/>
  <c r="Q123" i="59"/>
  <c r="Q223" i="59"/>
  <c r="Q121" i="59"/>
  <c r="Q124" i="59"/>
  <c r="Q49" i="59"/>
  <c r="Q28" i="59"/>
  <c r="Q231" i="59"/>
  <c r="Q155" i="59"/>
  <c r="Q149" i="59"/>
  <c r="Q115" i="59"/>
  <c r="Q71" i="59"/>
  <c r="Q164" i="59"/>
  <c r="Q187" i="59"/>
  <c r="Q46" i="59"/>
  <c r="Q159" i="59"/>
  <c r="Q63" i="59"/>
  <c r="Q186" i="59"/>
  <c r="Q252" i="59"/>
  <c r="Q193" i="59"/>
  <c r="Q197" i="59"/>
  <c r="Q227" i="59"/>
  <c r="Q228" i="59"/>
  <c r="Q247" i="59"/>
  <c r="Q118" i="59"/>
  <c r="Q77" i="59"/>
  <c r="Q84" i="59"/>
  <c r="Q34" i="59"/>
  <c r="Q173" i="59"/>
  <c r="Q160" i="59"/>
  <c r="Q214" i="59"/>
  <c r="Q131" i="59"/>
  <c r="Q109" i="59"/>
  <c r="Q176" i="59"/>
  <c r="Q203" i="59"/>
  <c r="Q204" i="59"/>
  <c r="Q233" i="59"/>
  <c r="Q198" i="59"/>
  <c r="Q39" i="59"/>
  <c r="Q29" i="59"/>
  <c r="Q229" i="59"/>
  <c r="Q222" i="59"/>
  <c r="Q97" i="59"/>
  <c r="Q171" i="59"/>
  <c r="Q225" i="59"/>
  <c r="Q254" i="59"/>
  <c r="Q132" i="59"/>
  <c r="Q105" i="59"/>
  <c r="Q216" i="59"/>
  <c r="Q47" i="59"/>
  <c r="Q68" i="59"/>
  <c r="Q205" i="59"/>
  <c r="Q234" i="59"/>
  <c r="Q200" i="59"/>
  <c r="Q31" i="59"/>
  <c r="Q26" i="59"/>
  <c r="Q178" i="59"/>
  <c r="Q262" i="59"/>
  <c r="Q167" i="59"/>
  <c r="Q236" i="59"/>
  <c r="Q150" i="59"/>
  <c r="Q177" i="59"/>
  <c r="Q218" i="59"/>
  <c r="Q199" i="59"/>
  <c r="Q53" i="59"/>
  <c r="Q61" i="59"/>
  <c r="Q232" i="59"/>
  <c r="Q250" i="59"/>
  <c r="Q122" i="59"/>
  <c r="Q59" i="59"/>
  <c r="Q73" i="59"/>
  <c r="Q242" i="59"/>
  <c r="Q126" i="59"/>
  <c r="Q86" i="59"/>
  <c r="Q179" i="59"/>
  <c r="Q158" i="59"/>
  <c r="Q106" i="59"/>
  <c r="Q120" i="59"/>
  <c r="Q237" i="59"/>
  <c r="Q192" i="59"/>
  <c r="Q85" i="59"/>
  <c r="Q42" i="59"/>
  <c r="Q226" i="59"/>
  <c r="Q188" i="59"/>
  <c r="Q25" i="59"/>
  <c r="Q107" i="59"/>
  <c r="Q128" i="59"/>
  <c r="Q87" i="59"/>
  <c r="Q154" i="59"/>
  <c r="Q142" i="59"/>
  <c r="Q258" i="59"/>
  <c r="Q217" i="59"/>
  <c r="Q65" i="59"/>
  <c r="Q185" i="59"/>
  <c r="Q206" i="59"/>
  <c r="Q38" i="59"/>
  <c r="Q251" i="59"/>
  <c r="Q78" i="59"/>
  <c r="Q189" i="59"/>
  <c r="Q108" i="59"/>
  <c r="Q83" i="59"/>
  <c r="Q146" i="59"/>
  <c r="Q263" i="59"/>
  <c r="Q64" i="59"/>
  <c r="Q201" i="59"/>
  <c r="Q127" i="59"/>
  <c r="Q175" i="59"/>
  <c r="Q88" i="59"/>
  <c r="Q50" i="59"/>
  <c r="Q111" i="59"/>
  <c r="Q241" i="59"/>
  <c r="Q249" i="59"/>
  <c r="Q112" i="59"/>
  <c r="Q117" i="59"/>
  <c r="Q114" i="59"/>
  <c r="Q245" i="59"/>
  <c r="Q40" i="59"/>
  <c r="Q76" i="59"/>
  <c r="Q66" i="59"/>
  <c r="Q183" i="59"/>
  <c r="Q99" i="59"/>
  <c r="Q110" i="59"/>
  <c r="Q151" i="59"/>
  <c r="Q103" i="59"/>
  <c r="Q44" i="59"/>
  <c r="Q144" i="59"/>
  <c r="Q145" i="59"/>
  <c r="Q181" i="59"/>
  <c r="Q190" i="59"/>
  <c r="Q219" i="59"/>
  <c r="Q113" i="59"/>
  <c r="Q257" i="59"/>
  <c r="Q125" i="59"/>
  <c r="Q137" i="59"/>
  <c r="Q202" i="59"/>
  <c r="Q116" i="59"/>
  <c r="O14" i="54" l="1"/>
  <c r="F14" i="54"/>
  <c r="D15" i="54"/>
  <c r="D21" i="54" s="1"/>
  <c r="N6" i="54" l="1"/>
  <c r="N7" i="54"/>
  <c r="F21" i="54"/>
  <c r="N4" i="54"/>
  <c r="D23" i="54"/>
  <c r="N13" i="54"/>
  <c r="P13" i="54" s="1"/>
  <c r="N12" i="54"/>
  <c r="N8" i="54"/>
  <c r="N10" i="54"/>
  <c r="N14" i="54"/>
  <c r="P14" i="54" s="1"/>
  <c r="N11" i="54"/>
  <c r="N3" i="54"/>
  <c r="N9" i="54"/>
  <c r="N5" i="54"/>
  <c r="F15" i="54"/>
  <c r="P5" i="54" l="1"/>
  <c r="C13" i="58"/>
  <c r="F13" i="58" s="1"/>
  <c r="P9" i="54"/>
  <c r="C17" i="58"/>
  <c r="F17" i="58" s="1"/>
  <c r="C14" i="58"/>
  <c r="F14" i="58" s="1"/>
  <c r="P6" i="54"/>
  <c r="P12" i="54"/>
  <c r="C20" i="58"/>
  <c r="F20" i="58" s="1"/>
  <c r="P10" i="54"/>
  <c r="C18" i="58"/>
  <c r="F18" i="58" s="1"/>
  <c r="P7" i="54"/>
  <c r="C15" i="58"/>
  <c r="F15" i="58" s="1"/>
  <c r="C19" i="58"/>
  <c r="F19" i="58" s="1"/>
  <c r="P11" i="54"/>
  <c r="C11" i="58"/>
  <c r="F11" i="58" s="1"/>
  <c r="P3" i="54"/>
  <c r="P8" i="54"/>
  <c r="C16" i="58"/>
  <c r="F16" i="58" s="1"/>
  <c r="P4" i="54"/>
  <c r="C12" i="58"/>
  <c r="F12" i="58" s="1"/>
  <c r="F22" i="58" l="1"/>
  <c r="AT91" i="107"/>
  <c r="AS94" i="107"/>
  <c r="AV94" i="107" s="1"/>
  <c r="AY94" i="107" s="1"/>
  <c r="AZ94" i="107" s="1"/>
  <c r="P11" i="107" l="1"/>
  <c r="P10" i="107"/>
  <c r="X10" i="107"/>
  <c r="AY10" i="107" s="1"/>
  <c r="I11" i="106"/>
  <c r="X11" i="107"/>
  <c r="AY11" i="107" s="1"/>
  <c r="AZ11" i="107" s="1"/>
  <c r="T11" i="106" l="1"/>
  <c r="S11" i="106"/>
  <c r="R11" i="106"/>
  <c r="AZ10" i="107"/>
  <c r="I10" i="106"/>
  <c r="Y11" i="107"/>
  <c r="Y10" i="107"/>
  <c r="R10" i="106" l="1"/>
  <c r="T10" i="106"/>
  <c r="S10" i="106"/>
  <c r="P9" i="107"/>
  <c r="O13" i="107"/>
  <c r="O15" i="107" s="1"/>
  <c r="I9" i="106"/>
  <c r="X9" i="107"/>
  <c r="X13" i="107" s="1"/>
  <c r="Y13" i="107" s="1"/>
  <c r="AY9" i="107" l="1"/>
  <c r="AZ9" i="107" s="1"/>
  <c r="Y9" i="107"/>
  <c r="P13" i="107"/>
  <c r="S9" i="106"/>
  <c r="S13" i="106" s="1"/>
  <c r="S15" i="106" s="1"/>
  <c r="T9" i="106"/>
  <c r="I13" i="106"/>
  <c r="R9" i="106"/>
  <c r="R13" i="106" s="1"/>
  <c r="R15" i="106" s="1"/>
  <c r="O22" i="107"/>
  <c r="O48" i="107" s="1"/>
  <c r="O16" i="107"/>
  <c r="X15" i="107"/>
  <c r="F13" i="106"/>
  <c r="F15" i="106" s="1"/>
  <c r="AY13" i="107" l="1"/>
  <c r="AZ13" i="107" s="1"/>
  <c r="F17" i="106"/>
  <c r="F23" i="106"/>
  <c r="F49" i="106" s="1"/>
  <c r="F16" i="106"/>
  <c r="R23" i="106"/>
  <c r="R49" i="106" s="1"/>
  <c r="R16" i="106"/>
  <c r="R17" i="106"/>
  <c r="S17" i="106"/>
  <c r="S16" i="106"/>
  <c r="S23" i="106"/>
  <c r="S49" i="106" s="1"/>
  <c r="X22" i="107"/>
  <c r="X48" i="107" s="1"/>
  <c r="X16" i="107"/>
  <c r="T13" i="106"/>
  <c r="I15" i="106"/>
  <c r="AY15" i="107" l="1"/>
  <c r="AY22" i="107" s="1"/>
  <c r="AY48" i="107" s="1"/>
  <c r="I16" i="106"/>
  <c r="I17" i="106"/>
  <c r="T15" i="106"/>
  <c r="I23" i="106"/>
  <c r="AY16" i="107" l="1"/>
  <c r="T17" i="106"/>
  <c r="T16" i="106"/>
  <c r="I49" i="106"/>
  <c r="T49" i="106" s="1"/>
  <c r="T23" i="106"/>
  <c r="E39" i="72"/>
  <c r="C45" i="72"/>
  <c r="E45" i="72" s="1"/>
  <c r="C47" i="7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Christine Chao</author>
    <author>jyotsna.yen</author>
  </authors>
  <commentList>
    <comment ref="A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Christine Chao:</t>
        </r>
        <r>
          <rPr>
            <sz val="9"/>
            <color indexed="81"/>
            <rFont val="Tahoma"/>
            <family val="2"/>
          </rPr>
          <t xml:space="preserve">
ref ti --&gt; V:\Ruby\EBN-TAIWAN\</t>
        </r>
        <r>
          <rPr>
            <sz val="9"/>
            <color indexed="81"/>
            <rFont val="細明體"/>
            <family val="3"/>
            <charset val="136"/>
          </rPr>
          <t>廣達</t>
        </r>
        <r>
          <rPr>
            <sz val="9"/>
            <color indexed="81"/>
            <rFont val="Tahoma"/>
            <family val="2"/>
          </rPr>
          <t>\Budget\2015 forecast\Template\SAL\[2015 Sales Forecast_Final.xlsx]Area-report</t>
        </r>
      </text>
    </comment>
    <comment ref="A91" authorId="1" shapeId="0" xr:uid="{00000000-0006-0000-0100-000002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包含SPARE PARTS、半成品、原料(含2NDISPLAY)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christine.chao</author>
    <author>GM-Dennis-NB</author>
  </authors>
  <commentList>
    <comment ref="C5" authorId="0" shapeId="0" xr:uid="{00000000-0006-0000-0600-000001000000}">
      <text>
        <r>
          <rPr>
            <b/>
            <sz val="9"/>
            <color indexed="81"/>
            <rFont val="新細明體"/>
            <family val="1"/>
            <charset val="136"/>
          </rPr>
          <t>christine.chao:</t>
        </r>
        <r>
          <rPr>
            <sz val="9"/>
            <color indexed="81"/>
            <rFont val="新細明體"/>
            <family val="1"/>
            <charset val="136"/>
          </rPr>
          <t xml:space="preserve">
來源:薪傳票後的薪資清冊</t>
        </r>
      </text>
    </comment>
    <comment ref="R11" authorId="1" shapeId="0" xr:uid="{00000000-0006-0000-0600-000002000000}">
      <text>
        <r>
          <rPr>
            <b/>
            <sz val="9"/>
            <color indexed="81"/>
            <rFont val="Tahoma"/>
            <family val="2"/>
          </rPr>
          <t xml:space="preserve">GM-Dennis-NB:Why is it higher than that in Juy?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grace.lee</author>
  </authors>
  <commentList>
    <comment ref="A2" authorId="0" shapeId="0" xr:uid="{00000000-0006-0000-0700-000001000000}">
      <text>
        <r>
          <rPr>
            <b/>
            <sz val="9"/>
            <color indexed="81"/>
            <rFont val="新細明體"/>
            <family val="1"/>
            <charset val="136"/>
          </rPr>
          <t>grace.lee:</t>
        </r>
        <r>
          <rPr>
            <sz val="9"/>
            <color indexed="81"/>
            <rFont val="新細明體"/>
            <family val="1"/>
            <charset val="136"/>
          </rPr>
          <t xml:space="preserve">
form IS 明細 而來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christine.chao</author>
  </authors>
  <commentList>
    <comment ref="A4" authorId="0" shapeId="0" xr:uid="{00000000-0006-0000-0B00-000001000000}">
      <text>
        <r>
          <rPr>
            <b/>
            <sz val="11"/>
            <color indexed="81"/>
            <rFont val="新細明體"/>
            <family val="1"/>
            <charset val="136"/>
          </rPr>
          <t>christine.chao:</t>
        </r>
        <r>
          <rPr>
            <sz val="11"/>
            <color indexed="81"/>
            <rFont val="新細明體"/>
            <family val="1"/>
            <charset val="136"/>
          </rPr>
          <t xml:space="preserve">
</t>
        </r>
        <r>
          <rPr>
            <sz val="12"/>
            <color indexed="81"/>
            <rFont val="新細明體"/>
            <family val="1"/>
            <charset val="136"/>
          </rPr>
          <t>銷售日報表外幣交易之平均匯率
(海關三旬匯率-出口)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jyotsna.yen</author>
    <author>Eilenn Yen</author>
  </authors>
  <commentList>
    <comment ref="D1" authorId="0" shapeId="0" xr:uid="{00000000-0006-0000-1000-000001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由MVA檔案
</t>
        </r>
      </text>
    </comment>
    <comment ref="E1" authorId="0" shapeId="0" xr:uid="{00000000-0006-0000-1000-000002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由MVA檔案</t>
        </r>
      </text>
    </comment>
    <comment ref="F1" authorId="0" shapeId="0" xr:uid="{00000000-0006-0000-1000-000003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變動VA</t>
        </r>
      </text>
    </comment>
    <comment ref="G1" authorId="0" shapeId="0" xr:uid="{00000000-0006-0000-1000-000004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每單位變動VA</t>
        </r>
      </text>
    </comment>
    <comment ref="H1" authorId="0" shapeId="0" xr:uid="{00000000-0006-0000-1000-000005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每單位變動VA</t>
        </r>
      </text>
    </comment>
    <comment ref="J47" authorId="1" shapeId="0" xr:uid="{00000000-0006-0000-1000-000006000000}">
      <text>
        <r>
          <rPr>
            <b/>
            <sz val="9"/>
            <color indexed="81"/>
            <rFont val="新細明體"/>
            <family val="1"/>
            <charset val="136"/>
          </rPr>
          <t>Eilenn Yen: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11"/>
            <color indexed="81"/>
            <rFont val="新細明體"/>
            <family val="1"/>
            <charset val="136"/>
          </rPr>
          <t>不包含出售原料、商品及半成品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jyotsna.yen</author>
    <author>Christine Chao</author>
    <author>teresa.pai</author>
    <author>daphne</author>
  </authors>
  <commentList>
    <comment ref="C1" authorId="0" shapeId="0" xr:uid="{00000000-0006-0000-1400-000001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12"/>
            <color indexed="81"/>
            <rFont val="新細明體"/>
            <family val="1"/>
            <charset val="136"/>
          </rPr>
          <t>1.採購金額為當年累計
2. 比率: *12 / 累計月份</t>
        </r>
      </text>
    </comment>
    <comment ref="BB2" authorId="1" shapeId="0" xr:uid="{00000000-0006-0000-1400-000002000000}">
      <text>
        <r>
          <rPr>
            <b/>
            <sz val="9"/>
            <color indexed="81"/>
            <rFont val="Tahoma"/>
            <family val="2"/>
          </rPr>
          <t>Christine Chao: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復製公式至新月份後上月複製成值</t>
        </r>
      </text>
    </comment>
    <comment ref="BN2" authorId="1" shapeId="0" xr:uid="{00000000-0006-0000-1400-000003000000}">
      <text>
        <r>
          <rPr>
            <b/>
            <sz val="9"/>
            <color indexed="81"/>
            <rFont val="Tahoma"/>
            <family val="2"/>
          </rPr>
          <t>Christine Chao: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復製公式至新月份後上月複製成值</t>
        </r>
      </text>
    </comment>
    <comment ref="BJ13" authorId="2" shapeId="0" xr:uid="{00000000-0006-0000-1400-000004000000}">
      <text>
        <r>
          <rPr>
            <b/>
            <sz val="9"/>
            <color indexed="81"/>
            <rFont val="Tahoma"/>
            <family val="2"/>
          </rPr>
          <t>teresa.pai: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=TWN_BS!$C$10</t>
        </r>
      </text>
    </comment>
    <comment ref="BJ14" authorId="2" shapeId="0" xr:uid="{00000000-0006-0000-1400-000005000000}">
      <text>
        <r>
          <rPr>
            <b/>
            <sz val="9"/>
            <color indexed="81"/>
            <rFont val="Tahoma"/>
            <family val="2"/>
          </rPr>
          <t>teresa.pai: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=TWN_BS!$C$9</t>
        </r>
      </text>
    </comment>
    <comment ref="BJ15" authorId="2" shapeId="0" xr:uid="{00000000-0006-0000-1400-000006000000}">
      <text>
        <r>
          <rPr>
            <b/>
            <sz val="9"/>
            <color indexed="81"/>
            <rFont val="Tahoma"/>
            <family val="2"/>
          </rPr>
          <t>teresa.pai: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='Inventory+AR Aging'!C10</t>
        </r>
      </text>
    </comment>
    <comment ref="BJ16" authorId="2" shapeId="0" xr:uid="{00000000-0006-0000-1400-000007000000}">
      <text>
        <r>
          <rPr>
            <b/>
            <sz val="9"/>
            <color indexed="81"/>
            <rFont val="Tahoma"/>
            <family val="2"/>
          </rPr>
          <t>teresa.pai: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=TWN_BS!$C$13</t>
        </r>
      </text>
    </comment>
    <comment ref="BJ17" authorId="2" shapeId="0" xr:uid="{00000000-0006-0000-1400-000008000000}">
      <text>
        <r>
          <rPr>
            <b/>
            <sz val="9"/>
            <color indexed="81"/>
            <rFont val="Tahoma"/>
            <family val="2"/>
          </rPr>
          <t>teresa.pai: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=TWN_BS!$K$8</t>
        </r>
      </text>
    </comment>
    <comment ref="BJ18" authorId="2" shapeId="0" xr:uid="{00000000-0006-0000-1400-000009000000}">
      <text>
        <r>
          <rPr>
            <b/>
            <sz val="9"/>
            <color indexed="81"/>
            <rFont val="Tahoma"/>
            <family val="2"/>
          </rPr>
          <t>teresa.pai: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=TWN_BS!$K$7</t>
        </r>
      </text>
    </comment>
    <comment ref="A19" authorId="0" shapeId="0" xr:uid="{00000000-0006-0000-1400-00000A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累計</t>
        </r>
      </text>
    </comment>
    <comment ref="D19" authorId="0" shapeId="0" xr:uid="{00000000-0006-0000-1400-00000B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12"/>
            <color indexed="81"/>
            <rFont val="新細明體"/>
            <family val="1"/>
            <charset val="136"/>
          </rPr>
          <t>2月份: $ 11,978,902.34</t>
        </r>
      </text>
    </comment>
    <comment ref="E19" authorId="0" shapeId="0" xr:uid="{00000000-0006-0000-1400-00000C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12"/>
            <color indexed="81"/>
            <rFont val="新細明體"/>
            <family val="1"/>
            <charset val="136"/>
          </rPr>
          <t>3月份: $ 23,649,437.39</t>
        </r>
      </text>
    </comment>
    <comment ref="F19" authorId="0" shapeId="0" xr:uid="{00000000-0006-0000-1400-00000D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4月份: $ 27,273,981.90</t>
        </r>
      </text>
    </comment>
    <comment ref="G19" authorId="0" shapeId="0" xr:uid="{00000000-0006-0000-1400-00000E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5月份: $ 29,862,039.42</t>
        </r>
      </text>
    </comment>
    <comment ref="H19" authorId="0" shapeId="0" xr:uid="{00000000-0006-0000-1400-00000F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6月份: $ 29,573,215</t>
        </r>
      </text>
    </comment>
    <comment ref="I19" authorId="0" shapeId="0" xr:uid="{00000000-0006-0000-1400-000010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7月份: $ 44,052,437.44</t>
        </r>
      </text>
    </comment>
    <comment ref="J19" authorId="0" shapeId="0" xr:uid="{00000000-0006-0000-1400-000011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8月份: $ 32,478,683.24</t>
        </r>
      </text>
    </comment>
    <comment ref="K19" authorId="0" shapeId="0" xr:uid="{00000000-0006-0000-1400-000012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9月份: $ 34,475,063.09</t>
        </r>
      </text>
    </comment>
    <comment ref="L19" authorId="0" shapeId="0" xr:uid="{00000000-0006-0000-1400-000013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10月份: $ 27,289,164.55</t>
        </r>
      </text>
    </comment>
    <comment ref="M19" authorId="0" shapeId="0" xr:uid="{00000000-0006-0000-1400-000014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11月份: $ 19,469,828.88</t>
        </r>
      </text>
    </comment>
    <comment ref="N19" authorId="0" shapeId="0" xr:uid="{00000000-0006-0000-1400-000015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12月份: $ 30,583,778.71</t>
        </r>
      </text>
    </comment>
    <comment ref="O19" authorId="0" shapeId="0" xr:uid="{00000000-0006-0000-1400-000016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1月份: $ 11,600,003.91</t>
        </r>
      </text>
    </comment>
    <comment ref="P19" authorId="0" shapeId="0" xr:uid="{00000000-0006-0000-1400-000017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2月份: $ 25,663,202.82</t>
        </r>
      </text>
    </comment>
    <comment ref="Q19" authorId="0" shapeId="0" xr:uid="{00000000-0006-0000-1400-000018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3月份: $ 15,233,894.78</t>
        </r>
      </text>
    </comment>
    <comment ref="R19" authorId="0" shapeId="0" xr:uid="{00000000-0006-0000-1400-000019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4月份: $ 19,173,696.76</t>
        </r>
      </text>
    </comment>
    <comment ref="S19" authorId="0" shapeId="0" xr:uid="{00000000-0006-0000-1400-00001A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5月份: $ 13,780,208.53</t>
        </r>
      </text>
    </comment>
    <comment ref="T19" authorId="0" shapeId="0" xr:uid="{00000000-0006-0000-1400-00001B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6月份: $ 19,755,665.86</t>
        </r>
      </text>
    </comment>
    <comment ref="U19" authorId="0" shapeId="0" xr:uid="{00000000-0006-0000-1400-00001C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7月份: $ 19,862,126.10</t>
        </r>
      </text>
    </comment>
    <comment ref="V19" authorId="0" shapeId="0" xr:uid="{00000000-0006-0000-1400-00001D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8月份: $ 13,523,726.29
</t>
        </r>
      </text>
    </comment>
    <comment ref="W19" authorId="0" shapeId="0" xr:uid="{00000000-0006-0000-1400-00001E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9月份: $ 14,576,694.67
</t>
        </r>
      </text>
    </comment>
    <comment ref="X19" authorId="0" shapeId="0" xr:uid="{00000000-0006-0000-1400-00001F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10月份: $ 10,378,772.51
</t>
        </r>
      </text>
    </comment>
    <comment ref="Y19" authorId="0" shapeId="0" xr:uid="{00000000-0006-0000-1400-000020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11月份: $ 10,367,129.94
</t>
        </r>
      </text>
    </comment>
    <comment ref="Z19" authorId="0" shapeId="0" xr:uid="{00000000-0006-0000-1400-000021000000}">
      <text>
        <r>
          <rPr>
            <b/>
            <sz val="9"/>
            <color indexed="81"/>
            <rFont val="新細明體"/>
            <family val="1"/>
            <charset val="136"/>
          </rPr>
          <t>jyotsna.yen:</t>
        </r>
        <r>
          <rPr>
            <sz val="9"/>
            <color indexed="81"/>
            <rFont val="新細明體"/>
            <family val="1"/>
            <charset val="136"/>
          </rPr>
          <t xml:space="preserve">
12月份: $ 10,061,780.48
</t>
        </r>
      </text>
    </comment>
    <comment ref="BK19" authorId="2" shapeId="0" xr:uid="{00000000-0006-0000-1400-000022000000}">
      <text>
        <r>
          <rPr>
            <b/>
            <sz val="9"/>
            <color indexed="81"/>
            <rFont val="Tahoma"/>
            <family val="2"/>
          </rPr>
          <t>teresa.pai: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期初期末加總分析表 - 本期進貨-本期退貨 </t>
        </r>
        <r>
          <rPr>
            <sz val="12"/>
            <color indexed="81"/>
            <rFont val="Tahoma"/>
            <family val="2"/>
          </rPr>
          <t xml:space="preserve">
=Trade + SEMI + RM + FINISH  </t>
        </r>
        <r>
          <rPr>
            <sz val="12"/>
            <color indexed="81"/>
            <rFont val="細明體"/>
            <family val="3"/>
            <charset val="136"/>
          </rPr>
          <t>累計</t>
        </r>
      </text>
    </comment>
    <comment ref="BJ20" authorId="2" shapeId="0" xr:uid="{00000000-0006-0000-1400-000023000000}">
      <text>
        <r>
          <rPr>
            <b/>
            <sz val="9"/>
            <color indexed="81"/>
            <rFont val="Tahoma"/>
            <family val="2"/>
          </rPr>
          <t>teresa.pai: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=TWN_BS!$C$16</t>
        </r>
      </text>
    </comment>
    <comment ref="BJ21" authorId="2" shapeId="0" xr:uid="{00000000-0006-0000-1400-000024000000}">
      <text>
        <r>
          <rPr>
            <b/>
            <sz val="9"/>
            <color indexed="81"/>
            <rFont val="Tahoma"/>
            <family val="2"/>
          </rPr>
          <t>teresa.pai: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=TWN_BS!$K$13</t>
        </r>
      </text>
    </comment>
    <comment ref="BJ22" authorId="2" shapeId="0" xr:uid="{00000000-0006-0000-1400-000025000000}">
      <text>
        <r>
          <rPr>
            <b/>
            <sz val="9"/>
            <color indexed="81"/>
            <rFont val="Tahoma"/>
            <family val="2"/>
          </rPr>
          <t>teresa.pai: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=TWN_BS!$C$40</t>
        </r>
      </text>
    </comment>
    <comment ref="BJ23" authorId="2" shapeId="0" xr:uid="{00000000-0006-0000-1400-000026000000}">
      <text>
        <r>
          <rPr>
            <b/>
            <sz val="9"/>
            <color indexed="81"/>
            <rFont val="Tahoma"/>
            <family val="2"/>
          </rPr>
          <t>teresa.pai: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=TWN_BS!$K$22</t>
        </r>
      </text>
    </comment>
    <comment ref="BJ24" authorId="2" shapeId="0" xr:uid="{00000000-0006-0000-1400-000027000000}">
      <text>
        <r>
          <rPr>
            <b/>
            <sz val="9"/>
            <color indexed="81"/>
            <rFont val="Tahoma"/>
            <family val="2"/>
          </rPr>
          <t>teresa.pai: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=TWN_BS!$K$26</t>
        </r>
      </text>
    </comment>
    <comment ref="A30" authorId="3" shapeId="0" xr:uid="{00000000-0006-0000-1400-000028000000}">
      <text>
        <r>
          <rPr>
            <b/>
            <sz val="9"/>
            <color indexed="81"/>
            <rFont val="新細明體"/>
            <family val="1"/>
            <charset val="136"/>
          </rPr>
          <t>daphne: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12"/>
            <color indexed="81"/>
            <rFont val="新細明體"/>
            <family val="1"/>
            <charset val="136"/>
          </rPr>
          <t>計算時排除依10號公司轉列成本之存貨評價數字</t>
        </r>
      </text>
    </comment>
    <comment ref="AM30" authorId="1" shapeId="0" xr:uid="{00000000-0006-0000-1400-000029000000}">
      <text>
        <r>
          <rPr>
            <b/>
            <sz val="9"/>
            <color indexed="81"/>
            <rFont val="Tahoma"/>
            <family val="2"/>
          </rPr>
          <t>Christine Chao: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1/30-2/4</t>
        </r>
        <r>
          <rPr>
            <sz val="12"/>
            <color indexed="81"/>
            <rFont val="細明體"/>
            <family val="3"/>
            <charset val="136"/>
          </rPr>
          <t>為農曆春節</t>
        </r>
        <r>
          <rPr>
            <sz val="12"/>
            <color indexed="81"/>
            <rFont val="Tahoma"/>
            <family val="2"/>
          </rPr>
          <t>,</t>
        </r>
        <r>
          <rPr>
            <sz val="12"/>
            <color indexed="81"/>
            <rFont val="細明體"/>
            <family val="3"/>
            <charset val="136"/>
          </rPr>
          <t>為避免供應商因春節休假，供貨不及,故於1月事先備齊Q1預估用料,致存貨餘額增加.</t>
        </r>
      </text>
    </comment>
    <comment ref="AN30" authorId="1" shapeId="0" xr:uid="{00000000-0006-0000-1400-00002A000000}">
      <text>
        <r>
          <rPr>
            <b/>
            <sz val="12"/>
            <color indexed="81"/>
            <rFont val="Tahoma"/>
            <family val="2"/>
          </rPr>
          <t>Christine Chao:</t>
        </r>
        <r>
          <rPr>
            <sz val="12"/>
            <color indexed="81"/>
            <rFont val="Tahoma"/>
            <family val="2"/>
          </rPr>
          <t xml:space="preserve">
1. </t>
        </r>
        <r>
          <rPr>
            <sz val="12"/>
            <color indexed="81"/>
            <rFont val="細明體"/>
            <family val="3"/>
            <charset val="136"/>
          </rPr>
          <t>本月備瑞傳</t>
        </r>
        <r>
          <rPr>
            <sz val="12"/>
            <color indexed="81"/>
            <rFont val="Tahoma"/>
            <family val="2"/>
          </rPr>
          <t xml:space="preserve">X8C M/B 500pcs </t>
        </r>
        <r>
          <rPr>
            <sz val="12"/>
            <color indexed="81"/>
            <rFont val="細明體"/>
            <family val="3"/>
            <charset val="136"/>
          </rPr>
          <t>約</t>
        </r>
        <r>
          <rPr>
            <sz val="12"/>
            <color indexed="81"/>
            <rFont val="Tahoma"/>
            <family val="2"/>
          </rPr>
          <t>1.5M</t>
        </r>
        <r>
          <rPr>
            <sz val="12"/>
            <color indexed="81"/>
            <rFont val="細明體"/>
            <family val="3"/>
            <charset val="136"/>
          </rPr>
          <t xml:space="preserve">庫存金額
</t>
        </r>
        <r>
          <rPr>
            <sz val="12"/>
            <color indexed="81"/>
            <rFont val="Tahoma"/>
            <family val="2"/>
          </rPr>
          <t xml:space="preserve">2. </t>
        </r>
        <r>
          <rPr>
            <sz val="12"/>
            <color indexed="81"/>
            <rFont val="細明體"/>
            <family val="3"/>
            <charset val="136"/>
          </rPr>
          <t>本月備</t>
        </r>
        <r>
          <rPr>
            <sz val="12"/>
            <color indexed="81"/>
            <rFont val="Tahoma"/>
            <family val="2"/>
          </rPr>
          <t xml:space="preserve">LCD panel 15" </t>
        </r>
        <r>
          <rPr>
            <sz val="12"/>
            <color indexed="81"/>
            <rFont val="細明體"/>
            <family val="3"/>
            <charset val="136"/>
          </rPr>
          <t>約</t>
        </r>
        <r>
          <rPr>
            <sz val="12"/>
            <color indexed="81"/>
            <rFont val="Tahoma"/>
            <family val="2"/>
          </rPr>
          <t>1.09M</t>
        </r>
        <r>
          <rPr>
            <sz val="12"/>
            <color indexed="81"/>
            <rFont val="細明體"/>
            <family val="3"/>
            <charset val="136"/>
          </rPr>
          <t>庫存金額。
致庫存增加.</t>
        </r>
      </text>
    </comment>
    <comment ref="AT33" authorId="1" shapeId="0" xr:uid="{00000000-0006-0000-1400-00002B000000}">
      <text>
        <r>
          <rPr>
            <b/>
            <sz val="12"/>
            <color indexed="81"/>
            <rFont val="Tahoma"/>
            <family val="2"/>
          </rPr>
          <t>Christine Chao:</t>
        </r>
        <r>
          <rPr>
            <sz val="12"/>
            <color indexed="81"/>
            <rFont val="Tahoma"/>
            <family val="2"/>
          </rPr>
          <t xml:space="preserve">
8/31</t>
        </r>
        <r>
          <rPr>
            <sz val="12"/>
            <color indexed="81"/>
            <rFont val="細明體"/>
            <family val="3"/>
            <charset val="136"/>
          </rPr>
          <t>遇週日</t>
        </r>
        <r>
          <rPr>
            <sz val="12"/>
            <color indexed="81"/>
            <rFont val="Tahoma"/>
            <family val="2"/>
          </rPr>
          <t>,</t>
        </r>
        <r>
          <rPr>
            <sz val="12"/>
            <color indexed="81"/>
            <rFont val="細明體"/>
            <family val="3"/>
            <charset val="136"/>
          </rPr>
          <t>致月底應付</t>
        </r>
        <r>
          <rPr>
            <sz val="12"/>
            <color indexed="81"/>
            <rFont val="Tahoma"/>
            <family val="2"/>
          </rPr>
          <t>B2B</t>
        </r>
        <r>
          <rPr>
            <sz val="12"/>
            <color indexed="81"/>
            <rFont val="細明體"/>
            <family val="3"/>
            <charset val="136"/>
          </rPr>
          <t>延至</t>
        </r>
        <r>
          <rPr>
            <sz val="12"/>
            <color indexed="81"/>
            <rFont val="Tahoma"/>
            <family val="2"/>
          </rPr>
          <t>9/1</t>
        </r>
        <r>
          <rPr>
            <sz val="12"/>
            <color indexed="81"/>
            <rFont val="細明體"/>
            <family val="3"/>
            <charset val="136"/>
          </rPr>
          <t>付款</t>
        </r>
        <r>
          <rPr>
            <sz val="12"/>
            <color indexed="81"/>
            <rFont val="Tahoma"/>
            <family val="2"/>
          </rPr>
          <t>.</t>
        </r>
        <r>
          <rPr>
            <sz val="12"/>
            <color indexed="81"/>
            <rFont val="細明體"/>
            <family val="3"/>
            <charset val="136"/>
          </rPr>
          <t>故期末應付帳款餘額較高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christine.chao</author>
  </authors>
  <commentList>
    <comment ref="C5" authorId="0" shapeId="0" xr:uid="{00000000-0006-0000-1700-000001000000}">
      <text>
        <r>
          <rPr>
            <b/>
            <sz val="9"/>
            <color indexed="81"/>
            <rFont val="新細明體"/>
            <family val="1"/>
            <charset val="136"/>
          </rPr>
          <t>christine.chao:</t>
        </r>
        <r>
          <rPr>
            <sz val="9"/>
            <color indexed="81"/>
            <rFont val="新細明體"/>
            <family val="1"/>
            <charset val="136"/>
          </rPr>
          <t xml:space="preserve">
來源:薪傳票後的薪資清冊</t>
        </r>
      </text>
    </comment>
  </commentList>
</comments>
</file>

<file path=xl/sharedStrings.xml><?xml version="1.0" encoding="utf-8"?>
<sst xmlns="http://schemas.openxmlformats.org/spreadsheetml/2006/main" count="5361" uniqueCount="2445">
  <si>
    <t>Profit Rate</t>
  </si>
  <si>
    <r>
      <t>102年臷至6月</t>
    </r>
    <r>
      <rPr>
        <sz val="10"/>
        <color indexed="8"/>
        <rFont val="細明體"/>
        <family val="3"/>
        <charset val="136"/>
      </rPr>
      <t/>
    </r>
  </si>
  <si>
    <t>1216000 在途存貨</t>
  </si>
  <si>
    <t>1216100 在途存貨</t>
  </si>
  <si>
    <r>
      <t>102年臷至7月</t>
    </r>
    <r>
      <rPr>
        <sz val="10"/>
        <color indexed="8"/>
        <rFont val="細明體"/>
        <family val="3"/>
        <charset val="136"/>
      </rPr>
      <t/>
    </r>
  </si>
  <si>
    <t>Unit Price(1)</t>
  </si>
  <si>
    <t>Unit Cost(2)</t>
  </si>
  <si>
    <t>Unit MVA(4)=(1)-(3)</t>
  </si>
  <si>
    <t>Unit Sub.(5)</t>
  </si>
  <si>
    <t>Unit Overhead(6)</t>
  </si>
  <si>
    <t>Unit G/P(4)-(7)</t>
  </si>
  <si>
    <t>Unit BOM</t>
  </si>
  <si>
    <t>Unit MVA-BOM</t>
  </si>
  <si>
    <t>Q1-Q3</t>
  </si>
  <si>
    <t>Q1</t>
  </si>
  <si>
    <t>Q2</t>
  </si>
  <si>
    <t>Q3</t>
  </si>
  <si>
    <t>Q4</t>
  </si>
  <si>
    <t>1110000 現金及約當現金</t>
  </si>
  <si>
    <t>2110000 短期借款</t>
  </si>
  <si>
    <t>1111000 庫存現金</t>
  </si>
  <si>
    <t>2111000 銀行透支</t>
  </si>
  <si>
    <t>1111100 庫存現金-台幣</t>
  </si>
  <si>
    <t>2112000 銀行借款</t>
  </si>
  <si>
    <t>1111200 庫存現金-美金</t>
  </si>
  <si>
    <t>2113000 信用狀借款</t>
  </si>
  <si>
    <t>1111300 庫存現金-英鎊</t>
  </si>
  <si>
    <t>2118000 其他短期借款</t>
  </si>
  <si>
    <t>1111400 庫存現金-歐元</t>
  </si>
  <si>
    <t>2120000 應付短期票券</t>
  </si>
  <si>
    <t>1111500 庫存現金-新加坡幣</t>
  </si>
  <si>
    <t>2121000 應付短期票券</t>
  </si>
  <si>
    <t>1111600 庫存現金-菲律賓幣</t>
  </si>
  <si>
    <t>2126000 附買回債券負債</t>
  </si>
  <si>
    <t>1111700 庫存現金-日幣</t>
  </si>
  <si>
    <t>2129000 應付短期票券折價</t>
  </si>
  <si>
    <t>1111800 庫存現金-港幣</t>
  </si>
  <si>
    <t>2130000 應付票據</t>
  </si>
  <si>
    <t>1111900 庫存現金-人民幣</t>
  </si>
  <si>
    <t>2131000 應付票據</t>
  </si>
  <si>
    <t>1111901 庫存現金-烏克蘭幣</t>
  </si>
  <si>
    <t>2132000 其他應付票據</t>
  </si>
  <si>
    <t>1111902 庫存現金-泰銖</t>
  </si>
  <si>
    <t>2140000 應付票據-關係人</t>
  </si>
  <si>
    <t>1112000 零用金／週轉金</t>
  </si>
  <si>
    <t>2141000 應付票據-關係人</t>
  </si>
  <si>
    <t>1113000 銀行存款</t>
  </si>
  <si>
    <t>2142000 其他應付票據-關係人</t>
  </si>
  <si>
    <t>1113100 銀行存款-上海永和</t>
  </si>
  <si>
    <t>2150000 應付帳款</t>
  </si>
  <si>
    <t>1113110 銀行存款-上海永和甲存#28388</t>
  </si>
  <si>
    <t>2151000 應付帳款-國內</t>
  </si>
  <si>
    <t>1113120 銀行存款-上海永和乙存#28288</t>
  </si>
  <si>
    <t>2152000 應付帳款-國外</t>
  </si>
  <si>
    <t>1113130 銀行存款-上海永和外匯#10106</t>
  </si>
  <si>
    <t>2153000 暫估應付帳款</t>
  </si>
  <si>
    <t>1113131 銀行存款-上海永和外匯#10106美</t>
  </si>
  <si>
    <t>2154000 應付帳款-B2B</t>
  </si>
  <si>
    <t>1113132 銀行存款-上海永和外匯#10106新</t>
  </si>
  <si>
    <t>2160000 應付帳款-關係人</t>
  </si>
  <si>
    <t>1113133 銀行存款-上海永和外匯#10106歐</t>
  </si>
  <si>
    <t>2163000 應付帳款-關係人</t>
  </si>
  <si>
    <t>1113134 銀行存款-上海永和外匯#10106澳</t>
  </si>
  <si>
    <t>2164000 暫估應付帳款-關係人</t>
  </si>
  <si>
    <t>1113140 銀行存款-上海永和定期存款</t>
  </si>
  <si>
    <t>2170000 應付所得稅</t>
  </si>
  <si>
    <t>1113150 銀行存款-上海永和備償#02870</t>
  </si>
  <si>
    <t>2179999 應付費用</t>
  </si>
  <si>
    <t>1113200 銀行存款-上海汐止</t>
  </si>
  <si>
    <t>2181000 應付薪資</t>
  </si>
  <si>
    <t>1113210 銀行存款-上海汐止甲存#16110</t>
  </si>
  <si>
    <t>2182000 應付租金</t>
  </si>
  <si>
    <t>1113220 銀行存款-上海汐止乙存</t>
  </si>
  <si>
    <t>2183000 應付利息</t>
  </si>
  <si>
    <t>1113222 銀行存款-上海汐止乙存#16117</t>
  </si>
  <si>
    <t>2184000 應付勞務費</t>
  </si>
  <si>
    <t>1113230 銀行存款-上海汐止外匯#13802</t>
  </si>
  <si>
    <t>2185000 應付獎金</t>
  </si>
  <si>
    <t>1113231 銀行存款-上海汐止外匯#13802美</t>
  </si>
  <si>
    <t>2186000 應付保險費</t>
  </si>
  <si>
    <t>1113232 銀行存款-上海汐止外匯#13802歐</t>
  </si>
  <si>
    <t>2188000 暫估應付費用</t>
  </si>
  <si>
    <t>1113300 銀行存款-華南樟樹灣</t>
  </si>
  <si>
    <t>2189000 其他應付費用</t>
  </si>
  <si>
    <t>1113310 銀行存款-華南樟樹灣甲存#25059</t>
  </si>
  <si>
    <t>2190000 公平價值變動列入損益之金融負債</t>
  </si>
  <si>
    <t>1113320 銀行存款-華南樟樹灣乙存#21152</t>
  </si>
  <si>
    <t>2191000 交易目的金融負債</t>
  </si>
  <si>
    <t>1113330 銀行存款-華南樟樹灣外匯#05683</t>
  </si>
  <si>
    <t>2192000 交易目的金融負債之評價調整</t>
  </si>
  <si>
    <t>2193000 指定公平價值變動認列為損益之金</t>
  </si>
  <si>
    <t>1113332 銀行存款-華南樟樹灣外匯#05683</t>
  </si>
  <si>
    <t>2194000 指定公平價值變動認列為損益之金</t>
  </si>
  <si>
    <t>1113333 銀行存款-華南樟樹灣外匯#05683</t>
  </si>
  <si>
    <t>2210000 其他應付款項-關係人</t>
  </si>
  <si>
    <t>1113340 銀行存款-華南樟樹灣定期存款</t>
  </si>
  <si>
    <t>2220000 其他應付款項</t>
  </si>
  <si>
    <t>1113400 銀行存款-華南南永和</t>
  </si>
  <si>
    <t>2221000 銷項稅額</t>
  </si>
  <si>
    <t>1113410 銀行存款-華南南永和甲存#50655</t>
  </si>
  <si>
    <t>2222000 應付營業稅</t>
  </si>
  <si>
    <t>1113420 銀行存款-華南南永和乙存#51165</t>
  </si>
  <si>
    <t>2223000 應付股利</t>
  </si>
  <si>
    <t>1113430 銀行存款-華南南永和外匯#2861</t>
  </si>
  <si>
    <t>2224000 應付董監事酬勞</t>
  </si>
  <si>
    <t>1113431 銀行存款-華南南永和外匯#2861美</t>
  </si>
  <si>
    <t>2225000 應付員工紅利</t>
  </si>
  <si>
    <t>1113432 銀行存款-華南南永和外匯#2861歐</t>
  </si>
  <si>
    <t>2229000 其他應付款-其他</t>
  </si>
  <si>
    <t>1113433 銀行存款-華南南永和外匯#2861英</t>
  </si>
  <si>
    <t>2230000 應付設備款</t>
  </si>
  <si>
    <t>1113434 銀行存款-華南南永和外匯#2861澳</t>
  </si>
  <si>
    <t>2260000 預收款項</t>
  </si>
  <si>
    <t>1113440 銀行存款-華南南永和定期存款</t>
  </si>
  <si>
    <t>2261000 預收貨款</t>
  </si>
  <si>
    <t>1113450 銀行存款-華南南永和備償#51177</t>
  </si>
  <si>
    <t>2262000 預收收入／遞延收入</t>
  </si>
  <si>
    <t>1113500 銀行存款-玉山內湖</t>
  </si>
  <si>
    <t>2268000 其他預收款</t>
  </si>
  <si>
    <t>1113520 銀行存款-玉山內湖乙存#11686</t>
  </si>
  <si>
    <t>2270000 一年或一營業週期內到期長期負債</t>
  </si>
  <si>
    <t>1113530 銀行存款-玉山內湖外匯#433396</t>
  </si>
  <si>
    <t>2272000 一年或一營業週期內到期長期借款</t>
  </si>
  <si>
    <t>1113531 銀行存款-玉山內湖外匯#433396美</t>
  </si>
  <si>
    <t>2280000 其他流動負債</t>
  </si>
  <si>
    <t>1113540 銀行存款-玉山內湖定期存款</t>
  </si>
  <si>
    <t>2281000 暫收款</t>
  </si>
  <si>
    <t>1113600 銀行存款-匯豐台北</t>
  </si>
  <si>
    <t>2282000 代收款</t>
  </si>
  <si>
    <t>1113620 銀行存款-匯豐台北乙存#75031</t>
  </si>
  <si>
    <t>2282100 代收款-所得稅</t>
  </si>
  <si>
    <t>1113630 銀行存款-匯豐台北外匯#75061</t>
  </si>
  <si>
    <t>2282200 代收款-勞保費</t>
  </si>
  <si>
    <t>1113631 銀行存款-匯豐台北外匯#75061美</t>
  </si>
  <si>
    <t>2282300 代收款-健保費</t>
  </si>
  <si>
    <t>1113700 銀行存款-合庫大同</t>
  </si>
  <si>
    <t>2282400 代收款-運費</t>
  </si>
  <si>
    <t>1113720 銀行存款-合庫大同乙存#34065</t>
  </si>
  <si>
    <t>2282500 代收款-退休金</t>
  </si>
  <si>
    <t>1113730 銀行存款-合庫大同外匯#34247</t>
  </si>
  <si>
    <t>2282600 代收款-保險費</t>
  </si>
  <si>
    <t>1113731 銀行存款-合庫大同外匯#34247美</t>
  </si>
  <si>
    <t>2282900 代收款-其他</t>
  </si>
  <si>
    <t>1113740 銀行存款-合庫大同定存</t>
  </si>
  <si>
    <t>2283000 應計產品保證負債</t>
  </si>
  <si>
    <t>1113750 銀行存款-合庫大同備償#34057</t>
  </si>
  <si>
    <t>2286000 遞延所得稅負債</t>
  </si>
  <si>
    <t>1113760 銀行存款-合庫大同綜存00250</t>
  </si>
  <si>
    <t>2289000 其他流動負債-其他</t>
  </si>
  <si>
    <t>1113800 銀行存款-台新建北</t>
  </si>
  <si>
    <t>1113820 銀行存款-台新建北乙存#79270</t>
  </si>
  <si>
    <t>1113830 銀行存款-台新建北外匯#59561</t>
  </si>
  <si>
    <t>2410000 應付公司債</t>
  </si>
  <si>
    <t>1113831 銀行存款-台新建北外匯#59561美</t>
  </si>
  <si>
    <t>2411000 應付公司債</t>
  </si>
  <si>
    <t>1113832 銀行存款-台新建北外匯#59561澳</t>
  </si>
  <si>
    <t>2419000 應付公司債溢(折)價</t>
  </si>
  <si>
    <t>1113833 銀行存款-台新建北美金#13961備</t>
  </si>
  <si>
    <t>2420000 長期借款</t>
  </si>
  <si>
    <t>2421000 銀行長期借款</t>
  </si>
  <si>
    <t>1113890 外幣存款評價調整</t>
  </si>
  <si>
    <t>2428000 其他長期借款</t>
  </si>
  <si>
    <t>1113900 虛擬銀行</t>
  </si>
  <si>
    <t>2440000 長期應付票據及款項</t>
  </si>
  <si>
    <t>1113920 虛擬銀行-台幣</t>
  </si>
  <si>
    <t>2441000 長期應付票據</t>
  </si>
  <si>
    <t>1113930 虛擬銀行-外幣</t>
  </si>
  <si>
    <t>2443000 長期應付款</t>
  </si>
  <si>
    <t>1113931 虛擬銀行-美金</t>
  </si>
  <si>
    <t>2446000 應付租賃款－非流動</t>
  </si>
  <si>
    <t>1114100 銀行存款-陽信溪洲</t>
  </si>
  <si>
    <t>1114120 銀行存款-陽信溪洲乙存#00608</t>
  </si>
  <si>
    <t>1114140 銀行存款-陽信溪洲定期存款</t>
  </si>
  <si>
    <t>2810000 退休金準備／應計退休金負債</t>
  </si>
  <si>
    <t>1117000 約當現金</t>
  </si>
  <si>
    <t>2820000 存入保證金</t>
  </si>
  <si>
    <t>1120000 應收票據淨額</t>
  </si>
  <si>
    <t>2850000 股東往來</t>
  </si>
  <si>
    <t>1121000 應收票據</t>
  </si>
  <si>
    <t>2860000 遞延所得稅</t>
  </si>
  <si>
    <t>1121100 應收票據-國內</t>
  </si>
  <si>
    <t>2861000 遞延所得稅負債－非流動</t>
  </si>
  <si>
    <t>1121200 應收票據-國外</t>
  </si>
  <si>
    <t>2862000 遞延所得稅抵減</t>
  </si>
  <si>
    <t>1129000 備抵呆帳-應收票據</t>
  </si>
  <si>
    <t>2880000 其他負債-其他</t>
  </si>
  <si>
    <t>1130000 應收票據-關係人淨額</t>
  </si>
  <si>
    <t>2881000 遞延貸項-聯屬公司間利益</t>
  </si>
  <si>
    <t>1131000 應收票據-關係人</t>
  </si>
  <si>
    <t>2888000 其他負債-其他</t>
  </si>
  <si>
    <t>1139000 備抵呆帳-應收關係人票據</t>
  </si>
  <si>
    <t>1140000 應收帳款淨額</t>
  </si>
  <si>
    <t>信託代理及保證負備(備忘科目)</t>
  </si>
  <si>
    <t>1141000 應收帳款</t>
  </si>
  <si>
    <t>2931000 存入保證票據(備忘科目)</t>
  </si>
  <si>
    <t>1141100 應收帳款-內銷</t>
  </si>
  <si>
    <t>2941000 應付保證票據(備忘科目)</t>
  </si>
  <si>
    <t>1141200 應收帳款-外銷</t>
  </si>
  <si>
    <t>1141300 應收帳款-國內信用卡</t>
  </si>
  <si>
    <t>1141400 應收帳款-國外信用卡</t>
  </si>
  <si>
    <t>1149000 備抵呆帳-應收帳款</t>
  </si>
  <si>
    <t>1150000 應收帳款-關係人淨額</t>
  </si>
  <si>
    <t>3110000 普通股股本</t>
  </si>
  <si>
    <t>1151000 應收帳款-關係人</t>
  </si>
  <si>
    <t>3120000 特別股股本</t>
  </si>
  <si>
    <t>1159000 備抵呆帳-應收關係人帳款</t>
  </si>
  <si>
    <t>3140000 預收股本</t>
  </si>
  <si>
    <t>1160000 其他應收款</t>
  </si>
  <si>
    <t>3150000 待分配股票股利</t>
  </si>
  <si>
    <t>1161000 應收退稅款</t>
  </si>
  <si>
    <t>1162000 應收收益</t>
  </si>
  <si>
    <t>1163000 其他應收款-其他</t>
  </si>
  <si>
    <t>3210000 資本公積-發行溢價</t>
  </si>
  <si>
    <t>1169000 備抵呆帳-其他應收款項</t>
  </si>
  <si>
    <t>3211000 資本公積-普通股股票溢價</t>
  </si>
  <si>
    <t>1180000 其他應收款-關係人</t>
  </si>
  <si>
    <t>3220000 資本公積-庫藏股票交易</t>
  </si>
  <si>
    <t>1181000 應收收益-關係人</t>
  </si>
  <si>
    <t>3240000 資本公積-處分資產增益</t>
  </si>
  <si>
    <t>1182000 其他應收款-關係人-其他</t>
  </si>
  <si>
    <t>3280000 資本公積-其他</t>
  </si>
  <si>
    <t>1189000 備抵呆帳-其他應收關係人款項</t>
  </si>
  <si>
    <t>3281000 資本公積-轉換公司債應付利息補</t>
  </si>
  <si>
    <t>1190000 其他金融資產-流動</t>
  </si>
  <si>
    <t>3282000 資本公積-其他</t>
  </si>
  <si>
    <t>1210000 存貨</t>
  </si>
  <si>
    <t>1211000 商品存貨</t>
  </si>
  <si>
    <t>1212000 製成品</t>
  </si>
  <si>
    <t>3310000 法定盈餘公積</t>
  </si>
  <si>
    <t>1213000 半成品</t>
  </si>
  <si>
    <t>3320000 特別盈餘公積</t>
  </si>
  <si>
    <t>1214000 在製品</t>
  </si>
  <si>
    <t>3350000 未提撥保留盈餘</t>
  </si>
  <si>
    <t>1215000 原料</t>
  </si>
  <si>
    <t>3351000 累積盈虧</t>
  </si>
  <si>
    <t>1215100 原料</t>
  </si>
  <si>
    <t>3352000 前期損益調整</t>
  </si>
  <si>
    <t>1215101 原料價差</t>
  </si>
  <si>
    <t>3353000 本期損益</t>
  </si>
  <si>
    <t>1215200 暫估原料</t>
  </si>
  <si>
    <t>1219000 備抵存貨跌價及呆滯損失</t>
  </si>
  <si>
    <t>1250000 預付費用</t>
  </si>
  <si>
    <t>3420000 累積換算調整數</t>
  </si>
  <si>
    <t>1251000 預付薪資</t>
  </si>
  <si>
    <t>3430000 未認列為退休金成本之淨損失</t>
  </si>
  <si>
    <t>1252000 預付租金</t>
  </si>
  <si>
    <t>3450000 金融商品之未實現損益</t>
  </si>
  <si>
    <t>1253000 預付保險費</t>
  </si>
  <si>
    <t>3451000 備供出售金融資產未實現損益</t>
  </si>
  <si>
    <t>1254000 用品盤存</t>
  </si>
  <si>
    <t>3460000 未實現重估增值</t>
  </si>
  <si>
    <t>1255000 預付所得稅</t>
  </si>
  <si>
    <t>1256000 預付廣告費</t>
  </si>
  <si>
    <t>1259000 其他預付費用</t>
  </si>
  <si>
    <t>3510000 庫藏股票</t>
  </si>
  <si>
    <t>1260000 預付款項</t>
  </si>
  <si>
    <t>1261000 預付貨款</t>
  </si>
  <si>
    <t>1261100 預付貨款-國內</t>
  </si>
  <si>
    <t>1261200 預付貨款-國外</t>
  </si>
  <si>
    <t>1264000 進項稅額</t>
  </si>
  <si>
    <t>1265000 留抵稅額</t>
  </si>
  <si>
    <t>1269000 其他預付款</t>
  </si>
  <si>
    <t>1280000 其他流動資產</t>
  </si>
  <si>
    <t>1281000 暫付款</t>
  </si>
  <si>
    <t>1282000 代付款</t>
  </si>
  <si>
    <t>1283000 員工借支</t>
  </si>
  <si>
    <t>1286000 遞延所得稅資產-流動</t>
  </si>
  <si>
    <t>1287000 受限制資產</t>
  </si>
  <si>
    <t>1289000 其他流動資產-其他</t>
  </si>
  <si>
    <t>1310000 公平價值變動列入損益之金融資產</t>
  </si>
  <si>
    <t>1311000 交易目的金融資產</t>
  </si>
  <si>
    <t>1312000 交易目的金融資產評價調整</t>
  </si>
  <si>
    <t>1313000 指定公平價值變動列入損益之金融</t>
  </si>
  <si>
    <t>1314000 指定公平價值變動列入損益之金融</t>
  </si>
  <si>
    <t>1320000 備供出售金融資產-流動</t>
  </si>
  <si>
    <t>1321000 備供出售金融資產-流動</t>
  </si>
  <si>
    <t>1322000 備供出售金融資產評價調整-流動</t>
  </si>
  <si>
    <t>1323000 累計減損-備供出售金融資產-流動</t>
  </si>
  <si>
    <t>1330000 持有至到期日金融資產-流動</t>
  </si>
  <si>
    <t>1331000 持有至到期日金融資產-流動</t>
  </si>
  <si>
    <t>1332000 累計減損-持有至到期日金融資產-</t>
  </si>
  <si>
    <t>1420000 投資</t>
  </si>
  <si>
    <t>1421000 採權益法之長期股權投資</t>
  </si>
  <si>
    <t>1425000 預付長期投資款</t>
  </si>
  <si>
    <t>1429000 備抵長期投資跌價損失</t>
  </si>
  <si>
    <t>1430000 公平價值變動列入損益之金融資產</t>
  </si>
  <si>
    <t>1431000 指定公平價值變動列入損益之金融</t>
  </si>
  <si>
    <t>1432000 指定公平價值變動列入損益之金融</t>
  </si>
  <si>
    <t>1440000 其他金融資產－非流動</t>
  </si>
  <si>
    <t>1450000 備供出售金融資產-非流動</t>
  </si>
  <si>
    <t>1451000 備供出售金融資產-非流動</t>
  </si>
  <si>
    <t>1452000 備供出售金融資產評價調整-非流</t>
  </si>
  <si>
    <t>1453000 累計減損-備供出售金融資產-非流</t>
  </si>
  <si>
    <t>1460000 持有至到期日金融資產-非流動</t>
  </si>
  <si>
    <t>1461000 持有至到期日金融資產-非流動</t>
  </si>
  <si>
    <t>1462000 累計減損-持有至到期日金融資產-</t>
  </si>
  <si>
    <t>1501000 土    地</t>
  </si>
  <si>
    <t>1521000 房屋及建築</t>
  </si>
  <si>
    <t>1529000 累計折舊-房屋及建築</t>
  </si>
  <si>
    <t>1531000 機器設備</t>
  </si>
  <si>
    <t>1539000 累計折舊-機器設備</t>
  </si>
  <si>
    <t>1541000 模具設備</t>
  </si>
  <si>
    <t>1549000 累計折舊-模具設備</t>
  </si>
  <si>
    <t>1551000 運輸設備</t>
  </si>
  <si>
    <t>1559000 累計折舊-運輸設備</t>
  </si>
  <si>
    <t>1561000 辦公設備</t>
  </si>
  <si>
    <t>1569000 累計折舊-辦公設備</t>
  </si>
  <si>
    <t>1571000 租賃改良</t>
  </si>
  <si>
    <t>1579000 累計折舊-租賃改良</t>
  </si>
  <si>
    <t>1581000 其他設備</t>
  </si>
  <si>
    <t>1589000 累計折舊-其他設備</t>
  </si>
  <si>
    <t>1590000 預付設備款</t>
  </si>
  <si>
    <t>1591000 暫估設備</t>
  </si>
  <si>
    <t>1600000 遞耗資產</t>
  </si>
  <si>
    <t>1770000 遞延退休金成本</t>
  </si>
  <si>
    <t>1820000 存出保證金</t>
  </si>
  <si>
    <t>1830000 遞延費用</t>
  </si>
  <si>
    <t>1831000 開 辦 費</t>
  </si>
  <si>
    <t>1832000 債券發行成本</t>
  </si>
  <si>
    <t>1839000 其他遞延費用</t>
  </si>
  <si>
    <t>1840000 長期應收票據及款項</t>
  </si>
  <si>
    <t>1848000 催收款項</t>
  </si>
  <si>
    <t>1849000 備抵呆帳-催收款項</t>
  </si>
  <si>
    <t>1850000 長期應收票據及款項-關係人</t>
  </si>
  <si>
    <t>1860000 遞延所得稅資產－非流動</t>
  </si>
  <si>
    <t>1880000 其他資產-其他</t>
  </si>
  <si>
    <t>1881000 遞延借項-聯屬公司間損失</t>
  </si>
  <si>
    <t>1887000 受限制資產</t>
  </si>
  <si>
    <t>1888000 其他資產-其他</t>
  </si>
  <si>
    <t>1899000 累計減損-其他資產</t>
  </si>
  <si>
    <t>信託代理及保證資產(備忘科目)</t>
  </si>
  <si>
    <t>1931000 保證票據(備忘科目)</t>
  </si>
  <si>
    <t>1941000 存出保證票據(備忘科目)</t>
  </si>
  <si>
    <t>負債/業主權益總計</t>
  </si>
  <si>
    <t>6318000</t>
  </si>
  <si>
    <t>6319000</t>
  </si>
  <si>
    <t>6320000</t>
  </si>
  <si>
    <t>6321000</t>
  </si>
  <si>
    <t>6322000</t>
  </si>
  <si>
    <t>6324000</t>
  </si>
  <si>
    <r>
      <t>101年臷至7月</t>
    </r>
    <r>
      <rPr>
        <sz val="10"/>
        <color indexed="8"/>
        <rFont val="細明體"/>
        <family val="3"/>
        <charset val="136"/>
      </rPr>
      <t/>
    </r>
  </si>
  <si>
    <t>Cost Amount</t>
  </si>
  <si>
    <t>Total Profit</t>
  </si>
  <si>
    <t>G/P Rate %</t>
  </si>
  <si>
    <t xml:space="preserve">                    </t>
  </si>
  <si>
    <t xml:space="preserve">          </t>
  </si>
  <si>
    <t xml:space="preserve"> </t>
  </si>
  <si>
    <r>
      <t>截至8月</t>
    </r>
    <r>
      <rPr>
        <sz val="10"/>
        <color indexed="8"/>
        <rFont val="細明體"/>
        <family val="3"/>
        <charset val="136"/>
      </rPr>
      <t/>
    </r>
  </si>
  <si>
    <t>總計</t>
  </si>
  <si>
    <r>
      <t>101年臷至12月</t>
    </r>
    <r>
      <rPr>
        <sz val="10"/>
        <color indexed="8"/>
        <rFont val="細明體"/>
        <family val="3"/>
        <charset val="136"/>
      </rPr>
      <t/>
    </r>
  </si>
  <si>
    <t xml:space="preserve">  金融資產評價利益</t>
    <phoneticPr fontId="40" type="noConversion"/>
  </si>
  <si>
    <t>　應收款項(增加)減少</t>
    <phoneticPr fontId="40" type="noConversion"/>
  </si>
  <si>
    <t>　應付費用增加(減少)</t>
    <phoneticPr fontId="40" type="noConversion"/>
  </si>
  <si>
    <t>Overhead Amount</t>
  </si>
  <si>
    <t>MVA%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</si>
  <si>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</si>
  <si>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</si>
  <si>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</si>
  <si>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</si>
  <si>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</si>
  <si>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</si>
  <si>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</si>
  <si>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</si>
  <si>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</si>
  <si>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</si>
  <si>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</si>
  <si>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Department : All Department</t>
  </si>
  <si>
    <t>Account No. : 所有科目</t>
  </si>
  <si>
    <r>
      <t>101年臷至11月</t>
    </r>
    <r>
      <rPr>
        <sz val="10"/>
        <color indexed="8"/>
        <rFont val="細明體"/>
        <family val="3"/>
        <charset val="136"/>
      </rPr>
      <t/>
    </r>
  </si>
  <si>
    <t>inv movement</t>
  </si>
  <si>
    <r>
      <t>截至4月</t>
    </r>
    <r>
      <rPr>
        <sz val="10"/>
        <color indexed="8"/>
        <rFont val="細明體"/>
        <family val="3"/>
        <charset val="136"/>
      </rPr>
      <t/>
    </r>
  </si>
  <si>
    <t>資產</t>
  </si>
  <si>
    <t>流動資產</t>
  </si>
  <si>
    <t>負債</t>
  </si>
  <si>
    <t>流動負債</t>
  </si>
  <si>
    <t>流動負債合計</t>
  </si>
  <si>
    <t>長期負債</t>
  </si>
  <si>
    <t>長期負債合計</t>
  </si>
  <si>
    <t>其他負債</t>
  </si>
  <si>
    <t>Sub. Amount</t>
  </si>
  <si>
    <r>
      <t>截至5月</t>
    </r>
    <r>
      <rPr>
        <sz val="10"/>
        <color indexed="8"/>
        <rFont val="細明體"/>
        <family val="3"/>
        <charset val="136"/>
      </rPr>
      <t/>
    </r>
  </si>
  <si>
    <r>
      <t>截至7月</t>
    </r>
    <r>
      <rPr>
        <sz val="10"/>
        <color indexed="8"/>
        <rFont val="細明體"/>
        <family val="3"/>
        <charset val="136"/>
      </rPr>
      <t/>
    </r>
  </si>
  <si>
    <t>6224000</t>
  </si>
  <si>
    <t>6225000</t>
  </si>
  <si>
    <t>6227000</t>
  </si>
  <si>
    <t>6228000</t>
  </si>
  <si>
    <t>6229000</t>
  </si>
  <si>
    <t>6231000</t>
  </si>
  <si>
    <t>6232000</t>
  </si>
  <si>
    <t>6233000</t>
  </si>
  <si>
    <t>6234000</t>
  </si>
  <si>
    <t>6288000</t>
  </si>
  <si>
    <t>6288100</t>
  </si>
  <si>
    <t>6288200</t>
  </si>
  <si>
    <r>
      <t>截至9月</t>
    </r>
    <r>
      <rPr>
        <sz val="10"/>
        <color indexed="8"/>
        <rFont val="細明體"/>
        <family val="3"/>
        <charset val="136"/>
      </rPr>
      <t/>
    </r>
  </si>
  <si>
    <r>
      <t>截至2月</t>
    </r>
    <r>
      <rPr>
        <sz val="10"/>
        <color indexed="8"/>
        <rFont val="細明體"/>
        <family val="3"/>
        <charset val="136"/>
      </rPr>
      <t/>
    </r>
  </si>
  <si>
    <t>無形資產</t>
  </si>
  <si>
    <t>無形資產合計</t>
  </si>
  <si>
    <t>ZXX</t>
  </si>
  <si>
    <t>股本合計</t>
  </si>
  <si>
    <t>資本公積</t>
  </si>
  <si>
    <t>資本公積合計</t>
  </si>
  <si>
    <t>保留盈餘</t>
  </si>
  <si>
    <t>保留盈餘合計</t>
  </si>
  <si>
    <t>股東權益其他調整項目合計</t>
  </si>
  <si>
    <t>庫藏股票</t>
  </si>
  <si>
    <t>庫藏股票合計</t>
  </si>
  <si>
    <t>股東權益合計</t>
  </si>
  <si>
    <t>流動資產合計</t>
  </si>
  <si>
    <t>基金及投資</t>
  </si>
  <si>
    <t>基金及投資合計</t>
  </si>
  <si>
    <t>固定資產</t>
  </si>
  <si>
    <t>固定資產合計</t>
  </si>
  <si>
    <t>其他資產</t>
  </si>
  <si>
    <t>其他資產合計</t>
  </si>
  <si>
    <t>資產總計</t>
  </si>
  <si>
    <t>金額</t>
  </si>
  <si>
    <r>
      <t>截至6月</t>
    </r>
    <r>
      <rPr>
        <sz val="10"/>
        <color indexed="8"/>
        <rFont val="細明體"/>
        <family val="3"/>
        <charset val="136"/>
      </rPr>
      <t/>
    </r>
  </si>
  <si>
    <t>其他負債合計</t>
  </si>
  <si>
    <t>負債總計</t>
  </si>
  <si>
    <t>股東權益</t>
  </si>
  <si>
    <t>股本</t>
  </si>
  <si>
    <t>6325000</t>
  </si>
  <si>
    <t>6327000</t>
  </si>
  <si>
    <t>6328000</t>
  </si>
  <si>
    <t>6331000</t>
  </si>
  <si>
    <t>6333000</t>
  </si>
  <si>
    <r>
      <t>截至11月</t>
    </r>
    <r>
      <rPr>
        <sz val="10"/>
        <color indexed="8"/>
        <rFont val="細明體"/>
        <family val="3"/>
        <charset val="136"/>
      </rPr>
      <t/>
    </r>
  </si>
  <si>
    <t>6334000</t>
  </si>
  <si>
    <t>6388000</t>
  </si>
  <si>
    <t>6388100</t>
  </si>
  <si>
    <t>6388200</t>
  </si>
  <si>
    <t>6388300</t>
  </si>
  <si>
    <t>6388500</t>
  </si>
  <si>
    <t>6388600</t>
  </si>
  <si>
    <t>6388900</t>
  </si>
  <si>
    <t>Acct Group</t>
  </si>
  <si>
    <r>
      <t>截至12月</t>
    </r>
    <r>
      <rPr>
        <sz val="10"/>
        <color indexed="8"/>
        <rFont val="細明體"/>
        <family val="3"/>
        <charset val="136"/>
      </rPr>
      <t/>
    </r>
  </si>
  <si>
    <t>Customer</t>
  </si>
  <si>
    <t>Customer Name</t>
  </si>
  <si>
    <t>Item No.</t>
  </si>
  <si>
    <t>Description</t>
  </si>
  <si>
    <t>Qty</t>
  </si>
  <si>
    <t>Sales Amount</t>
  </si>
  <si>
    <t>賀毅科技股份有限公司</t>
  </si>
  <si>
    <t>項目</t>
  </si>
  <si>
    <r>
      <t>99年臷至12月</t>
    </r>
    <r>
      <rPr>
        <sz val="10"/>
        <color indexed="8"/>
        <rFont val="細明體"/>
        <family val="3"/>
        <charset val="136"/>
      </rPr>
      <t/>
    </r>
  </si>
  <si>
    <r>
      <t>100年臷至2月</t>
    </r>
    <r>
      <rPr>
        <sz val="10"/>
        <color indexed="8"/>
        <rFont val="細明體"/>
        <family val="3"/>
        <charset val="136"/>
      </rPr>
      <t/>
    </r>
  </si>
  <si>
    <r>
      <t>100年臷至3月</t>
    </r>
    <r>
      <rPr>
        <sz val="10"/>
        <color indexed="8"/>
        <rFont val="細明體"/>
        <family val="3"/>
        <charset val="136"/>
      </rPr>
      <t/>
    </r>
  </si>
  <si>
    <r>
      <t>100年臷至4月</t>
    </r>
    <r>
      <rPr>
        <sz val="10"/>
        <color indexed="8"/>
        <rFont val="細明體"/>
        <family val="3"/>
        <charset val="136"/>
      </rPr>
      <t/>
    </r>
  </si>
  <si>
    <r>
      <t>100年臷至8月</t>
    </r>
    <r>
      <rPr>
        <sz val="10"/>
        <color indexed="8"/>
        <rFont val="細明體"/>
        <family val="3"/>
        <charset val="136"/>
      </rPr>
      <t/>
    </r>
  </si>
  <si>
    <r>
      <t>100年臷至9月</t>
    </r>
    <r>
      <rPr>
        <sz val="10"/>
        <color indexed="8"/>
        <rFont val="細明體"/>
        <family val="3"/>
        <charset val="136"/>
      </rPr>
      <t/>
    </r>
  </si>
  <si>
    <r>
      <t>100年臷至10月</t>
    </r>
    <r>
      <rPr>
        <sz val="10"/>
        <color indexed="8"/>
        <rFont val="細明體"/>
        <family val="3"/>
        <charset val="136"/>
      </rPr>
      <t/>
    </r>
  </si>
  <si>
    <r>
      <t>100年臷至11月</t>
    </r>
    <r>
      <rPr>
        <sz val="10"/>
        <color indexed="8"/>
        <rFont val="細明體"/>
        <family val="3"/>
        <charset val="136"/>
      </rPr>
      <t/>
    </r>
  </si>
  <si>
    <r>
      <t>100年臷至12月</t>
    </r>
    <r>
      <rPr>
        <sz val="10"/>
        <color indexed="8"/>
        <rFont val="細明體"/>
        <family val="3"/>
        <charset val="136"/>
      </rPr>
      <t/>
    </r>
  </si>
  <si>
    <r>
      <t>101年臷至2月</t>
    </r>
    <r>
      <rPr>
        <sz val="10"/>
        <color indexed="8"/>
        <rFont val="細明體"/>
        <family val="3"/>
        <charset val="136"/>
      </rPr>
      <t/>
    </r>
  </si>
  <si>
    <r>
      <t>101年臷至3月</t>
    </r>
    <r>
      <rPr>
        <sz val="10"/>
        <color indexed="8"/>
        <rFont val="細明體"/>
        <family val="3"/>
        <charset val="136"/>
      </rPr>
      <t/>
    </r>
  </si>
  <si>
    <r>
      <t>101年臷至4月</t>
    </r>
    <r>
      <rPr>
        <sz val="10"/>
        <color indexed="8"/>
        <rFont val="細明體"/>
        <family val="3"/>
        <charset val="136"/>
      </rPr>
      <t/>
    </r>
  </si>
  <si>
    <r>
      <t>101年臷至5月</t>
    </r>
    <r>
      <rPr>
        <sz val="10"/>
        <color indexed="8"/>
        <rFont val="細明體"/>
        <family val="3"/>
        <charset val="136"/>
      </rPr>
      <t/>
    </r>
  </si>
  <si>
    <r>
      <t>101年臷至6月</t>
    </r>
    <r>
      <rPr>
        <sz val="10"/>
        <color indexed="8"/>
        <rFont val="細明體"/>
        <family val="3"/>
        <charset val="136"/>
      </rPr>
      <t/>
    </r>
  </si>
  <si>
    <r>
      <t>101年臷至10月</t>
    </r>
    <r>
      <rPr>
        <sz val="10"/>
        <color indexed="8"/>
        <rFont val="細明體"/>
        <family val="3"/>
        <charset val="136"/>
      </rPr>
      <t/>
    </r>
  </si>
  <si>
    <r>
      <t>101年臷至9月</t>
    </r>
    <r>
      <rPr>
        <sz val="10"/>
        <color indexed="8"/>
        <rFont val="細明體"/>
        <family val="3"/>
        <charset val="136"/>
      </rPr>
      <t/>
    </r>
  </si>
  <si>
    <t>　本期淨利（損）</t>
  </si>
  <si>
    <t>　調整項目：</t>
  </si>
  <si>
    <t xml:space="preserve">    折舊</t>
  </si>
  <si>
    <t>　各項攤提</t>
  </si>
  <si>
    <t xml:space="preserve">    出售固定資產價款</t>
  </si>
  <si>
    <t>　購買短期投資</t>
  </si>
  <si>
    <t>　處分短期投資</t>
  </si>
  <si>
    <t>6217000</t>
  </si>
  <si>
    <t>6218000</t>
  </si>
  <si>
    <t>6219000</t>
  </si>
  <si>
    <t>6220000</t>
  </si>
  <si>
    <t>6221000</t>
  </si>
  <si>
    <t>6223000</t>
  </si>
  <si>
    <t>6210000</t>
  </si>
  <si>
    <t>6210100</t>
  </si>
  <si>
    <t>6210200</t>
  </si>
  <si>
    <t>6210210</t>
  </si>
  <si>
    <t>6210220</t>
  </si>
  <si>
    <t>6210300</t>
  </si>
  <si>
    <t>6210400</t>
  </si>
  <si>
    <t>6210500</t>
  </si>
  <si>
    <t>Prod. Group Code</t>
  </si>
  <si>
    <r>
      <t>102年臷至2月</t>
    </r>
    <r>
      <rPr>
        <sz val="10"/>
        <color indexed="8"/>
        <rFont val="細明體"/>
        <family val="3"/>
        <charset val="136"/>
      </rPr>
      <t/>
    </r>
  </si>
  <si>
    <r>
      <t>截至3月</t>
    </r>
    <r>
      <rPr>
        <sz val="10"/>
        <color indexed="8"/>
        <rFont val="細明體"/>
        <family val="3"/>
        <charset val="136"/>
      </rPr>
      <t/>
    </r>
  </si>
  <si>
    <r>
      <t>102年臷至4月</t>
    </r>
    <r>
      <rPr>
        <sz val="10"/>
        <color indexed="8"/>
        <rFont val="細明體"/>
        <family val="3"/>
        <charset val="136"/>
      </rPr>
      <t/>
    </r>
  </si>
  <si>
    <t>Jan</t>
  </si>
  <si>
    <t>% of sales</t>
  </si>
  <si>
    <t>G/P %</t>
  </si>
  <si>
    <t>百分比%</t>
  </si>
  <si>
    <t>Total MVA</t>
  </si>
  <si>
    <t>Raw</t>
  </si>
  <si>
    <t>6310000</t>
  </si>
  <si>
    <t>6310100</t>
  </si>
  <si>
    <t>6310200</t>
  </si>
  <si>
    <t>6310210</t>
  </si>
  <si>
    <t>6310220</t>
  </si>
  <si>
    <t>6310300</t>
  </si>
  <si>
    <t>6310400</t>
  </si>
  <si>
    <t>6310500</t>
  </si>
  <si>
    <t>6311000</t>
  </si>
  <si>
    <t>6312000</t>
  </si>
  <si>
    <r>
      <t>101年臷至8月</t>
    </r>
    <r>
      <rPr>
        <sz val="10"/>
        <color indexed="8"/>
        <rFont val="細明體"/>
        <family val="3"/>
        <charset val="136"/>
      </rPr>
      <t/>
    </r>
  </si>
  <si>
    <t>6314000</t>
  </si>
  <si>
    <t>6315000</t>
  </si>
  <si>
    <t>6316000</t>
  </si>
  <si>
    <t>6211000</t>
  </si>
  <si>
    <t>6212000</t>
  </si>
  <si>
    <t>6213000</t>
  </si>
  <si>
    <t>6214000</t>
  </si>
  <si>
    <t>6215000</t>
  </si>
  <si>
    <t>No.</t>
  </si>
  <si>
    <t xml:space="preserve">                                        </t>
  </si>
  <si>
    <t xml:space="preserve">                                      </t>
  </si>
  <si>
    <t>6288400</t>
  </si>
  <si>
    <t>6288900</t>
  </si>
  <si>
    <t>5123Y03</t>
  </si>
  <si>
    <t>5123Y04</t>
  </si>
  <si>
    <t>5123Y05</t>
  </si>
  <si>
    <r>
      <t>截至10月</t>
    </r>
    <r>
      <rPr>
        <sz val="10"/>
        <color indexed="8"/>
        <rFont val="細明體"/>
        <family val="3"/>
        <charset val="136"/>
      </rPr>
      <t/>
    </r>
  </si>
  <si>
    <t>Qty.</t>
  </si>
  <si>
    <t>Sales Amount.</t>
  </si>
  <si>
    <t>Cost Amount.</t>
  </si>
  <si>
    <t>Total Profit.</t>
  </si>
  <si>
    <t>Sub. Amount.</t>
  </si>
  <si>
    <t>Overhead Amount.</t>
  </si>
  <si>
    <t>Total MVA.</t>
  </si>
  <si>
    <t>截至12月</t>
  </si>
  <si>
    <r>
      <t>102年臷至12月</t>
    </r>
    <r>
      <rPr>
        <sz val="10"/>
        <color indexed="8"/>
        <rFont val="細明體"/>
        <family val="3"/>
        <charset val="136"/>
      </rPr>
      <t/>
    </r>
  </si>
  <si>
    <t>Dec vs Nov</t>
  </si>
  <si>
    <t xml:space="preserve">  處分固定資產損失(利益)</t>
    <phoneticPr fontId="40" type="noConversion"/>
  </si>
  <si>
    <t>截至2月</t>
  </si>
  <si>
    <r>
      <t>103年臷至2月</t>
    </r>
    <r>
      <rPr>
        <sz val="10"/>
        <color indexed="8"/>
        <rFont val="細明體"/>
        <family val="3"/>
        <charset val="136"/>
      </rPr>
      <t/>
    </r>
  </si>
  <si>
    <t>Inventory</t>
  </si>
  <si>
    <t xml:space="preserve">Total </t>
  </si>
  <si>
    <t>HF</t>
  </si>
  <si>
    <t>截至3月</t>
  </si>
  <si>
    <t>截至4月</t>
  </si>
  <si>
    <t>1710000 商標權</t>
  </si>
  <si>
    <t>截至6月</t>
  </si>
  <si>
    <r>
      <t>103年臷至6月</t>
    </r>
    <r>
      <rPr>
        <sz val="10"/>
        <color indexed="8"/>
        <rFont val="細明體"/>
        <family val="3"/>
        <charset val="136"/>
      </rPr>
      <t/>
    </r>
  </si>
  <si>
    <t>BOM Cost Amount</t>
  </si>
  <si>
    <t>MVA-BOM%</t>
  </si>
  <si>
    <t>DIFF</t>
  </si>
  <si>
    <t>截至7月</t>
  </si>
  <si>
    <t>1111903 庫存現金-澳幣</t>
  </si>
  <si>
    <t>XPOS755P</t>
  </si>
  <si>
    <t>ODM</t>
  </si>
  <si>
    <t>BFRA0002</t>
  </si>
  <si>
    <t>Unit Cost(料)(3)</t>
  </si>
  <si>
    <t>Unit Cost(工)(7)=(5)+(6)</t>
  </si>
  <si>
    <t>Cost Amount(料)</t>
  </si>
  <si>
    <t>YUNO+VFD-COVER-BLACK(20in1)</t>
  </si>
  <si>
    <t>YUNO-COVER-BLACK(20in1)</t>
  </si>
  <si>
    <t>YUNO-BASE151</t>
  </si>
  <si>
    <t>YUNO-COVER</t>
  </si>
  <si>
    <t>YUNO-VFD</t>
  </si>
  <si>
    <t>YUNO-MB</t>
  </si>
  <si>
    <t>原物料</t>
  </si>
  <si>
    <t>商品</t>
  </si>
  <si>
    <t>半成品</t>
  </si>
  <si>
    <t>製成品</t>
  </si>
  <si>
    <t>AURES Technologies SA</t>
  </si>
  <si>
    <t>資產負債表(月份別)</t>
  </si>
  <si>
    <t>原料</t>
  </si>
  <si>
    <t>跌價/呆滯比率</t>
  </si>
  <si>
    <t>備抵跌價/呆滯損失-Slow Moving</t>
  </si>
  <si>
    <t>備抵跌價/呆滯損失-LCM</t>
  </si>
  <si>
    <t xml:space="preserve">        小計</t>
  </si>
  <si>
    <t>原帳列數</t>
  </si>
  <si>
    <t>(補提)/回轉</t>
  </si>
  <si>
    <t>超過3年以上庫存評價</t>
  </si>
  <si>
    <t>本月提列數</t>
  </si>
  <si>
    <t>上月提列數</t>
  </si>
  <si>
    <t>呆滯及跌價損失(補提)/回轉總計</t>
  </si>
  <si>
    <t>各月存貨明細</t>
  </si>
  <si>
    <t>台新國際商業銀行-AURES</t>
  </si>
  <si>
    <t>104年臷至4月</t>
  </si>
  <si>
    <t>上月</t>
  </si>
  <si>
    <t>本月</t>
  </si>
  <si>
    <t>YUNO-MSRLONG</t>
  </si>
  <si>
    <t>ODMACA07</t>
  </si>
  <si>
    <t>不良品倉MJ10~MJ90</t>
  </si>
  <si>
    <t>報廢倉SC10~SC20</t>
  </si>
  <si>
    <t>2013 vs 2012</t>
  </si>
  <si>
    <t>2014 vs 2013</t>
  </si>
  <si>
    <t>B/S</t>
  </si>
  <si>
    <t>1~30</t>
  </si>
  <si>
    <t>31~60</t>
  </si>
  <si>
    <t>61~90</t>
  </si>
  <si>
    <t>181~</t>
  </si>
  <si>
    <t>YUNO-SCANNER2D</t>
  </si>
  <si>
    <t>AURES Technologies SA 合計</t>
  </si>
  <si>
    <r>
      <rPr>
        <sz val="10"/>
        <rFont val="新細明體"/>
        <family val="1"/>
        <charset val="136"/>
      </rPr>
      <t>維修收入</t>
    </r>
  </si>
  <si>
    <r>
      <rPr>
        <b/>
        <sz val="10"/>
        <rFont val="新細明體"/>
        <family val="1"/>
        <charset val="136"/>
      </rPr>
      <t>▲</t>
    </r>
    <r>
      <rPr>
        <b/>
        <sz val="10"/>
        <rFont val="Calibri"/>
        <family val="2"/>
      </rPr>
      <t xml:space="preserve"> </t>
    </r>
    <r>
      <rPr>
        <b/>
        <sz val="10"/>
        <rFont val="新細明體"/>
        <family val="1"/>
        <charset val="136"/>
      </rPr>
      <t>稅前損益：</t>
    </r>
  </si>
  <si>
    <r>
      <rPr>
        <sz val="10"/>
        <rFont val="新細明體"/>
        <family val="1"/>
        <charset val="136"/>
      </rPr>
      <t>維修收入</t>
    </r>
    <r>
      <rPr>
        <sz val="10"/>
        <rFont val="Calibri"/>
        <family val="2"/>
      </rPr>
      <t>/</t>
    </r>
    <r>
      <rPr>
        <sz val="10"/>
        <rFont val="新細明體"/>
        <family val="1"/>
        <charset val="136"/>
      </rPr>
      <t>勞務收入</t>
    </r>
    <phoneticPr fontId="40" type="noConversion"/>
  </si>
  <si>
    <t>ODMACA04</t>
  </si>
  <si>
    <t>91~180</t>
  </si>
  <si>
    <t>total</t>
  </si>
  <si>
    <t>(amount)</t>
  </si>
  <si>
    <t>YUNO-BASE156</t>
  </si>
  <si>
    <t>差異數-在製品</t>
  </si>
  <si>
    <t>Q1~Q3</t>
  </si>
  <si>
    <t>105年臷至1月</t>
  </si>
  <si>
    <t>105年臷至2月</t>
  </si>
  <si>
    <t>105年臷至3月</t>
  </si>
  <si>
    <t>105年臷至4月</t>
  </si>
  <si>
    <t>105年臷至5月</t>
  </si>
  <si>
    <t>105年臷至6月</t>
  </si>
  <si>
    <t>105年臷至7月</t>
  </si>
  <si>
    <t>105年臷至8月</t>
  </si>
  <si>
    <t>105年臷至9月</t>
  </si>
  <si>
    <t>105年臷至10月</t>
  </si>
  <si>
    <t>105年臷至11月</t>
  </si>
  <si>
    <t>105年臷至12月</t>
  </si>
  <si>
    <r>
      <rPr>
        <b/>
        <sz val="12"/>
        <color indexed="8"/>
        <rFont val="新細明體"/>
        <family val="1"/>
        <charset val="136"/>
      </rPr>
      <t>賀毅科技股份有限公司</t>
    </r>
  </si>
  <si>
    <r>
      <rPr>
        <sz val="12"/>
        <color indexed="8"/>
        <rFont val="新細明體"/>
        <family val="1"/>
        <charset val="136"/>
      </rPr>
      <t>項目</t>
    </r>
  </si>
  <si>
    <r>
      <t xml:space="preserve">4100000 </t>
    </r>
    <r>
      <rPr>
        <b/>
        <sz val="12"/>
        <rFont val="新細明體"/>
        <family val="1"/>
        <charset val="136"/>
      </rPr>
      <t>銷貨收入淨額</t>
    </r>
  </si>
  <si>
    <r>
      <t xml:space="preserve">4110000 </t>
    </r>
    <r>
      <rPr>
        <sz val="12"/>
        <rFont val="新細明體"/>
        <family val="1"/>
        <charset val="136"/>
      </rPr>
      <t>銷貨收入</t>
    </r>
  </si>
  <si>
    <r>
      <t xml:space="preserve">4111000 </t>
    </r>
    <r>
      <rPr>
        <sz val="12"/>
        <rFont val="新細明體"/>
        <family val="1"/>
        <charset val="136"/>
      </rPr>
      <t>銷貨收入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國內</t>
    </r>
  </si>
  <si>
    <r>
      <t xml:space="preserve">4199999  </t>
    </r>
    <r>
      <rPr>
        <b/>
        <sz val="12"/>
        <rFont val="新細明體"/>
        <family val="1"/>
        <charset val="136"/>
      </rPr>
      <t>銷貨收入淨額合計</t>
    </r>
  </si>
  <si>
    <r>
      <t xml:space="preserve">4600000 </t>
    </r>
    <r>
      <rPr>
        <b/>
        <sz val="12"/>
        <rFont val="新細明體"/>
        <family val="1"/>
        <charset val="136"/>
      </rPr>
      <t>勞務收入</t>
    </r>
  </si>
  <si>
    <r>
      <t xml:space="preserve">4610000 </t>
    </r>
    <r>
      <rPr>
        <sz val="12"/>
        <rFont val="新細明體"/>
        <family val="1"/>
        <charset val="136"/>
      </rPr>
      <t>維修收入</t>
    </r>
  </si>
  <si>
    <r>
      <t xml:space="preserve">4620000 </t>
    </r>
    <r>
      <rPr>
        <sz val="12"/>
        <rFont val="新細明體"/>
        <family val="1"/>
        <charset val="136"/>
      </rPr>
      <t>勞務收入</t>
    </r>
  </si>
  <si>
    <r>
      <t xml:space="preserve">4621000 </t>
    </r>
    <r>
      <rPr>
        <sz val="12"/>
        <rFont val="新細明體"/>
        <family val="1"/>
        <charset val="136"/>
      </rPr>
      <t>勞務收入</t>
    </r>
  </si>
  <si>
    <r>
      <t xml:space="preserve">4699999 </t>
    </r>
    <r>
      <rPr>
        <b/>
        <sz val="12"/>
        <rFont val="新細明體"/>
        <family val="1"/>
        <charset val="136"/>
      </rPr>
      <t>勞務收入合計</t>
    </r>
  </si>
  <si>
    <r>
      <t xml:space="preserve">4999999 </t>
    </r>
    <r>
      <rPr>
        <sz val="12"/>
        <rFont val="新細明體"/>
        <family val="1"/>
        <charset val="136"/>
      </rPr>
      <t>營業收入合計</t>
    </r>
  </si>
  <si>
    <r>
      <t xml:space="preserve">5000000 </t>
    </r>
    <r>
      <rPr>
        <sz val="12"/>
        <rFont val="新細明體"/>
        <family val="1"/>
        <charset val="136"/>
      </rPr>
      <t>營業成本</t>
    </r>
  </si>
  <si>
    <r>
      <t xml:space="preserve">5100000 </t>
    </r>
    <r>
      <rPr>
        <sz val="12"/>
        <rFont val="新細明體"/>
        <family val="1"/>
        <charset val="136"/>
      </rPr>
      <t>進銷成本</t>
    </r>
  </si>
  <si>
    <r>
      <t xml:space="preserve">5120000 </t>
    </r>
    <r>
      <rPr>
        <sz val="12"/>
        <rFont val="新細明體"/>
        <family val="1"/>
        <charset val="136"/>
      </rPr>
      <t>產銷成本</t>
    </r>
  </si>
  <si>
    <r>
      <t xml:space="preserve">5121000 </t>
    </r>
    <r>
      <rPr>
        <sz val="12"/>
        <rFont val="新細明體"/>
        <family val="1"/>
        <charset val="136"/>
      </rPr>
      <t>產銷成本</t>
    </r>
  </si>
  <si>
    <r>
      <t xml:space="preserve">5121100 </t>
    </r>
    <r>
      <rPr>
        <sz val="12"/>
        <rFont val="新細明體"/>
        <family val="1"/>
        <charset val="136"/>
      </rPr>
      <t>產銷成本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拆解</t>
    </r>
  </si>
  <si>
    <r>
      <t xml:space="preserve">5122100 </t>
    </r>
    <r>
      <rPr>
        <sz val="12"/>
        <rFont val="新細明體"/>
        <family val="1"/>
        <charset val="136"/>
      </rPr>
      <t>直接人工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本薪</t>
    </r>
  </si>
  <si>
    <r>
      <t xml:space="preserve">5122200 </t>
    </r>
    <r>
      <rPr>
        <sz val="12"/>
        <rFont val="新細明體"/>
        <family val="1"/>
        <charset val="136"/>
      </rPr>
      <t>直接人工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加班費</t>
    </r>
  </si>
  <si>
    <r>
      <t xml:space="preserve">5122210 </t>
    </r>
    <r>
      <rPr>
        <sz val="12"/>
        <rFont val="新細明體"/>
        <family val="1"/>
        <charset val="136"/>
      </rPr>
      <t>直接人工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加班費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應稅</t>
    </r>
  </si>
  <si>
    <r>
      <t xml:space="preserve">5122220 </t>
    </r>
    <r>
      <rPr>
        <sz val="12"/>
        <rFont val="新細明體"/>
        <family val="1"/>
        <charset val="136"/>
      </rPr>
      <t>直接人工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加班費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免稅</t>
    </r>
  </si>
  <si>
    <r>
      <t xml:space="preserve">5122300 </t>
    </r>
    <r>
      <rPr>
        <sz val="12"/>
        <rFont val="新細明體"/>
        <family val="1"/>
        <charset val="136"/>
      </rPr>
      <t>直接人工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伙食費</t>
    </r>
  </si>
  <si>
    <r>
      <t xml:space="preserve">5122400 </t>
    </r>
    <r>
      <rPr>
        <sz val="12"/>
        <rFont val="新細明體"/>
        <family val="1"/>
        <charset val="136"/>
      </rPr>
      <t>直接人工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獎金</t>
    </r>
  </si>
  <si>
    <r>
      <t xml:space="preserve">5122500 </t>
    </r>
    <r>
      <rPr>
        <sz val="12"/>
        <rFont val="新細明體"/>
        <family val="1"/>
        <charset val="136"/>
      </rPr>
      <t>直接人工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退休金</t>
    </r>
  </si>
  <si>
    <r>
      <t xml:space="preserve">5122600 </t>
    </r>
    <r>
      <rPr>
        <sz val="12"/>
        <rFont val="新細明體"/>
        <family val="1"/>
        <charset val="136"/>
      </rPr>
      <t>直接人工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資遣費</t>
    </r>
  </si>
  <si>
    <r>
      <t xml:space="preserve">5122A00 </t>
    </r>
    <r>
      <rPr>
        <sz val="12"/>
        <rFont val="新細明體"/>
        <family val="1"/>
        <charset val="136"/>
      </rPr>
      <t>直接人工</t>
    </r>
    <r>
      <rPr>
        <sz val="12"/>
        <rFont val="Calibri"/>
        <family val="2"/>
      </rPr>
      <t xml:space="preserve">- </t>
    </r>
    <r>
      <rPr>
        <sz val="12"/>
        <rFont val="新細明體"/>
        <family val="1"/>
        <charset val="136"/>
      </rPr>
      <t>分攤</t>
    </r>
  </si>
  <si>
    <r>
      <t xml:space="preserve">5122A01 </t>
    </r>
    <r>
      <rPr>
        <sz val="12"/>
        <rFont val="新細明體"/>
        <family val="1"/>
        <charset val="136"/>
      </rPr>
      <t>已分攤直接人工</t>
    </r>
  </si>
  <si>
    <r>
      <t xml:space="preserve">5123000 </t>
    </r>
    <r>
      <rPr>
        <sz val="12"/>
        <rFont val="新細明體"/>
        <family val="1"/>
        <charset val="136"/>
      </rPr>
      <t>製造費用</t>
    </r>
  </si>
  <si>
    <r>
      <t xml:space="preserve">5123100 </t>
    </r>
    <r>
      <rPr>
        <sz val="12"/>
        <rFont val="新細明體"/>
        <family val="1"/>
        <charset val="136"/>
      </rPr>
      <t>間接人工</t>
    </r>
  </si>
  <si>
    <r>
      <t xml:space="preserve">5123110 </t>
    </r>
    <r>
      <rPr>
        <sz val="12"/>
        <rFont val="新細明體"/>
        <family val="1"/>
        <charset val="136"/>
      </rPr>
      <t>間接人工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本薪</t>
    </r>
  </si>
  <si>
    <r>
      <t xml:space="preserve">5123120 </t>
    </r>
    <r>
      <rPr>
        <sz val="12"/>
        <rFont val="新細明體"/>
        <family val="1"/>
        <charset val="136"/>
      </rPr>
      <t>間接人工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加班費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免稅</t>
    </r>
  </si>
  <si>
    <r>
      <t xml:space="preserve">5123121 </t>
    </r>
    <r>
      <rPr>
        <sz val="12"/>
        <rFont val="新細明體"/>
        <family val="1"/>
        <charset val="136"/>
      </rPr>
      <t>間接人工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加班費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應稅</t>
    </r>
  </si>
  <si>
    <r>
      <t xml:space="preserve">5123130 </t>
    </r>
    <r>
      <rPr>
        <sz val="12"/>
        <rFont val="新細明體"/>
        <family val="1"/>
        <charset val="136"/>
      </rPr>
      <t>間接人工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退休金</t>
    </r>
  </si>
  <si>
    <r>
      <t xml:space="preserve">5123140 </t>
    </r>
    <r>
      <rPr>
        <sz val="12"/>
        <rFont val="新細明體"/>
        <family val="1"/>
        <charset val="136"/>
      </rPr>
      <t>間接人工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獎金</t>
    </r>
  </si>
  <si>
    <r>
      <t xml:space="preserve">5123150 </t>
    </r>
    <r>
      <rPr>
        <sz val="12"/>
        <rFont val="新細明體"/>
        <family val="1"/>
        <charset val="136"/>
      </rPr>
      <t>間接人工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資遣費</t>
    </r>
  </si>
  <si>
    <r>
      <t xml:space="preserve">5123200 </t>
    </r>
    <r>
      <rPr>
        <sz val="12"/>
        <rFont val="新細明體"/>
        <family val="1"/>
        <charset val="136"/>
      </rPr>
      <t>租金支出</t>
    </r>
  </si>
  <si>
    <r>
      <t xml:space="preserve">5123300 </t>
    </r>
    <r>
      <rPr>
        <sz val="12"/>
        <rFont val="新細明體"/>
        <family val="1"/>
        <charset val="136"/>
      </rPr>
      <t>文具用品</t>
    </r>
  </si>
  <si>
    <r>
      <t xml:space="preserve">5123400 </t>
    </r>
    <r>
      <rPr>
        <sz val="12"/>
        <rFont val="新細明體"/>
        <family val="1"/>
        <charset val="136"/>
      </rPr>
      <t>旅費</t>
    </r>
  </si>
  <si>
    <r>
      <t xml:space="preserve">5123500 </t>
    </r>
    <r>
      <rPr>
        <sz val="12"/>
        <rFont val="新細明體"/>
        <family val="1"/>
        <charset val="136"/>
      </rPr>
      <t>運費</t>
    </r>
  </si>
  <si>
    <r>
      <t xml:space="preserve">5123600 </t>
    </r>
    <r>
      <rPr>
        <sz val="12"/>
        <rFont val="新細明體"/>
        <family val="1"/>
        <charset val="136"/>
      </rPr>
      <t>郵電費</t>
    </r>
  </si>
  <si>
    <r>
      <t xml:space="preserve">5123700 </t>
    </r>
    <r>
      <rPr>
        <sz val="12"/>
        <rFont val="新細明體"/>
        <family val="1"/>
        <charset val="136"/>
      </rPr>
      <t>修繕費</t>
    </r>
  </si>
  <si>
    <r>
      <t xml:space="preserve">5123800 </t>
    </r>
    <r>
      <rPr>
        <sz val="12"/>
        <rFont val="新細明體"/>
        <family val="1"/>
        <charset val="136"/>
      </rPr>
      <t>包裝費</t>
    </r>
  </si>
  <si>
    <r>
      <t xml:space="preserve">5123900 </t>
    </r>
    <r>
      <rPr>
        <sz val="12"/>
        <rFont val="新細明體"/>
        <family val="1"/>
        <charset val="136"/>
      </rPr>
      <t>水電瓦斯費</t>
    </r>
  </si>
  <si>
    <r>
      <t xml:space="preserve">5123A00 </t>
    </r>
    <r>
      <rPr>
        <sz val="12"/>
        <rFont val="新細明體"/>
        <family val="1"/>
        <charset val="136"/>
      </rPr>
      <t>保險費</t>
    </r>
  </si>
  <si>
    <r>
      <t xml:space="preserve">5123B00 </t>
    </r>
    <r>
      <rPr>
        <sz val="12"/>
        <rFont val="新細明體"/>
        <family val="1"/>
        <charset val="136"/>
      </rPr>
      <t>加工費</t>
    </r>
  </si>
  <si>
    <r>
      <t xml:space="preserve">5123C00 </t>
    </r>
    <r>
      <rPr>
        <sz val="12"/>
        <rFont val="新細明體"/>
        <family val="1"/>
        <charset val="136"/>
      </rPr>
      <t>稅捐</t>
    </r>
  </si>
  <si>
    <r>
      <t xml:space="preserve">5123D00 </t>
    </r>
    <r>
      <rPr>
        <sz val="12"/>
        <rFont val="新細明體"/>
        <family val="1"/>
        <charset val="136"/>
      </rPr>
      <t>折舊</t>
    </r>
  </si>
  <si>
    <r>
      <t xml:space="preserve">5123E00 </t>
    </r>
    <r>
      <rPr>
        <sz val="12"/>
        <rFont val="新細明體"/>
        <family val="1"/>
        <charset val="136"/>
      </rPr>
      <t>各項耗竭及攤提</t>
    </r>
  </si>
  <si>
    <r>
      <t xml:space="preserve">5123F00 </t>
    </r>
    <r>
      <rPr>
        <sz val="12"/>
        <rFont val="新細明體"/>
        <family val="1"/>
        <charset val="136"/>
      </rPr>
      <t>伙食費</t>
    </r>
  </si>
  <si>
    <r>
      <t xml:space="preserve">5123G00 </t>
    </r>
    <r>
      <rPr>
        <sz val="12"/>
        <rFont val="新細明體"/>
        <family val="1"/>
        <charset val="136"/>
      </rPr>
      <t>職工福利</t>
    </r>
  </si>
  <si>
    <r>
      <t xml:space="preserve">5123H00 </t>
    </r>
    <r>
      <rPr>
        <sz val="12"/>
        <rFont val="新細明體"/>
        <family val="1"/>
        <charset val="136"/>
      </rPr>
      <t>保全費</t>
    </r>
  </si>
  <si>
    <r>
      <t xml:space="preserve">5123I00 </t>
    </r>
    <r>
      <rPr>
        <sz val="12"/>
        <rFont val="新細明體"/>
        <family val="1"/>
        <charset val="136"/>
      </rPr>
      <t xml:space="preserve">交通費_x000D_
</t>
    </r>
  </si>
  <si>
    <r>
      <t xml:space="preserve">5123J00 </t>
    </r>
    <r>
      <rPr>
        <sz val="12"/>
        <rFont val="新細明體"/>
        <family val="1"/>
        <charset val="136"/>
      </rPr>
      <t>訓練費</t>
    </r>
  </si>
  <si>
    <r>
      <t xml:space="preserve">5123Y00 </t>
    </r>
    <r>
      <rPr>
        <sz val="12"/>
        <rFont val="新細明體"/>
        <family val="1"/>
        <charset val="136"/>
      </rPr>
      <t>其他製造費用</t>
    </r>
  </si>
  <si>
    <r>
      <t xml:space="preserve">5123Y01 </t>
    </r>
    <r>
      <rPr>
        <sz val="12"/>
        <rFont val="新細明體"/>
        <family val="1"/>
        <charset val="136"/>
      </rPr>
      <t>其他製造費用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雜項購置</t>
    </r>
  </si>
  <si>
    <r>
      <t xml:space="preserve">5123Y02 </t>
    </r>
    <r>
      <rPr>
        <sz val="12"/>
        <rFont val="新細明體"/>
        <family val="1"/>
        <charset val="136"/>
      </rPr>
      <t>其他製造費用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書報雜誌</t>
    </r>
  </si>
  <si>
    <r>
      <t xml:space="preserve">5123Y03 </t>
    </r>
    <r>
      <rPr>
        <sz val="12"/>
        <rFont val="新細明體"/>
        <family val="1"/>
        <charset val="136"/>
      </rPr>
      <t>其他製造費用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勞務費</t>
    </r>
  </si>
  <si>
    <r>
      <t xml:space="preserve">5123Y04 </t>
    </r>
    <r>
      <rPr>
        <sz val="12"/>
        <rFont val="新細明體"/>
        <family val="1"/>
        <charset val="136"/>
      </rPr>
      <t>其他製造費用</t>
    </r>
    <r>
      <rPr>
        <sz val="12"/>
        <rFont val="Calibri"/>
        <family val="2"/>
      </rPr>
      <t xml:space="preserve">- </t>
    </r>
    <r>
      <rPr>
        <sz val="12"/>
        <rFont val="新細明體"/>
        <family val="1"/>
        <charset val="136"/>
      </rPr>
      <t>材料領用</t>
    </r>
  </si>
  <si>
    <r>
      <t xml:space="preserve">5123Y05 </t>
    </r>
    <r>
      <rPr>
        <sz val="12"/>
        <rFont val="新細明體"/>
        <family val="1"/>
        <charset val="136"/>
      </rPr>
      <t>其他製造費用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樣品費</t>
    </r>
  </si>
  <si>
    <r>
      <t xml:space="preserve">5123Y09 </t>
    </r>
    <r>
      <rPr>
        <sz val="12"/>
        <rFont val="新細明體"/>
        <family val="1"/>
        <charset val="136"/>
      </rPr>
      <t>其他製造費用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什費</t>
    </r>
  </si>
  <si>
    <r>
      <t xml:space="preserve">5123Z00 </t>
    </r>
    <r>
      <rPr>
        <sz val="12"/>
        <rFont val="新細明體"/>
        <family val="1"/>
        <charset val="136"/>
      </rPr>
      <t>製造費用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分攤</t>
    </r>
  </si>
  <si>
    <r>
      <t xml:space="preserve">5123Z01 </t>
    </r>
    <r>
      <rPr>
        <sz val="12"/>
        <rFont val="新細明體"/>
        <family val="1"/>
        <charset val="136"/>
      </rPr>
      <t>已分攤製造費用</t>
    </r>
  </si>
  <si>
    <r>
      <t xml:space="preserve">5130000 </t>
    </r>
    <r>
      <rPr>
        <sz val="12"/>
        <rFont val="新細明體"/>
        <family val="1"/>
        <charset val="136"/>
      </rPr>
      <t>原料出售成本</t>
    </r>
  </si>
  <si>
    <r>
      <t xml:space="preserve">5140000 </t>
    </r>
    <r>
      <rPr>
        <sz val="12"/>
        <rFont val="新細明體"/>
        <family val="1"/>
        <charset val="136"/>
      </rPr>
      <t>半成品出售成本</t>
    </r>
  </si>
  <si>
    <r>
      <t xml:space="preserve">5150000 </t>
    </r>
    <r>
      <rPr>
        <sz val="12"/>
        <rFont val="新細明體"/>
        <family val="1"/>
        <charset val="136"/>
      </rPr>
      <t>閒置固定製費成本</t>
    </r>
  </si>
  <si>
    <r>
      <t xml:space="preserve">5160000 </t>
    </r>
    <r>
      <rPr>
        <sz val="12"/>
        <rFont val="新細明體"/>
        <family val="1"/>
        <charset val="136"/>
      </rPr>
      <t>存貨跌價損失成本</t>
    </r>
  </si>
  <si>
    <r>
      <t xml:space="preserve">5170000 </t>
    </r>
    <r>
      <rPr>
        <sz val="12"/>
        <rFont val="新細明體"/>
        <family val="1"/>
        <charset val="136"/>
      </rPr>
      <t>存貨盤損</t>
    </r>
  </si>
  <si>
    <r>
      <t xml:space="preserve">5171000 </t>
    </r>
    <r>
      <rPr>
        <sz val="12"/>
        <rFont val="新細明體"/>
        <family val="1"/>
        <charset val="136"/>
      </rPr>
      <t>存貨盤損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商品</t>
    </r>
  </si>
  <si>
    <r>
      <t xml:space="preserve">5172000 </t>
    </r>
    <r>
      <rPr>
        <sz val="12"/>
        <rFont val="新細明體"/>
        <family val="1"/>
        <charset val="136"/>
      </rPr>
      <t>存貨盤損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製成品</t>
    </r>
  </si>
  <si>
    <r>
      <t xml:space="preserve">5173000 </t>
    </r>
    <r>
      <rPr>
        <sz val="12"/>
        <rFont val="新細明體"/>
        <family val="1"/>
        <charset val="136"/>
      </rPr>
      <t>存貨盤損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半成品</t>
    </r>
  </si>
  <si>
    <r>
      <t xml:space="preserve">5174000 </t>
    </r>
    <r>
      <rPr>
        <sz val="12"/>
        <rFont val="新細明體"/>
        <family val="1"/>
        <charset val="136"/>
      </rPr>
      <t>存貨盤損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在製品</t>
    </r>
  </si>
  <si>
    <r>
      <t xml:space="preserve">5175000 </t>
    </r>
    <r>
      <rPr>
        <sz val="12"/>
        <rFont val="新細明體"/>
        <family val="1"/>
        <charset val="136"/>
      </rPr>
      <t>存貨盤損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原料</t>
    </r>
  </si>
  <si>
    <r>
      <t xml:space="preserve">5199999 </t>
    </r>
    <r>
      <rPr>
        <sz val="12"/>
        <rFont val="新細明體"/>
        <family val="1"/>
        <charset val="136"/>
      </rPr>
      <t>銷貨成本合計</t>
    </r>
  </si>
  <si>
    <r>
      <t xml:space="preserve">5200000 </t>
    </r>
    <r>
      <rPr>
        <sz val="12"/>
        <rFont val="新細明體"/>
        <family val="1"/>
        <charset val="136"/>
      </rPr>
      <t>勞務成本</t>
    </r>
  </si>
  <si>
    <r>
      <t xml:space="preserve">5210000 </t>
    </r>
    <r>
      <rPr>
        <sz val="12"/>
        <rFont val="新細明體"/>
        <family val="1"/>
        <charset val="136"/>
      </rPr>
      <t>維修成本</t>
    </r>
  </si>
  <si>
    <r>
      <t xml:space="preserve">5290000 </t>
    </r>
    <r>
      <rPr>
        <sz val="12"/>
        <rFont val="新細明體"/>
        <family val="1"/>
        <charset val="136"/>
      </rPr>
      <t>其他勞務成本</t>
    </r>
  </si>
  <si>
    <r>
      <t xml:space="preserve">5299999 </t>
    </r>
    <r>
      <rPr>
        <sz val="12"/>
        <rFont val="新細明體"/>
        <family val="1"/>
        <charset val="136"/>
      </rPr>
      <t>勞務成本合計</t>
    </r>
  </si>
  <si>
    <r>
      <t xml:space="preserve">5999999 </t>
    </r>
    <r>
      <rPr>
        <sz val="12"/>
        <rFont val="新細明體"/>
        <family val="1"/>
        <charset val="136"/>
      </rPr>
      <t>營業成本合計</t>
    </r>
  </si>
  <si>
    <r>
      <rPr>
        <sz val="12"/>
        <rFont val="新細明體"/>
        <family val="1"/>
        <charset val="136"/>
      </rPr>
      <t>▲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營業毛利：</t>
    </r>
  </si>
  <si>
    <r>
      <rPr>
        <sz val="12"/>
        <rFont val="新細明體"/>
        <family val="1"/>
        <charset val="136"/>
      </rPr>
      <t>▲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毛利率</t>
    </r>
    <r>
      <rPr>
        <sz val="12"/>
        <rFont val="Calibri"/>
        <family val="2"/>
      </rPr>
      <t>(%)</t>
    </r>
    <r>
      <rPr>
        <sz val="12"/>
        <rFont val="新細明體"/>
        <family val="1"/>
        <charset val="136"/>
      </rPr>
      <t>：</t>
    </r>
  </si>
  <si>
    <r>
      <t>IS</t>
    </r>
    <r>
      <rPr>
        <u/>
        <sz val="10"/>
        <color indexed="12"/>
        <rFont val="新細明體"/>
        <family val="1"/>
        <charset val="136"/>
      </rPr>
      <t>明細</t>
    </r>
    <r>
      <rPr>
        <u/>
        <sz val="10"/>
        <color indexed="12"/>
        <rFont val="Calibri"/>
        <family val="2"/>
      </rPr>
      <t>!H77</t>
    </r>
  </si>
  <si>
    <r>
      <t xml:space="preserve">599999A </t>
    </r>
    <r>
      <rPr>
        <sz val="12"/>
        <rFont val="新細明體"/>
        <family val="1"/>
        <charset val="136"/>
      </rPr>
      <t>聯屬公司間未實現利益</t>
    </r>
  </si>
  <si>
    <r>
      <t xml:space="preserve">599999B </t>
    </r>
    <r>
      <rPr>
        <sz val="12"/>
        <rFont val="新細明體"/>
        <family val="1"/>
        <charset val="136"/>
      </rPr>
      <t>聯屬公司間已實現利益</t>
    </r>
  </si>
  <si>
    <r>
      <t xml:space="preserve">6000000 </t>
    </r>
    <r>
      <rPr>
        <sz val="12"/>
        <rFont val="新細明體"/>
        <family val="1"/>
        <charset val="136"/>
      </rPr>
      <t>營業費用</t>
    </r>
  </si>
  <si>
    <r>
      <t xml:space="preserve">6100000 </t>
    </r>
    <r>
      <rPr>
        <sz val="12"/>
        <rFont val="新細明體"/>
        <family val="1"/>
        <charset val="136"/>
      </rPr>
      <t>推銷費用</t>
    </r>
  </si>
  <si>
    <r>
      <t xml:space="preserve">6110000 </t>
    </r>
    <r>
      <rPr>
        <sz val="12"/>
        <rFont val="新細明體"/>
        <family val="1"/>
        <charset val="136"/>
      </rPr>
      <t>薪資支出</t>
    </r>
  </si>
  <si>
    <r>
      <t xml:space="preserve">6110100 </t>
    </r>
    <r>
      <rPr>
        <sz val="12"/>
        <rFont val="新細明體"/>
        <family val="1"/>
        <charset val="136"/>
      </rPr>
      <t>薪資支出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本薪</t>
    </r>
  </si>
  <si>
    <r>
      <t xml:space="preserve">6110200 </t>
    </r>
    <r>
      <rPr>
        <sz val="12"/>
        <rFont val="新細明體"/>
        <family val="1"/>
        <charset val="136"/>
      </rPr>
      <t>薪資支出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加班費</t>
    </r>
  </si>
  <si>
    <r>
      <t xml:space="preserve">6110210 </t>
    </r>
    <r>
      <rPr>
        <sz val="12"/>
        <rFont val="新細明體"/>
        <family val="1"/>
        <charset val="136"/>
      </rPr>
      <t>薪資支出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加班費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應稅</t>
    </r>
  </si>
  <si>
    <r>
      <t xml:space="preserve">6110220 </t>
    </r>
    <r>
      <rPr>
        <sz val="12"/>
        <rFont val="新細明體"/>
        <family val="1"/>
        <charset val="136"/>
      </rPr>
      <t>薪資支出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加班費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免稅</t>
    </r>
  </si>
  <si>
    <r>
      <t xml:space="preserve">6110300 </t>
    </r>
    <r>
      <rPr>
        <sz val="12"/>
        <rFont val="新細明體"/>
        <family val="1"/>
        <charset val="136"/>
      </rPr>
      <t>薪資支出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獎金</t>
    </r>
  </si>
  <si>
    <r>
      <t xml:space="preserve">6110400 </t>
    </r>
    <r>
      <rPr>
        <sz val="12"/>
        <rFont val="新細明體"/>
        <family val="1"/>
        <charset val="136"/>
      </rPr>
      <t>薪資支出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退休金</t>
    </r>
  </si>
  <si>
    <r>
      <t xml:space="preserve">6110500 </t>
    </r>
    <r>
      <rPr>
        <sz val="12"/>
        <rFont val="新細明體"/>
        <family val="1"/>
        <charset val="136"/>
      </rPr>
      <t>薪資支出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資遣費</t>
    </r>
  </si>
  <si>
    <r>
      <t xml:space="preserve">6111000 </t>
    </r>
    <r>
      <rPr>
        <sz val="12"/>
        <rFont val="新細明體"/>
        <family val="1"/>
        <charset val="136"/>
      </rPr>
      <t>租金支出</t>
    </r>
  </si>
  <si>
    <r>
      <t xml:space="preserve">6112000 </t>
    </r>
    <r>
      <rPr>
        <sz val="12"/>
        <rFont val="新細明體"/>
        <family val="1"/>
        <charset val="136"/>
      </rPr>
      <t>文具用品</t>
    </r>
  </si>
  <si>
    <r>
      <t xml:space="preserve">6113000 </t>
    </r>
    <r>
      <rPr>
        <sz val="12"/>
        <rFont val="新細明體"/>
        <family val="1"/>
        <charset val="136"/>
      </rPr>
      <t>旅</t>
    </r>
    <r>
      <rPr>
        <sz val="12"/>
        <rFont val="Calibri"/>
        <family val="2"/>
      </rPr>
      <t xml:space="preserve">    </t>
    </r>
    <r>
      <rPr>
        <sz val="12"/>
        <rFont val="新細明體"/>
        <family val="1"/>
        <charset val="136"/>
      </rPr>
      <t>費</t>
    </r>
  </si>
  <si>
    <r>
      <t xml:space="preserve">6114000 </t>
    </r>
    <r>
      <rPr>
        <sz val="12"/>
        <rFont val="新細明體"/>
        <family val="1"/>
        <charset val="136"/>
      </rPr>
      <t>運</t>
    </r>
    <r>
      <rPr>
        <sz val="12"/>
        <rFont val="Calibri"/>
        <family val="2"/>
      </rPr>
      <t xml:space="preserve">    </t>
    </r>
    <r>
      <rPr>
        <sz val="12"/>
        <rFont val="新細明體"/>
        <family val="1"/>
        <charset val="136"/>
      </rPr>
      <t>費</t>
    </r>
  </si>
  <si>
    <r>
      <t xml:space="preserve">6115000 </t>
    </r>
    <r>
      <rPr>
        <sz val="12"/>
        <rFont val="新細明體"/>
        <family val="1"/>
        <charset val="136"/>
      </rPr>
      <t>郵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電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費</t>
    </r>
  </si>
  <si>
    <r>
      <t xml:space="preserve">6116000 </t>
    </r>
    <r>
      <rPr>
        <sz val="12"/>
        <rFont val="新細明體"/>
        <family val="1"/>
        <charset val="136"/>
      </rPr>
      <t>修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繕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費</t>
    </r>
  </si>
  <si>
    <r>
      <t xml:space="preserve">6117000 </t>
    </r>
    <r>
      <rPr>
        <sz val="12"/>
        <rFont val="新細明體"/>
        <family val="1"/>
        <charset val="136"/>
      </rPr>
      <t>廣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告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費</t>
    </r>
  </si>
  <si>
    <r>
      <t xml:space="preserve">6118000 </t>
    </r>
    <r>
      <rPr>
        <sz val="12"/>
        <rFont val="新細明體"/>
        <family val="1"/>
        <charset val="136"/>
      </rPr>
      <t>水電瓦斯費</t>
    </r>
  </si>
  <si>
    <r>
      <t xml:space="preserve">6119000 </t>
    </r>
    <r>
      <rPr>
        <sz val="12"/>
        <rFont val="新細明體"/>
        <family val="1"/>
        <charset val="136"/>
      </rPr>
      <t>保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險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費</t>
    </r>
  </si>
  <si>
    <r>
      <t xml:space="preserve">6120000 </t>
    </r>
    <r>
      <rPr>
        <sz val="12"/>
        <rFont val="新細明體"/>
        <family val="1"/>
        <charset val="136"/>
      </rPr>
      <t>交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際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費</t>
    </r>
  </si>
  <si>
    <r>
      <t xml:space="preserve">6121000 </t>
    </r>
    <r>
      <rPr>
        <sz val="12"/>
        <rFont val="新細明體"/>
        <family val="1"/>
        <charset val="136"/>
      </rPr>
      <t>捐</t>
    </r>
    <r>
      <rPr>
        <sz val="12"/>
        <rFont val="Calibri"/>
        <family val="2"/>
      </rPr>
      <t xml:space="preserve">    </t>
    </r>
    <r>
      <rPr>
        <sz val="12"/>
        <rFont val="新細明體"/>
        <family val="1"/>
        <charset val="136"/>
      </rPr>
      <t>贈</t>
    </r>
  </si>
  <si>
    <r>
      <t xml:space="preserve">6122000 </t>
    </r>
    <r>
      <rPr>
        <sz val="12"/>
        <rFont val="新細明體"/>
        <family val="1"/>
        <charset val="136"/>
      </rPr>
      <t>稅</t>
    </r>
    <r>
      <rPr>
        <sz val="12"/>
        <rFont val="Calibri"/>
        <family val="2"/>
      </rPr>
      <t xml:space="preserve">    </t>
    </r>
    <r>
      <rPr>
        <sz val="12"/>
        <rFont val="新細明體"/>
        <family val="1"/>
        <charset val="136"/>
      </rPr>
      <t>捐</t>
    </r>
  </si>
  <si>
    <r>
      <t xml:space="preserve">6123000 </t>
    </r>
    <r>
      <rPr>
        <sz val="12"/>
        <rFont val="新細明體"/>
        <family val="1"/>
        <charset val="136"/>
      </rPr>
      <t>呆帳損失</t>
    </r>
  </si>
  <si>
    <r>
      <t xml:space="preserve">6124000 </t>
    </r>
    <r>
      <rPr>
        <sz val="12"/>
        <rFont val="新細明體"/>
        <family val="1"/>
        <charset val="136"/>
      </rPr>
      <t>折</t>
    </r>
    <r>
      <rPr>
        <sz val="12"/>
        <rFont val="Calibri"/>
        <family val="2"/>
      </rPr>
      <t xml:space="preserve">    </t>
    </r>
    <r>
      <rPr>
        <sz val="12"/>
        <rFont val="新細明體"/>
        <family val="1"/>
        <charset val="136"/>
      </rPr>
      <t>舊</t>
    </r>
  </si>
  <si>
    <r>
      <t xml:space="preserve">6125000 </t>
    </r>
    <r>
      <rPr>
        <sz val="12"/>
        <rFont val="新細明體"/>
        <family val="1"/>
        <charset val="136"/>
      </rPr>
      <t>各項攤提</t>
    </r>
  </si>
  <si>
    <r>
      <t xml:space="preserve">6127000 </t>
    </r>
    <r>
      <rPr>
        <sz val="12"/>
        <rFont val="新細明體"/>
        <family val="1"/>
        <charset val="136"/>
      </rPr>
      <t>伙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食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費</t>
    </r>
  </si>
  <si>
    <r>
      <t xml:space="preserve">6128000 </t>
    </r>
    <r>
      <rPr>
        <sz val="12"/>
        <rFont val="新細明體"/>
        <family val="1"/>
        <charset val="136"/>
      </rPr>
      <t>職工福利</t>
    </r>
  </si>
  <si>
    <r>
      <t xml:space="preserve">6130000 </t>
    </r>
    <r>
      <rPr>
        <sz val="12"/>
        <rFont val="新細明體"/>
        <family val="1"/>
        <charset val="136"/>
      </rPr>
      <t>佣金支出</t>
    </r>
  </si>
  <si>
    <r>
      <t xml:space="preserve">6131000 </t>
    </r>
    <r>
      <rPr>
        <sz val="12"/>
        <rFont val="新細明體"/>
        <family val="1"/>
        <charset val="136"/>
      </rPr>
      <t>訓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練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費</t>
    </r>
  </si>
  <si>
    <r>
      <t xml:space="preserve">6132000 </t>
    </r>
    <r>
      <rPr>
        <sz val="12"/>
        <rFont val="新細明體"/>
        <family val="1"/>
        <charset val="136"/>
      </rPr>
      <t>出口費用</t>
    </r>
  </si>
  <si>
    <r>
      <t xml:space="preserve">6133000 </t>
    </r>
    <r>
      <rPr>
        <sz val="12"/>
        <rFont val="新細明體"/>
        <family val="1"/>
        <charset val="136"/>
      </rPr>
      <t>保全費</t>
    </r>
  </si>
  <si>
    <r>
      <t xml:space="preserve">6134000 </t>
    </r>
    <r>
      <rPr>
        <sz val="12"/>
        <rFont val="新細明體"/>
        <family val="1"/>
        <charset val="136"/>
      </rPr>
      <t xml:space="preserve">交通費_x000D_
</t>
    </r>
  </si>
  <si>
    <r>
      <t xml:space="preserve">6135000 </t>
    </r>
    <r>
      <rPr>
        <sz val="12"/>
        <rFont val="新細明體"/>
        <family val="1"/>
        <charset val="136"/>
      </rPr>
      <t>售後維修費用</t>
    </r>
  </si>
  <si>
    <r>
      <t xml:space="preserve">6188000 </t>
    </r>
    <r>
      <rPr>
        <sz val="12"/>
        <rFont val="新細明體"/>
        <family val="1"/>
        <charset val="136"/>
      </rPr>
      <t>其他費用</t>
    </r>
  </si>
  <si>
    <r>
      <t xml:space="preserve">6188100 </t>
    </r>
    <r>
      <rPr>
        <sz val="12"/>
        <rFont val="新細明體"/>
        <family val="1"/>
        <charset val="136"/>
      </rPr>
      <t>其他費用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什項購置</t>
    </r>
  </si>
  <si>
    <r>
      <t xml:space="preserve">6188200 </t>
    </r>
    <r>
      <rPr>
        <sz val="12"/>
        <rFont val="新細明體"/>
        <family val="1"/>
        <charset val="136"/>
      </rPr>
      <t>其他費用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書報雜誌</t>
    </r>
  </si>
  <si>
    <r>
      <t xml:space="preserve">6188300 </t>
    </r>
    <r>
      <rPr>
        <sz val="12"/>
        <rFont val="新細明體"/>
        <family val="1"/>
        <charset val="136"/>
      </rPr>
      <t>其他費用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勞務費</t>
    </r>
  </si>
  <si>
    <r>
      <t xml:space="preserve">6188400 </t>
    </r>
    <r>
      <rPr>
        <sz val="12"/>
        <rFont val="新細明體"/>
        <family val="1"/>
        <charset val="136"/>
      </rPr>
      <t>其他費用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材料領用</t>
    </r>
  </si>
  <si>
    <r>
      <t xml:space="preserve">6188500 </t>
    </r>
    <r>
      <rPr>
        <sz val="12"/>
        <rFont val="新細明體"/>
        <family val="1"/>
        <charset val="136"/>
      </rPr>
      <t>其他費用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樣品費</t>
    </r>
  </si>
  <si>
    <r>
      <t xml:space="preserve">6188900 </t>
    </r>
    <r>
      <rPr>
        <sz val="12"/>
        <rFont val="新細明體"/>
        <family val="1"/>
        <charset val="136"/>
      </rPr>
      <t>其他費用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什費</t>
    </r>
  </si>
  <si>
    <r>
      <t xml:space="preserve">6199999 </t>
    </r>
    <r>
      <rPr>
        <sz val="12"/>
        <rFont val="新細明體"/>
        <family val="1"/>
        <charset val="136"/>
      </rPr>
      <t>推銷費用合計</t>
    </r>
  </si>
  <si>
    <r>
      <t xml:space="preserve">6200000 </t>
    </r>
    <r>
      <rPr>
        <sz val="12"/>
        <rFont val="新細明體"/>
        <family val="1"/>
        <charset val="136"/>
      </rPr>
      <t>管理及總務費用</t>
    </r>
  </si>
  <si>
    <r>
      <t xml:space="preserve">6210000 </t>
    </r>
    <r>
      <rPr>
        <sz val="12"/>
        <rFont val="新細明體"/>
        <family val="1"/>
        <charset val="136"/>
      </rPr>
      <t>薪資支出</t>
    </r>
  </si>
  <si>
    <r>
      <t xml:space="preserve">6210100 </t>
    </r>
    <r>
      <rPr>
        <sz val="12"/>
        <rFont val="新細明體"/>
        <family val="1"/>
        <charset val="136"/>
      </rPr>
      <t>薪資支出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本薪</t>
    </r>
  </si>
  <si>
    <r>
      <t xml:space="preserve">6210200 </t>
    </r>
    <r>
      <rPr>
        <sz val="12"/>
        <rFont val="新細明體"/>
        <family val="1"/>
        <charset val="136"/>
      </rPr>
      <t>薪資支出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加班費</t>
    </r>
  </si>
  <si>
    <r>
      <t xml:space="preserve">6210210 </t>
    </r>
    <r>
      <rPr>
        <sz val="12"/>
        <rFont val="新細明體"/>
        <family val="1"/>
        <charset val="136"/>
      </rPr>
      <t>薪資支出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加班費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應稅</t>
    </r>
  </si>
  <si>
    <r>
      <t xml:space="preserve">6210220 </t>
    </r>
    <r>
      <rPr>
        <sz val="12"/>
        <rFont val="新細明體"/>
        <family val="1"/>
        <charset val="136"/>
      </rPr>
      <t>薪資支出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加班費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免稅</t>
    </r>
  </si>
  <si>
    <r>
      <t xml:space="preserve">6210300 </t>
    </r>
    <r>
      <rPr>
        <sz val="12"/>
        <rFont val="新細明體"/>
        <family val="1"/>
        <charset val="136"/>
      </rPr>
      <t>薪資支出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獎金</t>
    </r>
  </si>
  <si>
    <r>
      <t xml:space="preserve">6210400 </t>
    </r>
    <r>
      <rPr>
        <sz val="12"/>
        <rFont val="新細明體"/>
        <family val="1"/>
        <charset val="136"/>
      </rPr>
      <t>薪資支出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退休金</t>
    </r>
  </si>
  <si>
    <r>
      <t xml:space="preserve">6210500 </t>
    </r>
    <r>
      <rPr>
        <sz val="12"/>
        <rFont val="新細明體"/>
        <family val="1"/>
        <charset val="136"/>
      </rPr>
      <t>薪資支出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資遣費</t>
    </r>
  </si>
  <si>
    <r>
      <t xml:space="preserve">6211000 </t>
    </r>
    <r>
      <rPr>
        <sz val="12"/>
        <rFont val="新細明體"/>
        <family val="1"/>
        <charset val="136"/>
      </rPr>
      <t>租金支出</t>
    </r>
  </si>
  <si>
    <r>
      <t xml:space="preserve">6212000 </t>
    </r>
    <r>
      <rPr>
        <sz val="12"/>
        <rFont val="新細明體"/>
        <family val="1"/>
        <charset val="136"/>
      </rPr>
      <t>文具用品</t>
    </r>
  </si>
  <si>
    <r>
      <t xml:space="preserve">6213000 </t>
    </r>
    <r>
      <rPr>
        <sz val="12"/>
        <rFont val="新細明體"/>
        <family val="1"/>
        <charset val="136"/>
      </rPr>
      <t>旅</t>
    </r>
    <r>
      <rPr>
        <sz val="12"/>
        <rFont val="Calibri"/>
        <family val="2"/>
      </rPr>
      <t xml:space="preserve">    </t>
    </r>
    <r>
      <rPr>
        <sz val="12"/>
        <rFont val="新細明體"/>
        <family val="1"/>
        <charset val="136"/>
      </rPr>
      <t>費</t>
    </r>
  </si>
  <si>
    <r>
      <t xml:space="preserve">6214000 </t>
    </r>
    <r>
      <rPr>
        <sz val="12"/>
        <rFont val="新細明體"/>
        <family val="1"/>
        <charset val="136"/>
      </rPr>
      <t>運</t>
    </r>
    <r>
      <rPr>
        <sz val="12"/>
        <rFont val="Calibri"/>
        <family val="2"/>
      </rPr>
      <t xml:space="preserve">    </t>
    </r>
    <r>
      <rPr>
        <sz val="12"/>
        <rFont val="新細明體"/>
        <family val="1"/>
        <charset val="136"/>
      </rPr>
      <t>費</t>
    </r>
  </si>
  <si>
    <r>
      <t xml:space="preserve">6215000 </t>
    </r>
    <r>
      <rPr>
        <sz val="12"/>
        <rFont val="新細明體"/>
        <family val="1"/>
        <charset val="136"/>
      </rPr>
      <t>郵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電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費</t>
    </r>
  </si>
  <si>
    <r>
      <t xml:space="preserve">6216000 </t>
    </r>
    <r>
      <rPr>
        <sz val="12"/>
        <rFont val="新細明體"/>
        <family val="1"/>
        <charset val="136"/>
      </rPr>
      <t>修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繕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費</t>
    </r>
  </si>
  <si>
    <r>
      <t xml:space="preserve">6217000 </t>
    </r>
    <r>
      <rPr>
        <sz val="12"/>
        <rFont val="新細明體"/>
        <family val="1"/>
        <charset val="136"/>
      </rPr>
      <t>廣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告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費</t>
    </r>
  </si>
  <si>
    <r>
      <t xml:space="preserve">6218000 </t>
    </r>
    <r>
      <rPr>
        <sz val="12"/>
        <rFont val="新細明體"/>
        <family val="1"/>
        <charset val="136"/>
      </rPr>
      <t>水電瓦斯費</t>
    </r>
  </si>
  <si>
    <r>
      <t xml:space="preserve">6219000 </t>
    </r>
    <r>
      <rPr>
        <sz val="12"/>
        <rFont val="新細明體"/>
        <family val="1"/>
        <charset val="136"/>
      </rPr>
      <t>保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險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費</t>
    </r>
  </si>
  <si>
    <r>
      <t xml:space="preserve">6220000 </t>
    </r>
    <r>
      <rPr>
        <sz val="12"/>
        <rFont val="新細明體"/>
        <family val="1"/>
        <charset val="136"/>
      </rPr>
      <t>交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際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費</t>
    </r>
  </si>
  <si>
    <r>
      <t xml:space="preserve">6221000 </t>
    </r>
    <r>
      <rPr>
        <sz val="12"/>
        <rFont val="新細明體"/>
        <family val="1"/>
        <charset val="136"/>
      </rPr>
      <t>捐</t>
    </r>
    <r>
      <rPr>
        <sz val="12"/>
        <rFont val="Calibri"/>
        <family val="2"/>
      </rPr>
      <t xml:space="preserve">    </t>
    </r>
    <r>
      <rPr>
        <sz val="12"/>
        <rFont val="新細明體"/>
        <family val="1"/>
        <charset val="136"/>
      </rPr>
      <t>贈</t>
    </r>
  </si>
  <si>
    <r>
      <t xml:space="preserve">6222000 </t>
    </r>
    <r>
      <rPr>
        <sz val="12"/>
        <rFont val="新細明體"/>
        <family val="1"/>
        <charset val="136"/>
      </rPr>
      <t>稅</t>
    </r>
    <r>
      <rPr>
        <sz val="12"/>
        <rFont val="Calibri"/>
        <family val="2"/>
      </rPr>
      <t xml:space="preserve">    </t>
    </r>
    <r>
      <rPr>
        <sz val="12"/>
        <rFont val="新細明體"/>
        <family val="1"/>
        <charset val="136"/>
      </rPr>
      <t>捐</t>
    </r>
  </si>
  <si>
    <r>
      <t xml:space="preserve">6223000 </t>
    </r>
    <r>
      <rPr>
        <sz val="12"/>
        <rFont val="新細明體"/>
        <family val="1"/>
        <charset val="136"/>
      </rPr>
      <t>呆帳損失</t>
    </r>
  </si>
  <si>
    <r>
      <t xml:space="preserve">6224000 </t>
    </r>
    <r>
      <rPr>
        <sz val="12"/>
        <rFont val="新細明體"/>
        <family val="1"/>
        <charset val="136"/>
      </rPr>
      <t>折</t>
    </r>
    <r>
      <rPr>
        <sz val="12"/>
        <rFont val="Calibri"/>
        <family val="2"/>
      </rPr>
      <t xml:space="preserve">    </t>
    </r>
    <r>
      <rPr>
        <sz val="12"/>
        <rFont val="新細明體"/>
        <family val="1"/>
        <charset val="136"/>
      </rPr>
      <t>舊</t>
    </r>
  </si>
  <si>
    <r>
      <t xml:space="preserve">6225000 </t>
    </r>
    <r>
      <rPr>
        <sz val="12"/>
        <rFont val="新細明體"/>
        <family val="1"/>
        <charset val="136"/>
      </rPr>
      <t>各項攤提</t>
    </r>
  </si>
  <si>
    <r>
      <t xml:space="preserve">6227000 </t>
    </r>
    <r>
      <rPr>
        <sz val="12"/>
        <rFont val="新細明體"/>
        <family val="1"/>
        <charset val="136"/>
      </rPr>
      <t>伙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食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費</t>
    </r>
  </si>
  <si>
    <r>
      <t xml:space="preserve">6228000 </t>
    </r>
    <r>
      <rPr>
        <sz val="12"/>
        <rFont val="新細明體"/>
        <family val="1"/>
        <charset val="136"/>
      </rPr>
      <t>職工福利</t>
    </r>
  </si>
  <si>
    <r>
      <t xml:space="preserve">6229000 </t>
    </r>
    <r>
      <rPr>
        <sz val="12"/>
        <rFont val="新細明體"/>
        <family val="1"/>
        <charset val="136"/>
      </rPr>
      <t>研究發展費用</t>
    </r>
  </si>
  <si>
    <r>
      <t xml:space="preserve">6231000 </t>
    </r>
    <r>
      <rPr>
        <sz val="12"/>
        <rFont val="新細明體"/>
        <family val="1"/>
        <charset val="136"/>
      </rPr>
      <t>訓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練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費</t>
    </r>
  </si>
  <si>
    <r>
      <t xml:space="preserve">6232000 </t>
    </r>
    <r>
      <rPr>
        <sz val="12"/>
        <rFont val="新細明體"/>
        <family val="1"/>
        <charset val="136"/>
      </rPr>
      <t>網路服務費</t>
    </r>
  </si>
  <si>
    <r>
      <t xml:space="preserve">6233000 </t>
    </r>
    <r>
      <rPr>
        <sz val="12"/>
        <rFont val="新細明體"/>
        <family val="1"/>
        <charset val="136"/>
      </rPr>
      <t>保全費</t>
    </r>
  </si>
  <si>
    <r>
      <t xml:space="preserve">6234000 </t>
    </r>
    <r>
      <rPr>
        <sz val="12"/>
        <rFont val="新細明體"/>
        <family val="1"/>
        <charset val="136"/>
      </rPr>
      <t xml:space="preserve">交通費_x000D_
</t>
    </r>
  </si>
  <si>
    <r>
      <t xml:space="preserve">6288000 </t>
    </r>
    <r>
      <rPr>
        <sz val="12"/>
        <rFont val="新細明體"/>
        <family val="1"/>
        <charset val="136"/>
      </rPr>
      <t>其他費用</t>
    </r>
  </si>
  <si>
    <r>
      <t xml:space="preserve">6288100 </t>
    </r>
    <r>
      <rPr>
        <sz val="12"/>
        <rFont val="新細明體"/>
        <family val="1"/>
        <charset val="136"/>
      </rPr>
      <t>其他費用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什項購置</t>
    </r>
  </si>
  <si>
    <r>
      <t xml:space="preserve">6288200 </t>
    </r>
    <r>
      <rPr>
        <sz val="12"/>
        <rFont val="新細明體"/>
        <family val="1"/>
        <charset val="136"/>
      </rPr>
      <t>其他費用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書報雜誌</t>
    </r>
  </si>
  <si>
    <r>
      <t xml:space="preserve">6288300 </t>
    </r>
    <r>
      <rPr>
        <sz val="12"/>
        <rFont val="新細明體"/>
        <family val="1"/>
        <charset val="136"/>
      </rPr>
      <t>其他費用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勞務費</t>
    </r>
  </si>
  <si>
    <r>
      <t xml:space="preserve">6288400 </t>
    </r>
    <r>
      <rPr>
        <sz val="12"/>
        <rFont val="新細明體"/>
        <family val="1"/>
        <charset val="136"/>
      </rPr>
      <t>其他費用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材料領用</t>
    </r>
  </si>
  <si>
    <r>
      <t xml:space="preserve">6288900 </t>
    </r>
    <r>
      <rPr>
        <sz val="12"/>
        <rFont val="新細明體"/>
        <family val="1"/>
        <charset val="136"/>
      </rPr>
      <t>其他費用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什費</t>
    </r>
  </si>
  <si>
    <r>
      <t xml:space="preserve">6299999 </t>
    </r>
    <r>
      <rPr>
        <sz val="12"/>
        <rFont val="新細明體"/>
        <family val="1"/>
        <charset val="136"/>
      </rPr>
      <t>管理及總務費用合計</t>
    </r>
  </si>
  <si>
    <r>
      <t xml:space="preserve">6300000 </t>
    </r>
    <r>
      <rPr>
        <sz val="12"/>
        <rFont val="新細明體"/>
        <family val="1"/>
        <charset val="136"/>
      </rPr>
      <t>研究發展費用</t>
    </r>
  </si>
  <si>
    <r>
      <t xml:space="preserve">6310000 </t>
    </r>
    <r>
      <rPr>
        <sz val="12"/>
        <rFont val="新細明體"/>
        <family val="1"/>
        <charset val="136"/>
      </rPr>
      <t>薪資支出</t>
    </r>
  </si>
  <si>
    <r>
      <t xml:space="preserve">6310100 </t>
    </r>
    <r>
      <rPr>
        <sz val="12"/>
        <rFont val="新細明體"/>
        <family val="1"/>
        <charset val="136"/>
      </rPr>
      <t>薪資支出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本薪</t>
    </r>
  </si>
  <si>
    <r>
      <t xml:space="preserve">6310200 </t>
    </r>
    <r>
      <rPr>
        <sz val="12"/>
        <rFont val="新細明體"/>
        <family val="1"/>
        <charset val="136"/>
      </rPr>
      <t>薪資支出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加班費</t>
    </r>
  </si>
  <si>
    <r>
      <t xml:space="preserve">6310210 </t>
    </r>
    <r>
      <rPr>
        <sz val="12"/>
        <rFont val="新細明體"/>
        <family val="1"/>
        <charset val="136"/>
      </rPr>
      <t>薪資支出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加班費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應稅</t>
    </r>
  </si>
  <si>
    <r>
      <t xml:space="preserve">6310220 </t>
    </r>
    <r>
      <rPr>
        <sz val="12"/>
        <rFont val="新細明體"/>
        <family val="1"/>
        <charset val="136"/>
      </rPr>
      <t>薪資支出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加班費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免稅</t>
    </r>
  </si>
  <si>
    <r>
      <t xml:space="preserve">6310300 </t>
    </r>
    <r>
      <rPr>
        <sz val="12"/>
        <rFont val="新細明體"/>
        <family val="1"/>
        <charset val="136"/>
      </rPr>
      <t>薪資支出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獎金</t>
    </r>
  </si>
  <si>
    <r>
      <t xml:space="preserve">6310400 </t>
    </r>
    <r>
      <rPr>
        <sz val="12"/>
        <rFont val="新細明體"/>
        <family val="1"/>
        <charset val="136"/>
      </rPr>
      <t>薪資支出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退休金</t>
    </r>
  </si>
  <si>
    <r>
      <t xml:space="preserve">6310500 </t>
    </r>
    <r>
      <rPr>
        <sz val="12"/>
        <rFont val="新細明體"/>
        <family val="1"/>
        <charset val="136"/>
      </rPr>
      <t>薪資支出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資遣費</t>
    </r>
  </si>
  <si>
    <r>
      <t xml:space="preserve">6311000 </t>
    </r>
    <r>
      <rPr>
        <sz val="12"/>
        <rFont val="新細明體"/>
        <family val="1"/>
        <charset val="136"/>
      </rPr>
      <t>租金支出</t>
    </r>
  </si>
  <si>
    <r>
      <t xml:space="preserve">6312000 </t>
    </r>
    <r>
      <rPr>
        <sz val="12"/>
        <rFont val="新細明體"/>
        <family val="1"/>
        <charset val="136"/>
      </rPr>
      <t>文具用品</t>
    </r>
  </si>
  <si>
    <r>
      <t xml:space="preserve">6313000 </t>
    </r>
    <r>
      <rPr>
        <sz val="12"/>
        <rFont val="新細明體"/>
        <family val="1"/>
        <charset val="136"/>
      </rPr>
      <t>旅</t>
    </r>
    <r>
      <rPr>
        <sz val="12"/>
        <rFont val="Calibri"/>
        <family val="2"/>
      </rPr>
      <t xml:space="preserve">    </t>
    </r>
    <r>
      <rPr>
        <sz val="12"/>
        <rFont val="新細明體"/>
        <family val="1"/>
        <charset val="136"/>
      </rPr>
      <t>費</t>
    </r>
  </si>
  <si>
    <r>
      <t xml:space="preserve">6314000 </t>
    </r>
    <r>
      <rPr>
        <sz val="12"/>
        <rFont val="新細明體"/>
        <family val="1"/>
        <charset val="136"/>
      </rPr>
      <t>運</t>
    </r>
    <r>
      <rPr>
        <sz val="12"/>
        <rFont val="Calibri"/>
        <family val="2"/>
      </rPr>
      <t xml:space="preserve">    </t>
    </r>
    <r>
      <rPr>
        <sz val="12"/>
        <rFont val="新細明體"/>
        <family val="1"/>
        <charset val="136"/>
      </rPr>
      <t>費</t>
    </r>
  </si>
  <si>
    <r>
      <t xml:space="preserve">6315000 </t>
    </r>
    <r>
      <rPr>
        <sz val="12"/>
        <rFont val="新細明體"/>
        <family val="1"/>
        <charset val="136"/>
      </rPr>
      <t>郵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電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費</t>
    </r>
  </si>
  <si>
    <r>
      <t xml:space="preserve">6316000 </t>
    </r>
    <r>
      <rPr>
        <sz val="12"/>
        <rFont val="新細明體"/>
        <family val="1"/>
        <charset val="136"/>
      </rPr>
      <t>修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繕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費</t>
    </r>
  </si>
  <si>
    <r>
      <t xml:space="preserve">6318000 </t>
    </r>
    <r>
      <rPr>
        <sz val="12"/>
        <rFont val="新細明體"/>
        <family val="1"/>
        <charset val="136"/>
      </rPr>
      <t>水電瓦斯費</t>
    </r>
  </si>
  <si>
    <r>
      <t xml:space="preserve">6319000 </t>
    </r>
    <r>
      <rPr>
        <sz val="12"/>
        <rFont val="新細明體"/>
        <family val="1"/>
        <charset val="136"/>
      </rPr>
      <t>保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險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費</t>
    </r>
  </si>
  <si>
    <r>
      <t xml:space="preserve">6320000 </t>
    </r>
    <r>
      <rPr>
        <sz val="12"/>
        <rFont val="新細明體"/>
        <family val="1"/>
        <charset val="136"/>
      </rPr>
      <t>交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際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費</t>
    </r>
  </si>
  <si>
    <r>
      <t xml:space="preserve">6321000 </t>
    </r>
    <r>
      <rPr>
        <sz val="12"/>
        <rFont val="新細明體"/>
        <family val="1"/>
        <charset val="136"/>
      </rPr>
      <t>捐</t>
    </r>
    <r>
      <rPr>
        <sz val="12"/>
        <rFont val="Calibri"/>
        <family val="2"/>
      </rPr>
      <t xml:space="preserve">    </t>
    </r>
    <r>
      <rPr>
        <sz val="12"/>
        <rFont val="新細明體"/>
        <family val="1"/>
        <charset val="136"/>
      </rPr>
      <t>贈</t>
    </r>
  </si>
  <si>
    <r>
      <t xml:space="preserve">6322000 </t>
    </r>
    <r>
      <rPr>
        <sz val="12"/>
        <rFont val="新細明體"/>
        <family val="1"/>
        <charset val="136"/>
      </rPr>
      <t>稅</t>
    </r>
    <r>
      <rPr>
        <sz val="12"/>
        <rFont val="Calibri"/>
        <family val="2"/>
      </rPr>
      <t xml:space="preserve">    </t>
    </r>
    <r>
      <rPr>
        <sz val="12"/>
        <rFont val="新細明體"/>
        <family val="1"/>
        <charset val="136"/>
      </rPr>
      <t>捐</t>
    </r>
  </si>
  <si>
    <r>
      <t xml:space="preserve">6324000 </t>
    </r>
    <r>
      <rPr>
        <sz val="12"/>
        <rFont val="新細明體"/>
        <family val="1"/>
        <charset val="136"/>
      </rPr>
      <t>折舊及折耗</t>
    </r>
  </si>
  <si>
    <r>
      <t xml:space="preserve">6325000 </t>
    </r>
    <r>
      <rPr>
        <sz val="12"/>
        <rFont val="新細明體"/>
        <family val="1"/>
        <charset val="136"/>
      </rPr>
      <t>各項攤提</t>
    </r>
  </si>
  <si>
    <r>
      <t xml:space="preserve">6327000 </t>
    </r>
    <r>
      <rPr>
        <sz val="12"/>
        <rFont val="新細明體"/>
        <family val="1"/>
        <charset val="136"/>
      </rPr>
      <t>伙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食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費</t>
    </r>
  </si>
  <si>
    <r>
      <t xml:space="preserve">6328000 </t>
    </r>
    <r>
      <rPr>
        <sz val="12"/>
        <rFont val="新細明體"/>
        <family val="1"/>
        <charset val="136"/>
      </rPr>
      <t>職工福利</t>
    </r>
  </si>
  <si>
    <r>
      <t xml:space="preserve">6329000 </t>
    </r>
    <r>
      <rPr>
        <sz val="12"/>
        <rFont val="新細明體"/>
        <family val="1"/>
        <charset val="136"/>
      </rPr>
      <t>委託研究費</t>
    </r>
  </si>
  <si>
    <r>
      <t xml:space="preserve">6331000 </t>
    </r>
    <r>
      <rPr>
        <sz val="12"/>
        <rFont val="新細明體"/>
        <family val="1"/>
        <charset val="136"/>
      </rPr>
      <t>訓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練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費</t>
    </r>
  </si>
  <si>
    <r>
      <t xml:space="preserve">6333000 </t>
    </r>
    <r>
      <rPr>
        <sz val="12"/>
        <rFont val="新細明體"/>
        <family val="1"/>
        <charset val="136"/>
      </rPr>
      <t>保全費</t>
    </r>
  </si>
  <si>
    <r>
      <t xml:space="preserve">6334000 </t>
    </r>
    <r>
      <rPr>
        <sz val="12"/>
        <rFont val="新細明體"/>
        <family val="1"/>
        <charset val="136"/>
      </rPr>
      <t xml:space="preserve">交通費_x000D_
</t>
    </r>
  </si>
  <si>
    <r>
      <t xml:space="preserve">6388000 </t>
    </r>
    <r>
      <rPr>
        <sz val="12"/>
        <rFont val="新細明體"/>
        <family val="1"/>
        <charset val="136"/>
      </rPr>
      <t>其他費用</t>
    </r>
  </si>
  <si>
    <r>
      <t xml:space="preserve">6388100 </t>
    </r>
    <r>
      <rPr>
        <sz val="12"/>
        <rFont val="新細明體"/>
        <family val="1"/>
        <charset val="136"/>
      </rPr>
      <t>其他費用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什項購置</t>
    </r>
  </si>
  <si>
    <r>
      <t xml:space="preserve">6388200 </t>
    </r>
    <r>
      <rPr>
        <sz val="12"/>
        <rFont val="新細明體"/>
        <family val="1"/>
        <charset val="136"/>
      </rPr>
      <t>其他費用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書報雜誌</t>
    </r>
  </si>
  <si>
    <r>
      <t xml:space="preserve">6388300 </t>
    </r>
    <r>
      <rPr>
        <sz val="12"/>
        <rFont val="新細明體"/>
        <family val="1"/>
        <charset val="136"/>
      </rPr>
      <t>其他費用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勞務費</t>
    </r>
  </si>
  <si>
    <r>
      <t xml:space="preserve">6388400 </t>
    </r>
    <r>
      <rPr>
        <sz val="12"/>
        <rFont val="新細明體"/>
        <family val="1"/>
        <charset val="136"/>
      </rPr>
      <t>其他費用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材料領用</t>
    </r>
  </si>
  <si>
    <r>
      <t xml:space="preserve">6388500 </t>
    </r>
    <r>
      <rPr>
        <sz val="12"/>
        <rFont val="新細明體"/>
        <family val="1"/>
        <charset val="136"/>
      </rPr>
      <t>其他費用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樣品費</t>
    </r>
  </si>
  <si>
    <r>
      <t xml:space="preserve">6388600 </t>
    </r>
    <r>
      <rPr>
        <sz val="12"/>
        <rFont val="新細明體"/>
        <family val="1"/>
        <charset val="136"/>
      </rPr>
      <t>其他費用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模具費</t>
    </r>
  </si>
  <si>
    <r>
      <t xml:space="preserve">6388900 </t>
    </r>
    <r>
      <rPr>
        <sz val="12"/>
        <rFont val="新細明體"/>
        <family val="1"/>
        <charset val="136"/>
      </rPr>
      <t>其他費用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什費</t>
    </r>
  </si>
  <si>
    <r>
      <t xml:space="preserve">6399999 </t>
    </r>
    <r>
      <rPr>
        <sz val="12"/>
        <rFont val="新細明體"/>
        <family val="1"/>
        <charset val="136"/>
      </rPr>
      <t>研究發展費用合計</t>
    </r>
  </si>
  <si>
    <r>
      <t xml:space="preserve">6999999 </t>
    </r>
    <r>
      <rPr>
        <sz val="12"/>
        <rFont val="新細明體"/>
        <family val="1"/>
        <charset val="136"/>
      </rPr>
      <t>營業費用合計</t>
    </r>
  </si>
  <si>
    <r>
      <rPr>
        <sz val="12"/>
        <rFont val="新細明體"/>
        <family val="1"/>
        <charset val="136"/>
      </rPr>
      <t>▲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營業淨利：</t>
    </r>
  </si>
  <si>
    <r>
      <t xml:space="preserve">7000000 </t>
    </r>
    <r>
      <rPr>
        <sz val="12"/>
        <rFont val="新細明體"/>
        <family val="1"/>
        <charset val="136"/>
      </rPr>
      <t>營業外收入及費用</t>
    </r>
  </si>
  <si>
    <r>
      <t xml:space="preserve">7100000 </t>
    </r>
    <r>
      <rPr>
        <sz val="12"/>
        <rFont val="新細明體"/>
        <family val="1"/>
        <charset val="136"/>
      </rPr>
      <t>營業外收入及利益</t>
    </r>
    <r>
      <rPr>
        <sz val="12"/>
        <rFont val="Calibri"/>
        <family val="2"/>
      </rPr>
      <t xml:space="preserve">  </t>
    </r>
  </si>
  <si>
    <r>
      <t xml:space="preserve">7110000 </t>
    </r>
    <r>
      <rPr>
        <sz val="12"/>
        <rFont val="新細明體"/>
        <family val="1"/>
        <charset val="136"/>
      </rPr>
      <t>利息收入</t>
    </r>
  </si>
  <si>
    <r>
      <t xml:space="preserve">7111000 </t>
    </r>
    <r>
      <rPr>
        <sz val="12"/>
        <rFont val="新細明體"/>
        <family val="1"/>
        <charset val="136"/>
      </rPr>
      <t>利息收入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銀行存款</t>
    </r>
  </si>
  <si>
    <r>
      <t xml:space="preserve">7112000 </t>
    </r>
    <r>
      <rPr>
        <sz val="12"/>
        <rFont val="新細明體"/>
        <family val="1"/>
        <charset val="136"/>
      </rPr>
      <t>利息收入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押金設算息</t>
    </r>
  </si>
  <si>
    <r>
      <t xml:space="preserve">7113000 </t>
    </r>
    <r>
      <rPr>
        <sz val="12"/>
        <rFont val="新細明體"/>
        <family val="1"/>
        <charset val="136"/>
      </rPr>
      <t>利息收入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其他</t>
    </r>
  </si>
  <si>
    <r>
      <t xml:space="preserve">7120000 </t>
    </r>
    <r>
      <rPr>
        <sz val="12"/>
        <rFont val="新細明體"/>
        <family val="1"/>
        <charset val="136"/>
      </rPr>
      <t>投資收益</t>
    </r>
  </si>
  <si>
    <r>
      <t xml:space="preserve">7121000 </t>
    </r>
    <r>
      <rPr>
        <sz val="12"/>
        <rFont val="新細明體"/>
        <family val="1"/>
        <charset val="136"/>
      </rPr>
      <t>採權益法認列之投資收益</t>
    </r>
  </si>
  <si>
    <r>
      <t xml:space="preserve">7122000 </t>
    </r>
    <r>
      <rPr>
        <sz val="12"/>
        <rFont val="新細明體"/>
        <family val="1"/>
        <charset val="136"/>
      </rPr>
      <t>股利收入</t>
    </r>
  </si>
  <si>
    <r>
      <t xml:space="preserve">7130000 </t>
    </r>
    <r>
      <rPr>
        <sz val="12"/>
        <rFont val="新細明體"/>
        <family val="1"/>
        <charset val="136"/>
      </rPr>
      <t>處分固定資產利益</t>
    </r>
  </si>
  <si>
    <r>
      <t xml:space="preserve">7140000 </t>
    </r>
    <r>
      <rPr>
        <sz val="12"/>
        <rFont val="新細明體"/>
        <family val="1"/>
        <charset val="136"/>
      </rPr>
      <t>處分投資利益</t>
    </r>
  </si>
  <si>
    <r>
      <t xml:space="preserve">7150000 </t>
    </r>
    <r>
      <rPr>
        <sz val="12"/>
        <rFont val="新細明體"/>
        <family val="1"/>
        <charset val="136"/>
      </rPr>
      <t>存貨盤盈</t>
    </r>
  </si>
  <si>
    <r>
      <t xml:space="preserve">7151000 </t>
    </r>
    <r>
      <rPr>
        <sz val="12"/>
        <rFont val="新細明體"/>
        <family val="1"/>
        <charset val="136"/>
      </rPr>
      <t>存貨盤盈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商品</t>
    </r>
  </si>
  <si>
    <r>
      <t xml:space="preserve">7152000 </t>
    </r>
    <r>
      <rPr>
        <sz val="12"/>
        <rFont val="新細明體"/>
        <family val="1"/>
        <charset val="136"/>
      </rPr>
      <t>存貨盤盈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製成品</t>
    </r>
  </si>
  <si>
    <r>
      <t xml:space="preserve">7153000 </t>
    </r>
    <r>
      <rPr>
        <sz val="12"/>
        <rFont val="新細明體"/>
        <family val="1"/>
        <charset val="136"/>
      </rPr>
      <t>存貨盤盈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半成品</t>
    </r>
  </si>
  <si>
    <r>
      <t xml:space="preserve">7154000 </t>
    </r>
    <r>
      <rPr>
        <sz val="12"/>
        <rFont val="新細明體"/>
        <family val="1"/>
        <charset val="136"/>
      </rPr>
      <t>存貨盤盈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在製品</t>
    </r>
  </si>
  <si>
    <r>
      <t xml:space="preserve">7155000 </t>
    </r>
    <r>
      <rPr>
        <sz val="12"/>
        <rFont val="新細明體"/>
        <family val="1"/>
        <charset val="136"/>
      </rPr>
      <t>存貨盤盈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原料</t>
    </r>
  </si>
  <si>
    <r>
      <t xml:space="preserve">7160000 </t>
    </r>
    <r>
      <rPr>
        <sz val="12"/>
        <rFont val="新細明體"/>
        <family val="1"/>
        <charset val="136"/>
      </rPr>
      <t>兌換利益</t>
    </r>
  </si>
  <si>
    <r>
      <t xml:space="preserve">7161000 </t>
    </r>
    <r>
      <rPr>
        <sz val="12"/>
        <rFont val="新細明體"/>
        <family val="1"/>
        <charset val="136"/>
      </rPr>
      <t>已實現兌換利益</t>
    </r>
  </si>
  <si>
    <r>
      <t xml:space="preserve">7162000 </t>
    </r>
    <r>
      <rPr>
        <sz val="12"/>
        <rFont val="新細明體"/>
        <family val="1"/>
        <charset val="136"/>
      </rPr>
      <t>未實現兌換利益</t>
    </r>
  </si>
  <si>
    <r>
      <t xml:space="preserve">7170000 </t>
    </r>
    <r>
      <rPr>
        <sz val="12"/>
        <rFont val="新細明體"/>
        <family val="1"/>
        <charset val="136"/>
      </rPr>
      <t>違約金收入</t>
    </r>
  </si>
  <si>
    <r>
      <t xml:space="preserve">7180000 </t>
    </r>
    <r>
      <rPr>
        <sz val="12"/>
        <rFont val="新細明體"/>
        <family val="1"/>
        <charset val="136"/>
      </rPr>
      <t>租金收入</t>
    </r>
  </si>
  <si>
    <r>
      <t xml:space="preserve">7190000 </t>
    </r>
    <r>
      <rPr>
        <sz val="12"/>
        <rFont val="新細明體"/>
        <family val="1"/>
        <charset val="136"/>
      </rPr>
      <t>存貨跌價回升利益</t>
    </r>
  </si>
  <si>
    <r>
      <t xml:space="preserve">71A0000 </t>
    </r>
    <r>
      <rPr>
        <sz val="12"/>
        <rFont val="新細明體"/>
        <family val="1"/>
        <charset val="136"/>
      </rPr>
      <t>減損迴轉利益</t>
    </r>
    <r>
      <rPr>
        <sz val="12"/>
        <rFont val="Calibri"/>
        <family val="2"/>
      </rPr>
      <t xml:space="preserve">  </t>
    </r>
  </si>
  <si>
    <r>
      <t xml:space="preserve">71B0000 </t>
    </r>
    <r>
      <rPr>
        <sz val="12"/>
        <rFont val="新細明體"/>
        <family val="1"/>
        <charset val="136"/>
      </rPr>
      <t>金融資產評價利益</t>
    </r>
  </si>
  <si>
    <r>
      <t xml:space="preserve">71C0000 </t>
    </r>
    <r>
      <rPr>
        <sz val="12"/>
        <rFont val="新細明體"/>
        <family val="1"/>
        <charset val="136"/>
      </rPr>
      <t>信用卡手續費收入</t>
    </r>
  </si>
  <si>
    <r>
      <t xml:space="preserve">71Z0000 </t>
    </r>
    <r>
      <rPr>
        <sz val="12"/>
        <rFont val="新細明體"/>
        <family val="1"/>
        <charset val="136"/>
      </rPr>
      <t>什項收入</t>
    </r>
  </si>
  <si>
    <r>
      <t xml:space="preserve">71Z9999 </t>
    </r>
    <r>
      <rPr>
        <sz val="12"/>
        <rFont val="新細明體"/>
        <family val="1"/>
        <charset val="136"/>
      </rPr>
      <t>營業外收入及利益合計</t>
    </r>
  </si>
  <si>
    <r>
      <t xml:space="preserve">7500000 </t>
    </r>
    <r>
      <rPr>
        <sz val="12"/>
        <rFont val="新細明體"/>
        <family val="1"/>
        <charset val="136"/>
      </rPr>
      <t>營業外費用及損失</t>
    </r>
    <r>
      <rPr>
        <sz val="12"/>
        <rFont val="Calibri"/>
        <family val="2"/>
      </rPr>
      <t xml:space="preserve">      </t>
    </r>
  </si>
  <si>
    <r>
      <t xml:space="preserve">7510000 </t>
    </r>
    <r>
      <rPr>
        <sz val="12"/>
        <rFont val="新細明體"/>
        <family val="1"/>
        <charset val="136"/>
      </rPr>
      <t>利息費用</t>
    </r>
  </si>
  <si>
    <r>
      <t xml:space="preserve">7511000 </t>
    </r>
    <r>
      <rPr>
        <sz val="12"/>
        <rFont val="新細明體"/>
        <family val="1"/>
        <charset val="136"/>
      </rPr>
      <t>利息費用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銀行借款</t>
    </r>
  </si>
  <si>
    <r>
      <t xml:space="preserve">7512000 </t>
    </r>
    <r>
      <rPr>
        <sz val="12"/>
        <rFont val="新細明體"/>
        <family val="1"/>
        <charset val="136"/>
      </rPr>
      <t>利息費用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其他借款</t>
    </r>
  </si>
  <si>
    <r>
      <t xml:space="preserve">7519000 </t>
    </r>
    <r>
      <rPr>
        <sz val="12"/>
        <rFont val="新細明體"/>
        <family val="1"/>
        <charset val="136"/>
      </rPr>
      <t>利息費用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其他</t>
    </r>
  </si>
  <si>
    <r>
      <t xml:space="preserve">7520000 </t>
    </r>
    <r>
      <rPr>
        <sz val="12"/>
        <rFont val="新細明體"/>
        <family val="1"/>
        <charset val="136"/>
      </rPr>
      <t>投資損失</t>
    </r>
  </si>
  <si>
    <r>
      <t xml:space="preserve">7521000 </t>
    </r>
    <r>
      <rPr>
        <sz val="12"/>
        <rFont val="新細明體"/>
        <family val="1"/>
        <charset val="136"/>
      </rPr>
      <t>採權益法認列之投資損失</t>
    </r>
    <r>
      <rPr>
        <sz val="12"/>
        <rFont val="Calibri"/>
        <family val="2"/>
      </rPr>
      <t xml:space="preserve">    </t>
    </r>
  </si>
  <si>
    <r>
      <t xml:space="preserve">7522000 </t>
    </r>
    <r>
      <rPr>
        <sz val="12"/>
        <rFont val="新細明體"/>
        <family val="1"/>
        <charset val="136"/>
      </rPr>
      <t>其他投資損失</t>
    </r>
    <r>
      <rPr>
        <sz val="12"/>
        <rFont val="Calibri"/>
        <family val="2"/>
      </rPr>
      <t xml:space="preserve">           </t>
    </r>
  </si>
  <si>
    <r>
      <t xml:space="preserve">7530000 </t>
    </r>
    <r>
      <rPr>
        <sz val="12"/>
        <rFont val="新細明體"/>
        <family val="1"/>
        <charset val="136"/>
      </rPr>
      <t>處分固定資產損失</t>
    </r>
  </si>
  <si>
    <r>
      <t xml:space="preserve">7540000 </t>
    </r>
    <r>
      <rPr>
        <sz val="12"/>
        <rFont val="新細明體"/>
        <family val="1"/>
        <charset val="136"/>
      </rPr>
      <t>處分投資損失</t>
    </r>
  </si>
  <si>
    <r>
      <t xml:space="preserve">7550000 </t>
    </r>
    <r>
      <rPr>
        <sz val="12"/>
        <rFont val="新細明體"/>
        <family val="1"/>
        <charset val="136"/>
      </rPr>
      <t>存貨盤損</t>
    </r>
  </si>
  <si>
    <r>
      <t xml:space="preserve">7551000 </t>
    </r>
    <r>
      <rPr>
        <sz val="12"/>
        <rFont val="新細明體"/>
        <family val="1"/>
        <charset val="136"/>
      </rPr>
      <t>存貨盤損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商品</t>
    </r>
  </si>
  <si>
    <r>
      <t xml:space="preserve">7552000 </t>
    </r>
    <r>
      <rPr>
        <sz val="12"/>
        <rFont val="新細明體"/>
        <family val="1"/>
        <charset val="136"/>
      </rPr>
      <t>存貨盤損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製成品</t>
    </r>
  </si>
  <si>
    <r>
      <t xml:space="preserve">7553000 </t>
    </r>
    <r>
      <rPr>
        <sz val="12"/>
        <rFont val="新細明體"/>
        <family val="1"/>
        <charset val="136"/>
      </rPr>
      <t>存貨盤損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半成品</t>
    </r>
  </si>
  <si>
    <r>
      <t xml:space="preserve">7554000 </t>
    </r>
    <r>
      <rPr>
        <sz val="12"/>
        <rFont val="新細明體"/>
        <family val="1"/>
        <charset val="136"/>
      </rPr>
      <t>存貨盤損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在製品</t>
    </r>
  </si>
  <si>
    <r>
      <t xml:space="preserve">7555000 </t>
    </r>
    <r>
      <rPr>
        <sz val="12"/>
        <rFont val="新細明體"/>
        <family val="1"/>
        <charset val="136"/>
      </rPr>
      <t>存貨盤損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原料</t>
    </r>
  </si>
  <si>
    <r>
      <t xml:space="preserve">7560000 </t>
    </r>
    <r>
      <rPr>
        <sz val="12"/>
        <rFont val="新細明體"/>
        <family val="1"/>
        <charset val="136"/>
      </rPr>
      <t>兌換損失</t>
    </r>
  </si>
  <si>
    <r>
      <t xml:space="preserve">7561000 </t>
    </r>
    <r>
      <rPr>
        <sz val="12"/>
        <rFont val="新細明體"/>
        <family val="1"/>
        <charset val="136"/>
      </rPr>
      <t>已實現兌換損失</t>
    </r>
  </si>
  <si>
    <r>
      <t xml:space="preserve">7562000 </t>
    </r>
    <r>
      <rPr>
        <sz val="12"/>
        <rFont val="新細明體"/>
        <family val="1"/>
        <charset val="136"/>
      </rPr>
      <t>未實現兌換損失</t>
    </r>
  </si>
  <si>
    <r>
      <t xml:space="preserve">7570000 </t>
    </r>
    <r>
      <rPr>
        <sz val="12"/>
        <rFont val="新細明體"/>
        <family val="1"/>
        <charset val="136"/>
      </rPr>
      <t>存貨跌價及呆滯損失</t>
    </r>
  </si>
  <si>
    <r>
      <t xml:space="preserve">7580000 </t>
    </r>
    <r>
      <rPr>
        <sz val="12"/>
        <rFont val="新細明體"/>
        <family val="1"/>
        <charset val="136"/>
      </rPr>
      <t>財務費用</t>
    </r>
  </si>
  <si>
    <r>
      <t xml:space="preserve">7590000 </t>
    </r>
    <r>
      <rPr>
        <sz val="12"/>
        <rFont val="新細明體"/>
        <family val="1"/>
        <charset val="136"/>
      </rPr>
      <t>存貨報廢損失</t>
    </r>
  </si>
  <si>
    <r>
      <t xml:space="preserve">75A0000 </t>
    </r>
    <r>
      <rPr>
        <sz val="12"/>
        <rFont val="新細明體"/>
        <family val="1"/>
        <charset val="136"/>
      </rPr>
      <t>金融資產評價損失</t>
    </r>
  </si>
  <si>
    <r>
      <t xml:space="preserve">75Z0000 </t>
    </r>
    <r>
      <rPr>
        <sz val="12"/>
        <rFont val="新細明體"/>
        <family val="1"/>
        <charset val="136"/>
      </rPr>
      <t>什項支出</t>
    </r>
  </si>
  <si>
    <r>
      <t xml:space="preserve">75Z9999 </t>
    </r>
    <r>
      <rPr>
        <sz val="12"/>
        <rFont val="新細明體"/>
        <family val="1"/>
        <charset val="136"/>
      </rPr>
      <t>營業外費用及損失合計</t>
    </r>
  </si>
  <si>
    <r>
      <t xml:space="preserve">7999999 </t>
    </r>
    <r>
      <rPr>
        <sz val="12"/>
        <rFont val="新細明體"/>
        <family val="1"/>
        <charset val="136"/>
      </rPr>
      <t>營業外收入及費用合計</t>
    </r>
  </si>
  <si>
    <r>
      <rPr>
        <sz val="12"/>
        <rFont val="新細明體"/>
        <family val="1"/>
        <charset val="136"/>
      </rPr>
      <t>▲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稅前損益：</t>
    </r>
  </si>
  <si>
    <r>
      <t xml:space="preserve">8000000 </t>
    </r>
    <r>
      <rPr>
        <sz val="12"/>
        <rFont val="新細明體"/>
        <family val="1"/>
        <charset val="136"/>
      </rPr>
      <t>所得稅費用</t>
    </r>
    <r>
      <rPr>
        <sz val="12"/>
        <rFont val="Calibri"/>
        <family val="2"/>
      </rPr>
      <t>(</t>
    </r>
    <r>
      <rPr>
        <sz val="12"/>
        <rFont val="新細明體"/>
        <family val="1"/>
        <charset val="136"/>
      </rPr>
      <t>利益</t>
    </r>
    <r>
      <rPr>
        <sz val="12"/>
        <rFont val="Calibri"/>
        <family val="2"/>
      </rPr>
      <t>)</t>
    </r>
  </si>
  <si>
    <r>
      <t xml:space="preserve">8110000 </t>
    </r>
    <r>
      <rPr>
        <sz val="12"/>
        <rFont val="新細明體"/>
        <family val="1"/>
        <charset val="136"/>
      </rPr>
      <t>所得稅費用（利益）</t>
    </r>
    <r>
      <rPr>
        <sz val="12"/>
        <rFont val="Calibri"/>
        <family val="2"/>
      </rPr>
      <t xml:space="preserve">         </t>
    </r>
  </si>
  <si>
    <r>
      <t xml:space="preserve">8111000 </t>
    </r>
    <r>
      <rPr>
        <sz val="12"/>
        <rFont val="新細明體"/>
        <family val="1"/>
        <charset val="136"/>
      </rPr>
      <t>所得稅費用（利益）</t>
    </r>
    <r>
      <rPr>
        <sz val="12"/>
        <rFont val="Calibri"/>
        <family val="2"/>
      </rPr>
      <t xml:space="preserve">          </t>
    </r>
  </si>
  <si>
    <r>
      <t xml:space="preserve">8112000 </t>
    </r>
    <r>
      <rPr>
        <sz val="12"/>
        <rFont val="新細明體"/>
        <family val="1"/>
        <charset val="136"/>
      </rPr>
      <t>遞延所得稅利益</t>
    </r>
    <r>
      <rPr>
        <sz val="12"/>
        <rFont val="Calibri"/>
        <family val="2"/>
      </rPr>
      <t>(</t>
    </r>
    <r>
      <rPr>
        <sz val="12"/>
        <rFont val="新細明體"/>
        <family val="1"/>
        <charset val="136"/>
      </rPr>
      <t>費用</t>
    </r>
    <r>
      <rPr>
        <sz val="12"/>
        <rFont val="Calibri"/>
        <family val="2"/>
      </rPr>
      <t>)</t>
    </r>
  </si>
  <si>
    <r>
      <t xml:space="preserve">8118888 </t>
    </r>
    <r>
      <rPr>
        <sz val="12"/>
        <rFont val="新細明體"/>
        <family val="1"/>
        <charset val="136"/>
      </rPr>
      <t>所得稅費用</t>
    </r>
    <r>
      <rPr>
        <sz val="12"/>
        <rFont val="Calibri"/>
        <family val="2"/>
      </rPr>
      <t>(</t>
    </r>
    <r>
      <rPr>
        <sz val="12"/>
        <rFont val="新細明體"/>
        <family val="1"/>
        <charset val="136"/>
      </rPr>
      <t>利益</t>
    </r>
    <r>
      <rPr>
        <sz val="12"/>
        <rFont val="Calibri"/>
        <family val="2"/>
      </rPr>
      <t>)</t>
    </r>
    <r>
      <rPr>
        <sz val="12"/>
        <rFont val="新細明體"/>
        <family val="1"/>
        <charset val="136"/>
      </rPr>
      <t>合計</t>
    </r>
  </si>
  <si>
    <r>
      <t xml:space="preserve">8999999 </t>
    </r>
    <r>
      <rPr>
        <sz val="12"/>
        <rFont val="新細明體"/>
        <family val="1"/>
        <charset val="136"/>
      </rPr>
      <t>所得稅費用</t>
    </r>
    <r>
      <rPr>
        <sz val="12"/>
        <rFont val="Calibri"/>
        <family val="2"/>
      </rPr>
      <t>(</t>
    </r>
    <r>
      <rPr>
        <sz val="12"/>
        <rFont val="新細明體"/>
        <family val="1"/>
        <charset val="136"/>
      </rPr>
      <t>利益</t>
    </r>
    <r>
      <rPr>
        <sz val="12"/>
        <rFont val="Calibri"/>
        <family val="2"/>
      </rPr>
      <t>)</t>
    </r>
    <r>
      <rPr>
        <sz val="12"/>
        <rFont val="新細明體"/>
        <family val="1"/>
        <charset val="136"/>
      </rPr>
      <t>合計</t>
    </r>
  </si>
  <si>
    <r>
      <rPr>
        <sz val="12"/>
        <rFont val="新細明體"/>
        <family val="1"/>
        <charset val="136"/>
      </rPr>
      <t>▲</t>
    </r>
    <r>
      <rPr>
        <sz val="12"/>
        <rFont val="Calibri"/>
        <family val="2"/>
      </rPr>
      <t xml:space="preserve"> </t>
    </r>
    <r>
      <rPr>
        <sz val="12"/>
        <rFont val="新細明體"/>
        <family val="1"/>
        <charset val="136"/>
      </rPr>
      <t>稅後損益：</t>
    </r>
  </si>
  <si>
    <t>UserID:10411001</t>
  </si>
  <si>
    <t>FTWA0434</t>
  </si>
  <si>
    <t>台灣東芝國際採購股份有限公司</t>
  </si>
  <si>
    <t>YUNO+VFD-COVER</t>
  </si>
  <si>
    <t>1113331 銀行存款-華南樟樹灣外匯#05683?</t>
  </si>
  <si>
    <t xml:space="preserve">1113840 銀行存款-台新建北定期存款_x000D_
</t>
  </si>
  <si>
    <t xml:space="preserve">     %</t>
  </si>
  <si>
    <t>%</t>
  </si>
  <si>
    <t>Jan.</t>
  </si>
  <si>
    <t>月份</t>
  </si>
  <si>
    <r>
      <rPr>
        <b/>
        <sz val="12"/>
        <color indexed="8"/>
        <rFont val="新細明體"/>
        <family val="1"/>
        <charset val="136"/>
      </rPr>
      <t>多月份損益表</t>
    </r>
    <r>
      <rPr>
        <b/>
        <sz val="12"/>
        <color indexed="8"/>
        <rFont val="Arial"/>
        <family val="2"/>
      </rPr>
      <t>-(</t>
    </r>
    <r>
      <rPr>
        <b/>
        <sz val="12"/>
        <color indexed="8"/>
        <rFont val="新細明體"/>
        <family val="1"/>
        <charset val="136"/>
      </rPr>
      <t>存貨評價損益列業外損益</t>
    </r>
    <r>
      <rPr>
        <b/>
        <sz val="12"/>
        <color indexed="8"/>
        <rFont val="Arial"/>
        <family val="2"/>
      </rPr>
      <t>)</t>
    </r>
  </si>
  <si>
    <r>
      <rPr>
        <sz val="12"/>
        <rFont val="新細明體"/>
        <family val="1"/>
        <charset val="136"/>
      </rPr>
      <t>▲</t>
    </r>
    <r>
      <rPr>
        <sz val="12"/>
        <rFont val="Arial"/>
        <family val="2"/>
      </rPr>
      <t xml:space="preserve"> </t>
    </r>
    <r>
      <rPr>
        <sz val="12"/>
        <rFont val="新細明體"/>
        <family val="1"/>
        <charset val="136"/>
      </rPr>
      <t>營業毛利：</t>
    </r>
  </si>
  <si>
    <r>
      <rPr>
        <sz val="12"/>
        <rFont val="新細明體"/>
        <family val="1"/>
        <charset val="136"/>
      </rPr>
      <t>▲</t>
    </r>
    <r>
      <rPr>
        <sz val="12"/>
        <rFont val="Arial"/>
        <family val="2"/>
      </rPr>
      <t xml:space="preserve"> </t>
    </r>
    <r>
      <rPr>
        <sz val="12"/>
        <rFont val="新細明體"/>
        <family val="1"/>
        <charset val="136"/>
      </rPr>
      <t>毛利率</t>
    </r>
    <r>
      <rPr>
        <sz val="12"/>
        <rFont val="Arial"/>
        <family val="2"/>
      </rPr>
      <t>(%)</t>
    </r>
    <r>
      <rPr>
        <sz val="12"/>
        <rFont val="新細明體"/>
        <family val="1"/>
        <charset val="136"/>
      </rPr>
      <t>：</t>
    </r>
  </si>
  <si>
    <r>
      <rPr>
        <sz val="12"/>
        <rFont val="新細明體"/>
        <family val="1"/>
        <charset val="136"/>
      </rPr>
      <t>▲</t>
    </r>
    <r>
      <rPr>
        <sz val="12"/>
        <rFont val="Arial"/>
        <family val="2"/>
      </rPr>
      <t xml:space="preserve"> </t>
    </r>
    <r>
      <rPr>
        <sz val="12"/>
        <rFont val="新細明體"/>
        <family val="1"/>
        <charset val="136"/>
      </rPr>
      <t>營業淨利：</t>
    </r>
  </si>
  <si>
    <r>
      <rPr>
        <sz val="12"/>
        <rFont val="新細明體"/>
        <family val="1"/>
        <charset val="136"/>
      </rPr>
      <t>▲</t>
    </r>
    <r>
      <rPr>
        <sz val="12"/>
        <rFont val="Arial"/>
        <family val="2"/>
      </rPr>
      <t xml:space="preserve"> </t>
    </r>
    <r>
      <rPr>
        <sz val="12"/>
        <rFont val="新細明體"/>
        <family val="1"/>
        <charset val="136"/>
      </rPr>
      <t>稅前損益：</t>
    </r>
  </si>
  <si>
    <r>
      <t xml:space="preserve">8110000 </t>
    </r>
    <r>
      <rPr>
        <sz val="12"/>
        <rFont val="新細明體"/>
        <family val="1"/>
        <charset val="136"/>
      </rPr>
      <t>所得稅費用（利益）</t>
    </r>
    <r>
      <rPr>
        <sz val="12"/>
        <rFont val="Arial"/>
        <family val="2"/>
      </rPr>
      <t xml:space="preserve">         </t>
    </r>
  </si>
  <si>
    <r>
      <t xml:space="preserve">8111000 </t>
    </r>
    <r>
      <rPr>
        <sz val="12"/>
        <rFont val="新細明體"/>
        <family val="1"/>
        <charset val="136"/>
      </rPr>
      <t>所得稅費用（利益）</t>
    </r>
    <r>
      <rPr>
        <sz val="12"/>
        <rFont val="Arial"/>
        <family val="2"/>
      </rPr>
      <t xml:space="preserve">          </t>
    </r>
  </si>
  <si>
    <r>
      <t xml:space="preserve">8112000 </t>
    </r>
    <r>
      <rPr>
        <sz val="12"/>
        <rFont val="新細明體"/>
        <family val="1"/>
        <charset val="136"/>
      </rPr>
      <t>遞延所得稅利益</t>
    </r>
    <r>
      <rPr>
        <sz val="12"/>
        <rFont val="Arial"/>
        <family val="2"/>
      </rPr>
      <t>(</t>
    </r>
    <r>
      <rPr>
        <sz val="12"/>
        <rFont val="新細明體"/>
        <family val="1"/>
        <charset val="136"/>
      </rPr>
      <t>費用</t>
    </r>
    <r>
      <rPr>
        <sz val="12"/>
        <rFont val="Arial"/>
        <family val="2"/>
      </rPr>
      <t>)</t>
    </r>
  </si>
  <si>
    <r>
      <rPr>
        <sz val="12"/>
        <rFont val="新細明體"/>
        <family val="1"/>
        <charset val="136"/>
      </rPr>
      <t>▲</t>
    </r>
    <r>
      <rPr>
        <sz val="12"/>
        <rFont val="Arial"/>
        <family val="2"/>
      </rPr>
      <t xml:space="preserve"> </t>
    </r>
    <r>
      <rPr>
        <sz val="12"/>
        <rFont val="新細明體"/>
        <family val="1"/>
        <charset val="136"/>
      </rPr>
      <t>稅後損益：</t>
    </r>
  </si>
  <si>
    <r>
      <rPr>
        <sz val="12"/>
        <color indexed="8"/>
        <rFont val="新細明體"/>
        <family val="1"/>
        <charset val="136"/>
      </rPr>
      <t>資</t>
    </r>
    <r>
      <rPr>
        <sz val="12"/>
        <color indexed="8"/>
        <rFont val="Arial"/>
        <family val="2"/>
      </rPr>
      <t xml:space="preserve">          </t>
    </r>
    <r>
      <rPr>
        <sz val="12"/>
        <color indexed="8"/>
        <rFont val="新細明體"/>
        <family val="1"/>
        <charset val="136"/>
      </rPr>
      <t>產</t>
    </r>
    <r>
      <rPr>
        <sz val="12"/>
        <color indexed="8"/>
        <rFont val="Arial"/>
        <family val="2"/>
      </rPr>
      <t xml:space="preserve">                          </t>
    </r>
  </si>
  <si>
    <r>
      <rPr>
        <sz val="12"/>
        <color indexed="8"/>
        <rFont val="新細明體"/>
        <family val="1"/>
        <charset val="136"/>
      </rPr>
      <t>負債及股東權益</t>
    </r>
    <r>
      <rPr>
        <sz val="12"/>
        <color indexed="8"/>
        <rFont val="Arial"/>
        <family val="2"/>
      </rPr>
      <t xml:space="preserve">                          </t>
    </r>
  </si>
  <si>
    <r>
      <rPr>
        <sz val="12"/>
        <color indexed="8"/>
        <rFont val="新細明體"/>
        <family val="1"/>
        <charset val="136"/>
      </rPr>
      <t>流動資產</t>
    </r>
    <r>
      <rPr>
        <sz val="12"/>
        <color indexed="8"/>
        <rFont val="Arial"/>
        <family val="2"/>
      </rPr>
      <t xml:space="preserve">:           </t>
    </r>
  </si>
  <si>
    <r>
      <rPr>
        <sz val="12"/>
        <color indexed="8"/>
        <rFont val="新細明體"/>
        <family val="1"/>
        <charset val="136"/>
      </rPr>
      <t>流動負債</t>
    </r>
    <r>
      <rPr>
        <sz val="12"/>
        <color indexed="8"/>
        <rFont val="Arial"/>
        <family val="2"/>
      </rPr>
      <t xml:space="preserve">:           </t>
    </r>
  </si>
  <si>
    <r>
      <rPr>
        <sz val="12"/>
        <color indexed="8"/>
        <rFont val="新細明體"/>
        <family val="1"/>
        <charset val="136"/>
      </rPr>
      <t>應付票據</t>
    </r>
    <r>
      <rPr>
        <sz val="12"/>
        <color indexed="8"/>
        <rFont val="Arial"/>
        <family val="2"/>
      </rPr>
      <t xml:space="preserve">                              </t>
    </r>
  </si>
  <si>
    <r>
      <rPr>
        <sz val="12"/>
        <color indexed="8"/>
        <rFont val="新細明體"/>
        <family val="1"/>
        <charset val="136"/>
      </rPr>
      <t>應付帳款</t>
    </r>
    <r>
      <rPr>
        <sz val="12"/>
        <color indexed="8"/>
        <rFont val="Arial"/>
        <family val="2"/>
      </rPr>
      <t xml:space="preserve">                              </t>
    </r>
  </si>
  <si>
    <r>
      <rPr>
        <sz val="12"/>
        <color indexed="8"/>
        <rFont val="新細明體"/>
        <family val="1"/>
        <charset val="136"/>
      </rPr>
      <t>應付費用</t>
    </r>
    <r>
      <rPr>
        <sz val="12"/>
        <color indexed="8"/>
        <rFont val="Arial"/>
        <family val="2"/>
      </rPr>
      <t xml:space="preserve">                              </t>
    </r>
  </si>
  <si>
    <r>
      <rPr>
        <sz val="12"/>
        <color indexed="8"/>
        <rFont val="新細明體"/>
        <family val="1"/>
        <charset val="136"/>
      </rPr>
      <t>預收款項</t>
    </r>
    <r>
      <rPr>
        <sz val="12"/>
        <color indexed="8"/>
        <rFont val="Arial"/>
        <family val="2"/>
      </rPr>
      <t xml:space="preserve">                              </t>
    </r>
  </si>
  <si>
    <r>
      <rPr>
        <sz val="12"/>
        <color indexed="8"/>
        <rFont val="新細明體"/>
        <family val="1"/>
        <charset val="136"/>
      </rPr>
      <t>其他流動負債</t>
    </r>
    <r>
      <rPr>
        <sz val="12"/>
        <color indexed="8"/>
        <rFont val="Arial"/>
        <family val="2"/>
      </rPr>
      <t xml:space="preserve">                          </t>
    </r>
  </si>
  <si>
    <r>
      <rPr>
        <sz val="12"/>
        <color indexed="8"/>
        <rFont val="新細明體"/>
        <family val="1"/>
        <charset val="136"/>
      </rPr>
      <t>流動負債合計</t>
    </r>
    <r>
      <rPr>
        <sz val="12"/>
        <color indexed="8"/>
        <rFont val="Arial"/>
        <family val="2"/>
      </rPr>
      <t xml:space="preserve">:                 </t>
    </r>
  </si>
  <si>
    <r>
      <rPr>
        <sz val="12"/>
        <color indexed="8"/>
        <rFont val="新細明體"/>
        <family val="1"/>
        <charset val="136"/>
      </rPr>
      <t>流動資產合計</t>
    </r>
    <r>
      <rPr>
        <sz val="12"/>
        <color indexed="8"/>
        <rFont val="Arial"/>
        <family val="2"/>
      </rPr>
      <t xml:space="preserve">:                 </t>
    </r>
  </si>
  <si>
    <r>
      <rPr>
        <sz val="12"/>
        <color indexed="8"/>
        <rFont val="新細明體"/>
        <family val="1"/>
        <charset val="136"/>
      </rPr>
      <t>固定資產</t>
    </r>
    <r>
      <rPr>
        <sz val="12"/>
        <color indexed="8"/>
        <rFont val="Arial"/>
        <family val="2"/>
      </rPr>
      <t xml:space="preserve">:           </t>
    </r>
  </si>
  <si>
    <r>
      <rPr>
        <sz val="12"/>
        <color indexed="8"/>
        <rFont val="新細明體"/>
        <family val="1"/>
        <charset val="136"/>
      </rPr>
      <t>土地</t>
    </r>
    <r>
      <rPr>
        <sz val="12"/>
        <color indexed="8"/>
        <rFont val="Arial"/>
        <family val="2"/>
      </rPr>
      <t xml:space="preserve">                                  </t>
    </r>
  </si>
  <si>
    <r>
      <rPr>
        <sz val="12"/>
        <color indexed="8"/>
        <rFont val="新細明體"/>
        <family val="1"/>
        <charset val="136"/>
      </rPr>
      <t>建築物</t>
    </r>
    <r>
      <rPr>
        <sz val="12"/>
        <color indexed="8"/>
        <rFont val="Arial"/>
        <family val="2"/>
      </rPr>
      <t xml:space="preserve">                                </t>
    </r>
  </si>
  <si>
    <r>
      <rPr>
        <sz val="12"/>
        <color indexed="8"/>
        <rFont val="新細明體"/>
        <family val="1"/>
        <charset val="136"/>
      </rPr>
      <t>負債合計</t>
    </r>
    <r>
      <rPr>
        <sz val="12"/>
        <color indexed="8"/>
        <rFont val="Arial"/>
        <family val="2"/>
      </rPr>
      <t xml:space="preserve">:                     </t>
    </r>
  </si>
  <si>
    <r>
      <rPr>
        <sz val="12"/>
        <color indexed="8"/>
        <rFont val="新細明體"/>
        <family val="1"/>
        <charset val="136"/>
      </rPr>
      <t>模具設備</t>
    </r>
    <r>
      <rPr>
        <sz val="12"/>
        <color indexed="8"/>
        <rFont val="Arial"/>
        <family val="2"/>
      </rPr>
      <t xml:space="preserve">                              </t>
    </r>
  </si>
  <si>
    <r>
      <rPr>
        <sz val="12"/>
        <color indexed="8"/>
        <rFont val="新細明體"/>
        <family val="1"/>
        <charset val="136"/>
      </rPr>
      <t>股東權益</t>
    </r>
    <r>
      <rPr>
        <sz val="12"/>
        <color indexed="8"/>
        <rFont val="Arial"/>
        <family val="2"/>
      </rPr>
      <t xml:space="preserve">:           </t>
    </r>
  </si>
  <si>
    <r>
      <rPr>
        <sz val="12"/>
        <color indexed="8"/>
        <rFont val="新細明體"/>
        <family val="1"/>
        <charset val="136"/>
      </rPr>
      <t>運輸設備</t>
    </r>
    <r>
      <rPr>
        <sz val="12"/>
        <color indexed="8"/>
        <rFont val="Arial"/>
        <family val="2"/>
      </rPr>
      <t xml:space="preserve">                              </t>
    </r>
  </si>
  <si>
    <r>
      <rPr>
        <sz val="12"/>
        <color indexed="8"/>
        <rFont val="新細明體"/>
        <family val="1"/>
        <charset val="136"/>
      </rPr>
      <t>股本</t>
    </r>
    <r>
      <rPr>
        <sz val="12"/>
        <color indexed="8"/>
        <rFont val="Arial"/>
        <family val="2"/>
      </rPr>
      <t xml:space="preserve">                                  </t>
    </r>
  </si>
  <si>
    <r>
      <rPr>
        <sz val="12"/>
        <color indexed="8"/>
        <rFont val="新細明體"/>
        <family val="1"/>
        <charset val="136"/>
      </rPr>
      <t>辦公設備</t>
    </r>
    <r>
      <rPr>
        <sz val="12"/>
        <color indexed="8"/>
        <rFont val="Arial"/>
        <family val="2"/>
      </rPr>
      <t xml:space="preserve">                              </t>
    </r>
  </si>
  <si>
    <r>
      <rPr>
        <sz val="12"/>
        <color indexed="8"/>
        <rFont val="新細明體"/>
        <family val="1"/>
        <charset val="136"/>
      </rPr>
      <t>減：累計折舊</t>
    </r>
    <r>
      <rPr>
        <sz val="12"/>
        <color indexed="8"/>
        <rFont val="Arial"/>
        <family val="2"/>
      </rPr>
      <t xml:space="preserve">                          </t>
    </r>
  </si>
  <si>
    <r>
      <rPr>
        <sz val="12"/>
        <color indexed="8"/>
        <rFont val="新細明體"/>
        <family val="1"/>
        <charset val="136"/>
      </rPr>
      <t>保留盈餘</t>
    </r>
    <r>
      <rPr>
        <sz val="12"/>
        <color indexed="8"/>
        <rFont val="Arial"/>
        <family val="2"/>
      </rPr>
      <t xml:space="preserve">            </t>
    </r>
  </si>
  <si>
    <r>
      <rPr>
        <sz val="12"/>
        <color indexed="8"/>
        <rFont val="新細明體"/>
        <family val="1"/>
        <charset val="136"/>
      </rPr>
      <t>固定資產合計</t>
    </r>
    <r>
      <rPr>
        <sz val="12"/>
        <color indexed="8"/>
        <rFont val="Arial"/>
        <family val="2"/>
      </rPr>
      <t xml:space="preserve">:                 </t>
    </r>
  </si>
  <si>
    <r>
      <rPr>
        <sz val="12"/>
        <color indexed="8"/>
        <rFont val="新細明體"/>
        <family val="1"/>
        <charset val="136"/>
      </rPr>
      <t>未發行股本</t>
    </r>
    <r>
      <rPr>
        <sz val="12"/>
        <color indexed="8"/>
        <rFont val="Arial"/>
        <family val="2"/>
      </rPr>
      <t xml:space="preserve">                            </t>
    </r>
  </si>
  <si>
    <r>
      <rPr>
        <sz val="12"/>
        <color indexed="8"/>
        <rFont val="新細明體"/>
        <family val="1"/>
        <charset val="136"/>
      </rPr>
      <t>法定盈餘公積</t>
    </r>
    <r>
      <rPr>
        <sz val="12"/>
        <color indexed="8"/>
        <rFont val="Arial"/>
        <family val="2"/>
      </rPr>
      <t xml:space="preserve">                          </t>
    </r>
  </si>
  <si>
    <r>
      <rPr>
        <sz val="12"/>
        <color indexed="8"/>
        <rFont val="新細明體"/>
        <family val="1"/>
        <charset val="136"/>
      </rPr>
      <t>其他資產</t>
    </r>
    <r>
      <rPr>
        <sz val="12"/>
        <color indexed="8"/>
        <rFont val="Arial"/>
        <family val="2"/>
      </rPr>
      <t xml:space="preserve">                              </t>
    </r>
  </si>
  <si>
    <r>
      <rPr>
        <sz val="12"/>
        <color indexed="8"/>
        <rFont val="新細明體"/>
        <family val="1"/>
        <charset val="136"/>
      </rPr>
      <t>股東權益合計</t>
    </r>
    <r>
      <rPr>
        <sz val="12"/>
        <color indexed="8"/>
        <rFont val="Arial"/>
        <family val="2"/>
      </rPr>
      <t xml:space="preserve">:                 </t>
    </r>
  </si>
  <si>
    <r>
      <rPr>
        <sz val="12"/>
        <color indexed="8"/>
        <rFont val="新細明體"/>
        <family val="1"/>
        <charset val="136"/>
      </rPr>
      <t>其他資產合計</t>
    </r>
    <r>
      <rPr>
        <sz val="12"/>
        <color indexed="8"/>
        <rFont val="Arial"/>
        <family val="2"/>
      </rPr>
      <t xml:space="preserve">                  </t>
    </r>
  </si>
  <si>
    <r>
      <rPr>
        <sz val="12"/>
        <color indexed="8"/>
        <rFont val="新細明體"/>
        <family val="1"/>
        <charset val="136"/>
      </rPr>
      <t>資產總計</t>
    </r>
    <r>
      <rPr>
        <sz val="12"/>
        <color indexed="8"/>
        <rFont val="Arial"/>
        <family val="2"/>
      </rPr>
      <t xml:space="preserve">:                     </t>
    </r>
  </si>
  <si>
    <r>
      <rPr>
        <sz val="12"/>
        <color indexed="8"/>
        <rFont val="新細明體"/>
        <family val="1"/>
        <charset val="136"/>
      </rPr>
      <t>負債及股東權益合計</t>
    </r>
    <r>
      <rPr>
        <sz val="12"/>
        <color indexed="8"/>
        <rFont val="Arial"/>
        <family val="2"/>
      </rPr>
      <t xml:space="preserve">:           </t>
    </r>
  </si>
  <si>
    <r>
      <rPr>
        <sz val="10"/>
        <rFont val="新細明體"/>
        <family val="1"/>
        <charset val="136"/>
      </rPr>
      <t>全年合計</t>
    </r>
  </si>
  <si>
    <r>
      <rPr>
        <b/>
        <sz val="10"/>
        <rFont val="新細明體"/>
        <family val="1"/>
        <charset val="136"/>
      </rPr>
      <t>▲</t>
    </r>
    <r>
      <rPr>
        <b/>
        <sz val="10"/>
        <rFont val="Arial"/>
        <family val="2"/>
      </rPr>
      <t xml:space="preserve"> </t>
    </r>
    <r>
      <rPr>
        <b/>
        <sz val="10"/>
        <rFont val="新細明體"/>
        <family val="1"/>
        <charset val="136"/>
      </rPr>
      <t>營業淨利：</t>
    </r>
  </si>
  <si>
    <r>
      <rPr>
        <b/>
        <sz val="10"/>
        <rFont val="新細明體"/>
        <family val="1"/>
        <charset val="136"/>
      </rPr>
      <t>▲</t>
    </r>
    <r>
      <rPr>
        <b/>
        <sz val="10"/>
        <rFont val="Arial"/>
        <family val="2"/>
      </rPr>
      <t xml:space="preserve"> </t>
    </r>
    <r>
      <rPr>
        <b/>
        <sz val="10"/>
        <rFont val="新細明體"/>
        <family val="1"/>
        <charset val="136"/>
      </rPr>
      <t>稅前損益：</t>
    </r>
  </si>
  <si>
    <r>
      <rPr>
        <sz val="10"/>
        <rFont val="新細明體"/>
        <family val="1"/>
        <charset val="136"/>
      </rPr>
      <t>存貨跌價損失成本</t>
    </r>
  </si>
  <si>
    <t>POS BU1</t>
  </si>
  <si>
    <t>POS BU2</t>
  </si>
  <si>
    <t>POS BU3-SE</t>
  </si>
  <si>
    <t>POS BU4-AB</t>
  </si>
  <si>
    <t>BU</t>
  </si>
  <si>
    <t>BU1</t>
  </si>
  <si>
    <t>BU3</t>
  </si>
  <si>
    <t>BU4</t>
  </si>
  <si>
    <t>YUNO151-VESA-COVER</t>
  </si>
  <si>
    <t>ODMAC204</t>
  </si>
  <si>
    <t>YUNO151-VESA-COVER-BLACK</t>
  </si>
  <si>
    <t>YUNO-ADDIMAT</t>
  </si>
  <si>
    <t>外借倉CONTOCUS</t>
  </si>
  <si>
    <r>
      <rPr>
        <sz val="10"/>
        <rFont val="新細明體"/>
        <family val="1"/>
        <charset val="136"/>
      </rPr>
      <t>賀毅科技股份有限公司</t>
    </r>
    <phoneticPr fontId="54" type="noConversion"/>
  </si>
  <si>
    <r>
      <rPr>
        <sz val="10"/>
        <rFont val="新細明體"/>
        <family val="1"/>
        <charset val="136"/>
      </rPr>
      <t>損益表實際數</t>
    </r>
    <r>
      <rPr>
        <sz val="10"/>
        <rFont val="Arial"/>
        <family val="2"/>
      </rPr>
      <t>-</t>
    </r>
    <r>
      <rPr>
        <sz val="10"/>
        <rFont val="新細明體"/>
        <family val="1"/>
        <charset val="136"/>
      </rPr>
      <t>兩期比較</t>
    </r>
    <phoneticPr fontId="54" type="noConversion"/>
  </si>
  <si>
    <t>2013 vs 2012</t>
    <phoneticPr fontId="56" type="noConversion"/>
  </si>
  <si>
    <t>2014 vs 2013</t>
    <phoneticPr fontId="56" type="noConversion"/>
  </si>
  <si>
    <t>2015 vs 2014</t>
    <phoneticPr fontId="56" type="noConversion"/>
  </si>
  <si>
    <t>Q1~Q3</t>
    <phoneticPr fontId="56" type="noConversion"/>
  </si>
  <si>
    <r>
      <rPr>
        <sz val="10"/>
        <rFont val="新細明體"/>
        <family val="1"/>
        <charset val="136"/>
      </rPr>
      <t>全年合計</t>
    </r>
    <phoneticPr fontId="56" type="noConversion"/>
  </si>
  <si>
    <t>Jan</t>
    <phoneticPr fontId="56" type="noConversion"/>
  </si>
  <si>
    <t>Feb</t>
    <phoneticPr fontId="56" type="noConversion"/>
  </si>
  <si>
    <t>Mar</t>
    <phoneticPr fontId="56" type="noConversion"/>
  </si>
  <si>
    <t>Q1</t>
    <phoneticPr fontId="56" type="noConversion"/>
  </si>
  <si>
    <t>Apr</t>
    <phoneticPr fontId="56" type="noConversion"/>
  </si>
  <si>
    <t>May</t>
    <phoneticPr fontId="56" type="noConversion"/>
  </si>
  <si>
    <t>Jun</t>
    <phoneticPr fontId="56" type="noConversion"/>
  </si>
  <si>
    <t>Q2</t>
    <phoneticPr fontId="56" type="noConversion"/>
  </si>
  <si>
    <t>Jul</t>
    <phoneticPr fontId="56" type="noConversion"/>
  </si>
  <si>
    <t>Aug</t>
    <phoneticPr fontId="56" type="noConversion"/>
  </si>
  <si>
    <t>Sep</t>
    <phoneticPr fontId="56" type="noConversion"/>
  </si>
  <si>
    <t>Q3</t>
    <phoneticPr fontId="56" type="noConversion"/>
  </si>
  <si>
    <t>Oct</t>
    <phoneticPr fontId="56" type="noConversion"/>
  </si>
  <si>
    <t>Q4</t>
    <phoneticPr fontId="56" type="noConversion"/>
  </si>
  <si>
    <t>HF</t>
    <phoneticPr fontId="56" type="noConversion"/>
  </si>
  <si>
    <t>Q1-Q3</t>
    <phoneticPr fontId="56" type="noConversion"/>
  </si>
  <si>
    <r>
      <rPr>
        <sz val="10"/>
        <color indexed="8"/>
        <rFont val="新細明體"/>
        <family val="1"/>
        <charset val="136"/>
      </rPr>
      <t>全年合計</t>
    </r>
    <phoneticPr fontId="56" type="noConversion"/>
  </si>
  <si>
    <r>
      <rPr>
        <sz val="10"/>
        <color indexed="8"/>
        <rFont val="新細明體"/>
        <family val="1"/>
        <charset val="136"/>
      </rPr>
      <t>兩期差異</t>
    </r>
    <phoneticPr fontId="56" type="noConversion"/>
  </si>
  <si>
    <r>
      <rPr>
        <sz val="10"/>
        <color indexed="8"/>
        <rFont val="新細明體"/>
        <family val="1"/>
        <charset val="136"/>
      </rPr>
      <t>變動率</t>
    </r>
    <phoneticPr fontId="56" type="noConversion"/>
  </si>
  <si>
    <r>
      <rPr>
        <sz val="10"/>
        <rFont val="新細明體"/>
        <family val="1"/>
        <charset val="136"/>
      </rPr>
      <t>營業收入</t>
    </r>
    <phoneticPr fontId="54" type="noConversion"/>
  </si>
  <si>
    <r>
      <rPr>
        <sz val="10"/>
        <rFont val="新細明體"/>
        <family val="1"/>
        <charset val="136"/>
      </rPr>
      <t>維修收入</t>
    </r>
    <phoneticPr fontId="56" type="noConversion"/>
  </si>
  <si>
    <r>
      <rPr>
        <sz val="10"/>
        <rFont val="新細明體"/>
        <family val="1"/>
        <charset val="136"/>
      </rPr>
      <t>營業收入合計</t>
    </r>
    <phoneticPr fontId="56" type="noConversion"/>
  </si>
  <si>
    <r>
      <rPr>
        <sz val="10"/>
        <rFont val="新細明體"/>
        <family val="1"/>
        <charset val="136"/>
      </rPr>
      <t>營業成本</t>
    </r>
    <phoneticPr fontId="54" type="noConversion"/>
  </si>
  <si>
    <r>
      <rPr>
        <sz val="10"/>
        <rFont val="新細明體"/>
        <family val="1"/>
        <charset val="136"/>
      </rPr>
      <t>▲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  <charset val="136"/>
      </rPr>
      <t>營業毛利：</t>
    </r>
    <phoneticPr fontId="54" type="noConversion"/>
  </si>
  <si>
    <r>
      <rPr>
        <sz val="10"/>
        <rFont val="新細明體"/>
        <family val="1"/>
        <charset val="136"/>
      </rPr>
      <t>毛利率</t>
    </r>
    <phoneticPr fontId="54" type="noConversion"/>
  </si>
  <si>
    <r>
      <rPr>
        <sz val="10"/>
        <rFont val="新細明體"/>
        <family val="1"/>
        <charset val="136"/>
      </rPr>
      <t>毛利率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排除存貨評價</t>
    </r>
    <r>
      <rPr>
        <sz val="10"/>
        <rFont val="Arial"/>
        <family val="2"/>
      </rPr>
      <t>)</t>
    </r>
    <phoneticPr fontId="54" type="noConversion"/>
  </si>
  <si>
    <r>
      <rPr>
        <sz val="10"/>
        <rFont val="新細明體"/>
        <family val="1"/>
        <charset val="136"/>
      </rPr>
      <t>營業費用</t>
    </r>
    <phoneticPr fontId="54" type="noConversion"/>
  </si>
  <si>
    <r>
      <rPr>
        <sz val="10"/>
        <rFont val="新細明體"/>
        <family val="1"/>
        <charset val="136"/>
      </rPr>
      <t>銷售費用</t>
    </r>
    <phoneticPr fontId="54" type="noConversion"/>
  </si>
  <si>
    <r>
      <rPr>
        <sz val="10"/>
        <rFont val="新細明體"/>
        <family val="1"/>
        <charset val="136"/>
      </rPr>
      <t>管理費用</t>
    </r>
    <phoneticPr fontId="54" type="noConversion"/>
  </si>
  <si>
    <r>
      <rPr>
        <sz val="10"/>
        <rFont val="新細明體"/>
        <family val="1"/>
        <charset val="136"/>
      </rPr>
      <t>研發費用</t>
    </r>
    <phoneticPr fontId="54" type="noConversion"/>
  </si>
  <si>
    <r>
      <rPr>
        <sz val="10"/>
        <rFont val="新細明體"/>
        <family val="1"/>
        <charset val="136"/>
      </rPr>
      <t>營業費用合計</t>
    </r>
    <phoneticPr fontId="54" type="noConversion"/>
  </si>
  <si>
    <r>
      <rPr>
        <sz val="10"/>
        <rFont val="新細明體"/>
        <family val="1"/>
        <charset val="136"/>
      </rPr>
      <t>營業外收入及費用</t>
    </r>
    <phoneticPr fontId="54" type="noConversion"/>
  </si>
  <si>
    <r>
      <rPr>
        <sz val="10"/>
        <rFont val="新細明體"/>
        <family val="1"/>
        <charset val="136"/>
      </rPr>
      <t>營業外收入及利益</t>
    </r>
    <r>
      <rPr>
        <sz val="10"/>
        <rFont val="Arial"/>
        <family val="2"/>
      </rPr>
      <t xml:space="preserve">  </t>
    </r>
    <phoneticPr fontId="54" type="noConversion"/>
  </si>
  <si>
    <r>
      <rPr>
        <sz val="10"/>
        <rFont val="新細明體"/>
        <family val="1"/>
        <charset val="136"/>
      </rPr>
      <t>利息收入</t>
    </r>
    <phoneticPr fontId="54" type="noConversion"/>
  </si>
  <si>
    <r>
      <rPr>
        <sz val="10"/>
        <rFont val="新細明體"/>
        <family val="1"/>
        <charset val="136"/>
      </rPr>
      <t>投資收益</t>
    </r>
    <phoneticPr fontId="54" type="noConversion"/>
  </si>
  <si>
    <r>
      <rPr>
        <sz val="10"/>
        <rFont val="新細明體"/>
        <family val="1"/>
        <charset val="136"/>
      </rPr>
      <t>處分固定資產利益</t>
    </r>
    <phoneticPr fontId="54" type="noConversion"/>
  </si>
  <si>
    <r>
      <rPr>
        <sz val="10"/>
        <rFont val="新細明體"/>
        <family val="1"/>
        <charset val="136"/>
      </rPr>
      <t>處分投資利益</t>
    </r>
    <phoneticPr fontId="54" type="noConversion"/>
  </si>
  <si>
    <r>
      <rPr>
        <sz val="10"/>
        <rFont val="新細明體"/>
        <family val="1"/>
        <charset val="136"/>
      </rPr>
      <t>存貨盤盈</t>
    </r>
    <phoneticPr fontId="54" type="noConversion"/>
  </si>
  <si>
    <r>
      <rPr>
        <sz val="10"/>
        <rFont val="新細明體"/>
        <family val="1"/>
        <charset val="136"/>
      </rPr>
      <t>兌換利益</t>
    </r>
    <phoneticPr fontId="54" type="noConversion"/>
  </si>
  <si>
    <r>
      <rPr>
        <sz val="10"/>
        <rFont val="新細明體"/>
        <family val="1"/>
        <charset val="136"/>
      </rPr>
      <t>租金收入</t>
    </r>
    <phoneticPr fontId="54" type="noConversion"/>
  </si>
  <si>
    <r>
      <rPr>
        <sz val="10"/>
        <rFont val="新細明體"/>
        <family val="1"/>
        <charset val="136"/>
      </rPr>
      <t>金融資產評價利益</t>
    </r>
    <phoneticPr fontId="54" type="noConversion"/>
  </si>
  <si>
    <r>
      <rPr>
        <sz val="10"/>
        <rFont val="新細明體"/>
        <family val="1"/>
        <charset val="136"/>
      </rPr>
      <t>信用卡手續費收入</t>
    </r>
    <phoneticPr fontId="54" type="noConversion"/>
  </si>
  <si>
    <r>
      <rPr>
        <sz val="10"/>
        <rFont val="新細明體"/>
        <family val="1"/>
        <charset val="136"/>
      </rPr>
      <t>什項收入</t>
    </r>
    <phoneticPr fontId="54" type="noConversion"/>
  </si>
  <si>
    <r>
      <rPr>
        <sz val="10"/>
        <rFont val="新細明體"/>
        <family val="1"/>
        <charset val="136"/>
      </rPr>
      <t>小計</t>
    </r>
    <phoneticPr fontId="54" type="noConversion"/>
  </si>
  <si>
    <r>
      <rPr>
        <sz val="10"/>
        <rFont val="新細明體"/>
        <family val="1"/>
        <charset val="136"/>
      </rPr>
      <t>營業外費用及損失</t>
    </r>
    <r>
      <rPr>
        <sz val="10"/>
        <rFont val="Arial"/>
        <family val="2"/>
      </rPr>
      <t xml:space="preserve">      </t>
    </r>
    <phoneticPr fontId="54" type="noConversion"/>
  </si>
  <si>
    <r>
      <rPr>
        <sz val="10"/>
        <rFont val="新細明體"/>
        <family val="1"/>
        <charset val="136"/>
      </rPr>
      <t>利息費用</t>
    </r>
    <phoneticPr fontId="54" type="noConversion"/>
  </si>
  <si>
    <r>
      <rPr>
        <sz val="10"/>
        <rFont val="新細明體"/>
        <family val="1"/>
        <charset val="136"/>
      </rPr>
      <t>投資損失</t>
    </r>
    <phoneticPr fontId="54" type="noConversion"/>
  </si>
  <si>
    <r>
      <rPr>
        <sz val="10"/>
        <rFont val="新細明體"/>
        <family val="1"/>
        <charset val="136"/>
      </rPr>
      <t>處分固定資產損失</t>
    </r>
    <phoneticPr fontId="54" type="noConversion"/>
  </si>
  <si>
    <r>
      <rPr>
        <sz val="10"/>
        <rFont val="新細明體"/>
        <family val="1"/>
        <charset val="136"/>
      </rPr>
      <t>處分投資損失</t>
    </r>
    <phoneticPr fontId="54" type="noConversion"/>
  </si>
  <si>
    <r>
      <rPr>
        <sz val="10"/>
        <rFont val="新細明體"/>
        <family val="1"/>
        <charset val="136"/>
      </rPr>
      <t>存貨盤損</t>
    </r>
    <phoneticPr fontId="54" type="noConversion"/>
  </si>
  <si>
    <r>
      <rPr>
        <sz val="10"/>
        <rFont val="新細明體"/>
        <family val="1"/>
        <charset val="136"/>
      </rPr>
      <t>兌換損失</t>
    </r>
    <phoneticPr fontId="54" type="noConversion"/>
  </si>
  <si>
    <r>
      <rPr>
        <sz val="10"/>
        <rFont val="新細明體"/>
        <family val="1"/>
        <charset val="136"/>
      </rPr>
      <t>財務費用</t>
    </r>
    <phoneticPr fontId="54" type="noConversion"/>
  </si>
  <si>
    <r>
      <rPr>
        <sz val="10"/>
        <rFont val="新細明體"/>
        <family val="1"/>
        <charset val="136"/>
      </rPr>
      <t>金融資產評價損失</t>
    </r>
    <phoneticPr fontId="54" type="noConversion"/>
  </si>
  <si>
    <r>
      <rPr>
        <sz val="10"/>
        <rFont val="新細明體"/>
        <family val="1"/>
        <charset val="136"/>
      </rPr>
      <t>什項支出</t>
    </r>
    <phoneticPr fontId="54" type="noConversion"/>
  </si>
  <si>
    <r>
      <rPr>
        <sz val="10"/>
        <rFont val="新細明體"/>
        <family val="1"/>
        <charset val="136"/>
      </rPr>
      <t>營業外收入及費用合計</t>
    </r>
    <phoneticPr fontId="54" type="noConversion"/>
  </si>
  <si>
    <r>
      <rPr>
        <sz val="10"/>
        <rFont val="新細明體"/>
        <family val="1"/>
        <charset val="136"/>
      </rPr>
      <t>預計損益表</t>
    </r>
    <phoneticPr fontId="54" type="noConversion"/>
  </si>
  <si>
    <t>Jan</t>
    <phoneticPr fontId="54" type="noConversion"/>
  </si>
  <si>
    <t>Feb</t>
    <phoneticPr fontId="54" type="noConversion"/>
  </si>
  <si>
    <t>Mar</t>
    <phoneticPr fontId="54" type="noConversion"/>
  </si>
  <si>
    <t>Apr</t>
    <phoneticPr fontId="54" type="noConversion"/>
  </si>
  <si>
    <t>May</t>
    <phoneticPr fontId="54" type="noConversion"/>
  </si>
  <si>
    <t>Jun</t>
    <phoneticPr fontId="54" type="noConversion"/>
  </si>
  <si>
    <t>Jul</t>
    <phoneticPr fontId="54" type="noConversion"/>
  </si>
  <si>
    <t>Aug</t>
    <phoneticPr fontId="54" type="noConversion"/>
  </si>
  <si>
    <t>Sep</t>
    <phoneticPr fontId="54" type="noConversion"/>
  </si>
  <si>
    <t>Oct</t>
    <phoneticPr fontId="54" type="noConversion"/>
  </si>
  <si>
    <t>Nov</t>
    <phoneticPr fontId="54" type="noConversion"/>
  </si>
  <si>
    <t>Dec</t>
    <phoneticPr fontId="54" type="noConversion"/>
  </si>
  <si>
    <t>1~12</t>
    <phoneticPr fontId="54" type="noConversion"/>
  </si>
  <si>
    <t>Forecast</t>
    <phoneticPr fontId="56" type="noConversion"/>
  </si>
  <si>
    <t>Actual</t>
    <phoneticPr fontId="56" type="noConversion"/>
  </si>
  <si>
    <r>
      <rPr>
        <sz val="10"/>
        <rFont val="新細明體"/>
        <family val="1"/>
        <charset val="136"/>
      </rPr>
      <t>月逹成率</t>
    </r>
    <phoneticPr fontId="54" type="noConversion"/>
  </si>
  <si>
    <r>
      <rPr>
        <sz val="10"/>
        <rFont val="新細明體"/>
        <family val="1"/>
        <charset val="136"/>
      </rPr>
      <t>季逹成率</t>
    </r>
    <phoneticPr fontId="54" type="noConversion"/>
  </si>
  <si>
    <t>Forecast</t>
    <phoneticPr fontId="56" type="noConversion"/>
  </si>
  <si>
    <t>Actual</t>
    <phoneticPr fontId="56" type="noConversion"/>
  </si>
  <si>
    <r>
      <rPr>
        <sz val="10"/>
        <rFont val="新細明體"/>
        <family val="1"/>
        <charset val="136"/>
      </rPr>
      <t>月逹成率</t>
    </r>
    <phoneticPr fontId="54" type="noConversion"/>
  </si>
  <si>
    <r>
      <rPr>
        <sz val="10"/>
        <rFont val="新細明體"/>
        <family val="1"/>
        <charset val="136"/>
      </rPr>
      <t>季逹成率</t>
    </r>
    <phoneticPr fontId="54" type="noConversion"/>
  </si>
  <si>
    <r>
      <rPr>
        <sz val="10"/>
        <rFont val="新細明體"/>
        <family val="1"/>
        <charset val="136"/>
      </rPr>
      <t>年度逹成率</t>
    </r>
    <phoneticPr fontId="54" type="noConversion"/>
  </si>
  <si>
    <r>
      <rPr>
        <sz val="10"/>
        <rFont val="新細明體"/>
        <family val="1"/>
        <charset val="136"/>
      </rPr>
      <t>營業收入</t>
    </r>
    <phoneticPr fontId="54" type="noConversion"/>
  </si>
  <si>
    <t>POS BU1</t>
    <phoneticPr fontId="56" type="noConversion"/>
  </si>
  <si>
    <t>POS BU2</t>
    <phoneticPr fontId="56" type="noConversion"/>
  </si>
  <si>
    <t>POS BU3-SE</t>
    <phoneticPr fontId="56" type="noConversion"/>
  </si>
  <si>
    <t>POS BU4-AB</t>
    <phoneticPr fontId="56" type="noConversion"/>
  </si>
  <si>
    <r>
      <rPr>
        <sz val="10"/>
        <rFont val="新細明體"/>
        <family val="1"/>
        <charset val="136"/>
      </rPr>
      <t>營業收入合計</t>
    </r>
    <phoneticPr fontId="56" type="noConversion"/>
  </si>
  <si>
    <r>
      <rPr>
        <sz val="10"/>
        <rFont val="新細明體"/>
        <family val="1"/>
        <charset val="136"/>
      </rPr>
      <t>營業成本</t>
    </r>
    <phoneticPr fontId="54" type="noConversion"/>
  </si>
  <si>
    <r>
      <rPr>
        <b/>
        <sz val="10"/>
        <rFont val="新細明體"/>
        <family val="1"/>
        <charset val="136"/>
      </rPr>
      <t>▲</t>
    </r>
    <r>
      <rPr>
        <b/>
        <sz val="10"/>
        <rFont val="Calibri"/>
        <family val="2"/>
      </rPr>
      <t xml:space="preserve"> </t>
    </r>
    <r>
      <rPr>
        <b/>
        <sz val="10"/>
        <rFont val="新細明體"/>
        <family val="1"/>
        <charset val="136"/>
      </rPr>
      <t>營業毛利：</t>
    </r>
    <phoneticPr fontId="54" type="noConversion"/>
  </si>
  <si>
    <r>
      <rPr>
        <sz val="10"/>
        <rFont val="新細明體"/>
        <family val="1"/>
        <charset val="136"/>
      </rPr>
      <t>毛利率</t>
    </r>
    <phoneticPr fontId="54" type="noConversion"/>
  </si>
  <si>
    <r>
      <rPr>
        <sz val="10"/>
        <rFont val="新細明體"/>
        <family val="1"/>
        <charset val="136"/>
      </rPr>
      <t>營業費用</t>
    </r>
    <phoneticPr fontId="54" type="noConversion"/>
  </si>
  <si>
    <r>
      <rPr>
        <sz val="10"/>
        <rFont val="新細明體"/>
        <family val="1"/>
        <charset val="136"/>
      </rPr>
      <t>銷售費用</t>
    </r>
    <phoneticPr fontId="54" type="noConversion"/>
  </si>
  <si>
    <r>
      <rPr>
        <sz val="10"/>
        <rFont val="新細明體"/>
        <family val="1"/>
        <charset val="136"/>
      </rPr>
      <t>管理費用</t>
    </r>
    <phoneticPr fontId="54" type="noConversion"/>
  </si>
  <si>
    <r>
      <rPr>
        <sz val="10"/>
        <rFont val="新細明體"/>
        <family val="1"/>
        <charset val="136"/>
      </rPr>
      <t>研發費用</t>
    </r>
    <phoneticPr fontId="54" type="noConversion"/>
  </si>
  <si>
    <r>
      <rPr>
        <sz val="10"/>
        <rFont val="新細明體"/>
        <family val="1"/>
        <charset val="136"/>
      </rPr>
      <t>營業費用合計</t>
    </r>
    <phoneticPr fontId="54" type="noConversion"/>
  </si>
  <si>
    <r>
      <rPr>
        <b/>
        <sz val="10"/>
        <rFont val="新細明體"/>
        <family val="1"/>
        <charset val="136"/>
      </rPr>
      <t>▲</t>
    </r>
    <r>
      <rPr>
        <b/>
        <sz val="10"/>
        <rFont val="Calibri"/>
        <family val="2"/>
      </rPr>
      <t xml:space="preserve"> </t>
    </r>
    <r>
      <rPr>
        <b/>
        <sz val="10"/>
        <rFont val="新細明體"/>
        <family val="1"/>
        <charset val="136"/>
      </rPr>
      <t>營業淨利：</t>
    </r>
    <phoneticPr fontId="56" type="noConversion"/>
  </si>
  <si>
    <r>
      <rPr>
        <sz val="10"/>
        <rFont val="新細明體"/>
        <family val="1"/>
        <charset val="136"/>
      </rPr>
      <t>營業外收入及利益</t>
    </r>
    <r>
      <rPr>
        <sz val="10"/>
        <rFont val="Calibri"/>
        <family val="2"/>
      </rPr>
      <t xml:space="preserve">  </t>
    </r>
    <phoneticPr fontId="54" type="noConversion"/>
  </si>
  <si>
    <r>
      <rPr>
        <sz val="10"/>
        <rFont val="新細明體"/>
        <family val="1"/>
        <charset val="136"/>
      </rPr>
      <t>利息收入</t>
    </r>
    <phoneticPr fontId="54" type="noConversion"/>
  </si>
  <si>
    <r>
      <rPr>
        <sz val="10"/>
        <rFont val="新細明體"/>
        <family val="1"/>
        <charset val="136"/>
      </rPr>
      <t>投資收益</t>
    </r>
    <phoneticPr fontId="54" type="noConversion"/>
  </si>
  <si>
    <r>
      <rPr>
        <sz val="10"/>
        <rFont val="新細明體"/>
        <family val="1"/>
        <charset val="136"/>
      </rPr>
      <t>處分固定資產利益</t>
    </r>
    <phoneticPr fontId="54" type="noConversion"/>
  </si>
  <si>
    <r>
      <rPr>
        <sz val="10"/>
        <rFont val="新細明體"/>
        <family val="1"/>
        <charset val="136"/>
      </rPr>
      <t>處分投資利益</t>
    </r>
    <phoneticPr fontId="54" type="noConversion"/>
  </si>
  <si>
    <r>
      <rPr>
        <sz val="10"/>
        <rFont val="新細明體"/>
        <family val="1"/>
        <charset val="136"/>
      </rPr>
      <t>存貨盤盈</t>
    </r>
    <phoneticPr fontId="54" type="noConversion"/>
  </si>
  <si>
    <r>
      <rPr>
        <sz val="10"/>
        <rFont val="新細明體"/>
        <family val="1"/>
        <charset val="136"/>
      </rPr>
      <t>兌換利益</t>
    </r>
    <phoneticPr fontId="54" type="noConversion"/>
  </si>
  <si>
    <r>
      <rPr>
        <sz val="10"/>
        <rFont val="新細明體"/>
        <family val="1"/>
        <charset val="136"/>
      </rPr>
      <t>租金收入</t>
    </r>
    <phoneticPr fontId="54" type="noConversion"/>
  </si>
  <si>
    <r>
      <rPr>
        <sz val="10"/>
        <rFont val="新細明體"/>
        <family val="1"/>
        <charset val="136"/>
      </rPr>
      <t>金融資產評價利益</t>
    </r>
    <phoneticPr fontId="54" type="noConversion"/>
  </si>
  <si>
    <r>
      <rPr>
        <sz val="10"/>
        <rFont val="新細明體"/>
        <family val="1"/>
        <charset val="136"/>
      </rPr>
      <t>信用卡手續費收入</t>
    </r>
    <phoneticPr fontId="54" type="noConversion"/>
  </si>
  <si>
    <r>
      <rPr>
        <sz val="10"/>
        <rFont val="新細明體"/>
        <family val="1"/>
        <charset val="136"/>
      </rPr>
      <t>什項收入</t>
    </r>
    <phoneticPr fontId="54" type="noConversion"/>
  </si>
  <si>
    <r>
      <rPr>
        <sz val="10"/>
        <rFont val="新細明體"/>
        <family val="1"/>
        <charset val="136"/>
      </rPr>
      <t>小計</t>
    </r>
    <phoneticPr fontId="54" type="noConversion"/>
  </si>
  <si>
    <r>
      <rPr>
        <sz val="10"/>
        <rFont val="新細明體"/>
        <family val="1"/>
        <charset val="136"/>
      </rPr>
      <t>營業外費用及損失</t>
    </r>
    <r>
      <rPr>
        <sz val="10"/>
        <rFont val="Calibri"/>
        <family val="2"/>
      </rPr>
      <t xml:space="preserve">      </t>
    </r>
    <phoneticPr fontId="54" type="noConversion"/>
  </si>
  <si>
    <r>
      <rPr>
        <sz val="10"/>
        <rFont val="新細明體"/>
        <family val="1"/>
        <charset val="136"/>
      </rPr>
      <t>利息費用</t>
    </r>
    <phoneticPr fontId="54" type="noConversion"/>
  </si>
  <si>
    <r>
      <rPr>
        <sz val="10"/>
        <rFont val="新細明體"/>
        <family val="1"/>
        <charset val="136"/>
      </rPr>
      <t>投資損失</t>
    </r>
    <phoneticPr fontId="54" type="noConversion"/>
  </si>
  <si>
    <r>
      <rPr>
        <sz val="10"/>
        <rFont val="新細明體"/>
        <family val="1"/>
        <charset val="136"/>
      </rPr>
      <t>處分固定資產損失</t>
    </r>
    <phoneticPr fontId="54" type="noConversion"/>
  </si>
  <si>
    <r>
      <rPr>
        <sz val="10"/>
        <rFont val="新細明體"/>
        <family val="1"/>
        <charset val="136"/>
      </rPr>
      <t>處分投資損失</t>
    </r>
    <phoneticPr fontId="54" type="noConversion"/>
  </si>
  <si>
    <r>
      <rPr>
        <sz val="10"/>
        <rFont val="新細明體"/>
        <family val="1"/>
        <charset val="136"/>
      </rPr>
      <t>存貨盤損</t>
    </r>
    <phoneticPr fontId="54" type="noConversion"/>
  </si>
  <si>
    <r>
      <rPr>
        <sz val="10"/>
        <rFont val="新細明體"/>
        <family val="1"/>
        <charset val="136"/>
      </rPr>
      <t>兌換損失</t>
    </r>
    <phoneticPr fontId="54" type="noConversion"/>
  </si>
  <si>
    <r>
      <rPr>
        <sz val="10"/>
        <rFont val="新細明體"/>
        <family val="1"/>
        <charset val="136"/>
      </rPr>
      <t>財務費用</t>
    </r>
    <phoneticPr fontId="54" type="noConversion"/>
  </si>
  <si>
    <r>
      <rPr>
        <sz val="10"/>
        <rFont val="新細明體"/>
        <family val="1"/>
        <charset val="136"/>
      </rPr>
      <t>金融資產評價損失</t>
    </r>
    <phoneticPr fontId="54" type="noConversion"/>
  </si>
  <si>
    <r>
      <rPr>
        <sz val="10"/>
        <rFont val="新細明體"/>
        <family val="1"/>
        <charset val="136"/>
      </rPr>
      <t>什項支出</t>
    </r>
    <phoneticPr fontId="54" type="noConversion"/>
  </si>
  <si>
    <r>
      <rPr>
        <b/>
        <sz val="10"/>
        <rFont val="新細明體"/>
        <family val="1"/>
        <charset val="136"/>
      </rPr>
      <t>▲</t>
    </r>
    <r>
      <rPr>
        <b/>
        <sz val="10"/>
        <rFont val="Calibri"/>
        <family val="2"/>
      </rPr>
      <t xml:space="preserve"> </t>
    </r>
    <r>
      <rPr>
        <b/>
        <sz val="10"/>
        <rFont val="新細明體"/>
        <family val="1"/>
        <charset val="136"/>
      </rPr>
      <t>營業外收入</t>
    </r>
    <r>
      <rPr>
        <b/>
        <sz val="10"/>
        <rFont val="Calibri"/>
        <family val="2"/>
      </rPr>
      <t>(</t>
    </r>
    <r>
      <rPr>
        <b/>
        <sz val="10"/>
        <rFont val="新細明體"/>
        <family val="1"/>
        <charset val="136"/>
      </rPr>
      <t>費用</t>
    </r>
    <r>
      <rPr>
        <b/>
        <sz val="10"/>
        <rFont val="Calibri"/>
        <family val="2"/>
      </rPr>
      <t>)</t>
    </r>
    <phoneticPr fontId="54" type="noConversion"/>
  </si>
  <si>
    <r>
      <rPr>
        <sz val="10"/>
        <color indexed="12"/>
        <rFont val="新細明體"/>
        <family val="1"/>
        <charset val="136"/>
      </rPr>
      <t>實際數</t>
    </r>
    <phoneticPr fontId="54" type="noConversion"/>
  </si>
  <si>
    <r>
      <rPr>
        <sz val="10"/>
        <rFont val="新細明體"/>
        <family val="1"/>
        <charset val="136"/>
      </rPr>
      <t>數量</t>
    </r>
    <phoneticPr fontId="54" type="noConversion"/>
  </si>
  <si>
    <r>
      <rPr>
        <sz val="10"/>
        <rFont val="新細明體"/>
        <family val="1"/>
        <charset val="136"/>
      </rPr>
      <t>銷貨淨額</t>
    </r>
    <phoneticPr fontId="54" type="noConversion"/>
  </si>
  <si>
    <r>
      <rPr>
        <sz val="10"/>
        <rFont val="新細明體"/>
        <family val="1"/>
        <charset val="136"/>
      </rPr>
      <t>主機</t>
    </r>
    <r>
      <rPr>
        <sz val="10"/>
        <rFont val="Calibri"/>
        <family val="2"/>
      </rPr>
      <t>(</t>
    </r>
    <r>
      <rPr>
        <sz val="10"/>
        <rFont val="新細明體"/>
        <family val="1"/>
        <charset val="136"/>
      </rPr>
      <t>不包含</t>
    </r>
    <r>
      <rPr>
        <sz val="10"/>
        <rFont val="Calibri"/>
        <family val="2"/>
      </rPr>
      <t>Aures)</t>
    </r>
    <phoneticPr fontId="54" type="noConversion"/>
  </si>
  <si>
    <r>
      <t>Aures(</t>
    </r>
    <r>
      <rPr>
        <sz val="10"/>
        <rFont val="新細明體"/>
        <family val="1"/>
        <charset val="136"/>
      </rPr>
      <t>不含週邊商品等</t>
    </r>
    <r>
      <rPr>
        <sz val="10"/>
        <rFont val="Calibri"/>
        <family val="2"/>
      </rPr>
      <t>)</t>
    </r>
    <phoneticPr fontId="54" type="noConversion"/>
  </si>
  <si>
    <r>
      <rPr>
        <sz val="10"/>
        <rFont val="新細明體"/>
        <family val="1"/>
        <charset val="136"/>
      </rPr>
      <t>其他</t>
    </r>
    <phoneticPr fontId="54" type="noConversion"/>
  </si>
  <si>
    <t>QCI(buy &amp; sell)</t>
    <phoneticPr fontId="54" type="noConversion"/>
  </si>
  <si>
    <r>
      <rPr>
        <b/>
        <sz val="12"/>
        <color indexed="8"/>
        <rFont val="細明體"/>
        <family val="3"/>
        <charset val="136"/>
      </rPr>
      <t>賀毅科技股份有限公司</t>
    </r>
    <phoneticPr fontId="56" type="noConversion"/>
  </si>
  <si>
    <r>
      <rPr>
        <b/>
        <sz val="12"/>
        <color indexed="8"/>
        <rFont val="細明體"/>
        <family val="3"/>
        <charset val="136"/>
      </rPr>
      <t>資產負債表</t>
    </r>
    <phoneticPr fontId="56" type="noConversion"/>
  </si>
  <si>
    <r>
      <t xml:space="preserve"> </t>
    </r>
    <r>
      <rPr>
        <sz val="12"/>
        <rFont val="細明體"/>
        <family val="3"/>
        <charset val="136"/>
      </rPr>
      <t>幣別</t>
    </r>
    <r>
      <rPr>
        <sz val="12"/>
        <rFont val="Arial"/>
        <family val="2"/>
      </rPr>
      <t xml:space="preserve">:NTD  </t>
    </r>
    <r>
      <rPr>
        <sz val="12"/>
        <rFont val="細明體"/>
        <family val="3"/>
        <charset val="136"/>
      </rPr>
      <t>單位</t>
    </r>
    <r>
      <rPr>
        <sz val="12"/>
        <rFont val="Arial"/>
        <family val="2"/>
      </rPr>
      <t>:</t>
    </r>
    <r>
      <rPr>
        <sz val="12"/>
        <rFont val="細明體"/>
        <family val="3"/>
        <charset val="136"/>
      </rPr>
      <t>元</t>
    </r>
    <phoneticPr fontId="56" type="noConversion"/>
  </si>
  <si>
    <t xml:space="preserve">     %</t>
    <phoneticPr fontId="56" type="noConversion"/>
  </si>
  <si>
    <r>
      <rPr>
        <sz val="12"/>
        <color indexed="8"/>
        <rFont val="新細明體"/>
        <family val="1"/>
        <charset val="136"/>
      </rPr>
      <t>差異金額</t>
    </r>
    <phoneticPr fontId="54" type="noConversion"/>
  </si>
  <si>
    <t>%</t>
    <phoneticPr fontId="54" type="noConversion"/>
  </si>
  <si>
    <r>
      <rPr>
        <sz val="12"/>
        <color indexed="8"/>
        <rFont val="新細明體"/>
        <family val="1"/>
        <charset val="136"/>
      </rPr>
      <t>現金及約當現金</t>
    </r>
    <r>
      <rPr>
        <sz val="12"/>
        <color indexed="8"/>
        <rFont val="Arial"/>
        <family val="2"/>
      </rPr>
      <t xml:space="preserve">                             </t>
    </r>
    <phoneticPr fontId="56" type="noConversion"/>
  </si>
  <si>
    <r>
      <rPr>
        <sz val="12"/>
        <color indexed="8"/>
        <rFont val="新細明體"/>
        <family val="1"/>
        <charset val="136"/>
      </rPr>
      <t>短期借款</t>
    </r>
    <phoneticPr fontId="56" type="noConversion"/>
  </si>
  <si>
    <r>
      <rPr>
        <sz val="12"/>
        <color indexed="8"/>
        <rFont val="新細明體"/>
        <family val="1"/>
        <charset val="136"/>
      </rPr>
      <t>交易目的金融資產</t>
    </r>
    <phoneticPr fontId="56" type="noConversion"/>
  </si>
  <si>
    <r>
      <rPr>
        <sz val="12"/>
        <color indexed="8"/>
        <rFont val="新細明體"/>
        <family val="1"/>
        <charset val="136"/>
      </rPr>
      <t>交易目的金融資產評價調整</t>
    </r>
    <phoneticPr fontId="56" type="noConversion"/>
  </si>
  <si>
    <r>
      <rPr>
        <sz val="12"/>
        <color indexed="8"/>
        <rFont val="新細明體"/>
        <family val="1"/>
        <charset val="136"/>
      </rPr>
      <t>應收票據</t>
    </r>
    <r>
      <rPr>
        <sz val="12"/>
        <color indexed="8"/>
        <rFont val="Arial"/>
        <family val="2"/>
      </rPr>
      <t xml:space="preserve">                              </t>
    </r>
    <phoneticPr fontId="56" type="noConversion"/>
  </si>
  <si>
    <r>
      <rPr>
        <sz val="12"/>
        <color indexed="8"/>
        <rFont val="新細明體"/>
        <family val="1"/>
        <charset val="136"/>
      </rPr>
      <t>應收帳款</t>
    </r>
    <r>
      <rPr>
        <sz val="12"/>
        <color indexed="8"/>
        <rFont val="Arial"/>
        <family val="2"/>
      </rPr>
      <t xml:space="preserve">                              </t>
    </r>
    <phoneticPr fontId="56" type="noConversion"/>
  </si>
  <si>
    <r>
      <rPr>
        <sz val="12"/>
        <color indexed="8"/>
        <rFont val="新細明體"/>
        <family val="1"/>
        <charset val="136"/>
      </rPr>
      <t>減：備抵呆帳</t>
    </r>
    <r>
      <rPr>
        <sz val="12"/>
        <color indexed="8"/>
        <rFont val="Arial"/>
        <family val="2"/>
      </rPr>
      <t xml:space="preserve">                          </t>
    </r>
    <phoneticPr fontId="56" type="noConversion"/>
  </si>
  <si>
    <r>
      <rPr>
        <sz val="12"/>
        <color indexed="8"/>
        <rFont val="新細明體"/>
        <family val="1"/>
        <charset val="136"/>
      </rPr>
      <t>存貨</t>
    </r>
    <r>
      <rPr>
        <sz val="12"/>
        <color indexed="8"/>
        <rFont val="Arial"/>
        <family val="2"/>
      </rPr>
      <t xml:space="preserve">                                  </t>
    </r>
    <phoneticPr fontId="56" type="noConversion"/>
  </si>
  <si>
    <r>
      <rPr>
        <sz val="12"/>
        <color indexed="8"/>
        <rFont val="新細明體"/>
        <family val="1"/>
        <charset val="136"/>
      </rPr>
      <t>預付款項</t>
    </r>
    <r>
      <rPr>
        <sz val="12"/>
        <color indexed="8"/>
        <rFont val="Arial"/>
        <family val="2"/>
      </rPr>
      <t xml:space="preserve">                              </t>
    </r>
    <phoneticPr fontId="56" type="noConversion"/>
  </si>
  <si>
    <r>
      <rPr>
        <sz val="12"/>
        <color indexed="8"/>
        <rFont val="新細明體"/>
        <family val="1"/>
        <charset val="136"/>
      </rPr>
      <t>遞延所得稅資產</t>
    </r>
    <r>
      <rPr>
        <sz val="12"/>
        <color indexed="8"/>
        <rFont val="Arial"/>
        <family val="2"/>
      </rPr>
      <t>-</t>
    </r>
    <r>
      <rPr>
        <sz val="12"/>
        <color indexed="8"/>
        <rFont val="新細明體"/>
        <family val="1"/>
        <charset val="136"/>
      </rPr>
      <t>流動</t>
    </r>
    <r>
      <rPr>
        <sz val="12"/>
        <color indexed="8"/>
        <rFont val="Arial"/>
        <family val="2"/>
      </rPr>
      <t xml:space="preserve">                       </t>
    </r>
    <phoneticPr fontId="56" type="noConversion"/>
  </si>
  <si>
    <r>
      <rPr>
        <sz val="12"/>
        <color indexed="8"/>
        <rFont val="新細明體"/>
        <family val="1"/>
        <charset val="136"/>
      </rPr>
      <t>其他流動資產</t>
    </r>
    <r>
      <rPr>
        <sz val="12"/>
        <color indexed="8"/>
        <rFont val="Arial"/>
        <family val="2"/>
      </rPr>
      <t xml:space="preserve">                          </t>
    </r>
    <phoneticPr fontId="56" type="noConversion"/>
  </si>
  <si>
    <r>
      <rPr>
        <sz val="12"/>
        <color indexed="8"/>
        <rFont val="新細明體"/>
        <family val="1"/>
        <charset val="136"/>
      </rPr>
      <t>其他負債</t>
    </r>
    <r>
      <rPr>
        <sz val="12"/>
        <color indexed="8"/>
        <rFont val="Arial"/>
        <family val="2"/>
      </rPr>
      <t>:</t>
    </r>
    <phoneticPr fontId="56" type="noConversion"/>
  </si>
  <si>
    <r>
      <rPr>
        <sz val="12"/>
        <color indexed="8"/>
        <rFont val="新細明體"/>
        <family val="1"/>
        <charset val="136"/>
      </rPr>
      <t>應計退休金負債</t>
    </r>
    <phoneticPr fontId="56" type="noConversion"/>
  </si>
  <si>
    <r>
      <rPr>
        <sz val="12"/>
        <color indexed="8"/>
        <rFont val="新細明體"/>
        <family val="1"/>
        <charset val="136"/>
      </rPr>
      <t>遞延貨項</t>
    </r>
    <r>
      <rPr>
        <sz val="12"/>
        <color indexed="8"/>
        <rFont val="Arial"/>
        <family val="2"/>
      </rPr>
      <t>-</t>
    </r>
    <r>
      <rPr>
        <sz val="12"/>
        <color indexed="8"/>
        <rFont val="新細明體"/>
        <family val="1"/>
        <charset val="136"/>
      </rPr>
      <t>聯屬公司間利益</t>
    </r>
    <phoneticPr fontId="56" type="noConversion"/>
  </si>
  <si>
    <r>
      <rPr>
        <sz val="12"/>
        <color indexed="8"/>
        <rFont val="新細明體"/>
        <family val="1"/>
        <charset val="136"/>
      </rPr>
      <t>其他負債合計</t>
    </r>
    <r>
      <rPr>
        <sz val="12"/>
        <color indexed="8"/>
        <rFont val="Arial"/>
        <family val="2"/>
      </rPr>
      <t xml:space="preserve">:                 </t>
    </r>
    <phoneticPr fontId="56" type="noConversion"/>
  </si>
  <si>
    <r>
      <rPr>
        <sz val="12"/>
        <color indexed="8"/>
        <rFont val="新細明體"/>
        <family val="1"/>
        <charset val="136"/>
      </rPr>
      <t>長期負債</t>
    </r>
    <phoneticPr fontId="56" type="noConversion"/>
  </si>
  <si>
    <r>
      <rPr>
        <sz val="12"/>
        <color indexed="8"/>
        <rFont val="新細明體"/>
        <family val="1"/>
        <charset val="136"/>
      </rPr>
      <t>機器設備</t>
    </r>
    <r>
      <rPr>
        <sz val="12"/>
        <color indexed="8"/>
        <rFont val="Arial"/>
        <family val="2"/>
      </rPr>
      <t xml:space="preserve">                              </t>
    </r>
    <phoneticPr fontId="56" type="noConversion"/>
  </si>
  <si>
    <r>
      <rPr>
        <sz val="12"/>
        <color indexed="8"/>
        <rFont val="新細明體"/>
        <family val="1"/>
        <charset val="136"/>
      </rPr>
      <t>其他設備</t>
    </r>
    <r>
      <rPr>
        <sz val="12"/>
        <color indexed="8"/>
        <rFont val="Arial"/>
        <family val="2"/>
      </rPr>
      <t xml:space="preserve">                              </t>
    </r>
    <phoneticPr fontId="56" type="noConversion"/>
  </si>
  <si>
    <r>
      <rPr>
        <sz val="12"/>
        <color indexed="8"/>
        <rFont val="新細明體"/>
        <family val="1"/>
        <charset val="136"/>
      </rPr>
      <t>預收股本</t>
    </r>
    <phoneticPr fontId="56" type="noConversion"/>
  </si>
  <si>
    <r>
      <rPr>
        <sz val="12"/>
        <color indexed="8"/>
        <rFont val="新細明體"/>
        <family val="1"/>
        <charset val="136"/>
      </rPr>
      <t>租賃改良物</t>
    </r>
    <phoneticPr fontId="56" type="noConversion"/>
  </si>
  <si>
    <r>
      <rPr>
        <sz val="12"/>
        <color indexed="8"/>
        <rFont val="新細明體"/>
        <family val="1"/>
        <charset val="136"/>
      </rPr>
      <t>資本公積</t>
    </r>
    <r>
      <rPr>
        <sz val="12"/>
        <color indexed="8"/>
        <rFont val="Arial"/>
        <family val="2"/>
      </rPr>
      <t>:</t>
    </r>
    <phoneticPr fontId="56" type="noConversion"/>
  </si>
  <si>
    <r>
      <rPr>
        <sz val="12"/>
        <color indexed="8"/>
        <rFont val="新細明體"/>
        <family val="1"/>
        <charset val="136"/>
      </rPr>
      <t>資本公積</t>
    </r>
    <r>
      <rPr>
        <sz val="12"/>
        <color indexed="8"/>
        <rFont val="Arial"/>
        <family val="2"/>
      </rPr>
      <t>-</t>
    </r>
    <r>
      <rPr>
        <sz val="12"/>
        <color indexed="8"/>
        <rFont val="新細明體"/>
        <family val="1"/>
        <charset val="136"/>
      </rPr>
      <t>發行溢價</t>
    </r>
    <phoneticPr fontId="56" type="noConversion"/>
  </si>
  <si>
    <r>
      <rPr>
        <sz val="12"/>
        <rFont val="新細明體"/>
        <family val="1"/>
        <charset val="136"/>
      </rPr>
      <t>預付設備款</t>
    </r>
    <r>
      <rPr>
        <sz val="12"/>
        <rFont val="Arial"/>
        <family val="2"/>
      </rPr>
      <t xml:space="preserve">                </t>
    </r>
    <phoneticPr fontId="54" type="noConversion"/>
  </si>
  <si>
    <r>
      <rPr>
        <sz val="12"/>
        <color indexed="8"/>
        <rFont val="新細明體"/>
        <family val="1"/>
        <charset val="136"/>
      </rPr>
      <t>累積盈虧</t>
    </r>
    <phoneticPr fontId="56" type="noConversion"/>
  </si>
  <si>
    <r>
      <rPr>
        <sz val="12"/>
        <color indexed="8"/>
        <rFont val="新細明體"/>
        <family val="1"/>
        <charset val="136"/>
      </rPr>
      <t>本期損益</t>
    </r>
    <phoneticPr fontId="54" type="noConversion"/>
  </si>
  <si>
    <r>
      <rPr>
        <sz val="12"/>
        <color indexed="8"/>
        <rFont val="新細明體"/>
        <family val="1"/>
        <charset val="136"/>
      </rPr>
      <t>存出保證金</t>
    </r>
    <phoneticPr fontId="56" type="noConversion"/>
  </si>
  <si>
    <r>
      <rPr>
        <sz val="12"/>
        <color indexed="8"/>
        <rFont val="新細明體"/>
        <family val="1"/>
        <charset val="136"/>
      </rPr>
      <t>前期損益調整</t>
    </r>
    <phoneticPr fontId="54" type="noConversion"/>
  </si>
  <si>
    <r>
      <rPr>
        <sz val="12"/>
        <color indexed="8"/>
        <rFont val="新細明體"/>
        <family val="1"/>
        <charset val="136"/>
      </rPr>
      <t>遞延費用</t>
    </r>
    <phoneticPr fontId="56" type="noConversion"/>
  </si>
  <si>
    <r>
      <rPr>
        <sz val="12"/>
        <color indexed="8"/>
        <rFont val="新細明體"/>
        <family val="1"/>
        <charset val="136"/>
      </rPr>
      <t>累積換算調整數</t>
    </r>
    <phoneticPr fontId="56" type="noConversion"/>
  </si>
  <si>
    <r>
      <rPr>
        <sz val="12"/>
        <rFont val="新細明體"/>
        <family val="1"/>
        <charset val="136"/>
      </rPr>
      <t>遞延所得稅資產─非流動</t>
    </r>
    <phoneticPr fontId="56" type="noConversion"/>
  </si>
  <si>
    <t xml:space="preserve">                   </t>
    <phoneticPr fontId="56" type="noConversion"/>
  </si>
  <si>
    <r>
      <rPr>
        <sz val="12"/>
        <color indexed="8"/>
        <rFont val="細明體"/>
        <family val="3"/>
        <charset val="136"/>
      </rPr>
      <t>每股淨值</t>
    </r>
    <phoneticPr fontId="56" type="noConversion"/>
  </si>
  <si>
    <t>&lt;back to Summary&gt;</t>
    <phoneticPr fontId="56" type="noConversion"/>
  </si>
  <si>
    <t>%</t>
    <phoneticPr fontId="56" type="noConversion"/>
  </si>
  <si>
    <r>
      <rPr>
        <sz val="12"/>
        <color indexed="8"/>
        <rFont val="新細明體"/>
        <family val="1"/>
        <charset val="136"/>
      </rPr>
      <t>人數</t>
    </r>
    <phoneticPr fontId="56" type="noConversion"/>
  </si>
  <si>
    <t>detail of exp</t>
    <phoneticPr fontId="56" type="noConversion"/>
  </si>
  <si>
    <r>
      <t xml:space="preserve">4000000 </t>
    </r>
    <r>
      <rPr>
        <b/>
        <sz val="11"/>
        <rFont val="新細明體"/>
        <family val="1"/>
        <charset val="136"/>
      </rPr>
      <t>營業收入</t>
    </r>
    <phoneticPr fontId="56" type="noConversion"/>
  </si>
  <si>
    <r>
      <t xml:space="preserve">4112000 </t>
    </r>
    <r>
      <rPr>
        <sz val="12"/>
        <rFont val="新細明體"/>
        <family val="1"/>
        <charset val="136"/>
      </rPr>
      <t>銷貨收入</t>
    </r>
    <r>
      <rPr>
        <sz val="12"/>
        <rFont val="Calibri"/>
        <family val="2"/>
      </rPr>
      <t>-</t>
    </r>
    <r>
      <rPr>
        <sz val="12"/>
        <rFont val="新細明體"/>
        <family val="1"/>
        <charset val="136"/>
      </rPr>
      <t>國外</t>
    </r>
    <phoneticPr fontId="56" type="noConversion"/>
  </si>
  <si>
    <r>
      <t xml:space="preserve">4170000 </t>
    </r>
    <r>
      <rPr>
        <sz val="12"/>
        <rFont val="新細明體"/>
        <family val="1"/>
        <charset val="136"/>
      </rPr>
      <t>銷貨退回</t>
    </r>
    <phoneticPr fontId="56" type="noConversion"/>
  </si>
  <si>
    <r>
      <t xml:space="preserve">4190000 </t>
    </r>
    <r>
      <rPr>
        <sz val="12"/>
        <rFont val="新細明體"/>
        <family val="1"/>
        <charset val="136"/>
      </rPr>
      <t>銷貨折讓</t>
    </r>
    <phoneticPr fontId="56" type="noConversion"/>
  </si>
  <si>
    <r>
      <t xml:space="preserve">4611000 </t>
    </r>
    <r>
      <rPr>
        <sz val="12"/>
        <rFont val="新細明體"/>
        <family val="1"/>
        <charset val="136"/>
      </rPr>
      <t>維修收入</t>
    </r>
    <phoneticPr fontId="56" type="noConversion"/>
  </si>
  <si>
    <r>
      <t xml:space="preserve">4619000 </t>
    </r>
    <r>
      <rPr>
        <sz val="12"/>
        <rFont val="新細明體"/>
        <family val="1"/>
        <charset val="136"/>
      </rPr>
      <t>維修收入折讓</t>
    </r>
    <phoneticPr fontId="56" type="noConversion"/>
  </si>
  <si>
    <r>
      <t xml:space="preserve">5110000 </t>
    </r>
    <r>
      <rPr>
        <sz val="12"/>
        <rFont val="新細明體"/>
        <family val="1"/>
        <charset val="136"/>
      </rPr>
      <t>進銷成本</t>
    </r>
    <phoneticPr fontId="56" type="noConversion"/>
  </si>
  <si>
    <r>
      <t xml:space="preserve">5122000 </t>
    </r>
    <r>
      <rPr>
        <sz val="12"/>
        <rFont val="新細明體"/>
        <family val="1"/>
        <charset val="136"/>
      </rPr>
      <t>直接人工</t>
    </r>
    <phoneticPr fontId="56" type="noConversion"/>
  </si>
  <si>
    <r>
      <rPr>
        <b/>
        <sz val="12"/>
        <color indexed="8"/>
        <rFont val="新細明體"/>
        <family val="1"/>
        <charset val="136"/>
      </rPr>
      <t>多月份損益表</t>
    </r>
    <phoneticPr fontId="56" type="noConversion"/>
  </si>
  <si>
    <r>
      <rPr>
        <sz val="12"/>
        <rFont val="新細明體"/>
        <family val="1"/>
        <charset val="136"/>
      </rPr>
      <t>營業收入合計</t>
    </r>
    <phoneticPr fontId="56" type="noConversion"/>
  </si>
  <si>
    <r>
      <rPr>
        <sz val="12"/>
        <rFont val="新細明體"/>
        <family val="1"/>
        <charset val="136"/>
      </rPr>
      <t>營業成本合計</t>
    </r>
    <r>
      <rPr>
        <sz val="12"/>
        <rFont val="Arial"/>
        <family val="2"/>
      </rPr>
      <t>(</t>
    </r>
    <r>
      <rPr>
        <sz val="12"/>
        <rFont val="新細明體"/>
        <family val="1"/>
        <charset val="136"/>
      </rPr>
      <t>不含存貨跌價損失</t>
    </r>
    <r>
      <rPr>
        <sz val="12"/>
        <rFont val="Arial"/>
        <family val="2"/>
      </rPr>
      <t>/</t>
    </r>
    <r>
      <rPr>
        <sz val="12"/>
        <rFont val="新細明體"/>
        <family val="1"/>
        <charset val="136"/>
      </rPr>
      <t>回升利益</t>
    </r>
    <r>
      <rPr>
        <sz val="12"/>
        <rFont val="Arial"/>
        <family val="2"/>
      </rPr>
      <t>)</t>
    </r>
    <phoneticPr fontId="56" type="noConversion"/>
  </si>
  <si>
    <t>cost structure</t>
    <phoneticPr fontId="56" type="noConversion"/>
  </si>
  <si>
    <r>
      <rPr>
        <sz val="12"/>
        <rFont val="新細明體"/>
        <family val="1"/>
        <charset val="136"/>
      </rPr>
      <t>推銷費用合計</t>
    </r>
    <phoneticPr fontId="56" type="noConversion"/>
  </si>
  <si>
    <r>
      <rPr>
        <sz val="12"/>
        <rFont val="新細明體"/>
        <family val="1"/>
        <charset val="136"/>
      </rPr>
      <t>管理及總務費用合計</t>
    </r>
    <phoneticPr fontId="56" type="noConversion"/>
  </si>
  <si>
    <r>
      <rPr>
        <sz val="12"/>
        <rFont val="新細明體"/>
        <family val="1"/>
        <charset val="136"/>
      </rPr>
      <t>研究發展費用合計</t>
    </r>
    <phoneticPr fontId="56" type="noConversion"/>
  </si>
  <si>
    <r>
      <rPr>
        <sz val="12"/>
        <rFont val="新細明體"/>
        <family val="1"/>
        <charset val="136"/>
      </rPr>
      <t>營業費用合計</t>
    </r>
    <phoneticPr fontId="56" type="noConversion"/>
  </si>
  <si>
    <r>
      <rPr>
        <sz val="12"/>
        <rFont val="新細明體"/>
        <family val="1"/>
        <charset val="136"/>
      </rPr>
      <t>營業外收入及費用</t>
    </r>
    <phoneticPr fontId="56" type="noConversion"/>
  </si>
  <si>
    <r>
      <rPr>
        <sz val="12"/>
        <rFont val="新細明體"/>
        <family val="1"/>
        <charset val="136"/>
      </rPr>
      <t>營業外收入及利益合計</t>
    </r>
    <phoneticPr fontId="56" type="noConversion"/>
  </si>
  <si>
    <r>
      <rPr>
        <sz val="12"/>
        <rFont val="新細明體"/>
        <family val="1"/>
        <charset val="136"/>
      </rPr>
      <t>營業外費用及損失合計</t>
    </r>
    <r>
      <rPr>
        <sz val="12"/>
        <rFont val="Arial"/>
        <family val="2"/>
      </rPr>
      <t>(</t>
    </r>
    <r>
      <rPr>
        <sz val="12"/>
        <rFont val="新細明體"/>
        <family val="1"/>
        <charset val="136"/>
      </rPr>
      <t>包含存貨跌價損失</t>
    </r>
    <r>
      <rPr>
        <sz val="12"/>
        <rFont val="Arial"/>
        <family val="2"/>
      </rPr>
      <t>/</t>
    </r>
    <r>
      <rPr>
        <sz val="12"/>
        <rFont val="新細明體"/>
        <family val="1"/>
        <charset val="136"/>
      </rPr>
      <t>回升利益</t>
    </r>
    <r>
      <rPr>
        <sz val="12"/>
        <rFont val="Arial"/>
        <family val="2"/>
      </rPr>
      <t>)</t>
    </r>
    <phoneticPr fontId="56" type="noConversion"/>
  </si>
  <si>
    <r>
      <rPr>
        <sz val="12"/>
        <rFont val="新細明體"/>
        <family val="1"/>
        <charset val="136"/>
      </rPr>
      <t>▲</t>
    </r>
    <r>
      <rPr>
        <sz val="12"/>
        <rFont val="Arial"/>
        <family val="2"/>
      </rPr>
      <t xml:space="preserve"> </t>
    </r>
    <r>
      <rPr>
        <sz val="12"/>
        <rFont val="新細明體"/>
        <family val="1"/>
        <charset val="136"/>
      </rPr>
      <t>營業外收入</t>
    </r>
    <r>
      <rPr>
        <sz val="12"/>
        <rFont val="Arial"/>
        <family val="2"/>
      </rPr>
      <t>(</t>
    </r>
    <r>
      <rPr>
        <sz val="12"/>
        <rFont val="新細明體"/>
        <family val="1"/>
        <charset val="136"/>
      </rPr>
      <t>費用</t>
    </r>
    <r>
      <rPr>
        <sz val="12"/>
        <rFont val="Arial"/>
        <family val="2"/>
      </rPr>
      <t>)</t>
    </r>
    <r>
      <rPr>
        <sz val="12"/>
        <rFont val="新細明體"/>
        <family val="1"/>
        <charset val="136"/>
      </rPr>
      <t>合計</t>
    </r>
    <phoneticPr fontId="56" type="noConversion"/>
  </si>
  <si>
    <r>
      <rPr>
        <sz val="12"/>
        <rFont val="新細明體"/>
        <family val="1"/>
        <charset val="136"/>
      </rPr>
      <t>所得稅費用</t>
    </r>
    <r>
      <rPr>
        <sz val="12"/>
        <rFont val="Arial"/>
        <family val="2"/>
      </rPr>
      <t>(</t>
    </r>
    <r>
      <rPr>
        <sz val="12"/>
        <rFont val="新細明體"/>
        <family val="1"/>
        <charset val="136"/>
      </rPr>
      <t>利益</t>
    </r>
    <r>
      <rPr>
        <sz val="12"/>
        <rFont val="Arial"/>
        <family val="2"/>
      </rPr>
      <t>)</t>
    </r>
    <phoneticPr fontId="56" type="noConversion"/>
  </si>
  <si>
    <r>
      <rPr>
        <sz val="12"/>
        <rFont val="新細明體"/>
        <family val="1"/>
        <charset val="136"/>
      </rPr>
      <t>所得稅費用</t>
    </r>
    <r>
      <rPr>
        <sz val="12"/>
        <rFont val="Arial"/>
        <family val="2"/>
      </rPr>
      <t>(</t>
    </r>
    <r>
      <rPr>
        <sz val="12"/>
        <rFont val="新細明體"/>
        <family val="1"/>
        <charset val="136"/>
      </rPr>
      <t>利益</t>
    </r>
    <r>
      <rPr>
        <sz val="12"/>
        <rFont val="Arial"/>
        <family val="2"/>
      </rPr>
      <t>)</t>
    </r>
    <r>
      <rPr>
        <sz val="12"/>
        <rFont val="新細明體"/>
        <family val="1"/>
        <charset val="136"/>
      </rPr>
      <t>合計</t>
    </r>
    <phoneticPr fontId="56" type="noConversion"/>
  </si>
  <si>
    <t>*</t>
    <phoneticPr fontId="56" type="noConversion"/>
  </si>
  <si>
    <r>
      <rPr>
        <sz val="12"/>
        <rFont val="新細明體"/>
        <family val="1"/>
        <charset val="136"/>
      </rPr>
      <t>存貨跌價損失成本</t>
    </r>
    <r>
      <rPr>
        <sz val="12"/>
        <rFont val="Arial"/>
        <family val="2"/>
      </rPr>
      <t>(</t>
    </r>
    <r>
      <rPr>
        <sz val="12"/>
        <rFont val="新細明體"/>
        <family val="1"/>
        <charset val="136"/>
      </rPr>
      <t>迴轉利益</t>
    </r>
    <r>
      <rPr>
        <sz val="12"/>
        <rFont val="Arial"/>
        <family val="2"/>
      </rPr>
      <t>)</t>
    </r>
    <phoneticPr fontId="56" type="noConversion"/>
  </si>
  <si>
    <t>多月份損益表</t>
    <phoneticPr fontId="56" type="noConversion"/>
  </si>
  <si>
    <t>平均</t>
    <phoneticPr fontId="56" type="noConversion"/>
  </si>
  <si>
    <t>人數</t>
    <phoneticPr fontId="56" type="noConversion"/>
  </si>
  <si>
    <t>原料成本</t>
    <phoneticPr fontId="56" type="noConversion"/>
  </si>
  <si>
    <t>加工成本</t>
    <phoneticPr fontId="56" type="noConversion"/>
  </si>
  <si>
    <t>製造費用</t>
    <phoneticPr fontId="56" type="noConversion"/>
  </si>
  <si>
    <t>其他</t>
    <phoneticPr fontId="56" type="noConversion"/>
  </si>
  <si>
    <t>小計</t>
    <phoneticPr fontId="56" type="noConversion"/>
  </si>
  <si>
    <t>賀毅科技股份有限公司</t>
    <phoneticPr fontId="54" type="noConversion"/>
  </si>
  <si>
    <t>現金流量表</t>
    <phoneticPr fontId="54" type="noConversion"/>
  </si>
  <si>
    <t>Jan.</t>
    <phoneticPr fontId="54" type="noConversion"/>
  </si>
  <si>
    <t>毛利金額前十大</t>
    <phoneticPr fontId="54" type="noConversion"/>
  </si>
  <si>
    <t>毛利金額後十大</t>
    <phoneticPr fontId="54" type="noConversion"/>
  </si>
  <si>
    <t>back to summary</t>
    <phoneticPr fontId="54" type="noConversion"/>
  </si>
  <si>
    <r>
      <t>截至1月</t>
    </r>
    <r>
      <rPr>
        <sz val="10"/>
        <color indexed="8"/>
        <rFont val="細明體"/>
        <family val="3"/>
        <charset val="136"/>
      </rPr>
      <t/>
    </r>
    <phoneticPr fontId="56" type="noConversion"/>
  </si>
  <si>
    <t>截至8月</t>
    <phoneticPr fontId="56" type="noConversion"/>
  </si>
  <si>
    <t>截至9月</t>
    <phoneticPr fontId="56" type="noConversion"/>
  </si>
  <si>
    <t>截至10月</t>
    <phoneticPr fontId="56" type="noConversion"/>
  </si>
  <si>
    <t>截至11月</t>
    <phoneticPr fontId="56" type="noConversion"/>
  </si>
  <si>
    <t>截至1月</t>
    <phoneticPr fontId="56" type="noConversion"/>
  </si>
  <si>
    <t>截至5月</t>
    <phoneticPr fontId="56" type="noConversion"/>
  </si>
  <si>
    <t>截至12月</t>
    <phoneticPr fontId="56" type="noConversion"/>
  </si>
  <si>
    <t>應收帳款週轉率</t>
    <phoneticPr fontId="54" type="noConversion"/>
  </si>
  <si>
    <t>應收帳款週轉天數</t>
    <phoneticPr fontId="54" type="noConversion"/>
  </si>
  <si>
    <t>存貨週轉率</t>
    <phoneticPr fontId="54" type="noConversion"/>
  </si>
  <si>
    <t>存貨週轉天數</t>
    <phoneticPr fontId="54" type="noConversion"/>
  </si>
  <si>
    <t>應付帳款週轉率</t>
    <phoneticPr fontId="54" type="noConversion"/>
  </si>
  <si>
    <t>應付帳款週轉天數</t>
    <phoneticPr fontId="54" type="noConversion"/>
  </si>
  <si>
    <t>數值列</t>
    <phoneticPr fontId="56" type="noConversion"/>
  </si>
  <si>
    <t>重要比率分析</t>
    <phoneticPr fontId="54" type="noConversion"/>
  </si>
  <si>
    <t>100年臷至1月</t>
    <phoneticPr fontId="56" type="noConversion"/>
  </si>
  <si>
    <t>100年臷至5月</t>
    <phoneticPr fontId="56" type="noConversion"/>
  </si>
  <si>
    <t>100年臷至6月</t>
    <phoneticPr fontId="56" type="noConversion"/>
  </si>
  <si>
    <t>100年臷至7月</t>
    <phoneticPr fontId="56" type="noConversion"/>
  </si>
  <si>
    <t>101年臷至1月</t>
    <phoneticPr fontId="56" type="noConversion"/>
  </si>
  <si>
    <r>
      <t>102年臷至1月</t>
    </r>
    <r>
      <rPr>
        <sz val="10"/>
        <color indexed="8"/>
        <rFont val="細明體"/>
        <family val="3"/>
        <charset val="136"/>
      </rPr>
      <t/>
    </r>
    <phoneticPr fontId="56" type="noConversion"/>
  </si>
  <si>
    <r>
      <t>102年臷至3月</t>
    </r>
    <r>
      <rPr>
        <sz val="10"/>
        <color indexed="8"/>
        <rFont val="細明體"/>
        <family val="3"/>
        <charset val="136"/>
      </rPr>
      <t/>
    </r>
    <phoneticPr fontId="56" type="noConversion"/>
  </si>
  <si>
    <r>
      <t>102年臷至5月</t>
    </r>
    <r>
      <rPr>
        <sz val="10"/>
        <color indexed="8"/>
        <rFont val="細明體"/>
        <family val="3"/>
        <charset val="136"/>
      </rPr>
      <t/>
    </r>
    <phoneticPr fontId="56" type="noConversion"/>
  </si>
  <si>
    <r>
      <t>102年臷至8月</t>
    </r>
    <r>
      <rPr>
        <sz val="10"/>
        <color indexed="8"/>
        <rFont val="細明體"/>
        <family val="3"/>
        <charset val="136"/>
      </rPr>
      <t/>
    </r>
    <phoneticPr fontId="56" type="noConversion"/>
  </si>
  <si>
    <r>
      <t>102年臷至9月</t>
    </r>
    <r>
      <rPr>
        <sz val="10"/>
        <color indexed="8"/>
        <rFont val="細明體"/>
        <family val="3"/>
        <charset val="136"/>
      </rPr>
      <t/>
    </r>
    <phoneticPr fontId="56" type="noConversion"/>
  </si>
  <si>
    <r>
      <t>102年臷至10月</t>
    </r>
    <r>
      <rPr>
        <sz val="10"/>
        <color indexed="8"/>
        <rFont val="細明體"/>
        <family val="3"/>
        <charset val="136"/>
      </rPr>
      <t/>
    </r>
    <phoneticPr fontId="56" type="noConversion"/>
  </si>
  <si>
    <r>
      <t>102年臷至11月</t>
    </r>
    <r>
      <rPr>
        <sz val="10"/>
        <color indexed="8"/>
        <rFont val="細明體"/>
        <family val="3"/>
        <charset val="136"/>
      </rPr>
      <t/>
    </r>
    <phoneticPr fontId="56" type="noConversion"/>
  </si>
  <si>
    <r>
      <t>103年臷至1月</t>
    </r>
    <r>
      <rPr>
        <sz val="10"/>
        <color indexed="8"/>
        <rFont val="細明體"/>
        <family val="3"/>
        <charset val="136"/>
      </rPr>
      <t/>
    </r>
    <phoneticPr fontId="56" type="noConversion"/>
  </si>
  <si>
    <r>
      <t>103年臷至3月</t>
    </r>
    <r>
      <rPr>
        <sz val="10"/>
        <color indexed="8"/>
        <rFont val="細明體"/>
        <family val="3"/>
        <charset val="136"/>
      </rPr>
      <t/>
    </r>
    <phoneticPr fontId="56" type="noConversion"/>
  </si>
  <si>
    <r>
      <t>103年臷至4月</t>
    </r>
    <r>
      <rPr>
        <sz val="10"/>
        <color indexed="8"/>
        <rFont val="細明體"/>
        <family val="3"/>
        <charset val="136"/>
      </rPr>
      <t/>
    </r>
    <phoneticPr fontId="56" type="noConversion"/>
  </si>
  <si>
    <r>
      <t>103年臷至5月</t>
    </r>
    <r>
      <rPr>
        <sz val="10"/>
        <color indexed="8"/>
        <rFont val="細明體"/>
        <family val="3"/>
        <charset val="136"/>
      </rPr>
      <t/>
    </r>
    <phoneticPr fontId="56" type="noConversion"/>
  </si>
  <si>
    <t>103年臷至7月</t>
    <phoneticPr fontId="56" type="noConversion"/>
  </si>
  <si>
    <t>103年臷至8月</t>
    <phoneticPr fontId="56" type="noConversion"/>
  </si>
  <si>
    <t>103年臷至9月</t>
    <phoneticPr fontId="56" type="noConversion"/>
  </si>
  <si>
    <t>103年臷至10月</t>
    <phoneticPr fontId="56" type="noConversion"/>
  </si>
  <si>
    <t>103年臷至11月</t>
    <phoneticPr fontId="56" type="noConversion"/>
  </si>
  <si>
    <t>103年臷至12月</t>
    <phoneticPr fontId="56" type="noConversion"/>
  </si>
  <si>
    <t>104年臷至1月</t>
    <phoneticPr fontId="56" type="noConversion"/>
  </si>
  <si>
    <t>104年臷至2月</t>
    <phoneticPr fontId="56" type="noConversion"/>
  </si>
  <si>
    <t>104年臷至3月</t>
    <phoneticPr fontId="56" type="noConversion"/>
  </si>
  <si>
    <t>104年臷至5月</t>
    <phoneticPr fontId="56" type="noConversion"/>
  </si>
  <si>
    <t>104年臷至6月</t>
    <phoneticPr fontId="56" type="noConversion"/>
  </si>
  <si>
    <t>104年臷至7月</t>
    <phoneticPr fontId="56" type="noConversion"/>
  </si>
  <si>
    <t>104年臷至8月</t>
    <phoneticPr fontId="56" type="noConversion"/>
  </si>
  <si>
    <t>104年臷至9月</t>
    <phoneticPr fontId="56" type="noConversion"/>
  </si>
  <si>
    <t>104年臷至10月</t>
    <phoneticPr fontId="56" type="noConversion"/>
  </si>
  <si>
    <t>104年臷至11月</t>
    <phoneticPr fontId="56" type="noConversion"/>
  </si>
  <si>
    <t>104年臷至12月</t>
    <phoneticPr fontId="56" type="noConversion"/>
  </si>
  <si>
    <t>SALES</t>
    <phoneticPr fontId="54" type="noConversion"/>
  </si>
  <si>
    <t>COGS</t>
    <phoneticPr fontId="54" type="noConversion"/>
  </si>
  <si>
    <t>G/P</t>
    <phoneticPr fontId="54" type="noConversion"/>
  </si>
  <si>
    <t>EXPENSE</t>
    <phoneticPr fontId="54" type="noConversion"/>
  </si>
  <si>
    <t>OPERATING INCOME</t>
    <phoneticPr fontId="54" type="noConversion"/>
  </si>
  <si>
    <t>OTHER INCOME(LOSS)</t>
    <phoneticPr fontId="54" type="noConversion"/>
  </si>
  <si>
    <t>NET INCOME(Before Tax)</t>
    <phoneticPr fontId="54" type="noConversion"/>
  </si>
  <si>
    <t>ACCOUNTS RECEIVABLE(總額)</t>
    <phoneticPr fontId="54" type="noConversion"/>
  </si>
  <si>
    <t>NOTES RECEIVABLE</t>
    <phoneticPr fontId="54" type="noConversion"/>
  </si>
  <si>
    <t>INVENTORY(總額)</t>
    <phoneticPr fontId="54" type="noConversion"/>
  </si>
  <si>
    <t>PREPAID (預付款項)</t>
    <phoneticPr fontId="54" type="noConversion"/>
  </si>
  <si>
    <t>ACCOUNTS PAYABLE(含暫估)</t>
    <phoneticPr fontId="54" type="noConversion"/>
  </si>
  <si>
    <t>NOTES PAYABLE</t>
    <phoneticPr fontId="54" type="noConversion"/>
  </si>
  <si>
    <t>PURCHASE</t>
    <phoneticPr fontId="54" type="noConversion"/>
  </si>
  <si>
    <t>CURRENT ASSETS</t>
    <phoneticPr fontId="54" type="noConversion"/>
  </si>
  <si>
    <t>CURRENT LIABILITY</t>
    <phoneticPr fontId="54" type="noConversion"/>
  </si>
  <si>
    <t>ASSETS</t>
    <phoneticPr fontId="54" type="noConversion"/>
  </si>
  <si>
    <t>LIABILITY</t>
    <phoneticPr fontId="54" type="noConversion"/>
  </si>
  <si>
    <t>CAPITAL</t>
    <phoneticPr fontId="54" type="noConversion"/>
  </si>
  <si>
    <t>平均毛利率</t>
    <phoneticPr fontId="54" type="noConversion"/>
  </si>
  <si>
    <t>費用比率</t>
    <phoneticPr fontId="54" type="noConversion"/>
  </si>
  <si>
    <t>流動比率</t>
    <phoneticPr fontId="54" type="noConversion"/>
  </si>
  <si>
    <t>速動比率</t>
    <phoneticPr fontId="54" type="noConversion"/>
  </si>
  <si>
    <t>負債比率</t>
    <phoneticPr fontId="54" type="noConversion"/>
  </si>
  <si>
    <t>自有資金週轉率</t>
    <phoneticPr fontId="54" type="noConversion"/>
  </si>
  <si>
    <t>現金轉換循環</t>
    <phoneticPr fontId="56" type="noConversion"/>
  </si>
  <si>
    <t>VLOOKUP</t>
    <phoneticPr fontId="56" type="noConversion"/>
  </si>
  <si>
    <t>CHECK</t>
    <phoneticPr fontId="56" type="noConversion"/>
  </si>
  <si>
    <t>5122300</t>
    <phoneticPr fontId="56" type="noConversion"/>
  </si>
  <si>
    <t>5122500</t>
    <phoneticPr fontId="56" type="noConversion"/>
  </si>
  <si>
    <t>5123500</t>
    <phoneticPr fontId="56" type="noConversion"/>
  </si>
  <si>
    <r>
      <t>1月</t>
    </r>
    <r>
      <rPr>
        <sz val="12"/>
        <rFont val="新細明體"/>
        <family val="1"/>
        <charset val="136"/>
      </rPr>
      <t/>
    </r>
  </si>
  <si>
    <r>
      <t>2月</t>
    </r>
    <r>
      <rPr>
        <sz val="12"/>
        <rFont val="新細明體"/>
        <family val="1"/>
        <charset val="136"/>
      </rPr>
      <t/>
    </r>
  </si>
  <si>
    <r>
      <t>3月</t>
    </r>
    <r>
      <rPr>
        <sz val="12"/>
        <rFont val="新細明體"/>
        <family val="1"/>
        <charset val="136"/>
      </rPr>
      <t/>
    </r>
  </si>
  <si>
    <r>
      <t>4月</t>
    </r>
    <r>
      <rPr>
        <sz val="12"/>
        <rFont val="新細明體"/>
        <family val="1"/>
        <charset val="136"/>
      </rPr>
      <t/>
    </r>
  </si>
  <si>
    <r>
      <t>5月</t>
    </r>
    <r>
      <rPr>
        <sz val="12"/>
        <rFont val="新細明體"/>
        <family val="1"/>
        <charset val="136"/>
      </rPr>
      <t/>
    </r>
  </si>
  <si>
    <t>益欣資訊股份有限公司</t>
  </si>
  <si>
    <t>GP</t>
    <phoneticPr fontId="54" type="noConversion"/>
  </si>
  <si>
    <t>2NDISPLAY</t>
  </si>
  <si>
    <t>YUNO151-TOUCHSCREEN</t>
  </si>
  <si>
    <t>HINGE KIT:FOR 15" 2ND DISPLAY,BLACK,KITTFT-F20-TM-B-QM-R</t>
  </si>
  <si>
    <t>Z1300145</t>
  </si>
  <si>
    <t>F75T9012</t>
  </si>
  <si>
    <t>XPOS755-T-5B-1900-01 W/64G SSD,4G RAM,ST-F20-14BS-KR-R</t>
  </si>
  <si>
    <t>ODMAC601</t>
  </si>
  <si>
    <t>YUNO-2NDLCD10.1-GRAY,NO TOUCH,ART-03452</t>
  </si>
  <si>
    <t>客戶編號:</t>
  </si>
  <si>
    <t>應收帳款總額</t>
  </si>
  <si>
    <t>July</t>
  </si>
  <si>
    <t>YUNO-KIOSK-MB</t>
  </si>
  <si>
    <t>2016 vs 2015</t>
  </si>
  <si>
    <t>2016 vs 2015</t>
    <phoneticPr fontId="56" type="noConversion"/>
  </si>
  <si>
    <t>YUNO-KIT-WIFI</t>
  </si>
  <si>
    <t>YUNO-VESA</t>
  </si>
  <si>
    <t>ODMACC10</t>
  </si>
  <si>
    <t>YUNO-BASE156-BLACK-50KH,AUO+eTurbo,EU CORD,ART-03382</t>
  </si>
  <si>
    <t>DYPOS</t>
  </si>
  <si>
    <t>YUNO-2NDLCD10.1</t>
  </si>
  <si>
    <t>10月</t>
  </si>
  <si>
    <t>EET Group A/S</t>
  </si>
  <si>
    <t>XPOS752</t>
  </si>
  <si>
    <t>YUNO-DALLAS</t>
  </si>
  <si>
    <t>YUNO-MB MODULE 1900,ART-03257,4G RAM,128G SSD,W/O PACKING</t>
  </si>
  <si>
    <t>ODMAC229</t>
  </si>
  <si>
    <t>YUNO-MB-I3-5010U,ART-03478,4G RAM,128G SSD,W/O PACKING</t>
  </si>
  <si>
    <t>ODMACE04</t>
  </si>
  <si>
    <t>YUNO-BASE151-WHITE-II,ART-03521,INNOLUX+eTurbo,EU CORD</t>
  </si>
  <si>
    <t>BDKA0008</t>
  </si>
  <si>
    <t>EET Group A/S 合計</t>
  </si>
  <si>
    <t>ODMAC228</t>
  </si>
  <si>
    <t>ODMACE00</t>
  </si>
  <si>
    <t>YUNO-BASE151-BLACK-II,ART-03520,INNOLUX+eTurbo,EU CORD</t>
  </si>
  <si>
    <t>Cost Amount(料).</t>
  </si>
  <si>
    <t>平均值 MVA</t>
  </si>
  <si>
    <t>東科公共水電及電費</t>
  </si>
  <si>
    <t>外出公差油資補助等 / 計程車資</t>
  </si>
  <si>
    <t>研究及發展費用：</t>
    <phoneticPr fontId="56" type="noConversion"/>
  </si>
  <si>
    <t>1-12月</t>
    <phoneticPr fontId="56" type="noConversion"/>
  </si>
  <si>
    <t>平均</t>
    <phoneticPr fontId="56" type="noConversion"/>
  </si>
  <si>
    <t>6310000 薪資支出</t>
  </si>
  <si>
    <t>薪資支出</t>
  </si>
  <si>
    <t>6310100 薪資支出-本薪</t>
  </si>
  <si>
    <t>薪資支出-本薪</t>
  </si>
  <si>
    <t>6310200 薪資支出-加班費</t>
  </si>
  <si>
    <t>薪資支出-加班費</t>
  </si>
  <si>
    <t>6310210 薪資支出-加班費-應稅</t>
  </si>
  <si>
    <t>薪資支出-加班費-應稅</t>
  </si>
  <si>
    <t>6310220 薪資支出-加班費-免稅</t>
  </si>
  <si>
    <t>薪資支出-加班費-免稅</t>
  </si>
  <si>
    <t>6310300 薪資支出-獎金</t>
  </si>
  <si>
    <t>薪資支出-獎金</t>
  </si>
  <si>
    <t>6310400 薪資支出-退休金</t>
  </si>
  <si>
    <t>薪資支出-退休金</t>
  </si>
  <si>
    <t>6310500 薪資支出-資遣費</t>
  </si>
  <si>
    <t>薪資支出-資遣費</t>
  </si>
  <si>
    <t>6311000 租金支出</t>
  </si>
  <si>
    <t>租金支出</t>
  </si>
  <si>
    <t>6312000 文具用品</t>
  </si>
  <si>
    <t>文具用品</t>
  </si>
  <si>
    <t>6313000 旅    費</t>
  </si>
  <si>
    <t>6313000</t>
    <phoneticPr fontId="56" type="noConversion"/>
  </si>
  <si>
    <t>旅費</t>
  </si>
  <si>
    <t>6314000 運    費</t>
  </si>
  <si>
    <t>運費</t>
  </si>
  <si>
    <t>6315000 郵 電 費</t>
  </si>
  <si>
    <t>郵電費</t>
  </si>
  <si>
    <t>6316000 修 繕 費</t>
  </si>
  <si>
    <t>修繕費</t>
  </si>
  <si>
    <t>6318000 水電瓦斯費</t>
  </si>
  <si>
    <t>水電瓦斯費</t>
  </si>
  <si>
    <t>6319000 保 險 費</t>
  </si>
  <si>
    <t>保險費</t>
  </si>
  <si>
    <t>6320000 交 際 費</t>
  </si>
  <si>
    <t>交際費</t>
  </si>
  <si>
    <t>6321000 捐    贈</t>
  </si>
  <si>
    <t>捐贈</t>
  </si>
  <si>
    <t>6322000 稅    捐</t>
  </si>
  <si>
    <t>稅捐</t>
  </si>
  <si>
    <t>6324000 折舊及折耗</t>
  </si>
  <si>
    <t>折舊及折耗</t>
  </si>
  <si>
    <t>6325000 各項攤提</t>
  </si>
  <si>
    <t>各項攤提</t>
  </si>
  <si>
    <t>6327000 伙 食 費</t>
  </si>
  <si>
    <t>伙食費</t>
  </si>
  <si>
    <t>6328000 職工福利</t>
  </si>
  <si>
    <t>職工福利</t>
  </si>
  <si>
    <t>6329000 委託研究費</t>
  </si>
  <si>
    <t>委託研究費</t>
  </si>
  <si>
    <t>6331000 訓 練 費</t>
  </si>
  <si>
    <t>訓練費</t>
  </si>
  <si>
    <t>6333000 保全費</t>
  </si>
  <si>
    <t>保全費</t>
  </si>
  <si>
    <t xml:space="preserve">6334000 交通費_x000D_
</t>
  </si>
  <si>
    <t>交通費</t>
  </si>
  <si>
    <t>6388000 其他費用</t>
  </si>
  <si>
    <t>其他費用</t>
  </si>
  <si>
    <t>6388100 其他費用-什項購置</t>
  </si>
  <si>
    <t>6388200 其他費用-書報雜誌</t>
  </si>
  <si>
    <t>其他費用-書報雜誌</t>
  </si>
  <si>
    <t>6388300 其他費用-勞務費</t>
  </si>
  <si>
    <t>其他費用-勞務費</t>
  </si>
  <si>
    <t>6388400 其他費用-材料領用</t>
  </si>
  <si>
    <t>6388500 其他費用-樣品費</t>
  </si>
  <si>
    <t>6388600 其他費用-模具費</t>
  </si>
  <si>
    <t>其他費用-模具費</t>
  </si>
  <si>
    <t>6388900 其他費用-什費</t>
  </si>
  <si>
    <t>其他費用-什費</t>
  </si>
  <si>
    <t>6210000 薪資支出</t>
  </si>
  <si>
    <t>6210100 薪資支出-本薪</t>
  </si>
  <si>
    <t>6210200 薪資支出-加班費</t>
  </si>
  <si>
    <t>6210210 薪資支出-加班費-應稅</t>
  </si>
  <si>
    <t>6210220 薪資支出-加班費-免稅</t>
  </si>
  <si>
    <t>6210300 薪資支出-獎金</t>
  </si>
  <si>
    <t>6210400 薪資支出-退休金</t>
  </si>
  <si>
    <t>6210500 薪資支出-資遣費</t>
  </si>
  <si>
    <t>6211000 租金支出</t>
  </si>
  <si>
    <t>6212000 文具用品</t>
  </si>
  <si>
    <t>6213000 旅    費</t>
  </si>
  <si>
    <t>6214000 運    費</t>
  </si>
  <si>
    <t>6215000 郵 電 費</t>
  </si>
  <si>
    <t>6216000 修 繕 費</t>
  </si>
  <si>
    <t>6217000 廣 告 費</t>
  </si>
  <si>
    <t>廣告費</t>
  </si>
  <si>
    <t>6218000 水電瓦斯費</t>
  </si>
  <si>
    <t>6219000 保 險 費</t>
  </si>
  <si>
    <t>6220000 交 際 費</t>
  </si>
  <si>
    <t>6221000 捐    贈</t>
  </si>
  <si>
    <t>6222000 稅    捐</t>
  </si>
  <si>
    <t>6223000 呆帳損失</t>
  </si>
  <si>
    <t>呆帳損失</t>
  </si>
  <si>
    <t>6224000 折    舊</t>
  </si>
  <si>
    <t>折舊</t>
  </si>
  <si>
    <t>6225000 各項攤提</t>
  </si>
  <si>
    <t>6227000 伙 食 費</t>
  </si>
  <si>
    <t>6228000 職工福利</t>
  </si>
  <si>
    <t>6229000 研究發展費用</t>
  </si>
  <si>
    <t>研究發展費用</t>
  </si>
  <si>
    <t>6231000 訓 練 費</t>
  </si>
  <si>
    <t>6232000 網路服務費</t>
  </si>
  <si>
    <t>網路服務費</t>
  </si>
  <si>
    <t>6233000 保全費</t>
  </si>
  <si>
    <t xml:space="preserve">6234000 交通費_x000D_
</t>
  </si>
  <si>
    <t>6288000 其他費用</t>
  </si>
  <si>
    <t>6288100 其他費用-什項購置</t>
  </si>
  <si>
    <t>其他費用-什項購置</t>
  </si>
  <si>
    <t>6288200 其他費用-書報雜誌</t>
  </si>
  <si>
    <t>6288300 其他費用-勞務費</t>
  </si>
  <si>
    <t>6288400 其他費用-材料領用</t>
  </si>
  <si>
    <t>其他費用-材料領用</t>
  </si>
  <si>
    <t>6288900 其他費用-什費</t>
  </si>
  <si>
    <t>推銷費用：</t>
  </si>
  <si>
    <t>6110000 薪資支出</t>
  </si>
  <si>
    <t>6110100 薪資支出-本薪</t>
  </si>
  <si>
    <t>6110200 薪資支出-加班費</t>
  </si>
  <si>
    <t>6110210 薪資支出-加班費-應稅</t>
  </si>
  <si>
    <t>6110220 薪資支出-加班費-免稅</t>
  </si>
  <si>
    <t>6110300 薪資支出-獎金</t>
  </si>
  <si>
    <t>6110400 薪資支出-退休金</t>
  </si>
  <si>
    <t>6110500 薪資支出-資遣費</t>
  </si>
  <si>
    <t>6111000 租金支出</t>
  </si>
  <si>
    <t>6112000 文具用品</t>
  </si>
  <si>
    <t>6113000 旅    費</t>
  </si>
  <si>
    <t>6114000 運    費</t>
  </si>
  <si>
    <t>6115000 郵 電 費</t>
  </si>
  <si>
    <t>6116000 修 繕 費</t>
  </si>
  <si>
    <t>6117000 廣 告 費</t>
  </si>
  <si>
    <t>6118000 水電瓦斯費</t>
  </si>
  <si>
    <t>6119000 保 險 費</t>
  </si>
  <si>
    <t>6120000 交 際 費</t>
  </si>
  <si>
    <t>6121000 捐    贈</t>
  </si>
  <si>
    <t>6122000 稅    捐</t>
  </si>
  <si>
    <t>6123000 呆帳損失</t>
  </si>
  <si>
    <t>6124000 折    舊</t>
  </si>
  <si>
    <t>6125000 各項攤提</t>
  </si>
  <si>
    <t>6127000 伙 食 費</t>
  </si>
  <si>
    <t>6128000 職工福利</t>
  </si>
  <si>
    <t>6130000 佣金支出</t>
  </si>
  <si>
    <t>佣金支出</t>
  </si>
  <si>
    <t>6131000 訓 練 費</t>
  </si>
  <si>
    <t>6132000 出口費用</t>
  </si>
  <si>
    <t>出口費用</t>
  </si>
  <si>
    <t>6133000 保全費</t>
  </si>
  <si>
    <t xml:space="preserve">6134000 交通費_x000D_
</t>
  </si>
  <si>
    <t>6135000 售後維修費用</t>
  </si>
  <si>
    <t>6188000 其他費用</t>
  </si>
  <si>
    <t>6188100 其他費用-什項購置</t>
  </si>
  <si>
    <t>6188200 其他費用-書報雜誌</t>
  </si>
  <si>
    <t>6188300 其他費用-勞務費</t>
  </si>
  <si>
    <t>6188400 其他費用-材料領用</t>
  </si>
  <si>
    <t>6188500 其他費用-樣品費</t>
  </si>
  <si>
    <t>其他費用-樣品費</t>
  </si>
  <si>
    <t>6188900 其他費用-什費</t>
  </si>
  <si>
    <t>推銷費用合計﹕</t>
  </si>
  <si>
    <t>5122000 直接人工</t>
  </si>
  <si>
    <t>5122100 直接人工-本薪</t>
  </si>
  <si>
    <t>直接人工-本薪</t>
  </si>
  <si>
    <t>5122200 直接人工-加班費</t>
  </si>
  <si>
    <t>直接人工-加班費</t>
  </si>
  <si>
    <t>5122210 直接人工-加班費-應稅</t>
  </si>
  <si>
    <t>直接人工-加班費-應稅</t>
  </si>
  <si>
    <t>5122220 直接人工-加班費-免稅</t>
  </si>
  <si>
    <t>直接人工-加班費-免稅</t>
  </si>
  <si>
    <t>5122300 直接人工-伙食費</t>
  </si>
  <si>
    <t>直接人工-伙食費</t>
  </si>
  <si>
    <t>5122400 直接人工-獎金</t>
  </si>
  <si>
    <t>直接人工-獎金</t>
  </si>
  <si>
    <t>5122500 直接人工-退休金</t>
  </si>
  <si>
    <t>直接人工-退休金</t>
  </si>
  <si>
    <t>5122600 直接人工-資遣費</t>
  </si>
  <si>
    <t>直接人工-資遣費</t>
  </si>
  <si>
    <t>5123100 間接人工</t>
  </si>
  <si>
    <t>間接人工</t>
  </si>
  <si>
    <t>5123110 間接人工-本薪</t>
  </si>
  <si>
    <t>間接人工-本薪</t>
  </si>
  <si>
    <t>5123120 間接人工-加班費-免稅</t>
  </si>
  <si>
    <t>5123121 間接人工-加班費-應稅</t>
  </si>
  <si>
    <t>5123130 間接人工-退休金</t>
  </si>
  <si>
    <t>間接人工-退休金</t>
  </si>
  <si>
    <t>5123140 間接人工-獎金</t>
  </si>
  <si>
    <t>間接人工-獎金</t>
  </si>
  <si>
    <t>5123150 間接人工-資遣費</t>
  </si>
  <si>
    <t>間接人工-資遣費</t>
  </si>
  <si>
    <t>5123200 租金支出</t>
  </si>
  <si>
    <t>5123300 文具用品</t>
  </si>
  <si>
    <t>5123400 旅費</t>
  </si>
  <si>
    <t>5123500 運費</t>
  </si>
  <si>
    <t>5123600 郵電費</t>
  </si>
  <si>
    <t>5123700 修繕費</t>
  </si>
  <si>
    <t>5123800 包裝費</t>
  </si>
  <si>
    <t>包裝費</t>
  </si>
  <si>
    <t>5123900 水電瓦斯費</t>
  </si>
  <si>
    <t>5123A00 保險費</t>
  </si>
  <si>
    <t>5123B00 加工費</t>
  </si>
  <si>
    <t>加工費</t>
  </si>
  <si>
    <t>5123C00 稅捐</t>
  </si>
  <si>
    <t>5123D00 折舊</t>
  </si>
  <si>
    <t>5123E00 各項耗竭及攤提</t>
  </si>
  <si>
    <t>各項耗竭及攤提</t>
  </si>
  <si>
    <t>5123F00 伙食費</t>
  </si>
  <si>
    <t>5123G00 職工福利</t>
  </si>
  <si>
    <t>5123H00 保全費</t>
  </si>
  <si>
    <t xml:space="preserve">5123I00 交通費_x000D_
</t>
  </si>
  <si>
    <t>5123J00 訓練費</t>
  </si>
  <si>
    <t>5123Y00 其他製造費用</t>
  </si>
  <si>
    <t>其他製造費用</t>
  </si>
  <si>
    <t>5123Y01 其他製造費用-雜項購置</t>
  </si>
  <si>
    <t>其他製造費用-雜項購置</t>
  </si>
  <si>
    <t>5123Y02 其他製造費用-書報雜誌</t>
  </si>
  <si>
    <t>其他製造費用-書報雜誌</t>
  </si>
  <si>
    <t>5123Y03 其他製造費用-勞務費</t>
  </si>
  <si>
    <t>其他製造費用-勞務費</t>
  </si>
  <si>
    <t>5123Y04 其他製造費用- 材料領用</t>
  </si>
  <si>
    <t>5123Y05 其他製造費用-樣品費</t>
  </si>
  <si>
    <t>5123Y09 其他製造費用-什費</t>
  </si>
  <si>
    <t>其他製造費用-雜費</t>
  </si>
  <si>
    <t>驗算</t>
    <phoneticPr fontId="56" type="noConversion"/>
  </si>
  <si>
    <t>固定/變動</t>
    <phoneticPr fontId="56" type="noConversion"/>
  </si>
  <si>
    <t>4000000 營業收入</t>
  </si>
  <si>
    <t>4100000 銷貨收入淨額</t>
  </si>
  <si>
    <t>4110000 銷貨收入</t>
  </si>
  <si>
    <t>4111000 銷貨收入-國內</t>
  </si>
  <si>
    <t>4112000 銷貨收入-國外</t>
  </si>
  <si>
    <t>4170000 銷貨退回</t>
  </si>
  <si>
    <t>4190000 銷貨折讓</t>
  </si>
  <si>
    <t>4199999  銷貨收入淨額合計</t>
  </si>
  <si>
    <t>4600000 勞務收入</t>
  </si>
  <si>
    <t>4610000 維修收入</t>
  </si>
  <si>
    <t>4611000 維修收入</t>
  </si>
  <si>
    <t>4619000 維修收入折讓</t>
  </si>
  <si>
    <t>4620000 勞務收入</t>
  </si>
  <si>
    <t>4621000 勞務收入</t>
  </si>
  <si>
    <t>4699999 勞務收入合計</t>
  </si>
  <si>
    <t>4999999 營業收入合計</t>
  </si>
  <si>
    <t>5000000 營業成本</t>
  </si>
  <si>
    <t>5100000 進銷成本</t>
  </si>
  <si>
    <t>5110000 進銷成本</t>
  </si>
  <si>
    <t>5120000 產銷成本</t>
  </si>
  <si>
    <t>5121000 產銷成本</t>
  </si>
  <si>
    <t>5121100 產銷成本-拆解</t>
  </si>
  <si>
    <t>5122A00 直接人工- 分攤</t>
  </si>
  <si>
    <t>5122A01 已分攤直接人工</t>
  </si>
  <si>
    <t>5123000 製造費用</t>
  </si>
  <si>
    <t>變動製費</t>
    <phoneticPr fontId="56" type="noConversion"/>
  </si>
  <si>
    <t>間接人工</t>
    <phoneticPr fontId="56" type="noConversion"/>
  </si>
  <si>
    <t>固定製費</t>
    <phoneticPr fontId="56" type="noConversion"/>
  </si>
  <si>
    <t>5123Z00 製造費用-分攤</t>
  </si>
  <si>
    <t>5123Z01 已分攤製造費用</t>
  </si>
  <si>
    <t>5130000 原料出售成本</t>
  </si>
  <si>
    <t>5140000 半成品出售成本</t>
  </si>
  <si>
    <t>5150000 閒置固定製費成本</t>
  </si>
  <si>
    <t>5160000 存貨跌價損失成本</t>
  </si>
  <si>
    <t>5170000 存貨盤損</t>
  </si>
  <si>
    <t>5171000 存貨盤損-商品</t>
  </si>
  <si>
    <t>5172000 存貨盤損-製成品</t>
  </si>
  <si>
    <t>5173000 存貨盤損-半成品</t>
  </si>
  <si>
    <t>5174000 存貨盤損-在製品</t>
  </si>
  <si>
    <t>5175000 存貨盤損-原料</t>
  </si>
  <si>
    <t>5199999 銷貨成本合計</t>
  </si>
  <si>
    <t>5200000 勞務成本</t>
  </si>
  <si>
    <t>5210000 維修成本</t>
  </si>
  <si>
    <t>5290000 其他勞務成本</t>
  </si>
  <si>
    <t>5299999 勞務成本合計</t>
  </si>
  <si>
    <t>5999999 營業成本合計</t>
  </si>
  <si>
    <t>▲ 營業毛利：</t>
  </si>
  <si>
    <t>▲ 毛利率(%)：</t>
  </si>
  <si>
    <t>599999A 聯屬公司間未實現利益</t>
  </si>
  <si>
    <t>599999B 聯屬公司間已實現利益</t>
  </si>
  <si>
    <t>6000000 營業費用</t>
  </si>
  <si>
    <t>6100000 推銷費用</t>
  </si>
  <si>
    <t>6199999 推銷費用合計</t>
  </si>
  <si>
    <t>6200000 管理及總務費用</t>
  </si>
  <si>
    <t>6299999 管理及總務費用合計</t>
  </si>
  <si>
    <t>6300000 研究發展費用</t>
  </si>
  <si>
    <t>6399999 研究發展費用合計</t>
  </si>
  <si>
    <t>6999999 營業費用合計</t>
  </si>
  <si>
    <t>▲ 營業淨利：</t>
  </si>
  <si>
    <t>7000000 營業外收入及費用</t>
  </si>
  <si>
    <t xml:space="preserve">7100000 營業外收入及利益  </t>
  </si>
  <si>
    <t>7110000 利息收入</t>
  </si>
  <si>
    <t>7111000 利息收入-銀行存款</t>
  </si>
  <si>
    <t>7112000 利息收入-押金設算息</t>
  </si>
  <si>
    <t>7113000 利息收入-其他</t>
  </si>
  <si>
    <t>7120000 投資收益</t>
  </si>
  <si>
    <t>7121000 採權益法認列之投資收益</t>
  </si>
  <si>
    <t>7122000 股利收入</t>
  </si>
  <si>
    <t>7130000 處分固定資產利益</t>
  </si>
  <si>
    <t>7140000 處分投資利益</t>
  </si>
  <si>
    <t>7150000 存貨盤盈</t>
  </si>
  <si>
    <t>7151000 存貨盤盈-商品</t>
  </si>
  <si>
    <t>7152000 存貨盤盈-製成品</t>
  </si>
  <si>
    <t>7153000 存貨盤盈-半成品</t>
  </si>
  <si>
    <t>7154000 存貨盤盈-在製品</t>
  </si>
  <si>
    <t>7155000 存貨盤盈-原料</t>
  </si>
  <si>
    <t>7160000 兌換利益</t>
  </si>
  <si>
    <t>7161000 已實現兌換利益</t>
  </si>
  <si>
    <t>7162000 未實現兌換利益</t>
  </si>
  <si>
    <t>7170000 違約金收入</t>
  </si>
  <si>
    <t>7180000 租金收入</t>
  </si>
  <si>
    <t>7190000 存貨跌價回升利益</t>
  </si>
  <si>
    <t xml:space="preserve">71A0000 減損迴轉利益  </t>
  </si>
  <si>
    <t>71B0000 金融資產評價利益</t>
  </si>
  <si>
    <t>71C0000 信用卡手續費收入</t>
  </si>
  <si>
    <t>71Z0000 什項收入</t>
  </si>
  <si>
    <t>71Z9999 營業外收入及利益合計</t>
  </si>
  <si>
    <t xml:space="preserve">7500000 營業外費用及損失      </t>
  </si>
  <si>
    <t>7510000 利息費用</t>
  </si>
  <si>
    <t>7511000 利息費用-銀行借款</t>
  </si>
  <si>
    <t>7512000 利息費用-其他借款</t>
  </si>
  <si>
    <t>7519000 利息費用-其他</t>
  </si>
  <si>
    <t>7520000 投資損失</t>
  </si>
  <si>
    <t xml:space="preserve">7521000 採權益法認列之投資損失    </t>
  </si>
  <si>
    <t xml:space="preserve">7522000 其他投資損失           </t>
  </si>
  <si>
    <t>7530000 處分固定資產損失</t>
  </si>
  <si>
    <t>7540000 處分投資損失</t>
  </si>
  <si>
    <t>7550000 存貨盤損</t>
  </si>
  <si>
    <t>7551000 存貨盤損-商品</t>
  </si>
  <si>
    <t>7552000 存貨盤損-製成品</t>
  </si>
  <si>
    <t>7553000 存貨盤損-半成品</t>
  </si>
  <si>
    <t>7554000 存貨盤損-在製品</t>
  </si>
  <si>
    <t>7555000 存貨盤損-原料</t>
  </si>
  <si>
    <t>7560000 兌換損失</t>
  </si>
  <si>
    <t>7561000 已實現兌換損失</t>
  </si>
  <si>
    <t>7562000 未實現兌換損失</t>
  </si>
  <si>
    <t>7570000 存貨跌價及呆滯損失</t>
  </si>
  <si>
    <t>7580000 財務費用</t>
  </si>
  <si>
    <t>7590000 存貨報廢損失</t>
  </si>
  <si>
    <t>75A0000 金融資產評價損失</t>
  </si>
  <si>
    <t>75Z0000 什項支出</t>
  </si>
  <si>
    <t>75Z9999 營業外費用及損失合計</t>
  </si>
  <si>
    <t>7999999 營業外收入及費用合計</t>
  </si>
  <si>
    <t>▲ 稅前損益：</t>
  </si>
  <si>
    <t>8000000 所得稅費用(利益)</t>
  </si>
  <si>
    <t xml:space="preserve">8110000 所得稅費用（利益）         </t>
  </si>
  <si>
    <t xml:space="preserve">8111000 所得稅費用（利益）          </t>
  </si>
  <si>
    <t>8112000 遞延所得稅利益(費用)</t>
  </si>
  <si>
    <t>8118888 所得稅費用(利益)合計</t>
  </si>
  <si>
    <t>8999999 所得稅費用(利益)合計</t>
  </si>
  <si>
    <t>▲ 稅後損益：</t>
  </si>
  <si>
    <t>100年度</t>
    <phoneticPr fontId="56" type="noConversion"/>
  </si>
  <si>
    <t>101年度</t>
    <phoneticPr fontId="56" type="noConversion"/>
  </si>
  <si>
    <t>102年度</t>
    <phoneticPr fontId="56" type="noConversion"/>
  </si>
  <si>
    <t>103年度</t>
    <phoneticPr fontId="56" type="noConversion"/>
  </si>
  <si>
    <t>104年度</t>
    <phoneticPr fontId="56" type="noConversion"/>
  </si>
  <si>
    <t>105年度</t>
    <phoneticPr fontId="56" type="noConversion"/>
  </si>
  <si>
    <t>106年度</t>
    <phoneticPr fontId="56" type="noConversion"/>
  </si>
  <si>
    <r>
      <t>截至5月</t>
    </r>
    <r>
      <rPr>
        <sz val="10"/>
        <color indexed="8"/>
        <rFont val="細明體"/>
        <family val="3"/>
        <charset val="136"/>
      </rPr>
      <t/>
    </r>
    <phoneticPr fontId="56" type="noConversion"/>
  </si>
  <si>
    <r>
      <t>截至6月</t>
    </r>
    <r>
      <rPr>
        <sz val="10"/>
        <color indexed="8"/>
        <rFont val="細明體"/>
        <family val="3"/>
        <charset val="136"/>
      </rPr>
      <t/>
    </r>
    <phoneticPr fontId="56" type="noConversion"/>
  </si>
  <si>
    <t>revenue</t>
    <phoneticPr fontId="54" type="noConversion"/>
  </si>
  <si>
    <t>margin</t>
    <phoneticPr fontId="54" type="noConversion"/>
  </si>
  <si>
    <t>g/p rate</t>
    <phoneticPr fontId="54" type="noConversion"/>
  </si>
  <si>
    <t>back to sum</t>
    <phoneticPr fontId="54" type="noConversion"/>
  </si>
  <si>
    <t>% of sales</t>
    <phoneticPr fontId="54" type="noConversion"/>
  </si>
  <si>
    <t>QCI(buy &amp; sell)</t>
    <phoneticPr fontId="54" type="noConversion"/>
  </si>
  <si>
    <t>others</t>
    <phoneticPr fontId="54" type="noConversion"/>
  </si>
  <si>
    <t>小計</t>
    <phoneticPr fontId="54" type="noConversion"/>
  </si>
  <si>
    <t>存貨跌價回升利益(跌價損失)</t>
    <phoneticPr fontId="54" type="noConversion"/>
  </si>
  <si>
    <t>存貨盤盈(虧)</t>
    <phoneticPr fontId="54" type="noConversion"/>
  </si>
  <si>
    <t>閒置固定製費</t>
    <phoneticPr fontId="54" type="noConversion"/>
  </si>
  <si>
    <t>本期製費未分攤</t>
    <phoneticPr fontId="54" type="noConversion"/>
  </si>
  <si>
    <t>機台拆解損失</t>
    <phoneticPr fontId="54" type="noConversion"/>
  </si>
  <si>
    <t>IS核對</t>
    <phoneticPr fontId="54" type="noConversion"/>
  </si>
  <si>
    <t>差異</t>
    <phoneticPr fontId="54" type="noConversion"/>
  </si>
  <si>
    <t>毛利率前十大</t>
    <phoneticPr fontId="54" type="noConversion"/>
  </si>
  <si>
    <t>毛利率後十大</t>
    <phoneticPr fontId="54" type="noConversion"/>
  </si>
  <si>
    <t>&lt; 毛利分析 &gt;</t>
    <phoneticPr fontId="54" type="noConversion"/>
  </si>
  <si>
    <t>1月</t>
    <phoneticPr fontId="54" type="noConversion"/>
  </si>
  <si>
    <r>
      <t>2月</t>
    </r>
    <r>
      <rPr>
        <sz val="10"/>
        <color indexed="8"/>
        <rFont val="細明體"/>
        <family val="3"/>
        <charset val="136"/>
      </rPr>
      <t/>
    </r>
  </si>
  <si>
    <r>
      <t>3月</t>
    </r>
    <r>
      <rPr>
        <sz val="10"/>
        <color indexed="8"/>
        <rFont val="細明體"/>
        <family val="3"/>
        <charset val="136"/>
      </rPr>
      <t/>
    </r>
  </si>
  <si>
    <r>
      <t>4月</t>
    </r>
    <r>
      <rPr>
        <sz val="10"/>
        <color indexed="8"/>
        <rFont val="細明體"/>
        <family val="3"/>
        <charset val="136"/>
      </rPr>
      <t/>
    </r>
  </si>
  <si>
    <r>
      <t>5月</t>
    </r>
    <r>
      <rPr>
        <sz val="10"/>
        <color indexed="8"/>
        <rFont val="細明體"/>
        <family val="3"/>
        <charset val="136"/>
      </rPr>
      <t/>
    </r>
  </si>
  <si>
    <r>
      <t>6月</t>
    </r>
    <r>
      <rPr>
        <sz val="10"/>
        <color indexed="8"/>
        <rFont val="細明體"/>
        <family val="3"/>
        <charset val="136"/>
      </rPr>
      <t/>
    </r>
  </si>
  <si>
    <r>
      <t>7月</t>
    </r>
    <r>
      <rPr>
        <sz val="10"/>
        <color indexed="8"/>
        <rFont val="細明體"/>
        <family val="3"/>
        <charset val="136"/>
      </rPr>
      <t/>
    </r>
  </si>
  <si>
    <r>
      <t>8月</t>
    </r>
    <r>
      <rPr>
        <sz val="10"/>
        <color indexed="8"/>
        <rFont val="細明體"/>
        <family val="3"/>
        <charset val="136"/>
      </rPr>
      <t/>
    </r>
  </si>
  <si>
    <r>
      <t>9月</t>
    </r>
    <r>
      <rPr>
        <sz val="10"/>
        <color indexed="8"/>
        <rFont val="細明體"/>
        <family val="3"/>
        <charset val="136"/>
      </rPr>
      <t/>
    </r>
  </si>
  <si>
    <r>
      <t>10月</t>
    </r>
    <r>
      <rPr>
        <sz val="10"/>
        <color indexed="8"/>
        <rFont val="細明體"/>
        <family val="3"/>
        <charset val="136"/>
      </rPr>
      <t/>
    </r>
  </si>
  <si>
    <r>
      <t>11月</t>
    </r>
    <r>
      <rPr>
        <sz val="10"/>
        <color indexed="8"/>
        <rFont val="細明體"/>
        <family val="3"/>
        <charset val="136"/>
      </rPr>
      <t/>
    </r>
  </si>
  <si>
    <r>
      <t>12月</t>
    </r>
    <r>
      <rPr>
        <sz val="10"/>
        <color indexed="8"/>
        <rFont val="細明體"/>
        <family val="3"/>
        <charset val="136"/>
      </rPr>
      <t/>
    </r>
  </si>
  <si>
    <t>美元匯率(銷售月平均)</t>
    <phoneticPr fontId="54" type="noConversion"/>
  </si>
  <si>
    <t>平均售價</t>
    <phoneticPr fontId="54" type="noConversion"/>
  </si>
  <si>
    <t>成本</t>
    <phoneticPr fontId="54" type="noConversion"/>
  </si>
  <si>
    <t>費用分攤率</t>
    <phoneticPr fontId="54" type="noConversion"/>
  </si>
  <si>
    <t>工</t>
    <phoneticPr fontId="54" type="noConversion"/>
  </si>
  <si>
    <t>費</t>
    <phoneticPr fontId="54" type="noConversion"/>
  </si>
  <si>
    <t>減:閒置固定製費</t>
    <phoneticPr fontId="54" type="noConversion"/>
  </si>
  <si>
    <t>合計</t>
    <phoneticPr fontId="54" type="noConversion"/>
  </si>
  <si>
    <t>工時(分鐘)</t>
    <phoneticPr fontId="54" type="noConversion"/>
  </si>
  <si>
    <t>每分鐘分攤費用(元)</t>
    <phoneticPr fontId="54" type="noConversion"/>
  </si>
  <si>
    <t>6月</t>
  </si>
  <si>
    <t>7月</t>
  </si>
  <si>
    <t>8月</t>
  </si>
  <si>
    <t>9月</t>
  </si>
  <si>
    <t>11月</t>
  </si>
  <si>
    <t>12月</t>
  </si>
  <si>
    <t>在製品</t>
    <phoneticPr fontId="54" type="noConversion"/>
  </si>
  <si>
    <t>小計</t>
    <phoneticPr fontId="54" type="noConversion"/>
  </si>
  <si>
    <t>在途存貨</t>
    <phoneticPr fontId="54" type="noConversion"/>
  </si>
  <si>
    <t>存貨總額合計</t>
    <phoneticPr fontId="54" type="noConversion"/>
  </si>
  <si>
    <t>備抵跌價損失</t>
    <phoneticPr fontId="54" type="noConversion"/>
  </si>
  <si>
    <t>存貨淨額合計</t>
    <phoneticPr fontId="54" type="noConversion"/>
  </si>
  <si>
    <t>備抵跌價損失/存貨總額</t>
    <phoneticPr fontId="54" type="noConversion"/>
  </si>
  <si>
    <t>% of total inventory</t>
    <phoneticPr fontId="54" type="noConversion"/>
  </si>
  <si>
    <t>單位:新台幣元</t>
    <phoneticPr fontId="54" type="noConversion"/>
  </si>
  <si>
    <t>1-12月</t>
    <phoneticPr fontId="54" type="noConversion"/>
  </si>
  <si>
    <t>營業活動之現金流量：</t>
    <phoneticPr fontId="54" type="noConversion"/>
  </si>
  <si>
    <t>　存貨跌價(回升利得)損失</t>
    <phoneticPr fontId="54" type="noConversion"/>
  </si>
  <si>
    <t>　存貨盤損(盈)</t>
    <phoneticPr fontId="54" type="noConversion"/>
  </si>
  <si>
    <t xml:space="preserve">  金融資產評價利益</t>
    <phoneticPr fontId="54" type="noConversion"/>
  </si>
  <si>
    <t xml:space="preserve">  處分固定資產損失(利益)</t>
    <phoneticPr fontId="54" type="noConversion"/>
  </si>
  <si>
    <t>　應收款項(增加)減少</t>
    <phoneticPr fontId="54" type="noConversion"/>
  </si>
  <si>
    <t>　存貨(增加)減少</t>
    <phoneticPr fontId="54" type="noConversion"/>
  </si>
  <si>
    <t xml:space="preserve">  交易目的金融資產(增加)減少</t>
    <phoneticPr fontId="54" type="noConversion"/>
  </si>
  <si>
    <t>　預付款項(增加)減少</t>
    <phoneticPr fontId="54" type="noConversion"/>
  </si>
  <si>
    <t>　其他流動資產(增加)減少</t>
    <phoneticPr fontId="54" type="noConversion"/>
  </si>
  <si>
    <t>　應付款項增加(減少)</t>
    <phoneticPr fontId="54" type="noConversion"/>
  </si>
  <si>
    <t>　應付費用增加(減少)</t>
    <phoneticPr fontId="54" type="noConversion"/>
  </si>
  <si>
    <t>　預收款項增加(減少)</t>
    <phoneticPr fontId="54" type="noConversion"/>
  </si>
  <si>
    <t>　其他流動負債增加(減少)</t>
    <phoneticPr fontId="54" type="noConversion"/>
  </si>
  <si>
    <t>　　營業活動之淨現金流入(出)</t>
    <phoneticPr fontId="54" type="noConversion"/>
  </si>
  <si>
    <t>投資活動之現金流量：</t>
    <phoneticPr fontId="54" type="noConversion"/>
  </si>
  <si>
    <t>　購買長期投資</t>
    <phoneticPr fontId="54" type="noConversion"/>
  </si>
  <si>
    <t xml:space="preserve">  購買固定資產</t>
    <phoneticPr fontId="54" type="noConversion"/>
  </si>
  <si>
    <t>　存出保證金(增加)減少</t>
    <phoneticPr fontId="54" type="noConversion"/>
  </si>
  <si>
    <t xml:space="preserve">  遞延費用(增加)減少</t>
    <phoneticPr fontId="54" type="noConversion"/>
  </si>
  <si>
    <t>　　投資活動之淨現金流入(出)</t>
    <phoneticPr fontId="54" type="noConversion"/>
  </si>
  <si>
    <t>融資活動之現金流量：</t>
    <phoneticPr fontId="54" type="noConversion"/>
  </si>
  <si>
    <t>　短期借款增加(減少)</t>
    <phoneticPr fontId="54" type="noConversion"/>
  </si>
  <si>
    <t>　其他負債增加(滅少)</t>
    <phoneticPr fontId="54" type="noConversion"/>
  </si>
  <si>
    <t>　　融資活動之淨現金流入(出)</t>
    <phoneticPr fontId="54" type="noConversion"/>
  </si>
  <si>
    <t>本期現金及銀行存款增加數</t>
    <phoneticPr fontId="54" type="noConversion"/>
  </si>
  <si>
    <t>期初現金及銀行存款餘額</t>
    <phoneticPr fontId="54" type="noConversion"/>
  </si>
  <si>
    <t>期末現金及銀行存款餘額</t>
    <phoneticPr fontId="54" type="noConversion"/>
  </si>
  <si>
    <t>減: 銀行存款受限制資產（質押定存）</t>
    <phoneticPr fontId="54" type="noConversion"/>
  </si>
  <si>
    <t>期末現金及銀行存款可用餘額</t>
    <phoneticPr fontId="54" type="noConversion"/>
  </si>
  <si>
    <t>BS Balance</t>
    <phoneticPr fontId="54" type="noConversion"/>
  </si>
  <si>
    <t>check</t>
    <phoneticPr fontId="54" type="noConversion"/>
  </si>
  <si>
    <r>
      <t>1月</t>
    </r>
    <r>
      <rPr>
        <sz val="10"/>
        <color indexed="8"/>
        <rFont val="細明體"/>
        <family val="3"/>
        <charset val="136"/>
      </rPr>
      <t/>
    </r>
  </si>
  <si>
    <t>1月</t>
  </si>
  <si>
    <t>2月</t>
  </si>
  <si>
    <t>3月</t>
  </si>
  <si>
    <t>4月</t>
  </si>
  <si>
    <t>5月</t>
  </si>
  <si>
    <t>間接人工-加班費</t>
  </si>
  <si>
    <t>售後維修費</t>
  </si>
  <si>
    <t>費用明細</t>
    <phoneticPr fontId="56" type="noConversion"/>
  </si>
  <si>
    <t>科目名稱</t>
    <phoneticPr fontId="56" type="noConversion"/>
  </si>
  <si>
    <t>銷售費用</t>
    <phoneticPr fontId="56" type="noConversion"/>
  </si>
  <si>
    <t>%</t>
    <phoneticPr fontId="56" type="noConversion"/>
  </si>
  <si>
    <t>管理費用</t>
    <phoneticPr fontId="56" type="noConversion"/>
  </si>
  <si>
    <t>研發費用</t>
    <phoneticPr fontId="56" type="noConversion"/>
  </si>
  <si>
    <t>本月營業
費用合計</t>
    <phoneticPr fontId="56" type="noConversion"/>
  </si>
  <si>
    <t>本月
製費合計</t>
    <phoneticPr fontId="56" type="noConversion"/>
  </si>
  <si>
    <t>本月份營業+
製費合計</t>
    <phoneticPr fontId="56" type="noConversion"/>
  </si>
  <si>
    <t>上月份營業+
製費合計</t>
    <phoneticPr fontId="56" type="noConversion"/>
  </si>
  <si>
    <t>5月</t>
    <phoneticPr fontId="56" type="noConversion"/>
  </si>
  <si>
    <t>6月</t>
    <phoneticPr fontId="56" type="noConversion"/>
  </si>
  <si>
    <t>其他費用-雜項購置</t>
    <phoneticPr fontId="56" type="noConversion"/>
  </si>
  <si>
    <t>其他費用-書報雜誌</t>
    <phoneticPr fontId="56" type="noConversion"/>
  </si>
  <si>
    <t>其他費用-勞務費</t>
    <phoneticPr fontId="56" type="noConversion"/>
  </si>
  <si>
    <t>其他費用-材料領用</t>
    <phoneticPr fontId="56" type="noConversion"/>
  </si>
  <si>
    <t>其他費用-樣品費</t>
    <phoneticPr fontId="56" type="noConversion"/>
  </si>
  <si>
    <t>其他費用-雜費</t>
    <phoneticPr fontId="56" type="noConversion"/>
  </si>
  <si>
    <t>合計</t>
    <phoneticPr fontId="56" type="noConversion"/>
  </si>
  <si>
    <t>5123000 前期製造費用調整</t>
    <phoneticPr fontId="56" type="noConversion"/>
  </si>
  <si>
    <t>5110000 進銷成本-Trading</t>
    <phoneticPr fontId="56" type="noConversion"/>
  </si>
  <si>
    <t>5160000 存貨跌價損失成本</t>
    <phoneticPr fontId="56" type="noConversion"/>
  </si>
  <si>
    <t>營業毛利(excluded 存貨評價)</t>
    <phoneticPr fontId="56" type="noConversion"/>
  </si>
  <si>
    <t>▲ 7999999 營業外收入(費用)合計</t>
    <phoneticPr fontId="56" type="noConversion"/>
  </si>
  <si>
    <t>XPPC725</t>
  </si>
  <si>
    <t>Olivetti S.p.A.</t>
  </si>
  <si>
    <t>YUNO-MPC</t>
  </si>
  <si>
    <t>(A)Sales Amount</t>
    <phoneticPr fontId="56" type="noConversion"/>
  </si>
  <si>
    <t>(B)Cost Amount(料)</t>
    <phoneticPr fontId="56" type="noConversion"/>
  </si>
  <si>
    <t>(C)加工費</t>
    <phoneticPr fontId="56" type="noConversion"/>
  </si>
  <si>
    <t>變動VA(D)=A-B-C</t>
    <phoneticPr fontId="56" type="noConversion"/>
  </si>
  <si>
    <t>Unit 變動VA</t>
    <phoneticPr fontId="56" type="noConversion"/>
  </si>
  <si>
    <t>變動VA %</t>
    <phoneticPr fontId="56" type="noConversion"/>
  </si>
  <si>
    <t>MVA %</t>
    <phoneticPr fontId="56" type="noConversion"/>
  </si>
  <si>
    <t>料</t>
    <phoneticPr fontId="56" type="noConversion"/>
  </si>
  <si>
    <t>工</t>
    <phoneticPr fontId="56" type="noConversion"/>
  </si>
  <si>
    <t>費</t>
    <phoneticPr fontId="56" type="noConversion"/>
  </si>
  <si>
    <t>製費分攤</t>
    <phoneticPr fontId="56" type="noConversion"/>
  </si>
  <si>
    <t>扣除製費後</t>
    <phoneticPr fontId="56" type="noConversion"/>
  </si>
  <si>
    <r>
      <rPr>
        <sz val="10"/>
        <rFont val="新細明體"/>
        <family val="1"/>
        <charset val="136"/>
      </rPr>
      <t>期間：</t>
    </r>
    <r>
      <rPr>
        <sz val="10"/>
        <rFont val="Calibri"/>
        <family val="2"/>
      </rPr>
      <t>2017</t>
    </r>
    <phoneticPr fontId="54" type="noConversion"/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</si>
  <si>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</si>
  <si>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</si>
  <si>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</si>
  <si>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</si>
  <si>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</si>
  <si>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</si>
  <si>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</si>
  <si>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</si>
  <si>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</si>
  <si>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</si>
  <si>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</si>
  <si>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</si>
  <si>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人數</t>
  </si>
  <si>
    <t>Fiscal Year:2017   Month:1</t>
  </si>
  <si>
    <t>Print Date:17/02/03</t>
  </si>
  <si>
    <t>全年合計</t>
  </si>
  <si>
    <t>2017 vs 2016</t>
    <phoneticPr fontId="56" type="noConversion"/>
  </si>
  <si>
    <t>2017 vs 2016</t>
    <phoneticPr fontId="39" type="noConversion"/>
  </si>
  <si>
    <t>YUNO156-TOUCHSCREEN</t>
  </si>
  <si>
    <t>YUNO-KIOSK</t>
  </si>
  <si>
    <t>YUNO-MB-I3</t>
  </si>
  <si>
    <t>YUNO-UPS</t>
  </si>
  <si>
    <t>YUNO-101PT</t>
  </si>
  <si>
    <t>YUNO-RS232</t>
  </si>
  <si>
    <t>2017/1~2017/12</t>
  </si>
  <si>
    <t>年度 : 2017</t>
    <phoneticPr fontId="56" type="noConversion"/>
  </si>
  <si>
    <t>106年度</t>
    <phoneticPr fontId="54" type="noConversion"/>
  </si>
  <si>
    <t>賀毅科技股份有限公司</t>
    <phoneticPr fontId="40" type="noConversion"/>
  </si>
  <si>
    <t>現金流量表</t>
    <phoneticPr fontId="40" type="noConversion"/>
  </si>
  <si>
    <r>
      <t>106</t>
    </r>
    <r>
      <rPr>
        <sz val="10"/>
        <rFont val="Arial Unicode MS"/>
        <family val="2"/>
        <charset val="136"/>
      </rPr>
      <t>年度</t>
    </r>
    <phoneticPr fontId="40" type="noConversion"/>
  </si>
  <si>
    <r>
      <t>*</t>
    </r>
    <r>
      <rPr>
        <sz val="10"/>
        <color indexed="10"/>
        <rFont val="Arial Unicode MS"/>
        <family val="2"/>
        <charset val="136"/>
      </rPr>
      <t>Copy上月公式至本月-&gt;檢查本月公式-&gt;Copy上月數字為值</t>
    </r>
    <phoneticPr fontId="40" type="noConversion"/>
  </si>
  <si>
    <r>
      <t>單位</t>
    </r>
    <r>
      <rPr>
        <sz val="10"/>
        <rFont val="Arial Unicode MS"/>
        <family val="2"/>
        <charset val="136"/>
      </rPr>
      <t>:新台幣元</t>
    </r>
    <phoneticPr fontId="40" type="noConversion"/>
  </si>
  <si>
    <t>營業活動之現金流量：</t>
    <phoneticPr fontId="40" type="noConversion"/>
  </si>
  <si>
    <t>　存貨跌價(回升利得)損失</t>
    <phoneticPr fontId="40" type="noConversion"/>
  </si>
  <si>
    <t>　存貨盤損(盈)</t>
    <phoneticPr fontId="40" type="noConversion"/>
  </si>
  <si>
    <t>　存貨(增加)減少</t>
    <phoneticPr fontId="40" type="noConversion"/>
  </si>
  <si>
    <t xml:space="preserve">  交易目的金融資產(增加)減少</t>
    <phoneticPr fontId="40" type="noConversion"/>
  </si>
  <si>
    <t>　預付款項(增加)減少</t>
    <phoneticPr fontId="40" type="noConversion"/>
  </si>
  <si>
    <t>　其他流動資產(增加)減少</t>
    <phoneticPr fontId="40" type="noConversion"/>
  </si>
  <si>
    <t>　應付款項增加(減少)</t>
    <phoneticPr fontId="40" type="noConversion"/>
  </si>
  <si>
    <t>　預收款項增加(減少)</t>
    <phoneticPr fontId="40" type="noConversion"/>
  </si>
  <si>
    <t>　其他流動負債增加(減少)</t>
    <phoneticPr fontId="40" type="noConversion"/>
  </si>
  <si>
    <t>　　營業活動之淨現金流入(出)</t>
    <phoneticPr fontId="40" type="noConversion"/>
  </si>
  <si>
    <t>投資活動之現金流量：</t>
    <phoneticPr fontId="40" type="noConversion"/>
  </si>
  <si>
    <t>　購買長期投資</t>
    <phoneticPr fontId="40" type="noConversion"/>
  </si>
  <si>
    <t xml:space="preserve">  購買固定資產</t>
    <phoneticPr fontId="40" type="noConversion"/>
  </si>
  <si>
    <t>　存出保證金(增加)減少</t>
    <phoneticPr fontId="40" type="noConversion"/>
  </si>
  <si>
    <t xml:space="preserve">  遞延費用(增加)減少</t>
    <phoneticPr fontId="40" type="noConversion"/>
  </si>
  <si>
    <t>　　投資活動之淨現金流入(出)</t>
    <phoneticPr fontId="40" type="noConversion"/>
  </si>
  <si>
    <t>融資活動之現金流量：</t>
    <phoneticPr fontId="40" type="noConversion"/>
  </si>
  <si>
    <t>　短期借款增加(減少)</t>
    <phoneticPr fontId="40" type="noConversion"/>
  </si>
  <si>
    <t>　其他負債增加(滅少)</t>
    <phoneticPr fontId="40" type="noConversion"/>
  </si>
  <si>
    <t>　　融資活動之淨現金流入(出)</t>
    <phoneticPr fontId="40" type="noConversion"/>
  </si>
  <si>
    <t>本期現金及銀行存款增加數</t>
    <phoneticPr fontId="40" type="noConversion"/>
  </si>
  <si>
    <t>期初現金及銀行存款餘額</t>
    <phoneticPr fontId="40" type="noConversion"/>
  </si>
  <si>
    <t>期末現金及銀行存款餘額</t>
    <phoneticPr fontId="40" type="noConversion"/>
  </si>
  <si>
    <t>減: 銀行存款受限制資產（質押定存）</t>
    <phoneticPr fontId="40" type="noConversion"/>
  </si>
  <si>
    <t>期末現金及銀行存款可用餘額</t>
    <phoneticPr fontId="40" type="noConversion"/>
  </si>
  <si>
    <t>BS Balance</t>
    <phoneticPr fontId="40" type="noConversion"/>
  </si>
  <si>
    <t>check</t>
    <phoneticPr fontId="40" type="noConversion"/>
  </si>
  <si>
    <t>2017年</t>
    <phoneticPr fontId="54" type="noConversion"/>
  </si>
  <si>
    <t>106年臷至1月</t>
    <phoneticPr fontId="39" type="noConversion"/>
  </si>
  <si>
    <t>106年臷至2月</t>
  </si>
  <si>
    <t>106年臷至3月</t>
  </si>
  <si>
    <t>106年臷至4月</t>
  </si>
  <si>
    <t>106年臷至5月</t>
  </si>
  <si>
    <t>106年臷至6月</t>
  </si>
  <si>
    <t>106年臷至7月</t>
  </si>
  <si>
    <t>106年臷至8月</t>
  </si>
  <si>
    <t>106年臷至9月</t>
  </si>
  <si>
    <t>106年臷至10月</t>
  </si>
  <si>
    <t>106年臷至11月</t>
  </si>
  <si>
    <t>106年臷至12月</t>
  </si>
  <si>
    <t>107年臷至1月</t>
    <phoneticPr fontId="39" type="noConversion"/>
  </si>
  <si>
    <r>
      <rPr>
        <b/>
        <sz val="12"/>
        <color indexed="8"/>
        <rFont val="新細明體"/>
        <family val="1"/>
        <charset val="136"/>
      </rPr>
      <t>年度</t>
    </r>
    <r>
      <rPr>
        <b/>
        <sz val="12"/>
        <color indexed="8"/>
        <rFont val="Calibri"/>
        <family val="2"/>
      </rPr>
      <t xml:space="preserve"> : 2017</t>
    </r>
    <phoneticPr fontId="56" type="noConversion"/>
  </si>
  <si>
    <r>
      <rPr>
        <b/>
        <sz val="12"/>
        <color indexed="8"/>
        <rFont val="新細明體"/>
        <family val="1"/>
        <charset val="136"/>
      </rPr>
      <t>年度</t>
    </r>
    <r>
      <rPr>
        <b/>
        <sz val="12"/>
        <color indexed="8"/>
        <rFont val="Arial"/>
        <family val="2"/>
      </rPr>
      <t xml:space="preserve"> : 2017</t>
    </r>
    <phoneticPr fontId="56" type="noConversion"/>
  </si>
  <si>
    <t>IS明細!D273</t>
    <phoneticPr fontId="40" type="noConversion"/>
  </si>
  <si>
    <t>IS明細!D58+IS明細!D117+IS明細!D157+IS明細!D193</t>
  </si>
  <si>
    <t>IS明細!D59+IS明細!D118+IS明細!D158+IS明細!D194</t>
  </si>
  <si>
    <t>IS明細!D77</t>
  </si>
  <si>
    <t>IS明細!D78</t>
    <phoneticPr fontId="40" type="noConversion"/>
  </si>
  <si>
    <t>-IS明細!D236</t>
    <phoneticPr fontId="40" type="noConversion"/>
  </si>
  <si>
    <t>IS明細!D248-IS明細!D221</t>
    <phoneticPr fontId="40" type="noConversion"/>
  </si>
  <si>
    <t>-(TWN_BS!$G$9+TWN_BS!$G$10+TWN_BS!$G$11)</t>
    <phoneticPr fontId="40" type="noConversion"/>
  </si>
  <si>
    <t>-TWN_BS!$G$12-C11-C12</t>
    <phoneticPr fontId="40" type="noConversion"/>
  </si>
  <si>
    <t>-TWN_BS!$G$7-TWN_BS!$G$8</t>
    <phoneticPr fontId="40" type="noConversion"/>
  </si>
  <si>
    <t>-TWN_BS!$G$13</t>
    <phoneticPr fontId="40" type="noConversion"/>
  </si>
  <si>
    <t>-TWN_BS!$G$14-TWN_BS!$G$15-TWN_BS!$G$37</t>
    <phoneticPr fontId="40" type="noConversion"/>
  </si>
  <si>
    <t>TWN_BS!$O$7+TWN_BS!$O$8</t>
  </si>
  <si>
    <t>TWN_BS!$O$9</t>
  </si>
  <si>
    <t>TWN_BS!$O$10</t>
  </si>
  <si>
    <t>TWN_BS!$O$11</t>
  </si>
  <si>
    <t>SUM(C7:C23)</t>
  </si>
  <si>
    <t>-TWN_BS!$G$21-TWN_BS!$G$22-TWN_BS!$G$23-TWN_BS!$G$24-TWN_BS!$G$25-TWN_BS!$G$26-TWN_BS!$G$27-TWN_BS!$G$28-TWN_BS!$G$30</t>
    <phoneticPr fontId="40" type="noConversion"/>
  </si>
  <si>
    <t>-TWN_BS!$G$35</t>
    <phoneticPr fontId="40" type="noConversion"/>
  </si>
  <si>
    <t>-TWN_BS!$G$36-C10</t>
    <phoneticPr fontId="40" type="noConversion"/>
  </si>
  <si>
    <t>SUM(C26:C32)</t>
  </si>
  <si>
    <t>TWN_BS!$O$6</t>
  </si>
  <si>
    <t>TWN_BS!$O$16+TWN_BS!$O$17</t>
  </si>
  <si>
    <t>SUM(C35:C36)</t>
  </si>
  <si>
    <t>C24+C33+C37</t>
  </si>
  <si>
    <t>C39+C40</t>
  </si>
  <si>
    <t>C41-C48</t>
  </si>
  <si>
    <t>TWN_BS!C6</t>
    <phoneticPr fontId="40" type="noConversion"/>
  </si>
  <si>
    <t>D45+D46</t>
  </si>
  <si>
    <t>XPPC752</t>
  </si>
  <si>
    <t>MVA %</t>
    <phoneticPr fontId="56" type="noConversion"/>
  </si>
  <si>
    <t>back to summar</t>
    <phoneticPr fontId="56" type="noConversion"/>
  </si>
  <si>
    <t>小計</t>
    <phoneticPr fontId="56" type="noConversion"/>
  </si>
  <si>
    <t>加：維修收入 &amp; 勞務收入</t>
    <phoneticPr fontId="56" type="noConversion"/>
  </si>
  <si>
    <t>加：前期成本調整迴轉</t>
    <phoneticPr fontId="56" type="noConversion"/>
  </si>
  <si>
    <t>減：本期未分攤製費</t>
    <phoneticPr fontId="56" type="noConversion"/>
  </si>
  <si>
    <t>減：本期拆解損失</t>
    <phoneticPr fontId="56" type="noConversion"/>
  </si>
  <si>
    <t>減：盤損.閒置固定製費及存貨跌價回升利益(跌價損失)</t>
    <phoneticPr fontId="56" type="noConversion"/>
  </si>
  <si>
    <t>IS核對</t>
    <phoneticPr fontId="54" type="noConversion"/>
  </si>
  <si>
    <t>差異</t>
    <phoneticPr fontId="54" type="noConversion"/>
  </si>
  <si>
    <t>維修收入/成本</t>
    <phoneticPr fontId="54" type="noConversion"/>
  </si>
  <si>
    <t>產銷成本-拆解及其他</t>
    <phoneticPr fontId="56" type="noConversion"/>
  </si>
  <si>
    <t>存貨跌價損失成本</t>
    <phoneticPr fontId="54" type="noConversion"/>
  </si>
  <si>
    <t>IS</t>
    <phoneticPr fontId="54" type="noConversion"/>
  </si>
  <si>
    <t>Var</t>
    <phoneticPr fontId="54" type="noConversion"/>
  </si>
  <si>
    <t>加：呆料出售</t>
    <phoneticPr fontId="56" type="noConversion"/>
  </si>
  <si>
    <t>減：上期製費本期分攤調整</t>
    <phoneticPr fontId="56" type="noConversion"/>
  </si>
  <si>
    <t>減：盤損.閒置固定製費.拆解及存貨跌價</t>
    <phoneticPr fontId="56" type="noConversion"/>
  </si>
  <si>
    <t>ODMACE01</t>
  </si>
  <si>
    <t>YUNO-BASE151-BLACK-II,ART-03520,INNOLUX+eTurbo,UK CORD</t>
  </si>
  <si>
    <t>ODMAC203</t>
  </si>
  <si>
    <t>YUNO-KIT-WIFI:ANTENNA &amp; W-LAN &amp; BT,J1900</t>
  </si>
  <si>
    <t>sales(仟元)</t>
  </si>
  <si>
    <t>主要客戶貢獻率分別如下：</t>
    <phoneticPr fontId="54" type="noConversion"/>
  </si>
  <si>
    <t>主要客戶貢獻 :</t>
    <phoneticPr fontId="54" type="noConversion"/>
  </si>
  <si>
    <t>YUNO156-VESA-COVER</t>
    <phoneticPr fontId="54" type="noConversion"/>
  </si>
  <si>
    <t>SAMPLE:BD-156</t>
  </si>
  <si>
    <t>XPOS725</t>
  </si>
  <si>
    <t>T1007106</t>
  </si>
  <si>
    <t>XPOS755-T 15" 2ND DISPLAY,BLACK,NO HINGE,NO TOUCH,</t>
  </si>
  <si>
    <t>1-12月</t>
    <phoneticPr fontId="56" type="noConversion"/>
  </si>
  <si>
    <t>名片印刷及文具</t>
    <phoneticPr fontId="56" type="noConversion"/>
  </si>
  <si>
    <t>中華電信電話費、傳真費、FTTN光纖月租費</t>
    <phoneticPr fontId="56" type="noConversion"/>
  </si>
  <si>
    <t>東科公共水電及電費</t>
    <phoneticPr fontId="56" type="noConversion"/>
  </si>
  <si>
    <t>勞保、健保、財產險、公共意外責任險、團險、商旅險、內陸運送保險分攤等</t>
    <phoneticPr fontId="56" type="noConversion"/>
  </si>
  <si>
    <r>
      <t>研發用儀器攤提</t>
    </r>
    <r>
      <rPr>
        <sz val="11"/>
        <color theme="1"/>
        <rFont val="Calibri"/>
        <family val="2"/>
      </rPr>
      <t/>
    </r>
    <phoneticPr fontId="56" type="noConversion"/>
  </si>
  <si>
    <t>ERP系統、研發軟體等支出遞延攤提</t>
    <phoneticPr fontId="56" type="noConversion"/>
  </si>
  <si>
    <t>提撥營收千分之1.5福利金</t>
    <phoneticPr fontId="56" type="noConversion"/>
  </si>
  <si>
    <t>6329000</t>
    <phoneticPr fontId="39" type="noConversion"/>
  </si>
  <si>
    <t xml:space="preserve">外出公差油資補助等 / 計程車資 </t>
    <phoneticPr fontId="56" type="noConversion"/>
  </si>
  <si>
    <t>其他費用-什項購置</t>
    <phoneticPr fontId="56" type="noConversion"/>
  </si>
  <si>
    <t>6388400</t>
    <phoneticPr fontId="39" type="noConversion"/>
  </si>
  <si>
    <t>其他費用-材料領用</t>
    <phoneticPr fontId="56" type="noConversion"/>
  </si>
  <si>
    <t>其他費用-樣品費</t>
    <phoneticPr fontId="56" type="noConversion"/>
  </si>
  <si>
    <t>研究及發展費用合計﹕</t>
    <phoneticPr fontId="56" type="noConversion"/>
  </si>
  <si>
    <t>Feb vs Jan</t>
    <phoneticPr fontId="56" type="noConversion"/>
  </si>
  <si>
    <t>Mar vs Feb</t>
    <phoneticPr fontId="56" type="noConversion"/>
  </si>
  <si>
    <t>May vs Apr</t>
    <phoneticPr fontId="56" type="noConversion"/>
  </si>
  <si>
    <t>Jun vs May</t>
    <phoneticPr fontId="56" type="noConversion"/>
  </si>
  <si>
    <t>Jul vs Jun</t>
    <phoneticPr fontId="56" type="noConversion"/>
  </si>
  <si>
    <t>Aug vs Jul</t>
    <phoneticPr fontId="56" type="noConversion"/>
  </si>
  <si>
    <t>Sep vs Aug</t>
    <phoneticPr fontId="56" type="noConversion"/>
  </si>
  <si>
    <t>Oct vs Sep</t>
    <phoneticPr fontId="56" type="noConversion"/>
  </si>
  <si>
    <t>Nov vs Oct</t>
    <phoneticPr fontId="56" type="noConversion"/>
  </si>
  <si>
    <t>Dec vs Nov</t>
    <phoneticPr fontId="56" type="noConversion"/>
  </si>
  <si>
    <t>管理及總務費用：</t>
    <phoneticPr fontId="56" type="noConversion"/>
  </si>
  <si>
    <t>東科停車位租金及光先影印機租金</t>
    <phoneticPr fontId="56" type="noConversion"/>
  </si>
  <si>
    <t>中華電信電話費、傳真費、FTTN光纖月租費 / 廣達網路語音月租費 / 郵資</t>
    <phoneticPr fontId="56" type="noConversion"/>
  </si>
  <si>
    <t>6216000</t>
    <phoneticPr fontId="56" type="noConversion"/>
  </si>
  <si>
    <t>勞保、健保、財產險、公共意外責任險、團險、商旅險、內陸運送保險分攤等 / 董監事保險費</t>
    <phoneticPr fontId="56" type="noConversion"/>
  </si>
  <si>
    <t>6222000</t>
    <phoneticPr fontId="39" type="noConversion"/>
  </si>
  <si>
    <t>ERP系統,Microsoft軟體授權及office隔間工程等支出遞延攤提</t>
    <phoneticPr fontId="56" type="noConversion"/>
  </si>
  <si>
    <t>6288300</t>
    <phoneticPr fontId="56" type="noConversion"/>
  </si>
  <si>
    <t>清潔費,CPA查核費,董監車馬費、報酬、法律顧問費</t>
    <phoneticPr fontId="54" type="noConversion"/>
  </si>
  <si>
    <t>東科大樓管理費、停車位管理費、中信股代手續費及辦公室雜支</t>
    <phoneticPr fontId="56" type="noConversion"/>
  </si>
  <si>
    <t>管理費用合計：</t>
    <phoneticPr fontId="56" type="noConversion"/>
  </si>
  <si>
    <t>Apr vs Mar</t>
    <phoneticPr fontId="56" type="noConversion"/>
  </si>
  <si>
    <t>印製名片</t>
    <phoneticPr fontId="56" type="noConversion"/>
  </si>
  <si>
    <t>勞保、健保、財產險、公共意外責任險、團險、商旅險/ 產品責任保險費</t>
    <phoneticPr fontId="56" type="noConversion"/>
  </si>
  <si>
    <t>ERP系統等支出遞延攤提</t>
    <phoneticPr fontId="56" type="noConversion"/>
  </si>
  <si>
    <t>售後維修費</t>
    <phoneticPr fontId="56" type="noConversion"/>
  </si>
  <si>
    <t>東科管理費、會費、辦公室雜支</t>
    <phoneticPr fontId="56" type="noConversion"/>
  </si>
  <si>
    <t>製造費用：</t>
    <phoneticPr fontId="56" type="noConversion"/>
  </si>
  <si>
    <t>說明</t>
    <phoneticPr fontId="56" type="noConversion"/>
  </si>
  <si>
    <t>5122000</t>
    <phoneticPr fontId="56" type="noConversion"/>
  </si>
  <si>
    <t>直接人工</t>
    <phoneticPr fontId="56" type="noConversion"/>
  </si>
  <si>
    <t>5122100</t>
    <phoneticPr fontId="56" type="noConversion"/>
  </si>
  <si>
    <t>5122200</t>
    <phoneticPr fontId="56" type="noConversion"/>
  </si>
  <si>
    <t>5122210</t>
    <phoneticPr fontId="56" type="noConversion"/>
  </si>
  <si>
    <t>5122220</t>
    <phoneticPr fontId="56" type="noConversion"/>
  </si>
  <si>
    <t>5122400</t>
    <phoneticPr fontId="56" type="noConversion"/>
  </si>
  <si>
    <t>5122600</t>
    <phoneticPr fontId="56" type="noConversion"/>
  </si>
  <si>
    <t>5123100</t>
    <phoneticPr fontId="56" type="noConversion"/>
  </si>
  <si>
    <t>5123110</t>
    <phoneticPr fontId="56" type="noConversion"/>
  </si>
  <si>
    <t>5123120</t>
    <phoneticPr fontId="56" type="noConversion"/>
  </si>
  <si>
    <t>間接人工-加班費-免稅</t>
    <phoneticPr fontId="56" type="noConversion"/>
  </si>
  <si>
    <t>5123121</t>
    <phoneticPr fontId="56" type="noConversion"/>
  </si>
  <si>
    <t>間接人工-加班費-應稅</t>
    <phoneticPr fontId="56" type="noConversion"/>
  </si>
  <si>
    <t>5123130</t>
    <phoneticPr fontId="56" type="noConversion"/>
  </si>
  <si>
    <t>5123140</t>
    <phoneticPr fontId="56" type="noConversion"/>
  </si>
  <si>
    <t>5123150</t>
    <phoneticPr fontId="56" type="noConversion"/>
  </si>
  <si>
    <t>5123200</t>
    <phoneticPr fontId="56" type="noConversion"/>
  </si>
  <si>
    <t>竣晟倉租計 $192,500,影印機 $2,300</t>
    <phoneticPr fontId="56" type="noConversion"/>
  </si>
  <si>
    <t>5123300</t>
    <phoneticPr fontId="56" type="noConversion"/>
  </si>
  <si>
    <t>5123400</t>
    <phoneticPr fontId="56" type="noConversion"/>
  </si>
  <si>
    <t>進貨運費</t>
    <phoneticPr fontId="56" type="noConversion"/>
  </si>
  <si>
    <t>5123600</t>
    <phoneticPr fontId="56" type="noConversion"/>
  </si>
  <si>
    <t>5123700</t>
    <phoneticPr fontId="56" type="noConversion"/>
  </si>
  <si>
    <t>修繕費</t>
    <phoneticPr fontId="56" type="noConversion"/>
  </si>
  <si>
    <t>5123800</t>
    <phoneticPr fontId="56" type="noConversion"/>
  </si>
  <si>
    <t>5123900</t>
    <phoneticPr fontId="56" type="noConversion"/>
  </si>
  <si>
    <t>5123A00</t>
    <phoneticPr fontId="56" type="noConversion"/>
  </si>
  <si>
    <t>勞保、健保、產險</t>
    <phoneticPr fontId="56" type="noConversion"/>
  </si>
  <si>
    <t>5123B00</t>
    <phoneticPr fontId="56" type="noConversion"/>
  </si>
  <si>
    <t>5123C00</t>
    <phoneticPr fontId="56" type="noConversion"/>
  </si>
  <si>
    <t>5123D00</t>
    <phoneticPr fontId="56" type="noConversion"/>
  </si>
  <si>
    <t>機器及模具設備折舊</t>
    <phoneticPr fontId="56" type="noConversion"/>
  </si>
  <si>
    <t>5123E00</t>
    <phoneticPr fontId="56" type="noConversion"/>
  </si>
  <si>
    <t>ERP系統、模具修改五股辦公室裝潢費等支出遞延攤提</t>
    <phoneticPr fontId="56" type="noConversion"/>
  </si>
  <si>
    <t>5123F00</t>
    <phoneticPr fontId="56" type="noConversion"/>
  </si>
  <si>
    <t>5123G00</t>
    <phoneticPr fontId="56" type="noConversion"/>
  </si>
  <si>
    <t>5123H00</t>
    <phoneticPr fontId="56" type="noConversion"/>
  </si>
  <si>
    <t>文件管制課,採購 10樓保全費分攤</t>
    <phoneticPr fontId="56" type="noConversion"/>
  </si>
  <si>
    <t>5123I00</t>
    <phoneticPr fontId="56" type="noConversion"/>
  </si>
  <si>
    <t>往返外包廠及模具廠交通費</t>
    <phoneticPr fontId="56" type="noConversion"/>
  </si>
  <si>
    <t>5123J00</t>
    <phoneticPr fontId="56" type="noConversion"/>
  </si>
  <si>
    <t>訓練費</t>
    <phoneticPr fontId="56" type="noConversion"/>
  </si>
  <si>
    <t>5123Y00</t>
    <phoneticPr fontId="56" type="noConversion"/>
  </si>
  <si>
    <t>5123Y01</t>
    <phoneticPr fontId="39" type="noConversion"/>
  </si>
  <si>
    <r>
      <t>進料檢驗設備(空壓機、液晶卡尺、手提放大鏡、數字電表、厚薄規塑膠組、扭力起子、治具)</t>
    </r>
    <r>
      <rPr>
        <b/>
        <sz val="11"/>
        <rFont val="細明體"/>
        <family val="3"/>
        <charset val="136"/>
      </rPr>
      <t/>
    </r>
    <phoneticPr fontId="56" type="noConversion"/>
  </si>
  <si>
    <t>5123Y02</t>
    <phoneticPr fontId="56" type="noConversion"/>
  </si>
  <si>
    <t>其他製造費用-材料領用</t>
    <phoneticPr fontId="56" type="noConversion"/>
  </si>
  <si>
    <t>其他製造費用-樣品費</t>
    <phoneticPr fontId="56" type="noConversion"/>
  </si>
  <si>
    <t>5123Y09</t>
    <phoneticPr fontId="56" type="noConversion"/>
  </si>
  <si>
    <t>製造費用合計﹕</t>
    <phoneticPr fontId="56" type="noConversion"/>
  </si>
  <si>
    <t>銷貨收入淨額 1%</t>
    <phoneticPr fontId="39" type="noConversion"/>
  </si>
  <si>
    <t>104人力銀行廣告</t>
    <phoneticPr fontId="39" type="noConversion"/>
  </si>
  <si>
    <t>東科管理費、停車位管理費</t>
    <phoneticPr fontId="56" type="noConversion"/>
  </si>
  <si>
    <t>CAUA0009</t>
  </si>
  <si>
    <t>Aniluin Pty Ltd</t>
  </si>
  <si>
    <t>XPOS857</t>
  </si>
  <si>
    <t>IC151</t>
  </si>
  <si>
    <t>YUNO-101P+5M</t>
  </si>
  <si>
    <t>YUNO-101PAG</t>
  </si>
  <si>
    <t>ODMACB31</t>
  </si>
  <si>
    <t>YUNO-BASE151-BLACK-AG-II-SP,ART-03730,NO STAND,INNOLUX 400NI</t>
  </si>
  <si>
    <t>YUNO-BASE151-BLACK-II,ART-03520,INNOLUX+eTurbo,US CORD</t>
  </si>
  <si>
    <t>XPOS852</t>
  </si>
  <si>
    <t>XPOS950</t>
  </si>
  <si>
    <t>YUNO-PUHe</t>
  </si>
  <si>
    <t>2017.02 Note</t>
    <phoneticPr fontId="56" type="noConversion"/>
  </si>
  <si>
    <t>前10大客戶佔營收約 100.00%</t>
    <phoneticPr fontId="54" type="noConversion"/>
  </si>
  <si>
    <t>others(FC0等）</t>
    <phoneticPr fontId="54" type="noConversion"/>
  </si>
  <si>
    <t>YUNO-HUB-USB</t>
  </si>
  <si>
    <t>ODMAC400</t>
  </si>
  <si>
    <t>ODMAC600</t>
  </si>
  <si>
    <t>OLC10"1-AG-VESA-SP</t>
  </si>
  <si>
    <t>ODMAC602</t>
  </si>
  <si>
    <t>YUNO-BASE156-WHITE-50KH-II,ART-03525,X7D(I3-5010U),AUO+eTurb</t>
  </si>
  <si>
    <t>台灣東芝國際採購股份有限公司 合計</t>
  </si>
  <si>
    <t>YUNO-VFD,BLACK,FRA(20in1)</t>
  </si>
  <si>
    <t>YUNO-2NDLCD10.1-BLACK,NO TOUCH,ART-03260</t>
  </si>
  <si>
    <t>OLC10"1-AG-VESA-SP,ART-03769,BLACK,NO TOUCH,ANTI-GLARE</t>
  </si>
  <si>
    <t>YUNO-BASE156-BLACK-50KH-II,ART-03524,X7D(I3-5010U),AUO+eTurb</t>
  </si>
  <si>
    <t>YUNO-SCANNER1D</t>
    <phoneticPr fontId="54" type="noConversion"/>
  </si>
  <si>
    <t>YUNO-BASE156-WHITE+GRAY,LG+eTurbo,US CORD,ART-03256</t>
    <phoneticPr fontId="40" type="noConversion"/>
  </si>
  <si>
    <t>April</t>
  </si>
  <si>
    <t>J2 Retail Systems Inc</t>
  </si>
  <si>
    <t>FTWA0438</t>
  </si>
  <si>
    <t>YUNO-KIOSK-MB-I3</t>
  </si>
  <si>
    <t>ODMTU201</t>
  </si>
  <si>
    <t>益欣資訊股份有限公司 合計</t>
  </si>
  <si>
    <t>HINGE KIT:FOR 15" 2ND DISPLAY,WHITE,KITTFT-F20-TM-W-QM-R</t>
  </si>
  <si>
    <t>ODMAC245</t>
  </si>
  <si>
    <t>YUNO-MSRLONG2</t>
  </si>
  <si>
    <t>ODMAC610</t>
  </si>
  <si>
    <t>YUNO-2NDLCD10.1-TACT-BLACK,W/TOUCH,ART-03569</t>
  </si>
  <si>
    <t>ODMAC611</t>
  </si>
  <si>
    <t>YUNO-2NDLCD10.1-TACT-WHITE,W/TOUCH,ART-03570</t>
  </si>
  <si>
    <t>ODMAC900</t>
  </si>
  <si>
    <t>YUNO-MB MODULE 1900,ART-03257,4G RAM,64G SSD,W/O PACKING</t>
  </si>
  <si>
    <t>ODMTUE02</t>
  </si>
  <si>
    <t>Aniluin Pty Ltd 合計</t>
  </si>
  <si>
    <t>F75T9102</t>
  </si>
  <si>
    <t>XPOS755-T-5W-1900-00 W/64G SSD,4G RAM,ST-F20-14WS-CN-R</t>
  </si>
  <si>
    <t>Z1300146</t>
  </si>
  <si>
    <t>YUNO-MB-I3-5010U,ART-03797,8G RAM,128G SSD,W/O PACKING</t>
  </si>
  <si>
    <t>YUNO-VESA-BRACKET(20in1)</t>
  </si>
  <si>
    <t>Apr vs May</t>
    <phoneticPr fontId="39" type="noConversion"/>
  </si>
  <si>
    <t>June</t>
  </si>
  <si>
    <t>ODMAC231</t>
  </si>
  <si>
    <t>YUNO-MB-I3-5010U,ART-03478,4G RAM,128G SSD,W/PACKING</t>
  </si>
  <si>
    <t>HUB-RETAIL-KL17</t>
  </si>
  <si>
    <t>ODMACF02</t>
  </si>
  <si>
    <t>Comtecs Co.,Ltd</t>
  </si>
  <si>
    <t>Comtecs Co.,Ltd 合計</t>
  </si>
  <si>
    <t>F72TE001</t>
  </si>
  <si>
    <t>XPOS72A-5B-2930-02 W/320G SATA HDD,4G RAM,EU CORD,EBN LOGO</t>
  </si>
  <si>
    <t>JDC SA</t>
  </si>
  <si>
    <t>BITA0014</t>
  </si>
  <si>
    <t>F75O3003</t>
  </si>
  <si>
    <t>XPOS75PE-5B-1900-12 W/320G HDD,4G RAM,EU CORD,WIN 10 IOT</t>
  </si>
  <si>
    <t>Z2400002</t>
  </si>
  <si>
    <t>VFD:VFD202W-B-AT-10,RS232,12V,XPOS752&amp;XPOS852</t>
  </si>
  <si>
    <t>Olivetti S.p.A. 合計</t>
  </si>
  <si>
    <t>XPOS955</t>
  </si>
  <si>
    <t>XPOS75PE-5B-1900 W/64G SSD,4G RAM,US CORD</t>
  </si>
  <si>
    <t>ODMAC610</t>
    <phoneticPr fontId="68" type="noConversion"/>
  </si>
  <si>
    <t>BU</t>
    <phoneticPr fontId="54" type="noConversion"/>
  </si>
  <si>
    <t>F7506010</t>
  </si>
  <si>
    <t>overdue</t>
    <phoneticPr fontId="54" type="noConversion"/>
  </si>
  <si>
    <t>簡總獎金 NTD1679368</t>
    <phoneticPr fontId="39" type="noConversion"/>
  </si>
  <si>
    <t>飛利浦20W省電燈管(兩箱)</t>
  </si>
  <si>
    <t>劉澤洋 7/2~10 出差廣州.深圳 交際費待客用餐R4461.42</t>
    <phoneticPr fontId="39" type="noConversion"/>
  </si>
  <si>
    <t>Cisco WS-2960G等網路設備</t>
    <phoneticPr fontId="39" type="noConversion"/>
  </si>
  <si>
    <t>劉澤洋 7/2~10 出差廣州.深圳
劉澤洋 7/13~7/16  出差馬來西亞</t>
    <phoneticPr fontId="39" type="noConversion"/>
  </si>
  <si>
    <t>京東 106.7.18~7.28 陳瑞方 出差上海 機票+台胞證</t>
  </si>
  <si>
    <t>破壞性測試(Comtecs藍屏客訴測試)</t>
  </si>
  <si>
    <t>管理費,桶裝水及進口推貿費及進口稅
棧板作業費用(Aures) NTD155,380
AB客戶背蓋研磨拋光重工費 NTD10,400</t>
    <phoneticPr fontId="39" type="noConversion"/>
  </si>
  <si>
    <t>NEC NTD66,932
Logitec NTD31,011
TECNO NTD48,346
Aures NTD1,173</t>
    <phoneticPr fontId="56" type="noConversion"/>
  </si>
  <si>
    <t>2017.08 營業狀況說明</t>
    <phoneticPr fontId="54" type="noConversion"/>
  </si>
  <si>
    <t>2017.07.31</t>
  </si>
  <si>
    <t>2017.08.31</t>
    <phoneticPr fontId="54" type="noConversion"/>
  </si>
  <si>
    <t>Print Date:17/09/05</t>
  </si>
  <si>
    <t>Fiscal Year:2017   Month:8</t>
  </si>
  <si>
    <t>1114200 銀行存款-土地永和</t>
  </si>
  <si>
    <t>1114220 銀行存款-土銀永和乙存#58618</t>
  </si>
  <si>
    <t>1114250 銀行存款-土銀永和備償#58626</t>
  </si>
  <si>
    <t>Hitachi High-Tech Materials Corporation</t>
  </si>
  <si>
    <t>Logitec INA Solutions Co., Ltd</t>
  </si>
  <si>
    <t>台灣恩益禧股份有限公司</t>
  </si>
  <si>
    <t>1~30</t>
    <phoneticPr fontId="54" type="noConversion"/>
  </si>
  <si>
    <t>31~60</t>
    <phoneticPr fontId="54" type="noConversion"/>
  </si>
  <si>
    <t>61~90</t>
    <phoneticPr fontId="54" type="noConversion"/>
  </si>
  <si>
    <t>91~120</t>
    <phoneticPr fontId="54" type="noConversion"/>
  </si>
  <si>
    <t>121~150</t>
    <phoneticPr fontId="54" type="noConversion"/>
  </si>
  <si>
    <t>151~180</t>
    <phoneticPr fontId="54" type="noConversion"/>
  </si>
  <si>
    <t>181~</t>
    <phoneticPr fontId="54" type="noConversion"/>
  </si>
  <si>
    <t>帳列應收帳款合計</t>
    <phoneticPr fontId="54" type="noConversion"/>
  </si>
  <si>
    <r>
      <t>兌換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損</t>
    </r>
    <r>
      <rPr>
        <sz val="10"/>
        <rFont val="Arial"/>
        <family val="2"/>
      </rPr>
      <t>)</t>
    </r>
    <r>
      <rPr>
        <sz val="10"/>
        <rFont val="新細明體"/>
        <family val="1"/>
        <charset val="136"/>
      </rPr>
      <t>益</t>
    </r>
    <phoneticPr fontId="54" type="noConversion"/>
  </si>
  <si>
    <t>尾差</t>
    <phoneticPr fontId="54" type="noConversion"/>
  </si>
  <si>
    <t>應收帳款淨額</t>
    <phoneticPr fontId="54" type="noConversion"/>
  </si>
  <si>
    <t>呆帳比率</t>
    <phoneticPr fontId="54" type="noConversion"/>
  </si>
  <si>
    <t>備抵呆帳</t>
    <phoneticPr fontId="54" type="noConversion"/>
  </si>
  <si>
    <t>原帳列數</t>
    <phoneticPr fontId="54" type="noConversion"/>
  </si>
  <si>
    <r>
      <t>補提列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回轉</t>
    </r>
    <r>
      <rPr>
        <sz val="10"/>
        <rFont val="Arial"/>
        <family val="2"/>
      </rPr>
      <t>)</t>
    </r>
    <phoneticPr fontId="54" type="noConversion"/>
  </si>
  <si>
    <r>
      <t xml:space="preserve">6123000  </t>
    </r>
    <r>
      <rPr>
        <sz val="10"/>
        <rFont val="新細明體"/>
        <family val="1"/>
        <charset val="136"/>
      </rPr>
      <t>呆帳損失</t>
    </r>
    <phoneticPr fontId="54" type="noConversion"/>
  </si>
  <si>
    <r>
      <t xml:space="preserve">       1149000  </t>
    </r>
    <r>
      <rPr>
        <sz val="10"/>
        <rFont val="新細明體"/>
        <family val="1"/>
        <charset val="136"/>
      </rPr>
      <t>備抵呆帳</t>
    </r>
    <r>
      <rPr>
        <sz val="10"/>
        <rFont val="Arial"/>
        <family val="2"/>
      </rPr>
      <t>-</t>
    </r>
    <r>
      <rPr>
        <sz val="10"/>
        <rFont val="新細明體"/>
        <family val="1"/>
        <charset val="136"/>
      </rPr>
      <t>應收帳款</t>
    </r>
    <phoneticPr fontId="54" type="noConversion"/>
  </si>
  <si>
    <t xml:space="preserve"> </t>
    <phoneticPr fontId="54" type="noConversion"/>
  </si>
  <si>
    <r>
      <t>1-9</t>
    </r>
    <r>
      <rPr>
        <sz val="10"/>
        <rFont val="Arial Unicode MS"/>
        <family val="2"/>
        <charset val="136"/>
      </rPr>
      <t>月</t>
    </r>
    <phoneticPr fontId="40" type="noConversion"/>
  </si>
  <si>
    <t>2017.08</t>
  </si>
  <si>
    <t>2017 August</t>
    <phoneticPr fontId="40" type="noConversion"/>
  </si>
  <si>
    <t>AUSA0080</t>
  </si>
  <si>
    <t>Triden Systems</t>
  </si>
  <si>
    <t>AUSA0079</t>
  </si>
  <si>
    <t>Primal Pet Foods</t>
  </si>
  <si>
    <t>EJPA0041</t>
  </si>
  <si>
    <t xml:space="preserve">SPACE Corp._x000D_
</t>
  </si>
  <si>
    <t>AUSA0061</t>
  </si>
  <si>
    <t>Front End Digital Inc.</t>
  </si>
  <si>
    <t>AARA0002</t>
  </si>
  <si>
    <t>Tecno Accion S.A.</t>
  </si>
  <si>
    <t>ESGA0017</t>
  </si>
  <si>
    <t>Flex-Solver Pte Ltd</t>
  </si>
  <si>
    <t>FTWA0430</t>
  </si>
  <si>
    <t>EPHA0009</t>
  </si>
  <si>
    <t>PACIFIC OFFICE SOLUTIONS, INC</t>
  </si>
  <si>
    <t>EJPA0002</t>
  </si>
  <si>
    <t>FTWA0441</t>
  </si>
  <si>
    <t>宇辰光電(股)公司 eTurbotouch Technology Inc.</t>
  </si>
  <si>
    <t>EJPA0040</t>
  </si>
  <si>
    <t>BKZA0001</t>
  </si>
  <si>
    <t>ABDI Company JSC</t>
  </si>
  <si>
    <t>EJPA0023</t>
  </si>
  <si>
    <t>EILA0002</t>
  </si>
  <si>
    <t>DATA Detection Technologies LTD.</t>
  </si>
  <si>
    <t>EINA0006</t>
  </si>
  <si>
    <t>Brothers Pharmamach(India) Pvt. Lcd.</t>
  </si>
  <si>
    <t>2017 July</t>
    <phoneticPr fontId="40" type="noConversion"/>
  </si>
  <si>
    <t>2017 July Note</t>
    <phoneticPr fontId="54" type="noConversion"/>
  </si>
  <si>
    <t>&lt; 8 月份銷售區域利潤表&gt;</t>
    <phoneticPr fontId="56" type="noConversion"/>
  </si>
  <si>
    <r>
      <rPr>
        <b/>
        <sz val="12"/>
        <color indexed="60"/>
        <rFont val="新細明體"/>
        <family val="1"/>
        <charset val="136"/>
      </rPr>
      <t>加總</t>
    </r>
    <r>
      <rPr>
        <b/>
        <sz val="12"/>
        <color indexed="60"/>
        <rFont val="Arial"/>
        <family val="2"/>
      </rPr>
      <t xml:space="preserve"> </t>
    </r>
    <r>
      <rPr>
        <b/>
        <sz val="12"/>
        <color indexed="60"/>
        <rFont val="新細明體"/>
        <family val="1"/>
        <charset val="136"/>
      </rPr>
      <t>的</t>
    </r>
    <r>
      <rPr>
        <b/>
        <sz val="12"/>
        <color indexed="60"/>
        <rFont val="Arial"/>
        <family val="2"/>
      </rPr>
      <t>Qty</t>
    </r>
  </si>
  <si>
    <r>
      <rPr>
        <b/>
        <sz val="12"/>
        <color indexed="60"/>
        <rFont val="新細明體"/>
        <family val="1"/>
        <charset val="136"/>
      </rPr>
      <t>加總</t>
    </r>
    <r>
      <rPr>
        <b/>
        <sz val="12"/>
        <color indexed="60"/>
        <rFont val="Arial"/>
        <family val="2"/>
      </rPr>
      <t xml:space="preserve"> </t>
    </r>
    <r>
      <rPr>
        <b/>
        <sz val="12"/>
        <color indexed="60"/>
        <rFont val="新細明體"/>
        <family val="1"/>
        <charset val="136"/>
      </rPr>
      <t>的</t>
    </r>
    <r>
      <rPr>
        <b/>
        <sz val="12"/>
        <color indexed="60"/>
        <rFont val="Arial"/>
        <family val="2"/>
      </rPr>
      <t>Sales Amount</t>
    </r>
  </si>
  <si>
    <r>
      <rPr>
        <b/>
        <sz val="12"/>
        <color indexed="60"/>
        <rFont val="新細明體"/>
        <family val="1"/>
        <charset val="136"/>
      </rPr>
      <t>加總</t>
    </r>
    <r>
      <rPr>
        <b/>
        <sz val="12"/>
        <color indexed="60"/>
        <rFont val="Arial"/>
        <family val="2"/>
      </rPr>
      <t xml:space="preserve"> </t>
    </r>
    <r>
      <rPr>
        <b/>
        <sz val="12"/>
        <color indexed="60"/>
        <rFont val="新細明體"/>
        <family val="1"/>
        <charset val="136"/>
      </rPr>
      <t>的</t>
    </r>
    <r>
      <rPr>
        <b/>
        <sz val="12"/>
        <color indexed="60"/>
        <rFont val="Arial"/>
        <family val="2"/>
      </rPr>
      <t>Cost Amount</t>
    </r>
  </si>
  <si>
    <r>
      <rPr>
        <b/>
        <sz val="12"/>
        <color indexed="60"/>
        <rFont val="新細明體"/>
        <family val="1"/>
        <charset val="136"/>
      </rPr>
      <t>加總</t>
    </r>
    <r>
      <rPr>
        <b/>
        <sz val="12"/>
        <color indexed="60"/>
        <rFont val="Arial"/>
        <family val="2"/>
      </rPr>
      <t xml:space="preserve"> </t>
    </r>
    <r>
      <rPr>
        <b/>
        <sz val="12"/>
        <color indexed="60"/>
        <rFont val="新細明體"/>
        <family val="1"/>
        <charset val="136"/>
      </rPr>
      <t>的</t>
    </r>
    <r>
      <rPr>
        <b/>
        <sz val="12"/>
        <color indexed="60"/>
        <rFont val="Arial"/>
        <family val="2"/>
      </rPr>
      <t>Total Profit</t>
    </r>
  </si>
  <si>
    <r>
      <rPr>
        <b/>
        <sz val="12"/>
        <color indexed="60"/>
        <rFont val="新細明體"/>
        <family val="1"/>
        <charset val="136"/>
      </rPr>
      <t>加總</t>
    </r>
    <r>
      <rPr>
        <b/>
        <sz val="12"/>
        <color indexed="60"/>
        <rFont val="Arial"/>
        <family val="2"/>
      </rPr>
      <t xml:space="preserve"> </t>
    </r>
    <r>
      <rPr>
        <b/>
        <sz val="12"/>
        <color indexed="60"/>
        <rFont val="新細明體"/>
        <family val="1"/>
        <charset val="136"/>
      </rPr>
      <t>的</t>
    </r>
    <r>
      <rPr>
        <b/>
        <sz val="12"/>
        <color indexed="60"/>
        <rFont val="Arial"/>
        <family val="2"/>
      </rPr>
      <t>Profit %</t>
    </r>
  </si>
  <si>
    <t>BOXSTER10</t>
  </si>
  <si>
    <t>YUNO-BASE156 ASSY</t>
  </si>
  <si>
    <t>YUNO-BASE151 ASSY</t>
  </si>
  <si>
    <t>YUNO151-STAND-SP</t>
  </si>
  <si>
    <t>OLC TOUCH10"1</t>
  </si>
  <si>
    <r>
      <rPr>
        <b/>
        <sz val="12"/>
        <color indexed="18"/>
        <rFont val="新細明體"/>
        <family val="1"/>
        <charset val="136"/>
      </rPr>
      <t>總計</t>
    </r>
  </si>
  <si>
    <t>OLC TOUCH10"1-</t>
  </si>
  <si>
    <t>&lt; 8月銷貨毛利及MVA-各機種 &gt;</t>
    <phoneticPr fontId="54" type="noConversion"/>
  </si>
  <si>
    <t>EJPA0042</t>
  </si>
  <si>
    <t xml:space="preserve">YAMATO CORP._x000D_
</t>
  </si>
  <si>
    <t>ODMAC612</t>
  </si>
  <si>
    <t>OLC TOUCH10"1-BLACK,W/TOUCH,IO29,ART-03638</t>
  </si>
  <si>
    <t>ODMACA09</t>
  </si>
  <si>
    <t>YUNO+VFD-COVER-GLOSSYWHITE(20in1)</t>
  </si>
  <si>
    <t>ODMAC246</t>
  </si>
  <si>
    <t>YUNO151-STAND-SP,ART-03823,BLACK,HINGE PLATE+HINGE+L-STAND+</t>
  </si>
  <si>
    <t>ODMACB10</t>
  </si>
  <si>
    <t>YUNO-BASE151-GLOSSYWHITE-AG-II,ART-03819,INNOLUX+eTurbo,</t>
  </si>
  <si>
    <t>ODMACE03</t>
  </si>
  <si>
    <t>YUNO-BASE151-BLACK-II,ART-03520,INNOLUX+eTurbo,AU CORD</t>
  </si>
  <si>
    <t>ODMACQ08</t>
  </si>
  <si>
    <t>YUNO-BASE151-BLACK-II,ART-03520,INNOLUX+eTurbo,EU CORD,</t>
  </si>
  <si>
    <t>ODMAC247</t>
  </si>
  <si>
    <t>YUNO-BASE151 ASSY:WHITE</t>
  </si>
  <si>
    <t>ODMACC14</t>
  </si>
  <si>
    <t>YUNO-BASE156-WHITE-50KH,AUO+eTurbo,EU CORD,ART-03383</t>
  </si>
  <si>
    <t>ODMACF00</t>
  </si>
  <si>
    <t>ODMACF01</t>
  </si>
  <si>
    <t>ODMACF04</t>
  </si>
  <si>
    <t>ODMAC248</t>
  </si>
  <si>
    <t>YUNO-BASE156 ASSY:WHITE</t>
  </si>
  <si>
    <t>ODMACA08</t>
  </si>
  <si>
    <t>YUNO-COVER-GLOSSYWHITE(20in1)</t>
  </si>
  <si>
    <t>ODMACQ03</t>
  </si>
  <si>
    <t>YUNO-COVER-BLACK(20in1),CHINA</t>
  </si>
  <si>
    <t>ODMAC301</t>
  </si>
  <si>
    <t>YUNO-DALLAS,W/ IBUTTON,SYSKING IBT100 (IBT307 USB/KB MODE),</t>
  </si>
  <si>
    <t>ODMAC230</t>
  </si>
  <si>
    <t>YUNO-MB MODULE 1900,ART-03257,4G RAM,128G SSD,W/PACKING</t>
  </si>
  <si>
    <t>ODMACQ06</t>
  </si>
  <si>
    <t>YUNO-MB MODULE 1900,ART-03257,4G RAM,128G SSD,W/PACKING,</t>
  </si>
  <si>
    <t>ODMAC300</t>
  </si>
  <si>
    <t>YUNO-MSRLONG-BLACK,ART-03384</t>
  </si>
  <si>
    <t>ODMAC500</t>
  </si>
  <si>
    <t>YUNO-SCANNER2D,ART-03456</t>
  </si>
  <si>
    <t>ODMAC401</t>
  </si>
  <si>
    <t>YUNO-VFD,GRAY,FRA(20in1)</t>
  </si>
  <si>
    <t>ODMAC411</t>
  </si>
  <si>
    <t>YUNO-VFD,BLACK,ENG(20in1)</t>
  </si>
  <si>
    <t>ODMAC412</t>
  </si>
  <si>
    <t>YUNO-VFD,BLACK,USA(20in1)</t>
  </si>
  <si>
    <t>ODMAC416</t>
  </si>
  <si>
    <t>YUNO-VFD,BLACK,AU(20in1)</t>
  </si>
  <si>
    <t>F8701002</t>
  </si>
  <si>
    <t>XPOS87PE-5B-3217U W/64G SSD,4G RAM,EU CORD,EBN LOGO</t>
  </si>
  <si>
    <t>J70AL000</t>
  </si>
  <si>
    <t>IC70P-5B-1900 W/64G SSD,4G RAM,AU CORD,NEXA LOGO,Aniluin OEM</t>
  </si>
  <si>
    <t>F900A001</t>
  </si>
  <si>
    <t>XPOS90A-5B-I7 W/500G SATA HDD,4G RAM,UK CORD,EBN LOGO</t>
  </si>
  <si>
    <t>H75C8002</t>
  </si>
  <si>
    <t>XPPC75R-2B-2930-01 W/64G SSD,4G RAM,JPN CORD,POS READY(JPN)</t>
  </si>
  <si>
    <t>F90DC100</t>
  </si>
  <si>
    <t>XPOS90A-5B-I3-02 W/320G SATA HDD,4G RAM,W.P.E7(ENG),EU CORD</t>
  </si>
  <si>
    <t>F8204003</t>
  </si>
  <si>
    <t>XPOS82A-5B-D525D2-02 W/320G SATA HDD,4G RAM,EU CORD,EBN LOGO</t>
  </si>
  <si>
    <t>H72TE300</t>
  </si>
  <si>
    <t>XPPC72A-5B-1900-02 W/320G SATA HDD,4G RAM,EU CORD,EBN LOGO</t>
  </si>
  <si>
    <t>H75TE000</t>
  </si>
  <si>
    <t>XPPC75R-2B-1900 W/320G HDD,4G RAM,EU CORD,TPC</t>
  </si>
  <si>
    <t>Z1000004</t>
  </si>
  <si>
    <t>SPARE PARTS:ADAPTER:90W,19V,4.73A,小3PIN AC PLUG+4PIN PLUG,</t>
  </si>
  <si>
    <t>T1001002</t>
  </si>
  <si>
    <t>DN-101U 2ND DISPLAY WHITE W/O TOUCH,FLEX-SOLVER LOGO</t>
  </si>
  <si>
    <t>T1001003</t>
  </si>
  <si>
    <t>DN-101U 2ND DISPLAY BLACK W/O TOUCH,FLEX-SOLVER LOGO</t>
  </si>
  <si>
    <t>Y7003009</t>
  </si>
  <si>
    <t>DNPOS70P-5BT-3700-05,BLACK+TITANIUM,W/mSATA 64G SSD,4G RAM,</t>
  </si>
  <si>
    <t>Y7004007</t>
  </si>
  <si>
    <t>DNPOS70P-5WT-3700-03,WHITE+TITANIUM,W/mSATA 64G SSD,4G RAM,</t>
  </si>
  <si>
    <t>Z13H4009</t>
  </si>
  <si>
    <t>SPARE PARTS:BASE 950:15",BLACK,FOR 752 &amp; 855,HITACHI</t>
  </si>
  <si>
    <t>Z0100086</t>
  </si>
  <si>
    <t>SPARE PARTS:M/B:MB05,INTEL ATOM D525(FCBGA559)+ICH8-M,</t>
  </si>
  <si>
    <t>Z0100087</t>
  </si>
  <si>
    <t>SPARE PARTS:M/B:CD2,MB05,INTEL ATOM D525(FCBGA559)+ICH8-M</t>
  </si>
  <si>
    <t>Z0700030</t>
  </si>
  <si>
    <t>SERVICE PARTS:LCD PANEL:15",Innolux,G150XGE-L05,SPONGE+</t>
  </si>
  <si>
    <t>Z1300067</t>
  </si>
  <si>
    <t>SPARE PARTS:TOUCH PANEL:15",HIGG,XPOS752&amp;XPOS750</t>
  </si>
  <si>
    <t>Z05O3005</t>
  </si>
  <si>
    <t>SPARE PARTS:MSR:T/3,USB TYPE &amp; IBUTTON,OLIVETTI OEM</t>
  </si>
  <si>
    <t>F87PP100</t>
  </si>
  <si>
    <t>XPOS87PE-5B-3217U-02 W/320G HDD,4G RAM,US CORD,POSREADY7</t>
  </si>
  <si>
    <t>Z0500022</t>
  </si>
  <si>
    <t>SPARE PARTS:MSR:T/3,USB,FRONT TYPE,BLACK(EBN STANDARD),</t>
  </si>
  <si>
    <t>Z1500016</t>
  </si>
  <si>
    <t>XPOS755 15" 2ND DISPLAY,BLACK,NO HINGE,NO TOUCH,W/ADAPER</t>
  </si>
  <si>
    <t>Z1700002</t>
  </si>
  <si>
    <t>HING KIT:FOR 15" 2ND DISPLAY,BLACK</t>
  </si>
  <si>
    <t>B1000002</t>
  </si>
  <si>
    <t>BPC10-B-1900 W/mSATA 128G SSD,4G RAM,JPN CORD,POSREADY 7(JPN</t>
  </si>
  <si>
    <t>Y700000U</t>
  </si>
  <si>
    <t>SAMPLE:DNPOS70P-5W-3700,WHOLE WHITE,W/mSATA 64G SSD,4G RAM,</t>
  </si>
  <si>
    <t>F7507001</t>
  </si>
  <si>
    <t>XPOS75R-2B-2930-00 W/320G SATA HDD,4G RAM,JPN CORD,WIN 7 PRO</t>
  </si>
  <si>
    <t>F9505000</t>
  </si>
  <si>
    <t>XPOS95A-5B-I5-02 W/320G SATA HDD,4G RAM,POS READY 7(ZH-TW)</t>
  </si>
  <si>
    <t>T1006008</t>
  </si>
  <si>
    <t>2ND.:15",PHiStek,NO TOUCH P150VG,P150VG,W/WALL MOUNT ADAPTOR</t>
  </si>
  <si>
    <t>F75EF303</t>
  </si>
  <si>
    <t>XPOS75PE-5B-2930-09  W/64G SSD,4G RAM,UK CORD</t>
  </si>
  <si>
    <t>F75T9009</t>
  </si>
  <si>
    <t>XPOS755-T-5B-1900-00 W/64G SSD,4G RAM,ST-F20-14BS-CN-R</t>
  </si>
  <si>
    <t>F75T900F</t>
  </si>
  <si>
    <t>SAMPLE:POS-755T,BLACK,W/4G RAM,64G SSD,LCD(L03)</t>
  </si>
  <si>
    <t>F75T9200</t>
  </si>
  <si>
    <t>XPOS755-T-5W-1900-04 W/64G SSD,4G RAM,ST-F20-1AWS-CN-R</t>
  </si>
  <si>
    <t>T100700A</t>
  </si>
  <si>
    <t>SAMPLE:POS755-T 15" 2ND DISPLAY,BLACK,NO HINGE,W/TOUCH,LCD</t>
  </si>
  <si>
    <t>T100700B</t>
  </si>
  <si>
    <t>SAMPLE:POS755-T 15" 2ND DISPLAY,BLACK,NO HINGE,NO TOUCH,</t>
  </si>
  <si>
    <t>T1007100</t>
  </si>
  <si>
    <t>XPOS755-T 15" 2ND DISPLAY,WHITE,NO HINGE,NO TOUCH,TFTST-F20-</t>
  </si>
  <si>
    <t>T1007107</t>
  </si>
  <si>
    <t>XPOS755-T 15" 2ND DISPLAY,WHITE W/INNISFREE LOGO,NO HINGE,</t>
  </si>
  <si>
    <t>BU3</t>
    <phoneticPr fontId="68" type="noConversion"/>
  </si>
  <si>
    <t>YUNO-KIT-WIFI:ANTENNA &amp; W-LAN &amp; BT,J1900</t>
    <phoneticPr fontId="68" type="noConversion"/>
  </si>
  <si>
    <t>YUNO151-VESA-COVER-BLACK</t>
    <phoneticPr fontId="68" type="noConversion"/>
  </si>
  <si>
    <t>ODMAC228</t>
    <phoneticPr fontId="68" type="noConversion"/>
  </si>
  <si>
    <t>YUNO-MB MODULE 1900,ART-03257,4G RAM,128G SSD,W/O PACKING</t>
    <phoneticPr fontId="68" type="noConversion"/>
  </si>
  <si>
    <t>YUNO-MB-I3-5010U,ART-03478,4G RAM,128G SSD,W/O PACKING</t>
    <phoneticPr fontId="68" type="noConversion"/>
  </si>
  <si>
    <t>ODMAC231</t>
    <phoneticPr fontId="68" type="noConversion"/>
  </si>
  <si>
    <t>YUNO151-STAND-SP,ART-03823,BLACK,HINGE PLATE+HINGE+L-STAND+</t>
    <phoneticPr fontId="68" type="noConversion"/>
  </si>
  <si>
    <t>YUNO-BASE151 ASSY:WHITE</t>
    <phoneticPr fontId="68" type="noConversion"/>
  </si>
  <si>
    <t>YUNO-BASE156 ASSY:WHITE</t>
    <phoneticPr fontId="68" type="noConversion"/>
  </si>
  <si>
    <t>YUNO-MSRLONG-BLACK,ART-03384</t>
    <phoneticPr fontId="68" type="noConversion"/>
  </si>
  <si>
    <t>ODMAC301</t>
    <phoneticPr fontId="68" type="noConversion"/>
  </si>
  <si>
    <t>YUNO-DALLAS,W/ IBUTTON,SYSKING IBT100 (IBT307 USB/KB MODE),</t>
    <phoneticPr fontId="68" type="noConversion"/>
  </si>
  <si>
    <t>YUNO-VFD,BLACK,FRA(20in1)</t>
    <phoneticPr fontId="68" type="noConversion"/>
  </si>
  <si>
    <t>YUNO-SCANNER2D,ART-03456</t>
    <phoneticPr fontId="68" type="noConversion"/>
  </si>
  <si>
    <t>YUNO-2NDLCD10.1-BLACK,NO TOUCH,ART-03260</t>
    <phoneticPr fontId="68" type="noConversion"/>
  </si>
  <si>
    <t>OLC10"1-AG-VESA-SP,ART-03769,BLACK,NO TOUCH,ANTI-GLARE</t>
    <phoneticPr fontId="68" type="noConversion"/>
  </si>
  <si>
    <t>YUNO-2NDLCD10.1-TACT-BLACK,W/TOUCH,ART-03569</t>
    <phoneticPr fontId="68" type="noConversion"/>
  </si>
  <si>
    <t>OLC TOUCH10"1-BLACK,W/TOUCH,IO29,ART-03638</t>
    <phoneticPr fontId="68" type="noConversion"/>
  </si>
  <si>
    <t>YUNO-VESA-BRACKET(20in1)</t>
    <phoneticPr fontId="68" type="noConversion"/>
  </si>
  <si>
    <t>ODMACA04</t>
    <phoneticPr fontId="68" type="noConversion"/>
  </si>
  <si>
    <t>YUNO+VFD-COVER-BLACK(20in1)</t>
    <phoneticPr fontId="68" type="noConversion"/>
  </si>
  <si>
    <t>YUNO-COVER-BLACK(20in1)</t>
    <phoneticPr fontId="68" type="noConversion"/>
  </si>
  <si>
    <t>YUNO-BASE151-GLOSSYWHITE-AG-II,ART-03819,INNOLUX+eTurbo,</t>
    <phoneticPr fontId="68" type="noConversion"/>
  </si>
  <si>
    <t>YUNO-BASE156-BLACK-50KH,AUO+eTurbo,EU CORD,ART-03382</t>
    <phoneticPr fontId="68" type="noConversion"/>
  </si>
  <si>
    <t>YUNO-BASE151-BLACK-II,ART-03520,INNOLUX+eTurbo,EU CORD</t>
    <phoneticPr fontId="68" type="noConversion"/>
  </si>
  <si>
    <t>ODMACE03</t>
    <phoneticPr fontId="68" type="noConversion"/>
  </si>
  <si>
    <t>YUNO-BASE156-BLACK-50KH-II,ART-03524,X7D(I3-5010U),AUO+eTurb</t>
    <phoneticPr fontId="68" type="noConversion"/>
  </si>
  <si>
    <t>YUNO-COVER-BLACK(20in1),CHINA</t>
    <phoneticPr fontId="68" type="noConversion"/>
  </si>
  <si>
    <t>YUNO-MB MODULE 1900,ART-03257,4G RAM,128G SSD,W/PACKING,</t>
    <phoneticPr fontId="68" type="noConversion"/>
  </si>
  <si>
    <t>YUNO-BASE151-BLACK-II,ART-03520,INNOLUX+eTurbo,EU CORD,</t>
    <phoneticPr fontId="68" type="noConversion"/>
  </si>
  <si>
    <t>BU1</t>
    <phoneticPr fontId="68" type="noConversion"/>
  </si>
  <si>
    <t>ABDI Company JSC 合計</t>
  </si>
  <si>
    <t>Brothers Pharmamach(India) Pvt. Lcd. 合計</t>
  </si>
  <si>
    <t>DATA Detection Technologies LTD. 合計</t>
  </si>
  <si>
    <t>Y7003009</t>
    <phoneticPr fontId="68" type="noConversion"/>
  </si>
  <si>
    <t>Y7004007</t>
    <phoneticPr fontId="68" type="noConversion"/>
  </si>
  <si>
    <t>Flex-Solver Pte Ltd 合計</t>
  </si>
  <si>
    <t>Z13H4009</t>
    <phoneticPr fontId="68" type="noConversion"/>
  </si>
  <si>
    <t>Hitachi High-Tech Materials Corporation 合計</t>
  </si>
  <si>
    <t>Logitec INA Solutions Co., Ltd 合計</t>
  </si>
  <si>
    <t>F75O3003</t>
    <phoneticPr fontId="68" type="noConversion"/>
  </si>
  <si>
    <t>Z0500022</t>
    <phoneticPr fontId="68" type="noConversion"/>
  </si>
  <si>
    <t>PACIFIC OFFICE SOLUTIONS, INC 合計</t>
  </si>
  <si>
    <t>SPACE Corp._x000D_
 合計</t>
  </si>
  <si>
    <t>Triden Systems 合計</t>
  </si>
  <si>
    <t>F7507001</t>
    <phoneticPr fontId="68" type="noConversion"/>
  </si>
  <si>
    <t>YAMATO CORP._x000D_
 合計</t>
  </si>
  <si>
    <t>台灣恩益禧股份有限公司 合計</t>
  </si>
  <si>
    <t>F75EF303</t>
    <phoneticPr fontId="68" type="noConversion"/>
  </si>
  <si>
    <t>宇辰光電(股)公司 eTurbotouch Technology Inc. 合計</t>
  </si>
  <si>
    <t>BU4</t>
    <phoneticPr fontId="68" type="noConversion"/>
  </si>
  <si>
    <t>F75T9009</t>
    <phoneticPr fontId="68" type="noConversion"/>
  </si>
  <si>
    <t>F75T9012</t>
    <phoneticPr fontId="68" type="noConversion"/>
  </si>
  <si>
    <t>T1007100</t>
    <phoneticPr fontId="68" type="noConversion"/>
  </si>
  <si>
    <t>T1007106</t>
    <phoneticPr fontId="68" type="noConversion"/>
  </si>
  <si>
    <t>Z1300146</t>
    <phoneticPr fontId="68" type="noConversion"/>
  </si>
  <si>
    <t>( I ) 本月總營業淨額為 NT$ 82,134,915，營業淨利為 NT$2,522,739  3,07%，重大項目說明如下：</t>
    <phoneticPr fontId="54" type="noConversion"/>
  </si>
  <si>
    <t>(A)     本月營業毛利為 NT$ 11,184,271， 毛利率為 13.62%</t>
    <phoneticPr fontId="54" type="noConversion"/>
  </si>
  <si>
    <r>
      <t xml:space="preserve">排除本月提列存貨呆滯及跌價損失評價及存貨盤損合計 NT$23,984，本月毛利率為 13.65%，平均MVA為 24.03%，加工成本率為 6.45%，製造費用率為 4.04%，本月產品毛利率由以下組合而致：(1) </t>
    </r>
    <r>
      <rPr>
        <b/>
        <u/>
        <sz val="12"/>
        <color rgb="FF000099"/>
        <rFont val="Arial Unicode MS"/>
        <family val="2"/>
        <charset val="136"/>
      </rPr>
      <t>Aures銷售佔比為 78.17%</t>
    </r>
    <r>
      <rPr>
        <sz val="12"/>
        <color rgb="FF000099"/>
        <rFont val="Arial Unicode MS"/>
        <family val="2"/>
        <charset val="136"/>
      </rPr>
      <t xml:space="preserve">， MVA %為 22.67%，平均毛利率 12.30%，本月MVA較上月減少 0.37%。 (2) </t>
    </r>
    <r>
      <rPr>
        <b/>
        <u/>
        <sz val="12"/>
        <color rgb="FF000099"/>
        <rFont val="Arial Unicode MS"/>
        <family val="2"/>
        <charset val="136"/>
      </rPr>
      <t>台灣東芝 銷售佔比為 8.38%</t>
    </r>
    <r>
      <rPr>
        <sz val="12"/>
        <color rgb="FF000099"/>
        <rFont val="Arial Unicode MS"/>
        <family val="2"/>
        <charset val="136"/>
      </rPr>
      <t>， MVA %為 21.84%，平均毛利率 8.254%，本月MVA較上月減少 0.14%。(3)</t>
    </r>
    <r>
      <rPr>
        <b/>
        <u/>
        <sz val="12"/>
        <color rgb="FF000099"/>
        <rFont val="Arial Unicode MS"/>
        <family val="2"/>
        <charset val="136"/>
      </rPr>
      <t>排除ODM外之其他客戶銷售佔比 13.45%</t>
    </r>
    <r>
      <rPr>
        <sz val="12"/>
        <color rgb="FF000099"/>
        <rFont val="Arial Unicode MS"/>
        <family val="2"/>
        <charset val="136"/>
      </rPr>
      <t>，MVA%為 33.29%，平均毛利率 24.05%，主要來自客戶：Olivetti S.p.A. XPOS755P*359pcs 與SPARE PARTS*120PCS銷售佔比 6.73 %，MVA%為 34.43%，平均毛利率 23.75% 及  宇辰光電 XPOS755P*100pcs 銷售佔比 1.71 %，MVA%為 31.84%，平均毛利率 24.05%。</t>
    </r>
    <phoneticPr fontId="54" type="noConversion"/>
  </si>
  <si>
    <t>海關三旬匯率</t>
    <phoneticPr fontId="56" type="noConversion"/>
  </si>
  <si>
    <t>月份</t>
    <phoneticPr fontId="56" type="noConversion"/>
  </si>
  <si>
    <t>買進匯率(對台幣)(Purchase in)</t>
  </si>
  <si>
    <t>賣出匯率(對台幣)(Sales out)</t>
  </si>
  <si>
    <t>七月</t>
    <phoneticPr fontId="56" type="noConversion"/>
  </si>
  <si>
    <t>八月</t>
    <phoneticPr fontId="56" type="noConversion"/>
  </si>
  <si>
    <t>USD</t>
    <phoneticPr fontId="56" type="noConversion"/>
  </si>
  <si>
    <t>1-10日</t>
    <phoneticPr fontId="56" type="noConversion"/>
  </si>
  <si>
    <t>11-20日</t>
    <phoneticPr fontId="56" type="noConversion"/>
  </si>
  <si>
    <t>21-30日</t>
    <phoneticPr fontId="56" type="noConversion"/>
  </si>
  <si>
    <t>差異</t>
    <phoneticPr fontId="56" type="noConversion"/>
  </si>
  <si>
    <t>本月存貨總額計 NT$1.70億較上月增加約 NT$200萬，備抵金額約 NT$1,946萬，本月存貨淨額增加約NTD220萬，係因原料減少約 NT$420萬、製成品增加約NT$975萬及在製品增加約NT$130萬及在途存貨減少約400萬，本月提列存貨呆滯損失約 NT$2萬，庫齡異動詳後附工作表「Inventory+AR Aging」。</t>
    <phoneticPr fontId="54" type="noConversion"/>
  </si>
  <si>
    <t>(B)     本月營業費用計NT $8,661,532，較上月減少 NT$1,696,653，主要費用說明如下:</t>
    <phoneticPr fontId="54" type="noConversion"/>
  </si>
  <si>
    <t>(2) 管理費用計 NT$1,755,224，較上月減少 NT$1,742,895。主要異動係上月支付人員獎金NTD1,679,368，其餘無重大差異。</t>
    <phoneticPr fontId="54" type="noConversion"/>
  </si>
  <si>
    <t>( II ) 本月產生淨營業外支出計 NT$232,899，主要原因係：</t>
    <phoneticPr fontId="54" type="noConversion"/>
  </si>
  <si>
    <t>106.8.16 暐信 SFF20 Vibration&amp;Drop 測試費(環測)</t>
  </si>
  <si>
    <t>106.7.27 INV.20170727001明廣151R2 MM(TP+CB)NRE費</t>
    <phoneticPr fontId="39" type="noConversion"/>
  </si>
  <si>
    <t>106.8.15 PL50385158 捷城 TL52佈線設計費(X7CE)</t>
    <phoneticPr fontId="39" type="noConversion"/>
  </si>
  <si>
    <t>106.8.16 PL48119302 今慶 8月份 ESD測試費用</t>
    <phoneticPr fontId="39" type="noConversion"/>
  </si>
  <si>
    <t>106.8.3 PN99625534 世騰ST-F20&amp;BPC10 ESD&amp;EMI測試費</t>
    <phoneticPr fontId="39" type="noConversion"/>
  </si>
  <si>
    <t>106.8.18 PL06654334 暐信 SFF20 ESD測試費用(租測)</t>
    <phoneticPr fontId="39" type="noConversion"/>
  </si>
  <si>
    <t>明廣151R2 NRE費 NTD274,050
捷城 TL52佈線設計費(X7CE) NTD142,298
今慶 8月份 ESD測試費用 NTD43,800
世騰ST-F20&amp;BPC10 ESD&amp;EMI測試費 NTD5,000
暐信 SFF20 ESD測試費用 NTD13,000</t>
    <phoneticPr fontId="39" type="noConversion"/>
  </si>
  <si>
    <t>(3) 研發費用計 NT$3,319,491，較上月增加 NT$154,139。主要明廣151R2 NRE費 NTD274,050，其餘無重大變動。</t>
    <phoneticPr fontId="54" type="noConversion"/>
  </si>
  <si>
    <t>黃書航4/16~4/27出差上海</t>
    <phoneticPr fontId="39" type="noConversion"/>
  </si>
  <si>
    <t>趙振文副總每月可補助交際及交通費上限$50,000</t>
    <phoneticPr fontId="39" type="noConversion"/>
  </si>
  <si>
    <t>上月Christina 支付佣金 XPOS755 USD9680*30.36</t>
    <phoneticPr fontId="39" type="noConversion"/>
  </si>
  <si>
    <t>(1) 銷售費用計 NT$3,586,817，較上月減少 NT$107,897。主要異動係上月支付Christina 佣金 XPOS755 USD9680*30.36 NTD293,885及出口費用較上個月增加 NTD147,583 ，其餘無重大差異。</t>
    <phoneticPr fontId="54" type="noConversion"/>
  </si>
  <si>
    <t>八月底新台幣兌換美元較上月升值，月底AR評價匯率30.13，本月外幣資產及負債評價產生淨兌換利益 NT$35,806，額度動撥 NT$ 81,147,909 動撥期間產生利息費用 NT$117,626，代收運費多收及出租員工車位與利息收入計 NT$265,588，另應收帳款轉讓、押匯及匯款手續費支出 NT$416,667。</t>
    <phoneticPr fontId="54" type="noConversion"/>
  </si>
  <si>
    <t>年度 : 2017</t>
  </si>
  <si>
    <t>多月份損益表</t>
  </si>
  <si>
    <t>&lt;back to Summary&gt;</t>
  </si>
  <si>
    <t>IS明細!H77</t>
  </si>
  <si>
    <t>detail of exp</t>
  </si>
  <si>
    <t>現金流量表</t>
  </si>
  <si>
    <t>106年度</t>
  </si>
  <si>
    <t>單位:新台幣元</t>
  </si>
  <si>
    <t>1-12月</t>
  </si>
  <si>
    <t>營業活動之現金流量：</t>
  </si>
  <si>
    <t>　存貨跌價(回升利得)損失</t>
  </si>
  <si>
    <t>　存貨盤損(盈)</t>
  </si>
  <si>
    <t xml:space="preserve">  金融資產評價利益</t>
  </si>
  <si>
    <t xml:space="preserve">  處分固定資產損失(利益)</t>
  </si>
  <si>
    <t>　應收款項(增加)減少</t>
  </si>
  <si>
    <t>　存貨(增加)減少</t>
  </si>
  <si>
    <t xml:space="preserve">  交易目的金融資產(增加)減少</t>
  </si>
  <si>
    <t>　預付款項(增加)減少</t>
  </si>
  <si>
    <t>　其他流動資產(增加)減少</t>
  </si>
  <si>
    <t>　應付款項增加(減少)</t>
  </si>
  <si>
    <t>　應付費用增加(減少)</t>
  </si>
  <si>
    <t>　預收款項增加(減少)</t>
  </si>
  <si>
    <t>　其他流動負債增加(減少)</t>
  </si>
  <si>
    <t>　　營業活動之淨現金流入(出)</t>
  </si>
  <si>
    <t>投資活動之現金流量：</t>
  </si>
  <si>
    <t>　購買長期投資</t>
  </si>
  <si>
    <t xml:space="preserve">  購買固定資產</t>
  </si>
  <si>
    <t>　存出保證金(增加)減少</t>
  </si>
  <si>
    <t xml:space="preserve">  遞延費用(增加)減少</t>
  </si>
  <si>
    <t>　　投資活動之淨現金流入(出)</t>
  </si>
  <si>
    <t>融資活動之現金流量：</t>
  </si>
  <si>
    <t>　短期借款增加(減少)</t>
  </si>
  <si>
    <t>　其他負債增加(滅少)</t>
  </si>
  <si>
    <t>　　融資活動之淨現金流入(出)</t>
  </si>
  <si>
    <t>本期現金及銀行存款增加數</t>
  </si>
  <si>
    <t>期初現金及銀行存款餘額</t>
  </si>
  <si>
    <t>期末現金及銀行存款餘額</t>
  </si>
  <si>
    <t>減: 銀行存款受限制資產（質押定存）</t>
  </si>
  <si>
    <t>期末現金及銀行存款可用餘額</t>
  </si>
  <si>
    <t>BS Balance</t>
  </si>
  <si>
    <t>check</t>
  </si>
  <si>
    <t>100年度</t>
  </si>
  <si>
    <t>101年度</t>
  </si>
  <si>
    <t>102年度</t>
  </si>
  <si>
    <t>103年度</t>
  </si>
  <si>
    <t>104年度</t>
  </si>
  <si>
    <t>105年度</t>
  </si>
  <si>
    <t>截至1月</t>
  </si>
  <si>
    <t>截至5月</t>
  </si>
  <si>
    <t>截至8月</t>
  </si>
  <si>
    <t>截至9月</t>
  </si>
  <si>
    <t>截至10月</t>
  </si>
  <si>
    <t>截至11月</t>
  </si>
  <si>
    <t>應收帳款週轉率</t>
  </si>
  <si>
    <t>應收帳款週轉天數</t>
  </si>
  <si>
    <t>存貨週轉率</t>
  </si>
  <si>
    <t>存貨週轉天數</t>
  </si>
  <si>
    <t>應付帳款週轉率</t>
  </si>
  <si>
    <t>應付帳款週轉天數</t>
  </si>
  <si>
    <t>數值列</t>
  </si>
  <si>
    <t>Key Value</t>
  </si>
  <si>
    <t>PeriodMonth 2017-08</t>
  </si>
  <si>
    <t>Value</t>
    <phoneticPr fontId="184" type="noConversion"/>
  </si>
  <si>
    <t xml:space="preserve">AURES_Revenue </t>
    <phoneticPr fontId="184" type="noConversion"/>
  </si>
  <si>
    <t xml:space="preserve">Total_Revenue </t>
    <phoneticPr fontId="184" type="noConversion"/>
  </si>
  <si>
    <t>RevenueShare</t>
    <phoneticPr fontId="184" type="noConversion"/>
  </si>
  <si>
    <t xml:space="preserve">Inv_Gross </t>
    <phoneticPr fontId="184" type="noConversion"/>
  </si>
  <si>
    <t xml:space="preserve">Inv_Allowance </t>
    <phoneticPr fontId="184" type="noConversion"/>
  </si>
  <si>
    <t xml:space="preserve">SlowMovingRatio </t>
    <phoneticPr fontId="184" type="noConversion"/>
  </si>
  <si>
    <t xml:space="preserve">OldStock_181plus </t>
    <phoneticPr fontId="184" type="noConversion"/>
  </si>
  <si>
    <t xml:space="preserve">OldStock_Total </t>
    <phoneticPr fontId="184" type="noConversion"/>
  </si>
  <si>
    <t xml:space="preserve">OldStockRatio </t>
    <phoneticPr fontId="184" type="noConversion"/>
  </si>
  <si>
    <t xml:space="preserve">SpecificityIndex </t>
    <phoneticPr fontId="184" type="noConversion"/>
  </si>
  <si>
    <t>Inv_Net</t>
    <phoneticPr fontId="184" type="noConversion"/>
  </si>
  <si>
    <t>AURES_OldStock_Est</t>
    <phoneticPr fontId="184" type="noConversion"/>
  </si>
  <si>
    <t>AURES_OldStock_PressureScore</t>
  </si>
  <si>
    <t>OldStock_Severity</t>
  </si>
  <si>
    <t>Config</t>
    <phoneticPr fontId="184" type="noConversion"/>
  </si>
  <si>
    <t>Cfg_base</t>
    <phoneticPr fontId="184" type="noConversion"/>
  </si>
  <si>
    <t>cfg_w_slow</t>
  </si>
  <si>
    <t>cfg_w_old</t>
  </si>
  <si>
    <t>cfg_cap</t>
    <phoneticPr fontId="184" type="noConversion"/>
  </si>
  <si>
    <t>Ｒatio weight (default), tuned for ODM-like inventory risk</t>
    <phoneticPr fontId="18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</si>
</sst>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6" formatCode="&quot;$&quot;#,##0_);[Red]\(&quot;$&quot;#,##0\)"/>
    <numFmt numFmtId="176" formatCode="&quot;$&quot;#,##0;\-&quot;$&quot;#,##0"/>
    <numFmt numFmtId="177" formatCode="&quot;$&quot;#,##0.00;\-&quot;$&quot;#,##0.00"/>
    <numFmt numFmtId="178" formatCode="_-* #,##0_-;\-* #,##0_-;_-* &quot;-&quot;_-;_-@_-"/>
    <numFmt numFmtId="179" formatCode="_-* #,##0.00_-;\-* #,##0.00_-;_-* &quot;-&quot;??_-;_-@_-"/>
    <numFmt numFmtId="180" formatCode="#,##0_ "/>
    <numFmt numFmtId="181" formatCode="#,##0.00_ "/>
    <numFmt numFmtId="182" formatCode="0_);[Red]\(0\)"/>
    <numFmt numFmtId="183" formatCode="0.00_ "/>
    <numFmt numFmtId="184" formatCode="#,##0.0_ "/>
    <numFmt numFmtId="185" formatCode="0.00_);[Red]\(0.00\)"/>
    <numFmt numFmtId="186" formatCode="0.0%"/>
    <numFmt numFmtId="187" formatCode="_-* #,##0_-;\-* #,##0_-;_-* &quot;-&quot;??_-;_-@_-"/>
    <numFmt numFmtId="188" formatCode="m&quot;月&quot;d&quot;日&quot;"/>
    <numFmt numFmtId="189" formatCode="_-* #,##0.000_-;\-* #,##0.000_-;_-* &quot;-&quot;??_-;_-@_-"/>
    <numFmt numFmtId="190" formatCode="0_ "/>
    <numFmt numFmtId="191" formatCode="_-* #,##0.0_-;\-* #,##0.0_-;_-* &quot;-&quot;??_-;_-@_-"/>
    <numFmt numFmtId="192" formatCode="0.000_ "/>
    <numFmt numFmtId="193" formatCode="#,##0.000_);[Red]\(#,##0.000\)"/>
  </numFmts>
  <fonts count="185">
    <font>
      <sz val="10"/>
      <color indexed="8"/>
      <name val="MS Sans Serif"/>
      <family val="2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color indexed="8"/>
      <name val="細明體"/>
      <family val="3"/>
      <charset val="136"/>
    </font>
    <font>
      <sz val="10"/>
      <name val="新細明體"/>
      <family val="1"/>
      <charset val="136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Arial"/>
      <family val="2"/>
    </font>
    <font>
      <sz val="10"/>
      <color indexed="8"/>
      <name val="新細明體"/>
      <family val="1"/>
      <charset val="136"/>
    </font>
    <font>
      <b/>
      <sz val="12"/>
      <color indexed="8"/>
      <name val="細明體"/>
      <family val="3"/>
      <charset val="136"/>
    </font>
    <font>
      <b/>
      <sz val="11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name val="Arial"/>
      <family val="2"/>
    </font>
    <font>
      <sz val="10"/>
      <color indexed="12"/>
      <name val="新細明體"/>
      <family val="1"/>
      <charset val="136"/>
    </font>
    <font>
      <sz val="12"/>
      <color indexed="8"/>
      <name val="細明體"/>
      <family val="3"/>
      <charset val="136"/>
    </font>
    <font>
      <sz val="12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indexed="12"/>
      <name val="新細明體"/>
      <family val="1"/>
      <charset val="136"/>
    </font>
    <font>
      <b/>
      <sz val="10"/>
      <name val="新細明體"/>
      <family val="1"/>
      <charset val="136"/>
    </font>
    <font>
      <sz val="12"/>
      <name val="Calibri"/>
      <family val="2"/>
    </font>
    <font>
      <sz val="12"/>
      <color indexed="8"/>
      <name val="Calibri"/>
      <family val="2"/>
    </font>
    <font>
      <sz val="12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2"/>
      <color indexed="81"/>
      <name val="Tahoma"/>
      <family val="2"/>
    </font>
    <font>
      <sz val="12"/>
      <color indexed="81"/>
      <name val="細明體"/>
      <family val="3"/>
      <charset val="136"/>
    </font>
    <font>
      <sz val="10"/>
      <color indexed="8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2"/>
      <color theme="0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b/>
      <sz val="10"/>
      <name val="Arial"/>
      <family val="2"/>
    </font>
    <font>
      <sz val="12"/>
      <color indexed="8"/>
      <name val="Arial"/>
      <family val="2"/>
    </font>
    <font>
      <b/>
      <sz val="10"/>
      <name val="Calibri"/>
      <family val="2"/>
    </font>
    <font>
      <b/>
      <sz val="11"/>
      <color indexed="81"/>
      <name val="新細明體"/>
      <family val="1"/>
      <charset val="136"/>
    </font>
    <font>
      <sz val="11"/>
      <color indexed="81"/>
      <name val="新細明體"/>
      <family val="1"/>
      <charset val="136"/>
    </font>
    <font>
      <b/>
      <sz val="12"/>
      <color indexed="8"/>
      <name val="Calibri"/>
      <family val="2"/>
    </font>
    <font>
      <sz val="9"/>
      <color indexed="8"/>
      <name val="Calibri"/>
      <family val="2"/>
    </font>
    <font>
      <u/>
      <sz val="10"/>
      <color indexed="12"/>
      <name val="Calibri"/>
      <family val="2"/>
    </font>
    <font>
      <b/>
      <sz val="11"/>
      <name val="細明體"/>
      <family val="3"/>
      <charset val="136"/>
    </font>
    <font>
      <sz val="12"/>
      <color indexed="81"/>
      <name val="新細明體"/>
      <family val="1"/>
      <charset val="136"/>
    </font>
    <font>
      <b/>
      <sz val="12"/>
      <color indexed="8"/>
      <name val="Arial"/>
      <family val="2"/>
    </font>
    <font>
      <sz val="10"/>
      <color indexed="8"/>
      <name val="MS Sans Serif"/>
      <family val="2"/>
    </font>
    <font>
      <u/>
      <sz val="10"/>
      <color theme="10"/>
      <name val="MS Sans Serif"/>
      <family val="2"/>
    </font>
    <font>
      <sz val="9"/>
      <name val="新細明體"/>
      <family val="1"/>
      <charset val="136"/>
    </font>
    <font>
      <sz val="10"/>
      <color indexed="8"/>
      <name val="Arial"/>
      <family val="2"/>
    </font>
    <font>
      <sz val="9"/>
      <name val="細明體"/>
      <family val="3"/>
      <charset val="136"/>
    </font>
    <font>
      <sz val="9"/>
      <color indexed="8"/>
      <name val="Arial"/>
      <family val="2"/>
    </font>
    <font>
      <sz val="10"/>
      <color indexed="12"/>
      <name val="Calibri"/>
      <family val="2"/>
    </font>
    <font>
      <sz val="10"/>
      <color rgb="FF0000CC"/>
      <name val="Calibri"/>
      <family val="2"/>
    </font>
    <font>
      <sz val="10"/>
      <color indexed="18"/>
      <name val="Calibri"/>
      <family val="2"/>
    </font>
    <font>
      <sz val="10"/>
      <color indexed="10"/>
      <name val="Calibri"/>
      <family val="2"/>
    </font>
    <font>
      <u/>
      <sz val="9"/>
      <color indexed="12"/>
      <name val="Calibri"/>
      <family val="2"/>
    </font>
    <font>
      <b/>
      <sz val="12"/>
      <name val="Calibri"/>
      <family val="2"/>
    </font>
    <font>
      <sz val="12"/>
      <color indexed="10"/>
      <name val="Calibri"/>
      <family val="2"/>
    </font>
    <font>
      <u/>
      <sz val="10"/>
      <color indexed="12"/>
      <name val="Arial"/>
      <family val="2"/>
    </font>
    <font>
      <sz val="12"/>
      <color indexed="10"/>
      <name val="Arial"/>
      <family val="2"/>
    </font>
    <font>
      <b/>
      <sz val="9"/>
      <color indexed="8"/>
      <name val="Arial"/>
      <family val="2"/>
    </font>
    <font>
      <sz val="9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2"/>
      <color indexed="9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5"/>
      <color theme="3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0"/>
      <color theme="1"/>
      <name val="Arial Unicode MS"/>
      <family val="2"/>
      <charset val="136"/>
    </font>
    <font>
      <sz val="8"/>
      <color theme="1"/>
      <name val="Arial Unicode MS"/>
      <family val="2"/>
      <charset val="136"/>
    </font>
    <font>
      <sz val="11"/>
      <color theme="1"/>
      <name val="Arial Unicode MS"/>
      <family val="2"/>
      <charset val="136"/>
    </font>
    <font>
      <sz val="11"/>
      <name val="Arial Unicode MS"/>
      <family val="2"/>
      <charset val="136"/>
    </font>
    <font>
      <sz val="10"/>
      <name val="Arial Unicode MS"/>
      <family val="2"/>
      <charset val="136"/>
    </font>
    <font>
      <sz val="11"/>
      <color indexed="8"/>
      <name val="Arial Unicode MS"/>
      <family val="2"/>
      <charset val="136"/>
    </font>
    <font>
      <b/>
      <sz val="11"/>
      <color indexed="8"/>
      <name val="Arial Unicode MS"/>
      <family val="2"/>
      <charset val="136"/>
    </font>
    <font>
      <u/>
      <sz val="11"/>
      <color indexed="12"/>
      <name val="Arial Unicode MS"/>
      <family val="2"/>
      <charset val="136"/>
    </font>
    <font>
      <sz val="10"/>
      <color indexed="8"/>
      <name val="Arial Unicode MS"/>
      <family val="2"/>
      <charset val="136"/>
    </font>
    <font>
      <sz val="11"/>
      <color indexed="10"/>
      <name val="Arial Unicode MS"/>
      <family val="2"/>
      <charset val="136"/>
    </font>
    <font>
      <b/>
      <sz val="11"/>
      <name val="Arial Unicode MS"/>
      <family val="2"/>
      <charset val="136"/>
    </font>
    <font>
      <b/>
      <sz val="11"/>
      <color theme="1"/>
      <name val="Arial Unicode MS"/>
      <family val="2"/>
      <charset val="136"/>
    </font>
    <font>
      <b/>
      <sz val="12"/>
      <name val="Arial Unicode MS"/>
      <family val="2"/>
      <charset val="136"/>
    </font>
    <font>
      <u/>
      <sz val="10"/>
      <name val="Arial Unicode MS"/>
      <family val="2"/>
      <charset val="136"/>
    </font>
    <font>
      <b/>
      <sz val="10"/>
      <name val="Arial Unicode MS"/>
      <family val="2"/>
      <charset val="136"/>
    </font>
    <font>
      <sz val="12"/>
      <color indexed="8"/>
      <name val="Arial Unicode MS"/>
      <family val="2"/>
      <charset val="136"/>
    </font>
    <font>
      <sz val="12"/>
      <name val="Arial Unicode MS"/>
      <family val="2"/>
      <charset val="136"/>
    </font>
    <font>
      <sz val="12"/>
      <color theme="0"/>
      <name val="Arial Unicode MS"/>
      <family val="2"/>
      <charset val="136"/>
    </font>
    <font>
      <sz val="12"/>
      <color theme="1"/>
      <name val="Arial Unicode MS"/>
      <family val="2"/>
      <charset val="136"/>
    </font>
    <font>
      <u/>
      <sz val="10"/>
      <color indexed="12"/>
      <name val="Arial Unicode MS"/>
      <family val="2"/>
      <charset val="136"/>
    </font>
    <font>
      <sz val="10"/>
      <color indexed="10"/>
      <name val="Arial Unicode MS"/>
      <family val="2"/>
      <charset val="136"/>
    </font>
    <font>
      <sz val="10"/>
      <color indexed="12"/>
      <name val="Arial Unicode MS"/>
      <family val="2"/>
      <charset val="136"/>
    </font>
    <font>
      <b/>
      <sz val="12"/>
      <color indexed="8"/>
      <name val="Arial Unicode MS"/>
      <family val="2"/>
      <charset val="136"/>
    </font>
    <font>
      <b/>
      <sz val="12"/>
      <color indexed="12"/>
      <name val="Arial Unicode MS"/>
      <family val="2"/>
      <charset val="136"/>
    </font>
    <font>
      <sz val="12"/>
      <color indexed="10"/>
      <name val="Arial Unicode MS"/>
      <family val="2"/>
      <charset val="136"/>
    </font>
    <font>
      <sz val="16"/>
      <name val="Arial Unicode MS"/>
      <family val="2"/>
      <charset val="136"/>
    </font>
    <font>
      <sz val="14"/>
      <name val="Arial Unicode MS"/>
      <family val="2"/>
      <charset val="136"/>
    </font>
    <font>
      <b/>
      <sz val="16"/>
      <name val="Arial Unicode MS"/>
      <family val="2"/>
      <charset val="136"/>
    </font>
    <font>
      <b/>
      <sz val="10"/>
      <color indexed="8"/>
      <name val="Arial Unicode MS"/>
      <family val="2"/>
      <charset val="136"/>
    </font>
    <font>
      <sz val="11"/>
      <color rgb="FFFF0000"/>
      <name val="Arial Unicode MS"/>
      <family val="2"/>
      <charset val="136"/>
    </font>
    <font>
      <u/>
      <sz val="10"/>
      <color theme="1"/>
      <name val="Arial Unicode MS"/>
      <family val="2"/>
      <charset val="136"/>
    </font>
    <font>
      <b/>
      <sz val="10"/>
      <color theme="1"/>
      <name val="Arial Unicode MS"/>
      <family val="2"/>
      <charset val="136"/>
    </font>
    <font>
      <b/>
      <u/>
      <sz val="10"/>
      <color theme="1"/>
      <name val="Arial Unicode MS"/>
      <family val="2"/>
      <charset val="136"/>
    </font>
    <font>
      <b/>
      <sz val="10"/>
      <color indexed="18"/>
      <name val="Arial"/>
      <family val="2"/>
    </font>
    <font>
      <sz val="14"/>
      <color indexed="8"/>
      <name val="Arial Unicode MS"/>
      <family val="2"/>
      <charset val="136"/>
    </font>
    <font>
      <sz val="12"/>
      <color rgb="FF000099"/>
      <name val="Arial Unicode MS"/>
      <family val="2"/>
      <charset val="136"/>
    </font>
    <font>
      <sz val="12"/>
      <color indexed="18"/>
      <name val="Arial Unicode MS"/>
      <family val="2"/>
      <charset val="136"/>
    </font>
    <font>
      <b/>
      <u/>
      <sz val="12"/>
      <color rgb="FF000099"/>
      <name val="Arial Unicode MS"/>
      <family val="2"/>
      <charset val="136"/>
    </font>
    <font>
      <u/>
      <sz val="12"/>
      <color indexed="12"/>
      <name val="Arial Unicode MS"/>
      <family val="2"/>
      <charset val="136"/>
    </font>
    <font>
      <b/>
      <sz val="20"/>
      <color theme="1"/>
      <name val="Arial"/>
      <family val="2"/>
    </font>
    <font>
      <u val="double"/>
      <sz val="16"/>
      <color theme="1"/>
      <name val="Arial"/>
      <family val="2"/>
    </font>
    <font>
      <sz val="8"/>
      <color theme="1"/>
      <name val="Arial"/>
      <family val="2"/>
    </font>
    <font>
      <u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2"/>
      <color indexed="62"/>
      <name val="Arial Unicode MS"/>
      <family val="2"/>
      <charset val="136"/>
    </font>
    <font>
      <b/>
      <sz val="12"/>
      <color indexed="60"/>
      <name val="Arial"/>
      <family val="2"/>
    </font>
    <font>
      <b/>
      <sz val="12"/>
      <color indexed="9"/>
      <name val="Arial"/>
      <family val="2"/>
    </font>
    <font>
      <sz val="12"/>
      <color indexed="18"/>
      <name val="Arial"/>
      <family val="2"/>
    </font>
    <font>
      <sz val="12"/>
      <color theme="1"/>
      <name val="Arial"/>
      <family val="2"/>
    </font>
    <font>
      <b/>
      <sz val="12"/>
      <color indexed="18"/>
      <name val="Arial"/>
      <family val="2"/>
    </font>
    <font>
      <b/>
      <sz val="11"/>
      <color indexed="60"/>
      <name val="微軟正黑體"/>
      <family val="2"/>
      <charset val="136"/>
    </font>
    <font>
      <b/>
      <sz val="11"/>
      <color indexed="9"/>
      <name val="微軟正黑體"/>
      <family val="2"/>
      <charset val="136"/>
    </font>
    <font>
      <sz val="11"/>
      <color indexed="18"/>
      <name val="微軟正黑體"/>
      <family val="2"/>
      <charset val="136"/>
    </font>
    <font>
      <sz val="11"/>
      <color indexed="8"/>
      <name val="微軟正黑體"/>
      <family val="2"/>
      <charset val="136"/>
    </font>
    <font>
      <b/>
      <u/>
      <sz val="8"/>
      <color theme="1"/>
      <name val="Arial"/>
      <family val="2"/>
    </font>
    <font>
      <b/>
      <sz val="8"/>
      <color theme="1"/>
      <name val="Arial"/>
      <family val="2"/>
    </font>
    <font>
      <u/>
      <sz val="11"/>
      <color theme="1"/>
      <name val="Arial"/>
      <family val="2"/>
    </font>
    <font>
      <sz val="11"/>
      <color theme="1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12"/>
      <name val="微軟正黑體"/>
      <family val="2"/>
      <charset val="136"/>
    </font>
    <font>
      <sz val="11"/>
      <name val="微軟正黑體"/>
      <family val="2"/>
      <charset val="136"/>
    </font>
    <font>
      <b/>
      <u/>
      <sz val="11"/>
      <name val="微軟正黑體"/>
      <family val="2"/>
      <charset val="136"/>
    </font>
    <font>
      <b/>
      <sz val="11"/>
      <color indexed="18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2"/>
      <color indexed="60"/>
      <name val="新細明體"/>
      <family val="1"/>
      <charset val="136"/>
    </font>
    <font>
      <b/>
      <sz val="12"/>
      <color indexed="18"/>
      <name val="新細明體"/>
      <family val="1"/>
      <charset val="136"/>
    </font>
    <font>
      <u/>
      <sz val="11"/>
      <color theme="1"/>
      <name val="Arial Unicode MS"/>
      <family val="2"/>
      <charset val="136"/>
    </font>
    <font>
      <b/>
      <sz val="11"/>
      <color rgb="FF0000CC"/>
      <name val="Arial Unicode MS"/>
      <family val="2"/>
      <charset val="136"/>
    </font>
    <font>
      <sz val="9"/>
      <name val="Wawati TC"/>
      <family val="3"/>
      <charset val="136"/>
    </font>
  </fonts>
  <fills count="8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0099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ashed">
        <color indexed="1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dashed">
        <color indexed="18"/>
      </right>
      <top/>
      <bottom/>
      <diagonal/>
    </border>
    <border>
      <left style="thick">
        <color indexed="23"/>
      </left>
      <right/>
      <top style="thick">
        <color indexed="23"/>
      </top>
      <bottom style="thick">
        <color indexed="23"/>
      </bottom>
      <diagonal/>
    </border>
    <border>
      <left/>
      <right/>
      <top style="thick">
        <color indexed="23"/>
      </top>
      <bottom style="thick">
        <color indexed="23"/>
      </bottom>
      <diagonal/>
    </border>
    <border>
      <left/>
      <right style="thick">
        <color indexed="23"/>
      </right>
      <top style="thick">
        <color indexed="23"/>
      </top>
      <bottom style="thick">
        <color indexed="23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ck">
        <color indexed="23"/>
      </top>
      <bottom style="medium">
        <color indexed="64"/>
      </bottom>
      <diagonal/>
    </border>
    <border>
      <left/>
      <right/>
      <top style="thick">
        <color indexed="23"/>
      </top>
      <bottom style="medium">
        <color indexed="64"/>
      </bottom>
      <diagonal/>
    </border>
    <border>
      <left/>
      <right style="medium">
        <color indexed="64"/>
      </right>
      <top style="thick">
        <color indexed="23"/>
      </top>
      <bottom style="medium">
        <color indexed="64"/>
      </bottom>
      <diagonal/>
    </border>
  </borders>
  <cellStyleXfs count="5316">
    <xf numFmtId="0" fontId="0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17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4" fillId="0" borderId="0">
      <alignment vertical="center"/>
    </xf>
    <xf numFmtId="0" fontId="52" fillId="0" borderId="0"/>
    <xf numFmtId="179" fontId="14" fillId="0" borderId="0" applyFont="0" applyFill="0" applyBorder="0" applyAlignment="0" applyProtection="0"/>
    <xf numFmtId="0" fontId="14" fillId="0" borderId="0">
      <alignment vertical="center"/>
    </xf>
    <xf numFmtId="17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2" fillId="0" borderId="0"/>
    <xf numFmtId="0" fontId="19" fillId="56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64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19" fillId="6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19" fillId="67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84" fillId="59" borderId="0" applyNumberFormat="0" applyBorder="0" applyAlignment="0" applyProtection="0">
      <alignment vertical="center"/>
    </xf>
    <xf numFmtId="0" fontId="99" fillId="39" borderId="0" applyNumberFormat="0" applyBorder="0" applyAlignment="0" applyProtection="0">
      <alignment vertical="center"/>
    </xf>
    <xf numFmtId="0" fontId="99" fillId="39" borderId="0" applyNumberFormat="0" applyBorder="0" applyAlignment="0" applyProtection="0">
      <alignment vertical="center"/>
    </xf>
    <xf numFmtId="0" fontId="99" fillId="39" borderId="0" applyNumberFormat="0" applyBorder="0" applyAlignment="0" applyProtection="0">
      <alignment vertical="center"/>
    </xf>
    <xf numFmtId="0" fontId="99" fillId="39" borderId="0" applyNumberFormat="0" applyBorder="0" applyAlignment="0" applyProtection="0">
      <alignment vertical="center"/>
    </xf>
    <xf numFmtId="0" fontId="99" fillId="39" borderId="0" applyNumberFormat="0" applyBorder="0" applyAlignment="0" applyProtection="0">
      <alignment vertical="center"/>
    </xf>
    <xf numFmtId="0" fontId="99" fillId="39" borderId="0" applyNumberFormat="0" applyBorder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84" fillId="72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38" fontId="15" fillId="0" borderId="0" applyFont="0" applyBorder="0" applyAlignment="0" applyProtection="0"/>
    <xf numFmtId="0" fontId="14" fillId="0" borderId="0">
      <alignment vertical="center"/>
    </xf>
    <xf numFmtId="0" fontId="15" fillId="0" borderId="0"/>
    <xf numFmtId="0" fontId="15" fillId="0" borderId="0"/>
    <xf numFmtId="0" fontId="52" fillId="0" borderId="0"/>
    <xf numFmtId="0" fontId="15" fillId="0" borderId="0"/>
    <xf numFmtId="0" fontId="52" fillId="0" borderId="0" applyNumberFormat="0" applyFont="0" applyFill="0" applyBorder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101" fillId="0" borderId="39" applyNumberFormat="0" applyFill="0" applyAlignment="0" applyProtection="0">
      <alignment vertical="center"/>
    </xf>
    <xf numFmtId="0" fontId="101" fillId="0" borderId="39" applyNumberFormat="0" applyFill="0" applyAlignment="0" applyProtection="0">
      <alignment vertical="center"/>
    </xf>
    <xf numFmtId="0" fontId="101" fillId="0" borderId="39" applyNumberFormat="0" applyFill="0" applyAlignment="0" applyProtection="0">
      <alignment vertical="center"/>
    </xf>
    <xf numFmtId="0" fontId="101" fillId="0" borderId="39" applyNumberFormat="0" applyFill="0" applyAlignment="0" applyProtection="0">
      <alignment vertical="center"/>
    </xf>
    <xf numFmtId="0" fontId="101" fillId="0" borderId="39" applyNumberFormat="0" applyFill="0" applyAlignment="0" applyProtection="0">
      <alignment vertical="center"/>
    </xf>
    <xf numFmtId="0" fontId="101" fillId="0" borderId="39" applyNumberFormat="0" applyFill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87" fillId="73" borderId="43" applyNumberFormat="0" applyAlignment="0" applyProtection="0">
      <alignment vertical="center"/>
    </xf>
    <xf numFmtId="0" fontId="103" fillId="29" borderId="34" applyNumberFormat="0" applyAlignment="0" applyProtection="0">
      <alignment vertical="center"/>
    </xf>
    <xf numFmtId="0" fontId="103" fillId="29" borderId="34" applyNumberFormat="0" applyAlignment="0" applyProtection="0">
      <alignment vertical="center"/>
    </xf>
    <xf numFmtId="0" fontId="103" fillId="29" borderId="34" applyNumberFormat="0" applyAlignment="0" applyProtection="0">
      <alignment vertical="center"/>
    </xf>
    <xf numFmtId="0" fontId="103" fillId="29" borderId="34" applyNumberFormat="0" applyAlignment="0" applyProtection="0">
      <alignment vertical="center"/>
    </xf>
    <xf numFmtId="0" fontId="103" fillId="29" borderId="34" applyNumberFormat="0" applyAlignment="0" applyProtection="0">
      <alignment vertical="center"/>
    </xf>
    <xf numFmtId="0" fontId="103" fillId="29" borderId="34" applyNumberFormat="0" applyAlignment="0" applyProtection="0">
      <alignment vertical="center"/>
    </xf>
    <xf numFmtId="0" fontId="88" fillId="0" borderId="44" applyNumberFormat="0" applyFill="0" applyAlignment="0" applyProtection="0">
      <alignment vertical="center"/>
    </xf>
    <xf numFmtId="0" fontId="104" fillId="0" borderId="36" applyNumberFormat="0" applyFill="0" applyAlignment="0" applyProtection="0">
      <alignment vertical="center"/>
    </xf>
    <xf numFmtId="0" fontId="104" fillId="0" borderId="36" applyNumberFormat="0" applyFill="0" applyAlignment="0" applyProtection="0">
      <alignment vertical="center"/>
    </xf>
    <xf numFmtId="0" fontId="104" fillId="0" borderId="36" applyNumberFormat="0" applyFill="0" applyAlignment="0" applyProtection="0">
      <alignment vertical="center"/>
    </xf>
    <xf numFmtId="0" fontId="104" fillId="0" borderId="36" applyNumberFormat="0" applyFill="0" applyAlignment="0" applyProtection="0">
      <alignment vertical="center"/>
    </xf>
    <xf numFmtId="0" fontId="104" fillId="0" borderId="36" applyNumberFormat="0" applyFill="0" applyAlignment="0" applyProtection="0">
      <alignment vertical="center"/>
    </xf>
    <xf numFmtId="0" fontId="104" fillId="0" borderId="36" applyNumberFormat="0" applyFill="0" applyAlignment="0" applyProtection="0">
      <alignment vertical="center"/>
    </xf>
    <xf numFmtId="0" fontId="19" fillId="61" borderId="45" applyNumberFormat="0" applyFont="0" applyAlignment="0" applyProtection="0">
      <alignment vertical="center"/>
    </xf>
    <xf numFmtId="0" fontId="19" fillId="31" borderId="38" applyNumberFormat="0" applyFont="0" applyAlignment="0" applyProtection="0">
      <alignment vertical="center"/>
    </xf>
    <xf numFmtId="0" fontId="19" fillId="31" borderId="38" applyNumberFormat="0" applyFont="0" applyAlignment="0" applyProtection="0">
      <alignment vertical="center"/>
    </xf>
    <xf numFmtId="0" fontId="98" fillId="31" borderId="38" applyNumberFormat="0" applyFont="0" applyAlignment="0" applyProtection="0">
      <alignment vertical="center"/>
    </xf>
    <xf numFmtId="0" fontId="98" fillId="31" borderId="38" applyNumberFormat="0" applyFont="0" applyAlignment="0" applyProtection="0">
      <alignment vertical="center"/>
    </xf>
    <xf numFmtId="0" fontId="98" fillId="31" borderId="38" applyNumberFormat="0" applyFont="0" applyAlignment="0" applyProtection="0">
      <alignment vertical="center"/>
    </xf>
    <xf numFmtId="0" fontId="98" fillId="31" borderId="38" applyNumberFormat="0" applyFont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84" fillId="74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84" fillId="75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84" fillId="76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99" fillId="44" borderId="0" applyNumberFormat="0" applyBorder="0" applyAlignment="0" applyProtection="0">
      <alignment vertical="center"/>
    </xf>
    <xf numFmtId="0" fontId="99" fillId="44" borderId="0" applyNumberFormat="0" applyBorder="0" applyAlignment="0" applyProtection="0">
      <alignment vertical="center"/>
    </xf>
    <xf numFmtId="0" fontId="99" fillId="44" borderId="0" applyNumberFormat="0" applyBorder="0" applyAlignment="0" applyProtection="0">
      <alignment vertical="center"/>
    </xf>
    <xf numFmtId="0" fontId="99" fillId="44" borderId="0" applyNumberFormat="0" applyBorder="0" applyAlignment="0" applyProtection="0">
      <alignment vertical="center"/>
    </xf>
    <xf numFmtId="0" fontId="99" fillId="44" borderId="0" applyNumberFormat="0" applyBorder="0" applyAlignment="0" applyProtection="0">
      <alignment vertical="center"/>
    </xf>
    <xf numFmtId="0" fontId="99" fillId="44" borderId="0" applyNumberFormat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46" applyNumberFormat="0" applyFill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92" fillId="0" borderId="47" applyNumberFormat="0" applyFill="0" applyAlignment="0" applyProtection="0">
      <alignment vertical="center"/>
    </xf>
    <xf numFmtId="0" fontId="108" fillId="0" borderId="32" applyNumberFormat="0" applyFill="0" applyAlignment="0" applyProtection="0">
      <alignment vertical="center"/>
    </xf>
    <xf numFmtId="0" fontId="108" fillId="0" borderId="32" applyNumberFormat="0" applyFill="0" applyAlignment="0" applyProtection="0">
      <alignment vertical="center"/>
    </xf>
    <xf numFmtId="0" fontId="108" fillId="0" borderId="32" applyNumberFormat="0" applyFill="0" applyAlignment="0" applyProtection="0">
      <alignment vertical="center"/>
    </xf>
    <xf numFmtId="0" fontId="108" fillId="0" borderId="32" applyNumberFormat="0" applyFill="0" applyAlignment="0" applyProtection="0">
      <alignment vertical="center"/>
    </xf>
    <xf numFmtId="0" fontId="108" fillId="0" borderId="32" applyNumberFormat="0" applyFill="0" applyAlignment="0" applyProtection="0">
      <alignment vertical="center"/>
    </xf>
    <xf numFmtId="0" fontId="108" fillId="0" borderId="32" applyNumberFormat="0" applyFill="0" applyAlignment="0" applyProtection="0">
      <alignment vertical="center"/>
    </xf>
    <xf numFmtId="0" fontId="93" fillId="0" borderId="48" applyNumberFormat="0" applyFill="0" applyAlignment="0" applyProtection="0">
      <alignment vertical="center"/>
    </xf>
    <xf numFmtId="0" fontId="109" fillId="0" borderId="33" applyNumberFormat="0" applyFill="0" applyAlignment="0" applyProtection="0">
      <alignment vertical="center"/>
    </xf>
    <xf numFmtId="0" fontId="109" fillId="0" borderId="33" applyNumberFormat="0" applyFill="0" applyAlignment="0" applyProtection="0">
      <alignment vertical="center"/>
    </xf>
    <xf numFmtId="0" fontId="109" fillId="0" borderId="33" applyNumberFormat="0" applyFill="0" applyAlignment="0" applyProtection="0">
      <alignment vertical="center"/>
    </xf>
    <xf numFmtId="0" fontId="109" fillId="0" borderId="33" applyNumberFormat="0" applyFill="0" applyAlignment="0" applyProtection="0">
      <alignment vertical="center"/>
    </xf>
    <xf numFmtId="0" fontId="109" fillId="0" borderId="33" applyNumberFormat="0" applyFill="0" applyAlignment="0" applyProtection="0">
      <alignment vertical="center"/>
    </xf>
    <xf numFmtId="0" fontId="109" fillId="0" borderId="33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94" fillId="63" borderId="43" applyNumberFormat="0" applyAlignment="0" applyProtection="0">
      <alignment vertical="center"/>
    </xf>
    <xf numFmtId="0" fontId="110" fillId="28" borderId="34" applyNumberFormat="0" applyAlignment="0" applyProtection="0">
      <alignment vertical="center"/>
    </xf>
    <xf numFmtId="0" fontId="110" fillId="28" borderId="34" applyNumberFormat="0" applyAlignment="0" applyProtection="0">
      <alignment vertical="center"/>
    </xf>
    <xf numFmtId="0" fontId="110" fillId="28" borderId="34" applyNumberFormat="0" applyAlignment="0" applyProtection="0">
      <alignment vertical="center"/>
    </xf>
    <xf numFmtId="0" fontId="110" fillId="28" borderId="34" applyNumberFormat="0" applyAlignment="0" applyProtection="0">
      <alignment vertical="center"/>
    </xf>
    <xf numFmtId="0" fontId="110" fillId="28" borderId="34" applyNumberFormat="0" applyAlignment="0" applyProtection="0">
      <alignment vertical="center"/>
    </xf>
    <xf numFmtId="0" fontId="110" fillId="28" borderId="34" applyNumberFormat="0" applyAlignment="0" applyProtection="0">
      <alignment vertical="center"/>
    </xf>
    <xf numFmtId="0" fontId="95" fillId="73" borderId="49" applyNumberFormat="0" applyAlignment="0" applyProtection="0">
      <alignment vertical="center"/>
    </xf>
    <xf numFmtId="0" fontId="111" fillId="29" borderId="35" applyNumberFormat="0" applyAlignment="0" applyProtection="0">
      <alignment vertical="center"/>
    </xf>
    <xf numFmtId="0" fontId="111" fillId="29" borderId="35" applyNumberFormat="0" applyAlignment="0" applyProtection="0">
      <alignment vertical="center"/>
    </xf>
    <xf numFmtId="0" fontId="111" fillId="29" borderId="35" applyNumberFormat="0" applyAlignment="0" applyProtection="0">
      <alignment vertical="center"/>
    </xf>
    <xf numFmtId="0" fontId="111" fillId="29" borderId="35" applyNumberFormat="0" applyAlignment="0" applyProtection="0">
      <alignment vertical="center"/>
    </xf>
    <xf numFmtId="0" fontId="111" fillId="29" borderId="35" applyNumberFormat="0" applyAlignment="0" applyProtection="0">
      <alignment vertical="center"/>
    </xf>
    <xf numFmtId="0" fontId="111" fillId="29" borderId="35" applyNumberFormat="0" applyAlignment="0" applyProtection="0">
      <alignment vertical="center"/>
    </xf>
    <xf numFmtId="0" fontId="83" fillId="77" borderId="50" applyNumberFormat="0" applyAlignment="0" applyProtection="0">
      <alignment vertical="center"/>
    </xf>
    <xf numFmtId="0" fontId="112" fillId="30" borderId="37" applyNumberFormat="0" applyAlignment="0" applyProtection="0">
      <alignment vertical="center"/>
    </xf>
    <xf numFmtId="0" fontId="112" fillId="30" borderId="37" applyNumberFormat="0" applyAlignment="0" applyProtection="0">
      <alignment vertical="center"/>
    </xf>
    <xf numFmtId="0" fontId="112" fillId="30" borderId="37" applyNumberFormat="0" applyAlignment="0" applyProtection="0">
      <alignment vertical="center"/>
    </xf>
    <xf numFmtId="0" fontId="112" fillId="30" borderId="37" applyNumberFormat="0" applyAlignment="0" applyProtection="0">
      <alignment vertical="center"/>
    </xf>
    <xf numFmtId="0" fontId="112" fillId="30" borderId="37" applyNumberFormat="0" applyAlignment="0" applyProtection="0">
      <alignment vertical="center"/>
    </xf>
    <xf numFmtId="0" fontId="112" fillId="30" borderId="37" applyNumberFormat="0" applyAlignment="0" applyProtection="0">
      <alignment vertical="center"/>
    </xf>
    <xf numFmtId="0" fontId="96" fillId="58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6" fillId="28" borderId="34" applyNumberFormat="0" applyAlignment="0" applyProtection="0">
      <alignment vertical="center"/>
    </xf>
    <xf numFmtId="0" fontId="77" fillId="29" borderId="35" applyNumberFormat="0" applyAlignment="0" applyProtection="0">
      <alignment vertical="center"/>
    </xf>
    <xf numFmtId="0" fontId="78" fillId="29" borderId="34" applyNumberFormat="0" applyAlignment="0" applyProtection="0">
      <alignment vertical="center"/>
    </xf>
    <xf numFmtId="0" fontId="79" fillId="0" borderId="36" applyNumberFormat="0" applyFill="0" applyAlignment="0" applyProtection="0">
      <alignment vertical="center"/>
    </xf>
    <xf numFmtId="0" fontId="39" fillId="30" borderId="37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" fillId="31" borderId="38" applyNumberFormat="0" applyFon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15" fillId="0" borderId="0"/>
    <xf numFmtId="0" fontId="69" fillId="0" borderId="0" applyNumberFormat="0" applyFill="0" applyBorder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6" fillId="28" borderId="34" applyNumberFormat="0" applyAlignment="0" applyProtection="0">
      <alignment vertical="center"/>
    </xf>
    <xf numFmtId="0" fontId="77" fillId="29" borderId="35" applyNumberFormat="0" applyAlignment="0" applyProtection="0">
      <alignment vertical="center"/>
    </xf>
    <xf numFmtId="0" fontId="78" fillId="29" borderId="34" applyNumberFormat="0" applyAlignment="0" applyProtection="0">
      <alignment vertical="center"/>
    </xf>
    <xf numFmtId="0" fontId="79" fillId="0" borderId="36" applyNumberFormat="0" applyFill="0" applyAlignment="0" applyProtection="0">
      <alignment vertical="center"/>
    </xf>
    <xf numFmtId="0" fontId="39" fillId="30" borderId="37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" fillId="31" borderId="38" applyNumberFormat="0" applyFon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6" fillId="28" borderId="34" applyNumberFormat="0" applyAlignment="0" applyProtection="0">
      <alignment vertical="center"/>
    </xf>
    <xf numFmtId="0" fontId="77" fillId="29" borderId="35" applyNumberFormat="0" applyAlignment="0" applyProtection="0">
      <alignment vertical="center"/>
    </xf>
    <xf numFmtId="0" fontId="78" fillId="29" borderId="34" applyNumberFormat="0" applyAlignment="0" applyProtection="0">
      <alignment vertical="center"/>
    </xf>
    <xf numFmtId="0" fontId="79" fillId="0" borderId="36" applyNumberFormat="0" applyFill="0" applyAlignment="0" applyProtection="0">
      <alignment vertical="center"/>
    </xf>
    <xf numFmtId="0" fontId="39" fillId="30" borderId="37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" fillId="31" borderId="38" applyNumberFormat="0" applyFon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15" fillId="0" borderId="0"/>
    <xf numFmtId="0" fontId="69" fillId="0" borderId="0" applyNumberFormat="0" applyFill="0" applyBorder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6" fillId="28" borderId="34" applyNumberFormat="0" applyAlignment="0" applyProtection="0">
      <alignment vertical="center"/>
    </xf>
    <xf numFmtId="0" fontId="77" fillId="29" borderId="35" applyNumberFormat="0" applyAlignment="0" applyProtection="0">
      <alignment vertical="center"/>
    </xf>
    <xf numFmtId="0" fontId="78" fillId="29" borderId="34" applyNumberFormat="0" applyAlignment="0" applyProtection="0">
      <alignment vertical="center"/>
    </xf>
    <xf numFmtId="0" fontId="79" fillId="0" borderId="36" applyNumberFormat="0" applyFill="0" applyAlignment="0" applyProtection="0">
      <alignment vertical="center"/>
    </xf>
    <xf numFmtId="0" fontId="39" fillId="30" borderId="37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" fillId="31" borderId="38" applyNumberFormat="0" applyFon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6" fillId="28" borderId="34" applyNumberFormat="0" applyAlignment="0" applyProtection="0">
      <alignment vertical="center"/>
    </xf>
    <xf numFmtId="0" fontId="77" fillId="29" borderId="35" applyNumberFormat="0" applyAlignment="0" applyProtection="0">
      <alignment vertical="center"/>
    </xf>
    <xf numFmtId="0" fontId="78" fillId="29" borderId="34" applyNumberFormat="0" applyAlignment="0" applyProtection="0">
      <alignment vertical="center"/>
    </xf>
    <xf numFmtId="0" fontId="79" fillId="0" borderId="36" applyNumberFormat="0" applyFill="0" applyAlignment="0" applyProtection="0">
      <alignment vertical="center"/>
    </xf>
    <xf numFmtId="0" fontId="39" fillId="30" borderId="37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" fillId="31" borderId="38" applyNumberFormat="0" applyFon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15" fillId="0" borderId="0"/>
    <xf numFmtId="0" fontId="69" fillId="0" borderId="0" applyNumberFormat="0" applyFill="0" applyBorder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6" fillId="28" borderId="34" applyNumberFormat="0" applyAlignment="0" applyProtection="0">
      <alignment vertical="center"/>
    </xf>
    <xf numFmtId="0" fontId="77" fillId="29" borderId="35" applyNumberFormat="0" applyAlignment="0" applyProtection="0">
      <alignment vertical="center"/>
    </xf>
    <xf numFmtId="0" fontId="78" fillId="29" borderId="34" applyNumberFormat="0" applyAlignment="0" applyProtection="0">
      <alignment vertical="center"/>
    </xf>
    <xf numFmtId="0" fontId="79" fillId="0" borderId="36" applyNumberFormat="0" applyFill="0" applyAlignment="0" applyProtection="0">
      <alignment vertical="center"/>
    </xf>
    <xf numFmtId="0" fontId="39" fillId="30" borderId="37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" fillId="31" borderId="38" applyNumberFormat="0" applyFon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6" fillId="28" borderId="34" applyNumberFormat="0" applyAlignment="0" applyProtection="0">
      <alignment vertical="center"/>
    </xf>
    <xf numFmtId="0" fontId="77" fillId="29" borderId="35" applyNumberFormat="0" applyAlignment="0" applyProtection="0">
      <alignment vertical="center"/>
    </xf>
    <xf numFmtId="0" fontId="78" fillId="29" borderId="34" applyNumberFormat="0" applyAlignment="0" applyProtection="0">
      <alignment vertical="center"/>
    </xf>
    <xf numFmtId="0" fontId="79" fillId="0" borderId="36" applyNumberFormat="0" applyFill="0" applyAlignment="0" applyProtection="0">
      <alignment vertical="center"/>
    </xf>
    <xf numFmtId="0" fontId="39" fillId="30" borderId="37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" fillId="31" borderId="38" applyNumberFormat="0" applyFon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6" fillId="28" borderId="34" applyNumberFormat="0" applyAlignment="0" applyProtection="0">
      <alignment vertical="center"/>
    </xf>
    <xf numFmtId="0" fontId="77" fillId="29" borderId="35" applyNumberFormat="0" applyAlignment="0" applyProtection="0">
      <alignment vertical="center"/>
    </xf>
    <xf numFmtId="0" fontId="78" fillId="29" borderId="34" applyNumberFormat="0" applyAlignment="0" applyProtection="0">
      <alignment vertical="center"/>
    </xf>
    <xf numFmtId="0" fontId="79" fillId="0" borderId="36" applyNumberFormat="0" applyFill="0" applyAlignment="0" applyProtection="0">
      <alignment vertical="center"/>
    </xf>
    <xf numFmtId="0" fontId="39" fillId="30" borderId="37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" fillId="31" borderId="38" applyNumberFormat="0" applyFon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15" fillId="0" borderId="0"/>
    <xf numFmtId="0" fontId="69" fillId="0" borderId="0" applyNumberFormat="0" applyFill="0" applyBorder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6" fillId="28" borderId="34" applyNumberFormat="0" applyAlignment="0" applyProtection="0">
      <alignment vertical="center"/>
    </xf>
    <xf numFmtId="0" fontId="77" fillId="29" borderId="35" applyNumberFormat="0" applyAlignment="0" applyProtection="0">
      <alignment vertical="center"/>
    </xf>
    <xf numFmtId="0" fontId="78" fillId="29" borderId="34" applyNumberFormat="0" applyAlignment="0" applyProtection="0">
      <alignment vertical="center"/>
    </xf>
    <xf numFmtId="0" fontId="79" fillId="0" borderId="36" applyNumberFormat="0" applyFill="0" applyAlignment="0" applyProtection="0">
      <alignment vertical="center"/>
    </xf>
    <xf numFmtId="0" fontId="39" fillId="30" borderId="37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" fillId="31" borderId="38" applyNumberFormat="0" applyFon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6" fillId="28" borderId="34" applyNumberFormat="0" applyAlignment="0" applyProtection="0">
      <alignment vertical="center"/>
    </xf>
    <xf numFmtId="0" fontId="77" fillId="29" borderId="35" applyNumberFormat="0" applyAlignment="0" applyProtection="0">
      <alignment vertical="center"/>
    </xf>
    <xf numFmtId="0" fontId="78" fillId="29" borderId="34" applyNumberFormat="0" applyAlignment="0" applyProtection="0">
      <alignment vertical="center"/>
    </xf>
    <xf numFmtId="0" fontId="79" fillId="0" borderId="36" applyNumberFormat="0" applyFill="0" applyAlignment="0" applyProtection="0">
      <alignment vertical="center"/>
    </xf>
    <xf numFmtId="0" fontId="39" fillId="30" borderId="37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" fillId="31" borderId="38" applyNumberFormat="0" applyFon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6" fillId="28" borderId="34" applyNumberFormat="0" applyAlignment="0" applyProtection="0">
      <alignment vertical="center"/>
    </xf>
    <xf numFmtId="0" fontId="77" fillId="29" borderId="35" applyNumberFormat="0" applyAlignment="0" applyProtection="0">
      <alignment vertical="center"/>
    </xf>
    <xf numFmtId="0" fontId="78" fillId="29" borderId="34" applyNumberFormat="0" applyAlignment="0" applyProtection="0">
      <alignment vertical="center"/>
    </xf>
    <xf numFmtId="0" fontId="79" fillId="0" borderId="36" applyNumberFormat="0" applyFill="0" applyAlignment="0" applyProtection="0">
      <alignment vertical="center"/>
    </xf>
    <xf numFmtId="0" fontId="39" fillId="30" borderId="37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" fillId="31" borderId="38" applyNumberFormat="0" applyFon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6" fillId="28" borderId="34" applyNumberFormat="0" applyAlignment="0" applyProtection="0">
      <alignment vertical="center"/>
    </xf>
    <xf numFmtId="0" fontId="77" fillId="29" borderId="35" applyNumberFormat="0" applyAlignment="0" applyProtection="0">
      <alignment vertical="center"/>
    </xf>
    <xf numFmtId="0" fontId="78" fillId="29" borderId="34" applyNumberFormat="0" applyAlignment="0" applyProtection="0">
      <alignment vertical="center"/>
    </xf>
    <xf numFmtId="0" fontId="79" fillId="0" borderId="36" applyNumberFormat="0" applyFill="0" applyAlignment="0" applyProtection="0">
      <alignment vertical="center"/>
    </xf>
    <xf numFmtId="0" fontId="39" fillId="30" borderId="37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" fillId="31" borderId="38" applyNumberFormat="0" applyFon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52" fillId="0" borderId="0"/>
    <xf numFmtId="0" fontId="19" fillId="56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93" fillId="0" borderId="48" applyNumberFormat="0" applyFill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84" fillId="59" borderId="0" applyNumberFormat="0" applyBorder="0" applyAlignment="0" applyProtection="0">
      <alignment vertical="center"/>
    </xf>
    <xf numFmtId="0" fontId="52" fillId="0" borderId="0"/>
    <xf numFmtId="0" fontId="19" fillId="58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84" fillId="59" borderId="0" applyNumberFormat="0" applyBorder="0" applyAlignment="0" applyProtection="0">
      <alignment vertical="center"/>
    </xf>
    <xf numFmtId="0" fontId="101" fillId="0" borderId="39" applyNumberFormat="0" applyFill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90" fillId="0" borderId="0" applyNumberFormat="0" applyFill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64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84" fillId="72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9" fillId="6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103" fillId="29" borderId="34" applyNumberFormat="0" applyAlignment="0" applyProtection="0">
      <alignment vertical="center"/>
    </xf>
    <xf numFmtId="0" fontId="94" fillId="63" borderId="43" applyNumberFormat="0" applyAlignment="0" applyProtection="0">
      <alignment vertical="center"/>
    </xf>
    <xf numFmtId="0" fontId="19" fillId="64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19" fillId="63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9" fillId="39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9" fillId="31" borderId="38" applyNumberFormat="0" applyFont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84" fillId="59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19" fillId="67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19" fillId="67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88" fillId="0" borderId="44" applyNumberFormat="0" applyFill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19" fillId="61" borderId="45" applyNumberFormat="0" applyFont="0" applyAlignment="0" applyProtection="0">
      <alignment vertical="center"/>
    </xf>
    <xf numFmtId="0" fontId="84" fillId="59" borderId="0" applyNumberFormat="0" applyBorder="0" applyAlignment="0" applyProtection="0">
      <alignment vertical="center"/>
    </xf>
    <xf numFmtId="0" fontId="99" fillId="39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3" fillId="0" borderId="48" applyNumberFormat="0" applyFill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84" fillId="72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14" fillId="0" borderId="0">
      <alignment vertical="center"/>
    </xf>
    <xf numFmtId="0" fontId="84" fillId="71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52" fillId="0" borderId="0" applyNumberFormat="0" applyFont="0" applyFill="0" applyBorder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101" fillId="0" borderId="39" applyNumberFormat="0" applyFill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99" fillId="39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87" fillId="73" borderId="43" applyNumberFormat="0" applyAlignment="0" applyProtection="0">
      <alignment vertical="center"/>
    </xf>
    <xf numFmtId="0" fontId="103" fillId="29" borderId="34" applyNumberFormat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0" borderId="44" applyNumberFormat="0" applyFill="0" applyAlignment="0" applyProtection="0">
      <alignment vertical="center"/>
    </xf>
    <xf numFmtId="0" fontId="104" fillId="0" borderId="36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9" fillId="61" borderId="45" applyNumberFormat="0" applyFont="0" applyAlignment="0" applyProtection="0">
      <alignment vertical="center"/>
    </xf>
    <xf numFmtId="0" fontId="19" fillId="31" borderId="38" applyNumberFormat="0" applyFont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84" fillId="74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108" fillId="0" borderId="32" applyNumberFormat="0" applyFill="0" applyAlignment="0" applyProtection="0">
      <alignment vertical="center"/>
    </xf>
    <xf numFmtId="0" fontId="92" fillId="0" borderId="47" applyNumberFormat="0" applyFill="0" applyAlignment="0" applyProtection="0">
      <alignment vertical="center"/>
    </xf>
    <xf numFmtId="0" fontId="84" fillId="75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84" fillId="76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84" fillId="75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99" fillId="44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84" fillId="74" borderId="0" applyNumberFormat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9" fillId="31" borderId="38" applyNumberFormat="0" applyFont="0" applyAlignment="0" applyProtection="0">
      <alignment vertical="center"/>
    </xf>
    <xf numFmtId="0" fontId="19" fillId="61" borderId="45" applyNumberFormat="0" applyFont="0" applyAlignment="0" applyProtection="0">
      <alignment vertical="center"/>
    </xf>
    <xf numFmtId="0" fontId="84" fillId="75" borderId="0" applyNumberFormat="0" applyBorder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46" applyNumberFormat="0" applyFill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19" fillId="63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92" fillId="0" borderId="47" applyNumberFormat="0" applyFill="0" applyAlignment="0" applyProtection="0">
      <alignment vertical="center"/>
    </xf>
    <xf numFmtId="0" fontId="108" fillId="0" borderId="32" applyNumberFormat="0" applyFill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84" fillId="72" borderId="0" applyNumberFormat="0" applyBorder="0" applyAlignment="0" applyProtection="0">
      <alignment vertical="center"/>
    </xf>
    <xf numFmtId="0" fontId="93" fillId="0" borderId="48" applyNumberFormat="0" applyFill="0" applyAlignment="0" applyProtection="0">
      <alignment vertical="center"/>
    </xf>
    <xf numFmtId="0" fontId="109" fillId="0" borderId="33" applyNumberFormat="0" applyFill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19" fillId="67" borderId="0" applyNumberFormat="0" applyBorder="0" applyAlignment="0" applyProtection="0">
      <alignment vertical="center"/>
    </xf>
    <xf numFmtId="0" fontId="94" fillId="63" borderId="43" applyNumberFormat="0" applyAlignment="0" applyProtection="0">
      <alignment vertical="center"/>
    </xf>
    <xf numFmtId="0" fontId="110" fillId="28" borderId="34" applyNumberFormat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52" fillId="0" borderId="0" applyNumberFormat="0" applyFont="0" applyFill="0" applyBorder="0" applyProtection="0">
      <alignment vertical="center"/>
    </xf>
    <xf numFmtId="0" fontId="84" fillId="59" borderId="0" applyNumberFormat="0" applyBorder="0" applyAlignment="0" applyProtection="0">
      <alignment vertical="center"/>
    </xf>
    <xf numFmtId="0" fontId="95" fillId="73" borderId="49" applyNumberFormat="0" applyAlignment="0" applyProtection="0">
      <alignment vertical="center"/>
    </xf>
    <xf numFmtId="0" fontId="111" fillId="29" borderId="35" applyNumberFormat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83" fillId="77" borderId="50" applyNumberFormat="0" applyAlignment="0" applyProtection="0">
      <alignment vertical="center"/>
    </xf>
    <xf numFmtId="0" fontId="112" fillId="30" borderId="37" applyNumberFormat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19" fillId="6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96" fillId="58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Protection="0">
      <alignment vertical="center"/>
    </xf>
    <xf numFmtId="0" fontId="85" fillId="66" borderId="0" applyNumberFormat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111" fillId="29" borderId="35" applyNumberFormat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92" fillId="0" borderId="47" applyNumberFormat="0" applyFill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84" fillId="59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01" fillId="0" borderId="39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1" fillId="0" borderId="46" applyNumberFormat="0" applyFill="0" applyAlignment="0" applyProtection="0">
      <alignment vertical="center"/>
    </xf>
    <xf numFmtId="0" fontId="104" fillId="0" borderId="36" applyNumberFormat="0" applyFill="0" applyAlignment="0" applyProtection="0">
      <alignment vertical="center"/>
    </xf>
    <xf numFmtId="0" fontId="101" fillId="0" borderId="39" applyNumberFormat="0" applyFill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95" fillId="73" borderId="49" applyNumberFormat="0" applyAlignment="0" applyProtection="0">
      <alignment vertical="center"/>
    </xf>
    <xf numFmtId="0" fontId="19" fillId="63" borderId="0" applyNumberFormat="0" applyBorder="0" applyAlignment="0" applyProtection="0">
      <alignment vertical="center"/>
    </xf>
    <xf numFmtId="0" fontId="95" fillId="73" borderId="49" applyNumberFormat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19" fillId="61" borderId="45" applyNumberFormat="0" applyFont="0" applyAlignment="0" applyProtection="0">
      <alignment vertical="center"/>
    </xf>
    <xf numFmtId="0" fontId="14" fillId="0" borderId="0">
      <alignment vertical="center"/>
    </xf>
    <xf numFmtId="0" fontId="99" fillId="40" borderId="0" applyNumberFormat="0" applyBorder="0" applyAlignment="0" applyProtection="0">
      <alignment vertical="center"/>
    </xf>
    <xf numFmtId="0" fontId="19" fillId="31" borderId="38" applyNumberFormat="0" applyFont="0" applyAlignment="0" applyProtection="0">
      <alignment vertical="center"/>
    </xf>
    <xf numFmtId="0" fontId="14" fillId="0" borderId="0">
      <alignment vertical="center"/>
    </xf>
    <xf numFmtId="0" fontId="114" fillId="0" borderId="0" applyNumberFormat="0" applyFill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84" fillId="75" borderId="0" applyNumberFormat="0" applyBorder="0" applyAlignment="0" applyProtection="0">
      <alignment vertical="center"/>
    </xf>
    <xf numFmtId="0" fontId="84" fillId="72" borderId="0" applyNumberFormat="0" applyBorder="0" applyAlignment="0" applyProtection="0">
      <alignment vertical="center"/>
    </xf>
    <xf numFmtId="0" fontId="92" fillId="0" borderId="47" applyNumberFormat="0" applyFill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52" fillId="0" borderId="0"/>
    <xf numFmtId="0" fontId="93" fillId="0" borderId="0" applyNumberFormat="0" applyFill="0" applyBorder="0" applyAlignment="0" applyProtection="0">
      <alignment vertical="center"/>
    </xf>
    <xf numFmtId="0" fontId="95" fillId="73" borderId="49" applyNumberFormat="0" applyAlignment="0" applyProtection="0">
      <alignment vertical="center"/>
    </xf>
    <xf numFmtId="0" fontId="19" fillId="31" borderId="38" applyNumberFormat="0" applyFont="0" applyAlignment="0" applyProtection="0">
      <alignment vertical="center"/>
    </xf>
    <xf numFmtId="0" fontId="19" fillId="61" borderId="45" applyNumberFormat="0" applyFont="0" applyAlignment="0" applyProtection="0">
      <alignment vertical="center"/>
    </xf>
    <xf numFmtId="0" fontId="84" fillId="76" borderId="0" applyNumberFormat="0" applyBorder="0" applyAlignment="0" applyProtection="0">
      <alignment vertical="center"/>
    </xf>
    <xf numFmtId="0" fontId="99" fillId="44" borderId="0" applyNumberFormat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112" fillId="30" borderId="37" applyNumberFormat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108" fillId="0" borderId="32" applyNumberFormat="0" applyFill="0" applyAlignment="0" applyProtection="0">
      <alignment vertical="center"/>
    </xf>
    <xf numFmtId="0" fontId="88" fillId="0" borderId="44" applyNumberFormat="0" applyFill="0" applyAlignment="0" applyProtection="0">
      <alignment vertical="center"/>
    </xf>
    <xf numFmtId="0" fontId="84" fillId="59" borderId="0" applyNumberFormat="0" applyBorder="0" applyAlignment="0" applyProtection="0">
      <alignment vertical="center"/>
    </xf>
    <xf numFmtId="0" fontId="19" fillId="31" borderId="38" applyNumberFormat="0" applyFont="0" applyAlignment="0" applyProtection="0">
      <alignment vertical="center"/>
    </xf>
    <xf numFmtId="0" fontId="109" fillId="0" borderId="33" applyNumberFormat="0" applyFill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19" fillId="67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04" fillId="0" borderId="36" applyNumberFormat="0" applyFill="0" applyAlignment="0" applyProtection="0">
      <alignment vertical="center"/>
    </xf>
    <xf numFmtId="0" fontId="84" fillId="74" borderId="0" applyNumberFormat="0" applyBorder="0" applyAlignment="0" applyProtection="0">
      <alignment vertical="center"/>
    </xf>
    <xf numFmtId="0" fontId="101" fillId="0" borderId="39" applyNumberFormat="0" applyFill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110" fillId="28" borderId="34" applyNumberFormat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91" fillId="0" borderId="46" applyNumberFormat="0" applyFill="0" applyAlignment="0" applyProtection="0">
      <alignment vertical="center"/>
    </xf>
    <xf numFmtId="0" fontId="96" fillId="58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84" fillId="76" borderId="0" applyNumberFormat="0" applyBorder="0" applyAlignment="0" applyProtection="0">
      <alignment vertical="center"/>
    </xf>
    <xf numFmtId="0" fontId="96" fillId="58" borderId="0" applyNumberFormat="0" applyBorder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111" fillId="29" borderId="35" applyNumberFormat="0" applyAlignment="0" applyProtection="0">
      <alignment vertical="center"/>
    </xf>
    <xf numFmtId="0" fontId="110" fillId="28" borderId="34" applyNumberFormat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87" fillId="73" borderId="43" applyNumberFormat="0" applyAlignment="0" applyProtection="0">
      <alignment vertical="center"/>
    </xf>
    <xf numFmtId="0" fontId="88" fillId="0" borderId="44" applyNumberFormat="0" applyFill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19" fillId="61" borderId="45" applyNumberFormat="0" applyFont="0" applyAlignment="0" applyProtection="0">
      <alignment vertical="center"/>
    </xf>
    <xf numFmtId="0" fontId="99" fillId="39" borderId="0" applyNumberFormat="0" applyBorder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91" fillId="0" borderId="46" applyNumberFormat="0" applyFill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84" fillId="72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84" fillId="76" borderId="0" applyNumberFormat="0" applyBorder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84" fillId="59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52" fillId="0" borderId="0" applyNumberFormat="0" applyFont="0" applyFill="0" applyBorder="0" applyProtection="0">
      <alignment vertical="center"/>
    </xf>
    <xf numFmtId="0" fontId="52" fillId="0" borderId="0" applyNumberFormat="0" applyFont="0" applyFill="0" applyBorder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19" fillId="64" borderId="0" applyNumberFormat="0" applyBorder="0" applyAlignment="0" applyProtection="0">
      <alignment vertical="center"/>
    </xf>
    <xf numFmtId="0" fontId="110" fillId="28" borderId="34" applyNumberFormat="0" applyAlignment="0" applyProtection="0">
      <alignment vertical="center"/>
    </xf>
    <xf numFmtId="0" fontId="19" fillId="61" borderId="45" applyNumberFormat="0" applyFont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108" fillId="0" borderId="32" applyNumberFormat="0" applyFill="0" applyAlignment="0" applyProtection="0">
      <alignment vertical="center"/>
    </xf>
    <xf numFmtId="0" fontId="84" fillId="74" borderId="0" applyNumberFormat="0" applyBorder="0" applyAlignment="0" applyProtection="0">
      <alignment vertical="center"/>
    </xf>
    <xf numFmtId="0" fontId="104" fillId="0" borderId="36" applyNumberFormat="0" applyFill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87" fillId="73" borderId="43" applyNumberFormat="0" applyAlignment="0" applyProtection="0">
      <alignment vertical="center"/>
    </xf>
    <xf numFmtId="0" fontId="99" fillId="3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6" fillId="58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19" fillId="63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19" fillId="64" borderId="0" applyNumberFormat="0" applyBorder="0" applyAlignment="0" applyProtection="0">
      <alignment vertical="center"/>
    </xf>
    <xf numFmtId="0" fontId="94" fillId="63" borderId="43" applyNumberFormat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91" fillId="0" borderId="46" applyNumberFormat="0" applyFill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04" fillId="0" borderId="36" applyNumberFormat="0" applyFill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91" fillId="0" borderId="46" applyNumberFormat="0" applyFill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09" fillId="0" borderId="33" applyNumberFormat="0" applyFill="0" applyAlignment="0" applyProtection="0">
      <alignment vertical="center"/>
    </xf>
    <xf numFmtId="0" fontId="94" fillId="63" borderId="43" applyNumberFormat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88" fillId="0" borderId="44" applyNumberFormat="0" applyFill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04" fillId="0" borderId="36" applyNumberFormat="0" applyFill="0" applyAlignment="0" applyProtection="0">
      <alignment vertical="center"/>
    </xf>
    <xf numFmtId="0" fontId="84" fillId="74" borderId="0" applyNumberFormat="0" applyBorder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101" fillId="0" borderId="39" applyNumberFormat="0" applyFill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1" fillId="29" borderId="35" applyNumberFormat="0" applyAlignment="0" applyProtection="0">
      <alignment vertical="center"/>
    </xf>
    <xf numFmtId="0" fontId="52" fillId="0" borderId="0"/>
    <xf numFmtId="0" fontId="19" fillId="58" borderId="0" applyNumberFormat="0" applyBorder="0" applyAlignment="0" applyProtection="0">
      <alignment vertical="center"/>
    </xf>
    <xf numFmtId="0" fontId="93" fillId="0" borderId="48" applyNumberFormat="0" applyFill="0" applyAlignment="0" applyProtection="0">
      <alignment vertical="center"/>
    </xf>
    <xf numFmtId="0" fontId="14" fillId="0" borderId="0">
      <alignment vertical="center"/>
    </xf>
    <xf numFmtId="0" fontId="84" fillId="70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84" fillId="59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84" fillId="75" borderId="0" applyNumberFormat="0" applyBorder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52" fillId="0" borderId="0" applyNumberFormat="0" applyFont="0" applyFill="0" applyBorder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19" fillId="61" borderId="45" applyNumberFormat="0" applyFont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112" fillId="30" borderId="37" applyNumberFormat="0" applyAlignment="0" applyProtection="0">
      <alignment vertical="center"/>
    </xf>
    <xf numFmtId="0" fontId="19" fillId="67" borderId="0" applyNumberFormat="0" applyBorder="0" applyAlignment="0" applyProtection="0">
      <alignment vertical="center"/>
    </xf>
    <xf numFmtId="0" fontId="14" fillId="0" borderId="0">
      <alignment vertical="center"/>
    </xf>
    <xf numFmtId="0" fontId="99" fillId="48" borderId="0" applyNumberFormat="0" applyBorder="0" applyAlignment="0" applyProtection="0">
      <alignment vertical="center"/>
    </xf>
    <xf numFmtId="0" fontId="108" fillId="0" borderId="32" applyNumberFormat="0" applyFill="0" applyAlignment="0" applyProtection="0">
      <alignment vertical="center"/>
    </xf>
    <xf numFmtId="0" fontId="92" fillId="0" borderId="47" applyNumberFormat="0" applyFill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99" fillId="39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19" fillId="31" borderId="38" applyNumberFormat="0" applyFont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103" fillId="29" borderId="34" applyNumberFormat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1" borderId="45" applyNumberFormat="0" applyFont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83" fillId="77" borderId="50" applyNumberFormat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84" fillId="72" borderId="0" applyNumberFormat="0" applyBorder="0" applyAlignment="0" applyProtection="0">
      <alignment vertical="center"/>
    </xf>
    <xf numFmtId="0" fontId="52" fillId="0" borderId="0"/>
    <xf numFmtId="0" fontId="101" fillId="0" borderId="39" applyNumberFormat="0" applyFill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99" fillId="44" borderId="0" applyNumberFormat="0" applyBorder="0" applyAlignment="0" applyProtection="0">
      <alignment vertical="center"/>
    </xf>
    <xf numFmtId="0" fontId="84" fillId="75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108" fillId="0" borderId="32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99" fillId="39" borderId="0" applyNumberFormat="0" applyBorder="0" applyAlignment="0" applyProtection="0">
      <alignment vertical="center"/>
    </xf>
    <xf numFmtId="0" fontId="87" fillId="73" borderId="43" applyNumberFormat="0" applyAlignment="0" applyProtection="0">
      <alignment vertical="center"/>
    </xf>
    <xf numFmtId="0" fontId="84" fillId="75" borderId="0" applyNumberFormat="0" applyBorder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01" fillId="0" borderId="39" applyNumberFormat="0" applyFill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112" fillId="30" borderId="37" applyNumberFormat="0" applyAlignment="0" applyProtection="0">
      <alignment vertical="center"/>
    </xf>
    <xf numFmtId="0" fontId="19" fillId="67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99" fillId="39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103" fillId="29" borderId="34" applyNumberFormat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83" fillId="77" borderId="50" applyNumberFormat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88" fillId="0" borderId="44" applyNumberFormat="0" applyFill="0" applyAlignment="0" applyProtection="0">
      <alignment vertical="center"/>
    </xf>
    <xf numFmtId="0" fontId="84" fillId="72" borderId="0" applyNumberFormat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84" fillId="59" borderId="0" applyNumberFormat="0" applyBorder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9" fillId="44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92" fillId="0" borderId="47" applyNumberFormat="0" applyFill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92" fillId="0" borderId="47" applyNumberFormat="0" applyFill="0" applyAlignment="0" applyProtection="0">
      <alignment vertical="center"/>
    </xf>
    <xf numFmtId="0" fontId="87" fillId="73" borderId="43" applyNumberFormat="0" applyAlignment="0" applyProtection="0">
      <alignment vertical="center"/>
    </xf>
    <xf numFmtId="0" fontId="109" fillId="0" borderId="33" applyNumberFormat="0" applyFill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19" fillId="67" borderId="0" applyNumberFormat="0" applyBorder="0" applyAlignment="0" applyProtection="0">
      <alignment vertical="center"/>
    </xf>
    <xf numFmtId="0" fontId="103" fillId="29" borderId="34" applyNumberFormat="0" applyAlignment="0" applyProtection="0">
      <alignment vertical="center"/>
    </xf>
    <xf numFmtId="0" fontId="87" fillId="73" borderId="43" applyNumberFormat="0" applyAlignment="0" applyProtection="0">
      <alignment vertical="center"/>
    </xf>
    <xf numFmtId="0" fontId="87" fillId="73" borderId="43" applyNumberFormat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83" fillId="77" borderId="50" applyNumberFormat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99" fillId="44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87" fillId="73" borderId="43" applyNumberFormat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88" fillId="0" borderId="44" applyNumberFormat="0" applyFill="0" applyAlignment="0" applyProtection="0">
      <alignment vertical="center"/>
    </xf>
    <xf numFmtId="0" fontId="92" fillId="0" borderId="47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84" fillId="74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9" fillId="67" borderId="0" applyNumberFormat="0" applyBorder="0" applyAlignment="0" applyProtection="0">
      <alignment vertical="center"/>
    </xf>
    <xf numFmtId="0" fontId="84" fillId="76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109" fillId="0" borderId="33" applyNumberFormat="0" applyFill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99" fillId="44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19" fillId="64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46" applyNumberFormat="0" applyFill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92" fillId="0" borderId="47" applyNumberFormat="0" applyFill="0" applyAlignment="0" applyProtection="0">
      <alignment vertical="center"/>
    </xf>
    <xf numFmtId="0" fontId="108" fillId="0" borderId="32" applyNumberFormat="0" applyFill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92" fillId="0" borderId="47" applyNumberFormat="0" applyFill="0" applyAlignment="0" applyProtection="0">
      <alignment vertical="center"/>
    </xf>
    <xf numFmtId="0" fontId="108" fillId="0" borderId="32" applyNumberFormat="0" applyFill="0" applyAlignment="0" applyProtection="0">
      <alignment vertical="center"/>
    </xf>
    <xf numFmtId="0" fontId="109" fillId="0" borderId="33" applyNumberFormat="0" applyFill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3" fillId="0" borderId="48" applyNumberFormat="0" applyFill="0" applyAlignment="0" applyProtection="0">
      <alignment vertical="center"/>
    </xf>
    <xf numFmtId="0" fontId="109" fillId="0" borderId="33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9" fillId="64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4" fillId="63" borderId="43" applyNumberFormat="0" applyAlignment="0" applyProtection="0">
      <alignment vertical="center"/>
    </xf>
    <xf numFmtId="0" fontId="110" fillId="28" borderId="34" applyNumberFormat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52" fillId="0" borderId="0"/>
    <xf numFmtId="0" fontId="103" fillId="29" borderId="34" applyNumberFormat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95" fillId="73" borderId="49" applyNumberFormat="0" applyAlignment="0" applyProtection="0">
      <alignment vertical="center"/>
    </xf>
    <xf numFmtId="0" fontId="111" fillId="29" borderId="35" applyNumberFormat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84" fillId="72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83" fillId="77" borderId="50" applyNumberFormat="0" applyAlignment="0" applyProtection="0">
      <alignment vertical="center"/>
    </xf>
    <xf numFmtId="0" fontId="112" fillId="30" borderId="37" applyNumberFormat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96" fillId="58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52" fillId="0" borderId="0"/>
    <xf numFmtId="0" fontId="9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04" fillId="0" borderId="36" applyNumberFormat="0" applyFill="0" applyAlignment="0" applyProtection="0">
      <alignment vertical="center"/>
    </xf>
    <xf numFmtId="0" fontId="93" fillId="0" borderId="48" applyNumberFormat="0" applyFill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9" fillId="63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99" fillId="39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84" fillId="72" borderId="0" applyNumberFormat="0" applyBorder="0" applyAlignment="0" applyProtection="0">
      <alignment vertical="center"/>
    </xf>
    <xf numFmtId="0" fontId="84" fillId="76" borderId="0" applyNumberFormat="0" applyBorder="0" applyAlignment="0" applyProtection="0">
      <alignment vertical="center"/>
    </xf>
    <xf numFmtId="0" fontId="88" fillId="0" borderId="44" applyNumberFormat="0" applyFill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103" fillId="29" borderId="34" applyNumberFormat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101" fillId="0" borderId="39" applyNumberFormat="0" applyFill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99" fillId="39" borderId="0" applyNumberFormat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93" fillId="0" borderId="48" applyNumberFormat="0" applyFill="0" applyAlignment="0" applyProtection="0">
      <alignment vertical="center"/>
    </xf>
    <xf numFmtId="0" fontId="109" fillId="0" borderId="33" applyNumberFormat="0" applyFill="0" applyAlignment="0" applyProtection="0">
      <alignment vertical="center"/>
    </xf>
    <xf numFmtId="0" fontId="93" fillId="0" borderId="48" applyNumberFormat="0" applyFill="0" applyAlignment="0" applyProtection="0">
      <alignment vertical="center"/>
    </xf>
    <xf numFmtId="0" fontId="109" fillId="0" borderId="33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96" fillId="58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94" fillId="63" borderId="43" applyNumberFormat="0" applyAlignment="0" applyProtection="0">
      <alignment vertical="center"/>
    </xf>
    <xf numFmtId="0" fontId="110" fillId="28" borderId="34" applyNumberFormat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19" fillId="64" borderId="0" applyNumberFormat="0" applyBorder="0" applyAlignment="0" applyProtection="0">
      <alignment vertical="center"/>
    </xf>
    <xf numFmtId="0" fontId="95" fillId="73" borderId="49" applyNumberFormat="0" applyAlignment="0" applyProtection="0">
      <alignment vertical="center"/>
    </xf>
    <xf numFmtId="0" fontId="111" fillId="29" borderId="35" applyNumberFormat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83" fillId="77" borderId="50" applyNumberFormat="0" applyAlignment="0" applyProtection="0">
      <alignment vertical="center"/>
    </xf>
    <xf numFmtId="0" fontId="112" fillId="30" borderId="37" applyNumberFormat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96" fillId="58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52" fillId="0" borderId="0"/>
    <xf numFmtId="0" fontId="9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112" fillId="30" borderId="37" applyNumberFormat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111" fillId="29" borderId="35" applyNumberFormat="0" applyAlignment="0" applyProtection="0">
      <alignment vertical="center"/>
    </xf>
    <xf numFmtId="0" fontId="91" fillId="0" borderId="46" applyNumberFormat="0" applyFill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110" fillId="28" borderId="34" applyNumberFormat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99" fillId="44" borderId="0" applyNumberFormat="0" applyBorder="0" applyAlignment="0" applyProtection="0">
      <alignment vertical="center"/>
    </xf>
    <xf numFmtId="0" fontId="93" fillId="0" borderId="48" applyNumberFormat="0" applyFill="0" applyAlignment="0" applyProtection="0">
      <alignment vertical="center"/>
    </xf>
    <xf numFmtId="0" fontId="83" fillId="77" borderId="50" applyNumberFormat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19" fillId="63" borderId="0" applyNumberFormat="0" applyBorder="0" applyAlignment="0" applyProtection="0">
      <alignment vertical="center"/>
    </xf>
    <xf numFmtId="0" fontId="19" fillId="64" borderId="0" applyNumberFormat="0" applyBorder="0" applyAlignment="0" applyProtection="0">
      <alignment vertical="center"/>
    </xf>
    <xf numFmtId="0" fontId="103" fillId="29" borderId="34" applyNumberFormat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83" fillId="77" borderId="50" applyNumberFormat="0" applyAlignment="0" applyProtection="0">
      <alignment vertical="center"/>
    </xf>
    <xf numFmtId="0" fontId="84" fillId="75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95" fillId="73" borderId="49" applyNumberFormat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84" fillId="74" borderId="0" applyNumberFormat="0" applyBorder="0" applyAlignment="0" applyProtection="0">
      <alignment vertical="center"/>
    </xf>
    <xf numFmtId="0" fontId="94" fillId="63" borderId="43" applyNumberFormat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19" fillId="31" borderId="38" applyNumberFormat="0" applyFont="0" applyAlignment="0" applyProtection="0">
      <alignment vertical="center"/>
    </xf>
    <xf numFmtId="0" fontId="96" fillId="58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104" fillId="0" borderId="36" applyNumberFormat="0" applyFill="0" applyAlignment="0" applyProtection="0">
      <alignment vertical="center"/>
    </xf>
    <xf numFmtId="0" fontId="109" fillId="0" borderId="33" applyNumberFormat="0" applyFill="0" applyAlignment="0" applyProtection="0">
      <alignment vertical="center"/>
    </xf>
    <xf numFmtId="0" fontId="84" fillId="76" borderId="0" applyNumberFormat="0" applyBorder="0" applyAlignment="0" applyProtection="0">
      <alignment vertical="center"/>
    </xf>
    <xf numFmtId="0" fontId="103" fillId="29" borderId="34" applyNumberFormat="0" applyAlignment="0" applyProtection="0">
      <alignment vertical="center"/>
    </xf>
    <xf numFmtId="0" fontId="96" fillId="58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52" fillId="0" borderId="0"/>
    <xf numFmtId="0" fontId="9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4" fillId="74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112" fillId="30" borderId="37" applyNumberFormat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111" fillId="29" borderId="35" applyNumberFormat="0" applyAlignment="0" applyProtection="0">
      <alignment vertical="center"/>
    </xf>
    <xf numFmtId="0" fontId="91" fillId="0" borderId="46" applyNumberFormat="0" applyFill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110" fillId="28" borderId="34" applyNumberFormat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12" fillId="30" borderId="37" applyNumberFormat="0" applyAlignment="0" applyProtection="0">
      <alignment vertical="center"/>
    </xf>
    <xf numFmtId="0" fontId="99" fillId="44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19" fillId="63" borderId="0" applyNumberFormat="0" applyBorder="0" applyAlignment="0" applyProtection="0">
      <alignment vertical="center"/>
    </xf>
    <xf numFmtId="0" fontId="19" fillId="64" borderId="0" applyNumberFormat="0" applyBorder="0" applyAlignment="0" applyProtection="0">
      <alignment vertical="center"/>
    </xf>
    <xf numFmtId="0" fontId="88" fillId="0" borderId="44" applyNumberFormat="0" applyFill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83" fillId="77" borderId="50" applyNumberFormat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84" fillId="75" borderId="0" applyNumberFormat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5" fillId="73" borderId="49" applyNumberFormat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84" fillId="74" borderId="0" applyNumberFormat="0" applyBorder="0" applyAlignment="0" applyProtection="0">
      <alignment vertical="center"/>
    </xf>
    <xf numFmtId="0" fontId="94" fillId="63" borderId="43" applyNumberFormat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3" fillId="0" borderId="48" applyNumberFormat="0" applyFill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19" fillId="31" borderId="38" applyNumberFormat="0" applyFont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83" fillId="77" borderId="50" applyNumberFormat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104" fillId="0" borderId="36" applyNumberFormat="0" applyFill="0" applyAlignment="0" applyProtection="0">
      <alignment vertical="center"/>
    </xf>
    <xf numFmtId="0" fontId="84" fillId="76" borderId="0" applyNumberFormat="0" applyBorder="0" applyAlignment="0" applyProtection="0">
      <alignment vertical="center"/>
    </xf>
    <xf numFmtId="0" fontId="103" fillId="29" borderId="34" applyNumberFormat="0" applyAlignment="0" applyProtection="0">
      <alignment vertical="center"/>
    </xf>
    <xf numFmtId="0" fontId="96" fillId="58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95" fillId="73" borderId="49" applyNumberFormat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9" fillId="63" borderId="0" applyNumberFormat="0" applyBorder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52" fillId="0" borderId="0"/>
    <xf numFmtId="0" fontId="87" fillId="73" borderId="43" applyNumberFormat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04" fillId="0" borderId="36" applyNumberFormat="0" applyFill="0" applyAlignment="0" applyProtection="0">
      <alignment vertical="center"/>
    </xf>
    <xf numFmtId="0" fontId="19" fillId="61" borderId="45" applyNumberFormat="0" applyFont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84" fillId="72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10" fillId="28" borderId="34" applyNumberFormat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101" fillId="0" borderId="39" applyNumberFormat="0" applyFill="0" applyAlignment="0" applyProtection="0">
      <alignment vertical="center"/>
    </xf>
    <xf numFmtId="0" fontId="99" fillId="44" borderId="0" applyNumberFormat="0" applyBorder="0" applyAlignment="0" applyProtection="0">
      <alignment vertical="center"/>
    </xf>
    <xf numFmtId="0" fontId="91" fillId="0" borderId="46" applyNumberFormat="0" applyFill="0" applyAlignment="0" applyProtection="0">
      <alignment vertical="center"/>
    </xf>
    <xf numFmtId="0" fontId="84" fillId="76" borderId="0" applyNumberFormat="0" applyBorder="0" applyAlignment="0" applyProtection="0">
      <alignment vertical="center"/>
    </xf>
    <xf numFmtId="0" fontId="108" fillId="0" borderId="32" applyNumberFormat="0" applyFill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9" fillId="31" borderId="38" applyNumberFormat="0" applyFont="0" applyAlignment="0" applyProtection="0">
      <alignment vertical="center"/>
    </xf>
    <xf numFmtId="0" fontId="14" fillId="0" borderId="0">
      <alignment vertical="center"/>
    </xf>
    <xf numFmtId="0" fontId="99" fillId="36" borderId="0" applyNumberFormat="0" applyBorder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111" fillId="29" borderId="35" applyNumberFormat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94" fillId="63" borderId="43" applyNumberFormat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19" fillId="63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52" fillId="0" borderId="0" applyNumberFormat="0" applyFont="0" applyFill="0" applyBorder="0" applyProtection="0">
      <alignment vertical="center"/>
    </xf>
    <xf numFmtId="0" fontId="84" fillId="74" borderId="0" applyNumberFormat="0" applyBorder="0" applyAlignment="0" applyProtection="0">
      <alignment vertical="center"/>
    </xf>
    <xf numFmtId="0" fontId="112" fillId="30" borderId="37" applyNumberFormat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95" fillId="73" borderId="49" applyNumberFormat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19" fillId="67" borderId="0" applyNumberFormat="0" applyBorder="0" applyAlignment="0" applyProtection="0">
      <alignment vertical="center"/>
    </xf>
    <xf numFmtId="0" fontId="108" fillId="0" borderId="32" applyNumberFormat="0" applyFill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84" fillId="75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87" fillId="73" borderId="43" applyNumberFormat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4" fillId="0" borderId="0">
      <alignment vertical="center"/>
    </xf>
    <xf numFmtId="0" fontId="102" fillId="25" borderId="0" applyNumberFormat="0" applyBorder="0" applyAlignment="0" applyProtection="0">
      <alignment vertical="center"/>
    </xf>
    <xf numFmtId="0" fontId="110" fillId="28" borderId="34" applyNumberFormat="0" applyAlignment="0" applyProtection="0">
      <alignment vertical="center"/>
    </xf>
    <xf numFmtId="0" fontId="99" fillId="44" borderId="0" applyNumberFormat="0" applyBorder="0" applyAlignment="0" applyProtection="0">
      <alignment vertical="center"/>
    </xf>
    <xf numFmtId="0" fontId="84" fillId="76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88" fillId="0" borderId="44" applyNumberFormat="0" applyFill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11" fillId="29" borderId="35" applyNumberFormat="0" applyAlignment="0" applyProtection="0">
      <alignment vertical="center"/>
    </xf>
    <xf numFmtId="0" fontId="94" fillId="63" borderId="43" applyNumberFormat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19" fillId="67" borderId="0" applyNumberFormat="0" applyBorder="0" applyAlignment="0" applyProtection="0">
      <alignment vertical="center"/>
    </xf>
    <xf numFmtId="0" fontId="14" fillId="0" borderId="0">
      <alignment vertical="center"/>
    </xf>
    <xf numFmtId="0" fontId="15" fillId="0" borderId="0"/>
    <xf numFmtId="0" fontId="52" fillId="0" borderId="0" applyNumberFormat="0" applyFont="0" applyFill="0" applyBorder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52" fillId="0" borderId="0"/>
    <xf numFmtId="0" fontId="52" fillId="0" borderId="0"/>
    <xf numFmtId="0" fontId="15" fillId="0" borderId="0"/>
    <xf numFmtId="179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52" fillId="0" borderId="0" applyNumberFormat="0" applyFont="0" applyFill="0" applyBorder="0" applyProtection="0">
      <alignment vertical="center"/>
    </xf>
    <xf numFmtId="0" fontId="15" fillId="0" borderId="0"/>
    <xf numFmtId="179" fontId="14" fillId="0" borderId="0" applyFont="0" applyFill="0" applyBorder="0" applyAlignment="0" applyProtection="0">
      <alignment vertical="center"/>
    </xf>
    <xf numFmtId="0" fontId="52" fillId="0" borderId="0" applyNumberFormat="0" applyFont="0" applyFill="0" applyBorder="0" applyProtection="0">
      <alignment vertical="center"/>
    </xf>
    <xf numFmtId="0" fontId="15" fillId="0" borderId="0"/>
    <xf numFmtId="0" fontId="15" fillId="0" borderId="0"/>
    <xf numFmtId="179" fontId="14" fillId="0" borderId="0" applyFont="0" applyFill="0" applyBorder="0" applyAlignment="0" applyProtection="0">
      <alignment vertical="center"/>
    </xf>
    <xf numFmtId="0" fontId="52" fillId="0" borderId="0"/>
    <xf numFmtId="179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52" fillId="0" borderId="0" applyNumberFormat="0" applyFont="0" applyFill="0" applyBorder="0" applyProtection="0">
      <alignment vertical="center"/>
    </xf>
    <xf numFmtId="0" fontId="14" fillId="0" borderId="0">
      <alignment vertical="center"/>
    </xf>
    <xf numFmtId="0" fontId="52" fillId="0" borderId="0"/>
    <xf numFmtId="0" fontId="52" fillId="0" borderId="0" applyNumberFormat="0" applyFont="0" applyFill="0" applyBorder="0" applyProtection="0">
      <alignment vertical="center"/>
    </xf>
    <xf numFmtId="0" fontId="14" fillId="0" borderId="0">
      <alignment vertical="center"/>
    </xf>
    <xf numFmtId="0" fontId="98" fillId="0" borderId="0">
      <alignment vertical="center"/>
    </xf>
    <xf numFmtId="0" fontId="14" fillId="0" borderId="0">
      <alignment vertical="center"/>
    </xf>
    <xf numFmtId="179" fontId="14" fillId="0" borderId="0" applyFont="0" applyFill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52" fillId="0" borderId="0"/>
    <xf numFmtId="0" fontId="7" fillId="38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96" fillId="58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84" fillId="74" borderId="0" applyNumberFormat="0" applyBorder="0" applyAlignment="0" applyProtection="0">
      <alignment vertical="center"/>
    </xf>
    <xf numFmtId="0" fontId="78" fillId="29" borderId="34" applyNumberFormat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84" fillId="74" borderId="0" applyNumberFormat="0" applyBorder="0" applyAlignment="0" applyProtection="0">
      <alignment vertical="center"/>
    </xf>
    <xf numFmtId="0" fontId="84" fillId="76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99" fillId="39" borderId="0" applyNumberFormat="0" applyBorder="0" applyAlignment="0" applyProtection="0">
      <alignment vertical="center"/>
    </xf>
    <xf numFmtId="0" fontId="19" fillId="63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15" fillId="0" borderId="0"/>
    <xf numFmtId="0" fontId="84" fillId="69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19" fillId="31" borderId="38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98" fillId="31" borderId="38" applyNumberFormat="0" applyFont="0" applyAlignment="0" applyProtection="0">
      <alignment vertical="center"/>
    </xf>
    <xf numFmtId="0" fontId="98" fillId="31" borderId="38" applyNumberFormat="0" applyFont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98" fillId="31" borderId="38" applyNumberFormat="0" applyFont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7" fillId="29" borderId="35" applyNumberFormat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79" fillId="0" borderId="36" applyNumberFormat="0" applyFill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15" fillId="0" borderId="0"/>
    <xf numFmtId="0" fontId="19" fillId="64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112" fillId="30" borderId="37" applyNumberFormat="0" applyAlignment="0" applyProtection="0">
      <alignment vertical="center"/>
    </xf>
    <xf numFmtId="0" fontId="84" fillId="76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6" fillId="28" borderId="34" applyNumberFormat="0" applyAlignment="0" applyProtection="0">
      <alignment vertical="center"/>
    </xf>
    <xf numFmtId="0" fontId="77" fillId="29" borderId="35" applyNumberFormat="0" applyAlignment="0" applyProtection="0">
      <alignment vertical="center"/>
    </xf>
    <xf numFmtId="0" fontId="78" fillId="29" borderId="34" applyNumberFormat="0" applyAlignment="0" applyProtection="0">
      <alignment vertical="center"/>
    </xf>
    <xf numFmtId="0" fontId="79" fillId="0" borderId="36" applyNumberFormat="0" applyFill="0" applyAlignment="0" applyProtection="0">
      <alignment vertical="center"/>
    </xf>
    <xf numFmtId="0" fontId="39" fillId="30" borderId="37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6" fillId="28" borderId="34" applyNumberFormat="0" applyAlignment="0" applyProtection="0">
      <alignment vertical="center"/>
    </xf>
    <xf numFmtId="0" fontId="77" fillId="29" borderId="35" applyNumberFormat="0" applyAlignment="0" applyProtection="0">
      <alignment vertical="center"/>
    </xf>
    <xf numFmtId="0" fontId="78" fillId="29" borderId="34" applyNumberFormat="0" applyAlignment="0" applyProtection="0">
      <alignment vertical="center"/>
    </xf>
    <xf numFmtId="0" fontId="79" fillId="0" borderId="36" applyNumberFormat="0" applyFill="0" applyAlignment="0" applyProtection="0">
      <alignment vertical="center"/>
    </xf>
    <xf numFmtId="0" fontId="39" fillId="30" borderId="37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6" fillId="28" borderId="34" applyNumberFormat="0" applyAlignment="0" applyProtection="0">
      <alignment vertical="center"/>
    </xf>
    <xf numFmtId="0" fontId="77" fillId="29" borderId="35" applyNumberFormat="0" applyAlignment="0" applyProtection="0">
      <alignment vertical="center"/>
    </xf>
    <xf numFmtId="0" fontId="78" fillId="29" borderId="34" applyNumberFormat="0" applyAlignment="0" applyProtection="0">
      <alignment vertical="center"/>
    </xf>
    <xf numFmtId="0" fontId="79" fillId="0" borderId="36" applyNumberFormat="0" applyFill="0" applyAlignment="0" applyProtection="0">
      <alignment vertical="center"/>
    </xf>
    <xf numFmtId="0" fontId="39" fillId="30" borderId="37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95" fillId="73" borderId="49" applyNumberFormat="0" applyAlignment="0" applyProtection="0">
      <alignment vertical="center"/>
    </xf>
    <xf numFmtId="0" fontId="98" fillId="0" borderId="0">
      <alignment vertical="center"/>
    </xf>
    <xf numFmtId="0" fontId="7" fillId="31" borderId="38" applyNumberFormat="0" applyFont="0" applyAlignment="0" applyProtection="0">
      <alignment vertical="center"/>
    </xf>
    <xf numFmtId="0" fontId="79" fillId="0" borderId="36" applyNumberFormat="0" applyFill="0" applyAlignment="0" applyProtection="0">
      <alignment vertical="center"/>
    </xf>
    <xf numFmtId="0" fontId="15" fillId="0" borderId="0"/>
    <xf numFmtId="0" fontId="84" fillId="7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19" fillId="67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64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19" fillId="6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19" fillId="67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84" fillId="59" borderId="0" applyNumberFormat="0" applyBorder="0" applyAlignment="0" applyProtection="0">
      <alignment vertical="center"/>
    </xf>
    <xf numFmtId="0" fontId="99" fillId="39" borderId="0" applyNumberFormat="0" applyBorder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84" fillId="72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15" fillId="0" borderId="0"/>
    <xf numFmtId="0" fontId="85" fillId="66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101" fillId="0" borderId="39" applyNumberFormat="0" applyFill="0" applyAlignment="0" applyProtection="0">
      <alignment vertical="center"/>
    </xf>
    <xf numFmtId="0" fontId="83" fillId="77" borderId="50" applyNumberFormat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87" fillId="73" borderId="43" applyNumberFormat="0" applyAlignment="0" applyProtection="0">
      <alignment vertical="center"/>
    </xf>
    <xf numFmtId="0" fontId="103" fillId="29" borderId="34" applyNumberFormat="0" applyAlignment="0" applyProtection="0">
      <alignment vertical="center"/>
    </xf>
    <xf numFmtId="0" fontId="15" fillId="0" borderId="0"/>
    <xf numFmtId="0" fontId="7" fillId="50" borderId="0" applyNumberFormat="0" applyBorder="0" applyAlignment="0" applyProtection="0">
      <alignment vertical="center"/>
    </xf>
    <xf numFmtId="0" fontId="88" fillId="0" borderId="44" applyNumberFormat="0" applyFill="0" applyAlignment="0" applyProtection="0">
      <alignment vertical="center"/>
    </xf>
    <xf numFmtId="0" fontId="104" fillId="0" borderId="36" applyNumberFormat="0" applyFill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19" fillId="61" borderId="45" applyNumberFormat="0" applyFont="0" applyAlignment="0" applyProtection="0">
      <alignment vertical="center"/>
    </xf>
    <xf numFmtId="0" fontId="98" fillId="31" borderId="38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84" fillId="74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84" fillId="75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84" fillId="76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99" fillId="4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46" applyNumberFormat="0" applyFill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15" fillId="0" borderId="0"/>
    <xf numFmtId="0" fontId="15" fillId="0" borderId="0"/>
    <xf numFmtId="0" fontId="92" fillId="0" borderId="47" applyNumberFormat="0" applyFill="0" applyAlignment="0" applyProtection="0">
      <alignment vertical="center"/>
    </xf>
    <xf numFmtId="0" fontId="108" fillId="0" borderId="32" applyNumberFormat="0" applyFill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93" fillId="0" borderId="48" applyNumberFormat="0" applyFill="0" applyAlignment="0" applyProtection="0">
      <alignment vertical="center"/>
    </xf>
    <xf numFmtId="0" fontId="109" fillId="0" borderId="33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9" fillId="61" borderId="45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19" fillId="63" borderId="0" applyNumberFormat="0" applyBorder="0" applyAlignment="0" applyProtection="0">
      <alignment vertical="center"/>
    </xf>
    <xf numFmtId="0" fontId="94" fillId="63" borderId="43" applyNumberFormat="0" applyAlignment="0" applyProtection="0">
      <alignment vertical="center"/>
    </xf>
    <xf numFmtId="0" fontId="110" fillId="28" borderId="34" applyNumberFormat="0" applyAlignment="0" applyProtection="0">
      <alignment vertical="center"/>
    </xf>
    <xf numFmtId="0" fontId="95" fillId="73" borderId="49" applyNumberFormat="0" applyAlignment="0" applyProtection="0">
      <alignment vertical="center"/>
    </xf>
    <xf numFmtId="0" fontId="111" fillId="29" borderId="35" applyNumberForma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3" fillId="77" borderId="50" applyNumberFormat="0" applyAlignment="0" applyProtection="0">
      <alignment vertical="center"/>
    </xf>
    <xf numFmtId="0" fontId="112" fillId="30" borderId="37" applyNumberFormat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96" fillId="58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5" fillId="0" borderId="0"/>
    <xf numFmtId="0" fontId="39" fillId="30" borderId="37" applyNumberFormat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5" fillId="0" borderId="0"/>
    <xf numFmtId="0" fontId="86" fillId="6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19" fillId="6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7" fillId="29" borderId="35" applyNumberFormat="0" applyAlignment="0" applyProtection="0">
      <alignment vertical="center"/>
    </xf>
    <xf numFmtId="0" fontId="15" fillId="0" borderId="0"/>
    <xf numFmtId="0" fontId="79" fillId="0" borderId="36" applyNumberFormat="0" applyFill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6" fillId="28" borderId="34" applyNumberFormat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34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52" fillId="0" borderId="0"/>
    <xf numFmtId="0" fontId="7" fillId="31" borderId="38" applyNumberFormat="0" applyFont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98" fillId="0" borderId="0">
      <alignment vertical="center"/>
    </xf>
    <xf numFmtId="0" fontId="82" fillId="5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15" fillId="0" borderId="0"/>
    <xf numFmtId="0" fontId="7" fillId="50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7" fillId="49" borderId="0" applyNumberFormat="0" applyBorder="0" applyAlignment="0" applyProtection="0">
      <alignment vertical="center"/>
    </xf>
    <xf numFmtId="0" fontId="15" fillId="0" borderId="0"/>
    <xf numFmtId="0" fontId="7" fillId="54" borderId="0" applyNumberFormat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5" fillId="0" borderId="0"/>
    <xf numFmtId="0" fontId="84" fillId="75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15" fillId="0" borderId="0"/>
    <xf numFmtId="0" fontId="7" fillId="50" borderId="0" applyNumberFormat="0" applyBorder="0" applyAlignment="0" applyProtection="0">
      <alignment vertical="center"/>
    </xf>
    <xf numFmtId="0" fontId="78" fillId="29" borderId="34" applyNumberFormat="0" applyAlignment="0" applyProtection="0">
      <alignment vertical="center"/>
    </xf>
    <xf numFmtId="0" fontId="39" fillId="30" borderId="37" applyNumberForma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84" fillId="7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96" fillId="5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5" fillId="0" borderId="0"/>
    <xf numFmtId="0" fontId="82" fillId="48" borderId="0" applyNumberFormat="0" applyBorder="0" applyAlignment="0" applyProtection="0">
      <alignment vertical="center"/>
    </xf>
    <xf numFmtId="0" fontId="77" fillId="29" borderId="35" applyNumberFormat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19" fillId="31" borderId="38" applyNumberFormat="0" applyFont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19" fillId="6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8" fillId="29" borderId="34" applyNumberFormat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91" fillId="0" borderId="46" applyNumberFormat="0" applyFill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5" fillId="0" borderId="0"/>
    <xf numFmtId="0" fontId="76" fillId="28" borderId="34" applyNumberFormat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9" fillId="0" borderId="36" applyNumberFormat="0" applyFill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15" fillId="0" borderId="0"/>
    <xf numFmtId="0" fontId="7" fillId="45" borderId="0" applyNumberFormat="0" applyBorder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83" fillId="77" borderId="50" applyNumberFormat="0" applyAlignment="0" applyProtection="0">
      <alignment vertical="center"/>
    </xf>
    <xf numFmtId="0" fontId="95" fillId="73" borderId="49" applyNumberForma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>
      <alignment vertical="center"/>
    </xf>
    <xf numFmtId="0" fontId="19" fillId="56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19" fillId="64" borderId="0" applyNumberFormat="0" applyBorder="0" applyAlignment="0" applyProtection="0">
      <alignment vertical="center"/>
    </xf>
    <xf numFmtId="0" fontId="19" fillId="6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19" fillId="6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84" fillId="59" borderId="0" applyNumberFormat="0" applyBorder="0" applyAlignment="0" applyProtection="0">
      <alignment vertical="center"/>
    </xf>
    <xf numFmtId="0" fontId="52" fillId="0" borderId="0" applyNumberFormat="0" applyFont="0" applyFill="0" applyBorder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91" fillId="0" borderId="46" applyNumberFormat="0" applyFill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84" fillId="7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5" fillId="0" borderId="0"/>
    <xf numFmtId="0" fontId="113" fillId="2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94" fillId="63" borderId="43" applyNumberFormat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109" fillId="0" borderId="33" applyNumberFormat="0" applyFill="0" applyAlignment="0" applyProtection="0">
      <alignment vertical="center"/>
    </xf>
    <xf numFmtId="0" fontId="109" fillId="0" borderId="33" applyNumberFormat="0" applyFill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87" fillId="73" borderId="43" applyNumberFormat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88" fillId="0" borderId="44" applyNumberFormat="0" applyFill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19" fillId="61" borderId="45" applyNumberFormat="0" applyFont="0" applyAlignment="0" applyProtection="0">
      <alignment vertical="center"/>
    </xf>
    <xf numFmtId="0" fontId="98" fillId="31" borderId="38" applyNumberFormat="0" applyFont="0" applyAlignment="0" applyProtection="0">
      <alignment vertical="center"/>
    </xf>
    <xf numFmtId="0" fontId="84" fillId="75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8" fillId="31" borderId="38" applyNumberFormat="0" applyFont="0" applyAlignment="0" applyProtection="0">
      <alignment vertical="center"/>
    </xf>
    <xf numFmtId="0" fontId="84" fillId="74" borderId="0" applyNumberFormat="0" applyBorder="0" applyAlignment="0" applyProtection="0">
      <alignment vertical="center"/>
    </xf>
    <xf numFmtId="0" fontId="88" fillId="0" borderId="44" applyNumberFormat="0" applyFill="0" applyAlignment="0" applyProtection="0">
      <alignment vertical="center"/>
    </xf>
    <xf numFmtId="0" fontId="103" fillId="29" borderId="34" applyNumberFormat="0" applyAlignment="0" applyProtection="0">
      <alignment vertical="center"/>
    </xf>
    <xf numFmtId="0" fontId="84" fillId="75" borderId="0" applyNumberFormat="0" applyBorder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84" fillId="7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46" applyNumberFormat="0" applyFill="0" applyAlignment="0" applyProtection="0">
      <alignment vertical="center"/>
    </xf>
    <xf numFmtId="0" fontId="92" fillId="0" borderId="47" applyNumberFormat="0" applyFill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93" fillId="0" borderId="48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19" fillId="64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4" fillId="63" borderId="43" applyNumberFormat="0" applyAlignment="0" applyProtection="0">
      <alignment vertical="center"/>
    </xf>
    <xf numFmtId="0" fontId="95" fillId="73" borderId="49" applyNumberForma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83" fillId="77" borderId="50" applyNumberFormat="0" applyAlignment="0" applyProtection="0">
      <alignment vertical="center"/>
    </xf>
    <xf numFmtId="0" fontId="84" fillId="59" borderId="0" applyNumberFormat="0" applyBorder="0" applyAlignment="0" applyProtection="0">
      <alignment vertical="center"/>
    </xf>
    <xf numFmtId="0" fontId="96" fillId="5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83" fillId="77" borderId="50" applyNumberFormat="0" applyAlignment="0" applyProtection="0">
      <alignment vertical="center"/>
    </xf>
    <xf numFmtId="0" fontId="19" fillId="67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31" borderId="38" applyNumberFormat="0" applyFont="0" applyAlignment="0" applyProtection="0">
      <alignment vertical="center"/>
    </xf>
    <xf numFmtId="0" fontId="103" fillId="29" borderId="34" applyNumberFormat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1" fillId="0" borderId="39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84" fillId="72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84" fillId="59" borderId="0" applyNumberFormat="0" applyBorder="0" applyAlignment="0" applyProtection="0">
      <alignment vertical="center"/>
    </xf>
    <xf numFmtId="0" fontId="111" fillId="29" borderId="35" applyNumberFormat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15" fillId="0" borderId="0"/>
    <xf numFmtId="0" fontId="40" fillId="0" borderId="39" applyNumberFormat="0" applyFill="0" applyAlignment="0" applyProtection="0">
      <alignment vertical="center"/>
    </xf>
    <xf numFmtId="0" fontId="101" fillId="0" borderId="39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5" fillId="0" borderId="0"/>
    <xf numFmtId="0" fontId="99" fillId="51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1" fillId="0" borderId="46" applyNumberFormat="0" applyFill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9" fillId="31" borderId="38" applyNumberFormat="0" applyFont="0" applyAlignment="0" applyProtection="0">
      <alignment vertical="center"/>
    </xf>
    <xf numFmtId="0" fontId="108" fillId="0" borderId="32" applyNumberFormat="0" applyFill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19" fillId="63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99" fillId="44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52" fillId="0" borderId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4" fillId="0" borderId="36" applyNumberFormat="0" applyFill="0" applyAlignment="0" applyProtection="0">
      <alignment vertical="center"/>
    </xf>
    <xf numFmtId="0" fontId="108" fillId="0" borderId="32" applyNumberFormat="0" applyFill="0" applyAlignment="0" applyProtection="0">
      <alignment vertical="center"/>
    </xf>
    <xf numFmtId="0" fontId="39" fillId="30" borderId="37" applyNumberFormat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14" fillId="0" borderId="0">
      <alignment vertical="center"/>
    </xf>
    <xf numFmtId="0" fontId="19" fillId="56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64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19" fillId="6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19" fillId="67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84" fillId="59" borderId="0" applyNumberFormat="0" applyBorder="0" applyAlignment="0" applyProtection="0">
      <alignment vertical="center"/>
    </xf>
    <xf numFmtId="0" fontId="99" fillId="39" borderId="0" applyNumberFormat="0" applyBorder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84" fillId="72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15" fillId="0" borderId="0"/>
    <xf numFmtId="0" fontId="85" fillId="66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101" fillId="0" borderId="39" applyNumberFormat="0" applyFill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87" fillId="73" borderId="43" applyNumberFormat="0" applyAlignment="0" applyProtection="0">
      <alignment vertical="center"/>
    </xf>
    <xf numFmtId="0" fontId="103" fillId="29" borderId="34" applyNumberFormat="0" applyAlignment="0" applyProtection="0">
      <alignment vertical="center"/>
    </xf>
    <xf numFmtId="0" fontId="88" fillId="0" borderId="44" applyNumberFormat="0" applyFill="0" applyAlignment="0" applyProtection="0">
      <alignment vertical="center"/>
    </xf>
    <xf numFmtId="0" fontId="104" fillId="0" borderId="36" applyNumberFormat="0" applyFill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19" fillId="61" borderId="45" applyNumberFormat="0" applyFont="0" applyAlignment="0" applyProtection="0">
      <alignment vertical="center"/>
    </xf>
    <xf numFmtId="0" fontId="98" fillId="31" borderId="38" applyNumberFormat="0" applyFont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84" fillId="74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84" fillId="75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84" fillId="76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99" fillId="4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79" fillId="0" borderId="36" applyNumberFormat="0" applyFill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46" applyNumberFormat="0" applyFill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104" fillId="0" borderId="36" applyNumberFormat="0" applyFill="0" applyAlignment="0" applyProtection="0">
      <alignment vertical="center"/>
    </xf>
    <xf numFmtId="0" fontId="92" fillId="0" borderId="47" applyNumberFormat="0" applyFill="0" applyAlignment="0" applyProtection="0">
      <alignment vertical="center"/>
    </xf>
    <xf numFmtId="0" fontId="108" fillId="0" borderId="32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93" fillId="0" borderId="48" applyNumberFormat="0" applyFill="0" applyAlignment="0" applyProtection="0">
      <alignment vertical="center"/>
    </xf>
    <xf numFmtId="0" fontId="109" fillId="0" borderId="33" applyNumberFormat="0" applyFill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99" fillId="44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94" fillId="63" borderId="43" applyNumberFormat="0" applyAlignment="0" applyProtection="0">
      <alignment vertical="center"/>
    </xf>
    <xf numFmtId="0" fontId="110" fillId="28" borderId="34" applyNumberFormat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95" fillId="73" borderId="49" applyNumberFormat="0" applyAlignment="0" applyProtection="0">
      <alignment vertical="center"/>
    </xf>
    <xf numFmtId="0" fontId="111" fillId="29" borderId="35" applyNumberFormat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83" fillId="77" borderId="50" applyNumberFormat="0" applyAlignment="0" applyProtection="0">
      <alignment vertical="center"/>
    </xf>
    <xf numFmtId="0" fontId="112" fillId="30" borderId="37" applyNumberFormat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96" fillId="58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1" fillId="29" borderId="35" applyNumberFormat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31" borderId="38" applyNumberFormat="0" applyFont="0" applyAlignment="0" applyProtection="0">
      <alignment vertical="center"/>
    </xf>
    <xf numFmtId="0" fontId="103" fillId="29" borderId="34" applyNumberFormat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101" fillId="0" borderId="39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52" fillId="0" borderId="0" applyNumberFormat="0" applyFont="0" applyFill="0" applyBorder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111" fillId="29" borderId="35" applyNumberFormat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19" fillId="31" borderId="38" applyNumberFormat="0" applyFont="0" applyAlignment="0" applyProtection="0">
      <alignment vertical="center"/>
    </xf>
    <xf numFmtId="0" fontId="93" fillId="0" borderId="48" applyNumberFormat="0" applyFill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84" fillId="76" borderId="0" applyNumberFormat="0" applyBorder="0" applyAlignment="0" applyProtection="0">
      <alignment vertical="center"/>
    </xf>
    <xf numFmtId="0" fontId="84" fillId="74" borderId="0" applyNumberFormat="0" applyBorder="0" applyAlignment="0" applyProtection="0">
      <alignment vertical="center"/>
    </xf>
    <xf numFmtId="0" fontId="19" fillId="61" borderId="45" applyNumberFormat="0" applyFont="0" applyAlignment="0" applyProtection="0">
      <alignment vertical="center"/>
    </xf>
    <xf numFmtId="0" fontId="108" fillId="0" borderId="32" applyNumberFormat="0" applyFill="0" applyAlignment="0" applyProtection="0">
      <alignment vertical="center"/>
    </xf>
    <xf numFmtId="0" fontId="87" fillId="73" borderId="43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95" fillId="73" borderId="49" applyNumberFormat="0" applyAlignment="0" applyProtection="0">
      <alignment vertical="center"/>
    </xf>
    <xf numFmtId="0" fontId="110" fillId="28" borderId="34" applyNumberFormat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110" fillId="28" borderId="34" applyNumberFormat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52" fillId="0" borderId="0"/>
    <xf numFmtId="0" fontId="99" fillId="52" borderId="0" applyNumberFormat="0" applyBorder="0" applyAlignment="0" applyProtection="0">
      <alignment vertical="center"/>
    </xf>
    <xf numFmtId="0" fontId="99" fillId="44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4" fillId="0" borderId="36" applyNumberFormat="0" applyFill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78" fillId="29" borderId="34" applyNumberFormat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99" fillId="39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77" fillId="29" borderId="35" applyNumberFormat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99" fillId="39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92" fillId="0" borderId="47" applyNumberFormat="0" applyFill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6" fillId="28" borderId="34" applyNumberFormat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99" fillId="39" borderId="0" applyNumberFormat="0" applyBorder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88" fillId="0" borderId="44" applyNumberFormat="0" applyFill="0" applyAlignment="0" applyProtection="0">
      <alignment vertical="center"/>
    </xf>
    <xf numFmtId="0" fontId="109" fillId="0" borderId="33" applyNumberFormat="0" applyFill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96" fillId="58" borderId="0" applyNumberFormat="0" applyBorder="0" applyAlignment="0" applyProtection="0">
      <alignment vertical="center"/>
    </xf>
    <xf numFmtId="0" fontId="112" fillId="30" borderId="37" applyNumberFormat="0" applyAlignment="0" applyProtection="0">
      <alignment vertical="center"/>
    </xf>
    <xf numFmtId="0" fontId="112" fillId="30" borderId="37" applyNumberFormat="0" applyAlignment="0" applyProtection="0">
      <alignment vertical="center"/>
    </xf>
    <xf numFmtId="0" fontId="112" fillId="30" borderId="37" applyNumberFormat="0" applyAlignment="0" applyProtection="0">
      <alignment vertical="center"/>
    </xf>
    <xf numFmtId="0" fontId="110" fillId="28" borderId="34" applyNumberFormat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15" fillId="0" borderId="0"/>
    <xf numFmtId="0" fontId="7" fillId="49" borderId="0" applyNumberFormat="0" applyBorder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5" fillId="0" borderId="0"/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52" fillId="0" borderId="0"/>
    <xf numFmtId="0" fontId="7" fillId="33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15" fillId="0" borderId="0"/>
    <xf numFmtId="0" fontId="94" fillId="63" borderId="43" applyNumberFormat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9" fillId="61" borderId="45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93" fillId="0" borderId="48" applyNumberFormat="0" applyFill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76" fillId="28" borderId="34" applyNumberFormat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6" fillId="28" borderId="34" applyNumberFormat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39" fillId="30" borderId="37" applyNumberFormat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15" fillId="0" borderId="0"/>
    <xf numFmtId="0" fontId="72" fillId="0" borderId="0" applyNumberFormat="0" applyFill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9" fillId="31" borderId="38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9" fillId="0" borderId="36" applyNumberFormat="0" applyFill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98" fillId="31" borderId="38" applyNumberFormat="0" applyFont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8" fillId="29" borderId="34" applyNumberFormat="0" applyAlignment="0" applyProtection="0">
      <alignment vertical="center"/>
    </xf>
    <xf numFmtId="0" fontId="39" fillId="30" borderId="37" applyNumberFormat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98" fillId="31" borderId="38" applyNumberFormat="0" applyFont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52" fillId="0" borderId="0"/>
    <xf numFmtId="0" fontId="7" fillId="46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52" fillId="0" borderId="0"/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91" fillId="0" borderId="46" applyNumberFormat="0" applyFill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95" fillId="73" borderId="49" applyNumberFormat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15" fillId="0" borderId="0"/>
    <xf numFmtId="0" fontId="82" fillId="52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88" fillId="0" borderId="44" applyNumberFormat="0" applyFill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53" borderId="0" applyNumberFormat="0" applyBorder="0" applyAlignment="0" applyProtection="0">
      <alignment vertical="center"/>
    </xf>
    <xf numFmtId="0" fontId="15" fillId="0" borderId="0"/>
    <xf numFmtId="0" fontId="52" fillId="0" borderId="0" applyNumberFormat="0" applyFont="0" applyFill="0" applyBorder="0" applyProtection="0">
      <alignment vertical="center"/>
    </xf>
    <xf numFmtId="0" fontId="84" fillId="59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87" fillId="73" borderId="43" applyNumberFormat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88" fillId="0" borderId="44" applyNumberFormat="0" applyFill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19" fillId="31" borderId="38" applyNumberFormat="0" applyFont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32" applyNumberFormat="0" applyFill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83" fillId="77" borderId="50" applyNumberFormat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9" fillId="31" borderId="38" applyNumberFormat="0" applyFont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52" fillId="0" borderId="0"/>
    <xf numFmtId="0" fontId="98" fillId="54" borderId="0" applyNumberFormat="0" applyBorder="0" applyAlignment="0" applyProtection="0">
      <alignment vertical="center"/>
    </xf>
    <xf numFmtId="0" fontId="76" fillId="28" borderId="34" applyNumberFormat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52" fillId="0" borderId="0" applyNumberFormat="0" applyFont="0" applyFill="0" applyBorder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98" fillId="31" borderId="38" applyNumberFormat="0" applyFont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11" fillId="29" borderId="35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52" fillId="0" borderId="0"/>
    <xf numFmtId="0" fontId="7" fillId="50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4" fillId="63" borderId="43" applyNumberFormat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19" fillId="67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52" fillId="0" borderId="0"/>
    <xf numFmtId="0" fontId="98" fillId="31" borderId="38" applyNumberFormat="0" applyFont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92" fillId="0" borderId="47" applyNumberFormat="0" applyFill="0" applyAlignment="0" applyProtection="0">
      <alignment vertical="center"/>
    </xf>
    <xf numFmtId="0" fontId="104" fillId="0" borderId="36" applyNumberFormat="0" applyFill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83" fillId="77" borderId="50" applyNumberForma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5" fillId="0" borderId="0"/>
    <xf numFmtId="0" fontId="99" fillId="39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52" fillId="0" borderId="0" applyNumberFormat="0" applyFont="0" applyFill="0" applyBorder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10" fillId="28" borderId="34" applyNumberFormat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4" fillId="0" borderId="0">
      <alignment vertical="center"/>
    </xf>
    <xf numFmtId="0" fontId="98" fillId="33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92" fillId="0" borderId="47" applyNumberFormat="0" applyFill="0" applyAlignment="0" applyProtection="0">
      <alignment vertical="center"/>
    </xf>
    <xf numFmtId="0" fontId="15" fillId="0" borderId="0"/>
    <xf numFmtId="0" fontId="77" fillId="29" borderId="35" applyNumberFormat="0" applyAlignment="0" applyProtection="0">
      <alignment vertical="center"/>
    </xf>
    <xf numFmtId="0" fontId="15" fillId="0" borderId="0"/>
    <xf numFmtId="0" fontId="7" fillId="49" borderId="0" applyNumberFormat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15" fillId="0" borderId="0"/>
    <xf numFmtId="0" fontId="7" fillId="37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109" fillId="0" borderId="33" applyNumberFormat="0" applyFill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87" fillId="73" borderId="43" applyNumberFormat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01" fillId="0" borderId="39" applyNumberFormat="0" applyFill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52" fillId="0" borderId="0"/>
    <xf numFmtId="0" fontId="7" fillId="5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7" fillId="31" borderId="38" applyNumberFormat="0" applyFont="0" applyAlignment="0" applyProtection="0">
      <alignment vertical="center"/>
    </xf>
    <xf numFmtId="0" fontId="79" fillId="0" borderId="36" applyNumberFormat="0" applyFill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19" fillId="67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112" fillId="30" borderId="37" applyNumberForma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92" fillId="0" borderId="47" applyNumberFormat="0" applyFill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39" fillId="30" borderId="37" applyNumberFormat="0" applyAlignment="0" applyProtection="0">
      <alignment vertical="center"/>
    </xf>
    <xf numFmtId="0" fontId="19" fillId="61" borderId="45" applyNumberFormat="0" applyFon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103" fillId="29" borderId="34" applyNumberFormat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84" fillId="72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52" fillId="0" borderId="0"/>
    <xf numFmtId="0" fontId="99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95" fillId="73" borderId="49" applyNumberFormat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4" fillId="59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84" fillId="7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84" fillId="75" borderId="0" applyNumberFormat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52" fillId="0" borderId="0" applyNumberFormat="0" applyFont="0" applyFill="0" applyBorder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39" fillId="30" borderId="37" applyNumberFormat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9" fillId="6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7" fillId="29" borderId="35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52" fillId="0" borderId="0"/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52" fillId="0" borderId="0"/>
    <xf numFmtId="0" fontId="52" fillId="0" borderId="0"/>
    <xf numFmtId="0" fontId="7" fillId="31" borderId="38" applyNumberFormat="0" applyFont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6" fillId="28" borderId="34" applyNumberFormat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76" fillId="28" borderId="34" applyNumberFormat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8" fillId="29" borderId="34" applyNumberFormat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19" fillId="63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52" fillId="0" borderId="0"/>
    <xf numFmtId="0" fontId="7" fillId="37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6" fillId="28" borderId="34" applyNumberFormat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8" fillId="29" borderId="34" applyNumberFormat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52" fillId="0" borderId="0"/>
    <xf numFmtId="0" fontId="93" fillId="0" borderId="48" applyNumberFormat="0" applyFill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9" fillId="61" borderId="45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7" fillId="73" borderId="43" applyNumberForma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4" fillId="0" borderId="0">
      <alignment vertical="center"/>
    </xf>
    <xf numFmtId="0" fontId="82" fillId="47" borderId="0" applyNumberFormat="0" applyBorder="0" applyAlignment="0" applyProtection="0">
      <alignment vertical="center"/>
    </xf>
    <xf numFmtId="0" fontId="77" fillId="29" borderId="35" applyNumberFormat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52" fillId="0" borderId="0"/>
    <xf numFmtId="0" fontId="7" fillId="33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19" fillId="61" borderId="45" applyNumberFormat="0" applyFont="0" applyAlignment="0" applyProtection="0">
      <alignment vertical="center"/>
    </xf>
    <xf numFmtId="0" fontId="15" fillId="0" borderId="0"/>
    <xf numFmtId="0" fontId="19" fillId="62" borderId="0" applyNumberFormat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84" fillId="74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77" fillId="29" borderId="35" applyNumberFormat="0" applyAlignment="0" applyProtection="0">
      <alignment vertical="center"/>
    </xf>
    <xf numFmtId="0" fontId="15" fillId="0" borderId="0"/>
    <xf numFmtId="0" fontId="98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84" fillId="72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88" fillId="0" borderId="44" applyNumberFormat="0" applyFill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8" fillId="29" borderId="34" applyNumberFormat="0" applyAlignment="0" applyProtection="0">
      <alignment vertical="center"/>
    </xf>
    <xf numFmtId="0" fontId="84" fillId="76" borderId="0" applyNumberFormat="0" applyBorder="0" applyAlignment="0" applyProtection="0">
      <alignment vertical="center"/>
    </xf>
    <xf numFmtId="0" fontId="14" fillId="0" borderId="0">
      <alignment vertical="center"/>
    </xf>
    <xf numFmtId="0" fontId="89" fillId="0" borderId="0" applyNumberFormat="0" applyFill="0" applyBorder="0" applyAlignment="0" applyProtection="0">
      <alignment vertical="center"/>
    </xf>
    <xf numFmtId="0" fontId="98" fillId="31" borderId="38" applyNumberFormat="0" applyFont="0" applyAlignment="0" applyProtection="0">
      <alignment vertical="center"/>
    </xf>
    <xf numFmtId="0" fontId="19" fillId="64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93" fillId="0" borderId="48" applyNumberFormat="0" applyFill="0" applyAlignment="0" applyProtection="0">
      <alignment vertical="center"/>
    </xf>
    <xf numFmtId="0" fontId="84" fillId="75" borderId="0" applyNumberFormat="0" applyBorder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19" fillId="61" borderId="45" applyNumberFormat="0" applyFont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4" fillId="0" borderId="0">
      <alignment vertical="center"/>
    </xf>
    <xf numFmtId="0" fontId="19" fillId="65" borderId="0" applyNumberFormat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97" fillId="0" borderId="0" applyNumberFormat="0" applyFill="0" applyBorder="0" applyAlignment="0" applyProtection="0">
      <alignment vertical="center"/>
    </xf>
    <xf numFmtId="0" fontId="94" fillId="63" borderId="43" applyNumberFormat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9" fillId="31" borderId="38" applyNumberFormat="0" applyFont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32" applyNumberFormat="0" applyFill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111" fillId="29" borderId="35" applyNumberFormat="0" applyAlignment="0" applyProtection="0">
      <alignment vertical="center"/>
    </xf>
    <xf numFmtId="0" fontId="19" fillId="31" borderId="38" applyNumberFormat="0" applyFont="0" applyAlignment="0" applyProtection="0">
      <alignment vertical="center"/>
    </xf>
    <xf numFmtId="0" fontId="7" fillId="0" borderId="0">
      <alignment vertical="center"/>
    </xf>
    <xf numFmtId="0" fontId="7" fillId="50" borderId="0" applyNumberFormat="0" applyBorder="0" applyAlignment="0" applyProtection="0">
      <alignment vertical="center"/>
    </xf>
    <xf numFmtId="0" fontId="84" fillId="7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111" fillId="29" borderId="35" applyNumberForma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19" fillId="31" borderId="38" applyNumberFormat="0" applyFont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52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52" fillId="0" borderId="0"/>
    <xf numFmtId="0" fontId="69" fillId="0" borderId="0" applyNumberFormat="0" applyFill="0" applyBorder="0" applyAlignment="0" applyProtection="0">
      <alignment vertical="center"/>
    </xf>
    <xf numFmtId="0" fontId="15" fillId="0" borderId="0"/>
    <xf numFmtId="0" fontId="7" fillId="49" borderId="0" applyNumberFormat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104" fillId="0" borderId="36" applyNumberFormat="0" applyFill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99" fillId="39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4" fillId="0" borderId="0">
      <alignment vertical="center"/>
    </xf>
    <xf numFmtId="0" fontId="82" fillId="36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8" fillId="0" borderId="32" applyNumberFormat="0" applyFill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110" fillId="28" borderId="34" applyNumberFormat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14" fillId="0" borderId="0">
      <alignment vertical="center"/>
    </xf>
    <xf numFmtId="0" fontId="99" fillId="40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109" fillId="0" borderId="33" applyNumberFormat="0" applyFill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101" fillId="0" borderId="39" applyNumberFormat="0" applyFill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52" fillId="0" borderId="0"/>
    <xf numFmtId="0" fontId="7" fillId="5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12" fillId="30" borderId="37" applyNumberFormat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15" fillId="0" borderId="0"/>
    <xf numFmtId="0" fontId="7" fillId="42" borderId="0" applyNumberFormat="0" applyBorder="0" applyAlignment="0" applyProtection="0">
      <alignment vertical="center"/>
    </xf>
    <xf numFmtId="0" fontId="103" fillId="29" borderId="34" applyNumberFormat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99" fillId="44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7" fillId="5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93" fillId="0" borderId="48" applyNumberFormat="0" applyFill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94" fillId="63" borderId="43" applyNumberFormat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98" fillId="31" borderId="38" applyNumberFormat="0" applyFont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84" fillId="72" borderId="0" applyNumberFormat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39" fillId="30" borderId="37" applyNumberFormat="0" applyAlignment="0" applyProtection="0">
      <alignment vertical="center"/>
    </xf>
    <xf numFmtId="0" fontId="96" fillId="58" borderId="0" applyNumberFormat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7" fillId="29" borderId="35" applyNumberFormat="0" applyAlignment="0" applyProtection="0">
      <alignment vertical="center"/>
    </xf>
    <xf numFmtId="0" fontId="79" fillId="0" borderId="36" applyNumberFormat="0" applyFill="0" applyAlignment="0" applyProtection="0">
      <alignment vertical="center"/>
    </xf>
    <xf numFmtId="0" fontId="52" fillId="0" borderId="0"/>
    <xf numFmtId="0" fontId="40" fillId="0" borderId="39" applyNumberFormat="0" applyFill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52" fillId="0" borderId="0"/>
    <xf numFmtId="0" fontId="14" fillId="0" borderId="0">
      <alignment vertical="center"/>
    </xf>
    <xf numFmtId="0" fontId="98" fillId="31" borderId="38" applyNumberFormat="0" applyFont="0" applyAlignment="0" applyProtection="0">
      <alignment vertical="center"/>
    </xf>
    <xf numFmtId="0" fontId="109" fillId="0" borderId="33" applyNumberFormat="0" applyFill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52" fillId="0" borderId="0"/>
    <xf numFmtId="0" fontId="19" fillId="62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92" fillId="0" borderId="47" applyNumberFormat="0" applyFill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53" borderId="0" applyNumberFormat="0" applyBorder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78" fillId="29" borderId="34" applyNumberForma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10" fillId="28" borderId="34" applyNumberForma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52" fillId="0" borderId="0"/>
    <xf numFmtId="0" fontId="19" fillId="64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52" fillId="0" borderId="0"/>
    <xf numFmtId="0" fontId="97" fillId="0" borderId="0" applyNumberForma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9" borderId="0" applyNumberFormat="0" applyBorder="0" applyAlignment="0" applyProtection="0">
      <alignment vertical="center"/>
    </xf>
    <xf numFmtId="0" fontId="52" fillId="0" borderId="0"/>
    <xf numFmtId="0" fontId="7" fillId="5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15" fillId="0" borderId="0"/>
    <xf numFmtId="0" fontId="7" fillId="31" borderId="38" applyNumberFormat="0" applyFont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87" fillId="73" borderId="43" applyNumberFormat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01" fillId="0" borderId="39" applyNumberFormat="0" applyFill="0" applyAlignment="0" applyProtection="0">
      <alignment vertical="center"/>
    </xf>
    <xf numFmtId="0" fontId="52" fillId="0" borderId="0"/>
    <xf numFmtId="0" fontId="82" fillId="4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84" fillId="7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15" fillId="0" borderId="0"/>
    <xf numFmtId="0" fontId="19" fillId="60" borderId="0" applyNumberFormat="0" applyBorder="0" applyAlignment="0" applyProtection="0">
      <alignment vertical="center"/>
    </xf>
    <xf numFmtId="0" fontId="39" fillId="30" borderId="37" applyNumberFormat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84" fillId="59" borderId="0" applyNumberFormat="0" applyBorder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96" fillId="58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91" fillId="0" borderId="46" applyNumberFormat="0" applyFill="0" applyAlignment="0" applyProtection="0">
      <alignment vertical="center"/>
    </xf>
    <xf numFmtId="0" fontId="104" fillId="0" borderId="36" applyNumberFormat="0" applyFill="0" applyAlignment="0" applyProtection="0">
      <alignment vertical="center"/>
    </xf>
    <xf numFmtId="0" fontId="79" fillId="0" borderId="36" applyNumberFormat="0" applyFill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84" fillId="7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52" fillId="0" borderId="0" applyNumberFormat="0" applyFont="0" applyFill="0" applyBorder="0" applyProtection="0">
      <alignment vertical="center"/>
    </xf>
    <xf numFmtId="0" fontId="103" fillId="29" borderId="34" applyNumberFormat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52" fillId="0" borderId="0"/>
    <xf numFmtId="0" fontId="99" fillId="44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52" fillId="0" borderId="0"/>
    <xf numFmtId="0" fontId="7" fillId="54" borderId="0" applyNumberFormat="0" applyBorder="0" applyAlignment="0" applyProtection="0">
      <alignment vertical="center"/>
    </xf>
    <xf numFmtId="0" fontId="52" fillId="0" borderId="0"/>
    <xf numFmtId="0" fontId="7" fillId="3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52" fillId="0" borderId="0"/>
    <xf numFmtId="0" fontId="7" fillId="34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52" fillId="0" borderId="0"/>
    <xf numFmtId="0" fontId="7" fillId="3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52" fillId="0" borderId="0"/>
    <xf numFmtId="0" fontId="7" fillId="34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1" borderId="38" applyNumberFormat="0" applyFon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5" fillId="0" borderId="0"/>
    <xf numFmtId="179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52" fillId="0" borderId="0" applyNumberFormat="0" applyFont="0" applyFill="0" applyBorder="0" applyProtection="0">
      <alignment vertical="center"/>
    </xf>
    <xf numFmtId="0" fontId="98" fillId="0" borderId="0">
      <alignment vertical="center"/>
    </xf>
    <xf numFmtId="0" fontId="14" fillId="0" borderId="0">
      <alignment vertical="center"/>
    </xf>
    <xf numFmtId="179" fontId="14" fillId="0" borderId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6" fillId="28" borderId="34" applyNumberFormat="0" applyAlignment="0" applyProtection="0">
      <alignment vertical="center"/>
    </xf>
    <xf numFmtId="0" fontId="77" fillId="29" borderId="35" applyNumberFormat="0" applyAlignment="0" applyProtection="0">
      <alignment vertical="center"/>
    </xf>
    <xf numFmtId="0" fontId="78" fillId="29" borderId="34" applyNumberFormat="0" applyAlignment="0" applyProtection="0">
      <alignment vertical="center"/>
    </xf>
    <xf numFmtId="0" fontId="79" fillId="0" borderId="36" applyNumberFormat="0" applyFill="0" applyAlignment="0" applyProtection="0">
      <alignment vertical="center"/>
    </xf>
    <xf numFmtId="0" fontId="39" fillId="30" borderId="37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4" borderId="0" applyNumberFormat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6" fillId="31" borderId="38" applyNumberFormat="0" applyFont="0" applyAlignment="0" applyProtection="0">
      <alignment vertical="center"/>
    </xf>
    <xf numFmtId="0" fontId="6" fillId="31" borderId="38" applyNumberFormat="0" applyFont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98" fillId="0" borderId="0">
      <alignment vertical="center"/>
    </xf>
    <xf numFmtId="0" fontId="14" fillId="0" borderId="0">
      <alignment vertical="center"/>
    </xf>
    <xf numFmtId="179" fontId="14" fillId="0" borderId="0" applyFont="0" applyFill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4" borderId="0" applyNumberFormat="0" applyBorder="0" applyAlignment="0" applyProtection="0">
      <alignment vertical="center"/>
    </xf>
    <xf numFmtId="0" fontId="6" fillId="54" borderId="0" applyNumberFormat="0" applyBorder="0" applyAlignment="0" applyProtection="0">
      <alignment vertical="center"/>
    </xf>
    <xf numFmtId="0" fontId="6" fillId="54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45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45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4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4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4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37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37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37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33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33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33" borderId="0" applyNumberFormat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98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31" borderId="38" applyNumberFormat="0" applyFont="0" applyAlignment="0" applyProtection="0">
      <alignment vertical="center"/>
    </xf>
    <xf numFmtId="0" fontId="6" fillId="31" borderId="38" applyNumberFormat="0" applyFont="0" applyAlignment="0" applyProtection="0">
      <alignment vertical="center"/>
    </xf>
    <xf numFmtId="0" fontId="6" fillId="31" borderId="38" applyNumberFormat="0" applyFont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4" borderId="0" applyNumberFormat="0" applyBorder="0" applyAlignment="0" applyProtection="0">
      <alignment vertical="center"/>
    </xf>
    <xf numFmtId="0" fontId="6" fillId="54" borderId="0" applyNumberFormat="0" applyBorder="0" applyAlignment="0" applyProtection="0">
      <alignment vertical="center"/>
    </xf>
    <xf numFmtId="0" fontId="6" fillId="54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31" borderId="38" applyNumberFormat="0" applyFont="0" applyAlignment="0" applyProtection="0">
      <alignment vertical="center"/>
    </xf>
    <xf numFmtId="0" fontId="6" fillId="31" borderId="38" applyNumberFormat="0" applyFont="0" applyAlignment="0" applyProtection="0">
      <alignment vertical="center"/>
    </xf>
    <xf numFmtId="0" fontId="6" fillId="31" borderId="38" applyNumberFormat="0" applyFont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98" fillId="0" borderId="0">
      <alignment vertical="center"/>
    </xf>
    <xf numFmtId="179" fontId="98" fillId="0" borderId="0" applyFont="0" applyFill="0" applyBorder="0" applyAlignment="0" applyProtection="0">
      <alignment vertical="center"/>
    </xf>
    <xf numFmtId="0" fontId="52" fillId="0" borderId="0">
      <alignment vertical="center"/>
    </xf>
    <xf numFmtId="17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2" fillId="0" borderId="0" applyNumberFormat="0" applyFont="0" applyFill="0" applyBorder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1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7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5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0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3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5" fillId="31" borderId="38" applyNumberFormat="0" applyFont="0" applyAlignment="0" applyProtection="0">
      <alignment vertical="center"/>
    </xf>
    <xf numFmtId="0" fontId="4" fillId="0" borderId="0">
      <alignment vertical="center"/>
    </xf>
    <xf numFmtId="0" fontId="4" fillId="31" borderId="38" applyNumberFormat="0" applyFon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31" borderId="38" applyNumberFormat="0" applyFon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31" borderId="38" applyNumberFormat="0" applyFon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1" borderId="38" applyNumberFormat="0" applyFon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1" borderId="38" applyNumberFormat="0" applyFont="0" applyAlignment="0" applyProtection="0">
      <alignment vertical="center"/>
    </xf>
    <xf numFmtId="0" fontId="4" fillId="31" borderId="38" applyNumberFormat="0" applyFon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31" borderId="38" applyNumberFormat="0" applyFon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31" borderId="38" applyNumberFormat="0" applyFon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31" borderId="38" applyNumberFormat="0" applyFon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31" borderId="38" applyNumberFormat="0" applyFon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31" borderId="38" applyNumberFormat="0" applyFon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31" borderId="38" applyNumberFormat="0" applyFon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31" borderId="38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31" borderId="38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31" borderId="38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31" borderId="38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1" borderId="38" applyNumberFormat="0" applyFont="0" applyAlignment="0" applyProtection="0">
      <alignment vertical="center"/>
    </xf>
    <xf numFmtId="0" fontId="3" fillId="31" borderId="38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31" borderId="38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31" borderId="38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31" borderId="38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31" borderId="38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31" borderId="38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31" borderId="38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9" fontId="1" fillId="0" borderId="0" applyFont="0" applyFill="0" applyBorder="0" applyAlignment="0" applyProtection="0">
      <alignment vertical="center"/>
    </xf>
  </cellStyleXfs>
  <cellXfs count="1218">
    <xf numFmtId="0" fontId="0" fillId="0" borderId="0" xfId="0">
      <alignment vertical="center"/>
    </xf>
    <xf numFmtId="0" fontId="15" fillId="0" borderId="0" xfId="4" applyFont="1">
      <alignment vertical="center"/>
    </xf>
    <xf numFmtId="0" fontId="15" fillId="0" borderId="0" xfId="5" applyFont="1">
      <alignment vertical="center"/>
    </xf>
    <xf numFmtId="0" fontId="55" fillId="0" borderId="0" xfId="0" applyFont="1" applyAlignment="1"/>
    <xf numFmtId="10" fontId="55" fillId="0" borderId="0" xfId="0" applyNumberFormat="1" applyFont="1" applyAlignment="1"/>
    <xf numFmtId="38" fontId="15" fillId="0" borderId="0" xfId="4" applyNumberFormat="1" applyFont="1">
      <alignment vertical="center"/>
    </xf>
    <xf numFmtId="0" fontId="15" fillId="0" borderId="1" xfId="4" applyFont="1" applyBorder="1">
      <alignment vertical="center"/>
    </xf>
    <xf numFmtId="0" fontId="15" fillId="0" borderId="1" xfId="4" applyFont="1" applyBorder="1" applyAlignment="1">
      <alignment horizontal="center" vertical="center"/>
    </xf>
    <xf numFmtId="0" fontId="15" fillId="0" borderId="1" xfId="5" applyFont="1" applyBorder="1" applyAlignment="1">
      <alignment horizontal="center" vertical="center"/>
    </xf>
    <xf numFmtId="0" fontId="55" fillId="0" borderId="1" xfId="0" applyFont="1" applyBorder="1" applyAlignment="1"/>
    <xf numFmtId="10" fontId="55" fillId="0" borderId="1" xfId="0" applyNumberFormat="1" applyFont="1" applyBorder="1" applyAlignment="1"/>
    <xf numFmtId="0" fontId="15" fillId="0" borderId="0" xfId="5" applyFont="1" applyAlignment="1">
      <alignment horizontal="center" vertical="center"/>
    </xf>
    <xf numFmtId="0" fontId="15" fillId="2" borderId="0" xfId="5" applyFont="1" applyFill="1" applyAlignment="1">
      <alignment horizontal="center" vertical="center"/>
    </xf>
    <xf numFmtId="38" fontId="15" fillId="3" borderId="0" xfId="5" applyNumberFormat="1" applyFont="1" applyFill="1" applyAlignment="1">
      <alignment horizontal="center" vertical="center"/>
    </xf>
    <xf numFmtId="0" fontId="15" fillId="3" borderId="0" xfId="5" applyFont="1" applyFill="1" applyAlignment="1">
      <alignment horizontal="center" vertical="center"/>
    </xf>
    <xf numFmtId="38" fontId="15" fillId="4" borderId="0" xfId="5" applyNumberFormat="1" applyFont="1" applyFill="1" applyAlignment="1">
      <alignment horizontal="center" vertical="center"/>
    </xf>
    <xf numFmtId="0" fontId="15" fillId="4" borderId="0" xfId="5" applyFont="1" applyFill="1" applyAlignment="1">
      <alignment horizontal="center" vertical="center"/>
    </xf>
    <xf numFmtId="0" fontId="55" fillId="6" borderId="2" xfId="0" applyFont="1" applyFill="1" applyBorder="1" applyAlignment="1">
      <alignment horizontal="center"/>
    </xf>
    <xf numFmtId="0" fontId="55" fillId="5" borderId="2" xfId="0" applyFont="1" applyFill="1" applyBorder="1" applyAlignment="1">
      <alignment horizontal="center"/>
    </xf>
    <xf numFmtId="0" fontId="55" fillId="8" borderId="0" xfId="0" applyFont="1" applyFill="1" applyAlignment="1">
      <alignment horizontal="center"/>
    </xf>
    <xf numFmtId="0" fontId="15" fillId="2" borderId="1" xfId="5" applyFont="1" applyFill="1" applyBorder="1" applyAlignment="1">
      <alignment horizontal="center" vertical="center"/>
    </xf>
    <xf numFmtId="0" fontId="15" fillId="3" borderId="1" xfId="5" applyFont="1" applyFill="1" applyBorder="1" applyAlignment="1">
      <alignment horizontal="center" vertical="center"/>
    </xf>
    <xf numFmtId="38" fontId="15" fillId="3" borderId="1" xfId="5" applyNumberFormat="1" applyFont="1" applyFill="1" applyBorder="1" applyAlignment="1">
      <alignment horizontal="center" vertical="center"/>
    </xf>
    <xf numFmtId="0" fontId="15" fillId="4" borderId="1" xfId="5" applyFont="1" applyFill="1" applyBorder="1" applyAlignment="1">
      <alignment horizontal="center" vertical="center"/>
    </xf>
    <xf numFmtId="38" fontId="15" fillId="4" borderId="1" xfId="5" applyNumberFormat="1" applyFont="1" applyFill="1" applyBorder="1" applyAlignment="1">
      <alignment horizontal="center" vertical="center"/>
    </xf>
    <xf numFmtId="38" fontId="55" fillId="6" borderId="1" xfId="0" applyNumberFormat="1" applyFont="1" applyFill="1" applyBorder="1" applyAlignment="1">
      <alignment horizontal="center" vertical="center"/>
    </xf>
    <xf numFmtId="38" fontId="55" fillId="5" borderId="1" xfId="0" applyNumberFormat="1" applyFont="1" applyFill="1" applyBorder="1" applyAlignment="1">
      <alignment horizontal="center" vertical="center"/>
    </xf>
    <xf numFmtId="38" fontId="55" fillId="7" borderId="1" xfId="0" applyNumberFormat="1" applyFont="1" applyFill="1" applyBorder="1" applyAlignment="1">
      <alignment horizontal="center" vertical="center"/>
    </xf>
    <xf numFmtId="38" fontId="15" fillId="7" borderId="1" xfId="5" applyNumberFormat="1" applyFont="1" applyFill="1" applyBorder="1" applyAlignment="1">
      <alignment horizontal="center" vertical="center"/>
    </xf>
    <xf numFmtId="0" fontId="55" fillId="8" borderId="1" xfId="0" applyFont="1" applyFill="1" applyBorder="1" applyAlignment="1">
      <alignment horizontal="center"/>
    </xf>
    <xf numFmtId="10" fontId="55" fillId="0" borderId="1" xfId="0" applyNumberFormat="1" applyFont="1" applyBorder="1" applyAlignment="1">
      <alignment horizontal="center"/>
    </xf>
    <xf numFmtId="38" fontId="15" fillId="0" borderId="0" xfId="4" applyNumberFormat="1" applyFont="1" applyAlignment="1">
      <alignment horizontal="right" vertical="center"/>
    </xf>
    <xf numFmtId="38" fontId="15" fillId="3" borderId="0" xfId="4" applyNumberFormat="1" applyFont="1" applyFill="1" applyAlignment="1">
      <alignment horizontal="right" vertical="center"/>
    </xf>
    <xf numFmtId="0" fontId="15" fillId="4" borderId="0" xfId="4" applyFont="1" applyFill="1">
      <alignment vertical="center"/>
    </xf>
    <xf numFmtId="38" fontId="15" fillId="4" borderId="0" xfId="4" applyNumberFormat="1" applyFont="1" applyFill="1">
      <alignment vertical="center"/>
    </xf>
    <xf numFmtId="38" fontId="15" fillId="6" borderId="0" xfId="4" applyNumberFormat="1" applyFont="1" applyFill="1">
      <alignment vertical="center"/>
    </xf>
    <xf numFmtId="38" fontId="15" fillId="0" borderId="0" xfId="5" applyNumberFormat="1" applyFont="1">
      <alignment vertical="center"/>
    </xf>
    <xf numFmtId="38" fontId="15" fillId="6" borderId="0" xfId="5" applyNumberFormat="1" applyFont="1" applyFill="1">
      <alignment vertical="center"/>
    </xf>
    <xf numFmtId="38" fontId="15" fillId="5" borderId="0" xfId="5" applyNumberFormat="1" applyFont="1" applyFill="1">
      <alignment vertical="center"/>
    </xf>
    <xf numFmtId="38" fontId="15" fillId="9" borderId="0" xfId="4" applyNumberFormat="1" applyFont="1" applyFill="1">
      <alignment vertical="center"/>
    </xf>
    <xf numFmtId="38" fontId="15" fillId="9" borderId="0" xfId="5" applyNumberFormat="1" applyFont="1" applyFill="1">
      <alignment vertical="center"/>
    </xf>
    <xf numFmtId="0" fontId="55" fillId="10" borderId="0" xfId="0" applyFont="1" applyFill="1" applyAlignment="1"/>
    <xf numFmtId="0" fontId="15" fillId="0" borderId="0" xfId="4" applyFont="1" applyAlignment="1">
      <alignment horizontal="left" vertical="center" indent="2"/>
    </xf>
    <xf numFmtId="38" fontId="15" fillId="0" borderId="0" xfId="2" applyNumberFormat="1" applyFont="1" applyFill="1" applyBorder="1">
      <alignment vertical="center"/>
    </xf>
    <xf numFmtId="37" fontId="15" fillId="3" borderId="0" xfId="4" applyNumberFormat="1" applyFont="1" applyFill="1" applyAlignment="1">
      <alignment horizontal="right" vertical="center"/>
    </xf>
    <xf numFmtId="37" fontId="15" fillId="0" borderId="0" xfId="4" applyNumberFormat="1" applyFont="1" applyAlignment="1">
      <alignment horizontal="right" vertical="center"/>
    </xf>
    <xf numFmtId="37" fontId="15" fillId="0" borderId="0" xfId="2" applyNumberFormat="1" applyFont="1" applyFill="1" applyBorder="1">
      <alignment vertical="center"/>
    </xf>
    <xf numFmtId="37" fontId="15" fillId="0" borderId="0" xfId="4" applyNumberFormat="1" applyFont="1">
      <alignment vertical="center"/>
    </xf>
    <xf numFmtId="37" fontId="15" fillId="4" borderId="0" xfId="4" applyNumberFormat="1" applyFont="1" applyFill="1">
      <alignment vertical="center"/>
    </xf>
    <xf numFmtId="37" fontId="15" fillId="4" borderId="0" xfId="5" applyNumberFormat="1" applyFont="1" applyFill="1">
      <alignment vertical="center"/>
    </xf>
    <xf numFmtId="37" fontId="15" fillId="6" borderId="0" xfId="4" applyNumberFormat="1" applyFont="1" applyFill="1">
      <alignment vertical="center"/>
    </xf>
    <xf numFmtId="37" fontId="15" fillId="0" borderId="0" xfId="5" applyNumberFormat="1" applyFont="1">
      <alignment vertical="center"/>
    </xf>
    <xf numFmtId="37" fontId="15" fillId="6" borderId="0" xfId="5" applyNumberFormat="1" applyFont="1" applyFill="1">
      <alignment vertical="center"/>
    </xf>
    <xf numFmtId="37" fontId="15" fillId="5" borderId="0" xfId="5" applyNumberFormat="1" applyFont="1" applyFill="1">
      <alignment vertical="center"/>
    </xf>
    <xf numFmtId="37" fontId="15" fillId="9" borderId="0" xfId="4" applyNumberFormat="1" applyFont="1" applyFill="1">
      <alignment vertical="center"/>
    </xf>
    <xf numFmtId="37" fontId="15" fillId="9" borderId="0" xfId="5" applyNumberFormat="1" applyFont="1" applyFill="1">
      <alignment vertical="center"/>
    </xf>
    <xf numFmtId="37" fontId="55" fillId="10" borderId="0" xfId="0" applyNumberFormat="1" applyFont="1" applyFill="1" applyAlignment="1"/>
    <xf numFmtId="37" fontId="55" fillId="0" borderId="0" xfId="0" applyNumberFormat="1" applyFont="1" applyAlignment="1"/>
    <xf numFmtId="0" fontId="15" fillId="0" borderId="3" xfId="4" applyFont="1" applyBorder="1" applyAlignment="1">
      <alignment horizontal="left" vertical="center" indent="2"/>
    </xf>
    <xf numFmtId="38" fontId="15" fillId="0" borderId="3" xfId="4" applyNumberFormat="1" applyFont="1" applyBorder="1">
      <alignment vertical="center"/>
    </xf>
    <xf numFmtId="38" fontId="15" fillId="0" borderId="3" xfId="2" applyNumberFormat="1" applyFont="1" applyFill="1" applyBorder="1">
      <alignment vertical="center"/>
    </xf>
    <xf numFmtId="38" fontId="15" fillId="0" borderId="3" xfId="4" applyNumberFormat="1" applyFont="1" applyBorder="1" applyAlignment="1">
      <alignment horizontal="right" vertical="center"/>
    </xf>
    <xf numFmtId="37" fontId="15" fillId="3" borderId="3" xfId="4" applyNumberFormat="1" applyFont="1" applyFill="1" applyBorder="1" applyAlignment="1">
      <alignment horizontal="right" vertical="center"/>
    </xf>
    <xf numFmtId="37" fontId="15" fillId="0" borderId="3" xfId="4" applyNumberFormat="1" applyFont="1" applyBorder="1" applyAlignment="1">
      <alignment horizontal="right" vertical="center"/>
    </xf>
    <xf numFmtId="37" fontId="15" fillId="0" borderId="3" xfId="2" applyNumberFormat="1" applyFont="1" applyFill="1" applyBorder="1">
      <alignment vertical="center"/>
    </xf>
    <xf numFmtId="37" fontId="15" fillId="0" borderId="3" xfId="4" applyNumberFormat="1" applyFont="1" applyBorder="1">
      <alignment vertical="center"/>
    </xf>
    <xf numFmtId="37" fontId="15" fillId="4" borderId="3" xfId="4" applyNumberFormat="1" applyFont="1" applyFill="1" applyBorder="1">
      <alignment vertical="center"/>
    </xf>
    <xf numFmtId="37" fontId="15" fillId="4" borderId="3" xfId="5" applyNumberFormat="1" applyFont="1" applyFill="1" applyBorder="1">
      <alignment vertical="center"/>
    </xf>
    <xf numFmtId="37" fontId="15" fillId="6" borderId="3" xfId="4" applyNumberFormat="1" applyFont="1" applyFill="1" applyBorder="1">
      <alignment vertical="center"/>
    </xf>
    <xf numFmtId="37" fontId="15" fillId="0" borderId="3" xfId="5" applyNumberFormat="1" applyFont="1" applyBorder="1">
      <alignment vertical="center"/>
    </xf>
    <xf numFmtId="37" fontId="15" fillId="6" borderId="3" xfId="5" applyNumberFormat="1" applyFont="1" applyFill="1" applyBorder="1">
      <alignment vertical="center"/>
    </xf>
    <xf numFmtId="37" fontId="15" fillId="5" borderId="3" xfId="5" applyNumberFormat="1" applyFont="1" applyFill="1" applyBorder="1">
      <alignment vertical="center"/>
    </xf>
    <xf numFmtId="37" fontId="15" fillId="9" borderId="3" xfId="4" applyNumberFormat="1" applyFont="1" applyFill="1" applyBorder="1">
      <alignment vertical="center"/>
    </xf>
    <xf numFmtId="37" fontId="15" fillId="9" borderId="3" xfId="5" applyNumberFormat="1" applyFont="1" applyFill="1" applyBorder="1">
      <alignment vertical="center"/>
    </xf>
    <xf numFmtId="37" fontId="55" fillId="10" borderId="3" xfId="0" applyNumberFormat="1" applyFont="1" applyFill="1" applyBorder="1" applyAlignment="1"/>
    <xf numFmtId="10" fontId="55" fillId="0" borderId="3" xfId="0" applyNumberFormat="1" applyFont="1" applyBorder="1" applyAlignment="1"/>
    <xf numFmtId="37" fontId="55" fillId="0" borderId="3" xfId="0" applyNumberFormat="1" applyFont="1" applyBorder="1" applyAlignment="1"/>
    <xf numFmtId="0" fontId="15" fillId="0" borderId="0" xfId="4" applyFont="1" applyAlignment="1">
      <alignment horizontal="left" vertical="center"/>
    </xf>
    <xf numFmtId="37" fontId="15" fillId="0" borderId="4" xfId="2" applyNumberFormat="1" applyFont="1" applyFill="1" applyBorder="1">
      <alignment vertical="center"/>
    </xf>
    <xf numFmtId="37" fontId="15" fillId="0" borderId="4" xfId="4" applyNumberFormat="1" applyFont="1" applyBorder="1">
      <alignment vertical="center"/>
    </xf>
    <xf numFmtId="37" fontId="15" fillId="4" borderId="4" xfId="4" applyNumberFormat="1" applyFont="1" applyFill="1" applyBorder="1">
      <alignment vertical="center"/>
    </xf>
    <xf numFmtId="37" fontId="15" fillId="0" borderId="4" xfId="5" applyNumberFormat="1" applyFont="1" applyBorder="1">
      <alignment vertical="center"/>
    </xf>
    <xf numFmtId="0" fontId="15" fillId="0" borderId="3" xfId="4" applyFont="1" applyBorder="1">
      <alignment vertical="center"/>
    </xf>
    <xf numFmtId="0" fontId="15" fillId="0" borderId="0" xfId="4" applyFont="1" applyAlignment="1">
      <alignment horizontal="left"/>
    </xf>
    <xf numFmtId="38" fontId="15" fillId="0" borderId="5" xfId="4" applyNumberFormat="1" applyFont="1" applyBorder="1">
      <alignment vertical="center"/>
    </xf>
    <xf numFmtId="38" fontId="15" fillId="0" borderId="0" xfId="4" applyNumberFormat="1" applyFont="1" applyAlignment="1">
      <alignment horizontal="right"/>
    </xf>
    <xf numFmtId="37" fontId="15" fillId="3" borderId="0" xfId="4" applyNumberFormat="1" applyFont="1" applyFill="1" applyAlignment="1">
      <alignment horizontal="right"/>
    </xf>
    <xf numFmtId="37" fontId="15" fillId="0" borderId="0" xfId="4" applyNumberFormat="1" applyFont="1" applyAlignment="1">
      <alignment horizontal="right"/>
    </xf>
    <xf numFmtId="37" fontId="15" fillId="0" borderId="0" xfId="4" applyNumberFormat="1" applyFont="1" applyAlignment="1"/>
    <xf numFmtId="37" fontId="15" fillId="4" borderId="0" xfId="4" applyNumberFormat="1" applyFont="1" applyFill="1" applyAlignment="1"/>
    <xf numFmtId="37" fontId="15" fillId="4" borderId="4" xfId="5" applyNumberFormat="1" applyFont="1" applyFill="1" applyBorder="1">
      <alignment vertical="center"/>
    </xf>
    <xf numFmtId="37" fontId="15" fillId="0" borderId="4" xfId="4" applyNumberFormat="1" applyFont="1" applyBorder="1" applyAlignment="1">
      <alignment horizontal="right"/>
    </xf>
    <xf numFmtId="37" fontId="15" fillId="6" borderId="4" xfId="4" applyNumberFormat="1" applyFont="1" applyFill="1" applyBorder="1" applyAlignment="1">
      <alignment horizontal="right"/>
    </xf>
    <xf numFmtId="37" fontId="15" fillId="6" borderId="4" xfId="5" applyNumberFormat="1" applyFont="1" applyFill="1" applyBorder="1">
      <alignment vertical="center"/>
    </xf>
    <xf numFmtId="37" fontId="15" fillId="5" borderId="4" xfId="5" applyNumberFormat="1" applyFont="1" applyFill="1" applyBorder="1">
      <alignment vertical="center"/>
    </xf>
    <xf numFmtId="37" fontId="15" fillId="9" borderId="4" xfId="4" applyNumberFormat="1" applyFont="1" applyFill="1" applyBorder="1" applyAlignment="1">
      <alignment horizontal="right"/>
    </xf>
    <xf numFmtId="37" fontId="15" fillId="9" borderId="4" xfId="5" applyNumberFormat="1" applyFont="1" applyFill="1" applyBorder="1">
      <alignment vertical="center"/>
    </xf>
    <xf numFmtId="37" fontId="55" fillId="10" borderId="5" xfId="0" applyNumberFormat="1" applyFont="1" applyFill="1" applyBorder="1" applyAlignment="1"/>
    <xf numFmtId="10" fontId="55" fillId="0" borderId="5" xfId="0" applyNumberFormat="1" applyFont="1" applyBorder="1" applyAlignment="1"/>
    <xf numFmtId="37" fontId="55" fillId="0" borderId="4" xfId="0" applyNumberFormat="1" applyFont="1" applyBorder="1" applyAlignment="1"/>
    <xf numFmtId="10" fontId="55" fillId="0" borderId="4" xfId="0" applyNumberFormat="1" applyFont="1" applyBorder="1" applyAlignment="1"/>
    <xf numFmtId="0" fontId="15" fillId="5" borderId="6" xfId="4" applyFont="1" applyFill="1" applyBorder="1" applyAlignment="1">
      <alignment horizontal="left"/>
    </xf>
    <xf numFmtId="183" fontId="15" fillId="5" borderId="6" xfId="4" applyNumberFormat="1" applyFont="1" applyFill="1" applyBorder="1" applyAlignment="1">
      <alignment horizontal="right"/>
    </xf>
    <xf numFmtId="183" fontId="15" fillId="5" borderId="6" xfId="2" applyNumberFormat="1" applyFont="1" applyFill="1" applyBorder="1">
      <alignment vertical="center"/>
    </xf>
    <xf numFmtId="0" fontId="15" fillId="5" borderId="6" xfId="4" applyFont="1" applyFill="1" applyBorder="1" applyAlignment="1">
      <alignment horizontal="right"/>
    </xf>
    <xf numFmtId="10" fontId="15" fillId="5" borderId="6" xfId="4" applyNumberFormat="1" applyFont="1" applyFill="1" applyBorder="1" applyAlignment="1">
      <alignment horizontal="right"/>
    </xf>
    <xf numFmtId="10" fontId="15" fillId="5" borderId="6" xfId="4" applyNumberFormat="1" applyFont="1" applyFill="1" applyBorder="1" applyAlignment="1"/>
    <xf numFmtId="10" fontId="57" fillId="5" borderId="6" xfId="3" applyNumberFormat="1" applyFont="1" applyFill="1" applyBorder="1">
      <alignment vertical="center"/>
    </xf>
    <xf numFmtId="10" fontId="15" fillId="5" borderId="7" xfId="4" applyNumberFormat="1" applyFont="1" applyFill="1" applyBorder="1" applyAlignment="1">
      <alignment horizontal="right"/>
    </xf>
    <xf numFmtId="10" fontId="55" fillId="5" borderId="7" xfId="0" applyNumberFormat="1" applyFont="1" applyFill="1" applyBorder="1" applyAlignment="1"/>
    <xf numFmtId="183" fontId="15" fillId="5" borderId="7" xfId="4" applyNumberFormat="1" applyFont="1" applyFill="1" applyBorder="1" applyAlignment="1">
      <alignment horizontal="right"/>
    </xf>
    <xf numFmtId="183" fontId="15" fillId="5" borderId="7" xfId="2" applyNumberFormat="1" applyFont="1" applyFill="1" applyBorder="1">
      <alignment vertical="center"/>
    </xf>
    <xf numFmtId="10" fontId="15" fillId="5" borderId="8" xfId="4" applyNumberFormat="1" applyFont="1" applyFill="1" applyBorder="1" applyAlignment="1">
      <alignment horizontal="right"/>
    </xf>
    <xf numFmtId="0" fontId="15" fillId="5" borderId="8" xfId="4" applyFont="1" applyFill="1" applyBorder="1" applyAlignment="1">
      <alignment horizontal="right"/>
    </xf>
    <xf numFmtId="10" fontId="15" fillId="5" borderId="8" xfId="4" applyNumberFormat="1" applyFont="1" applyFill="1" applyBorder="1" applyAlignment="1"/>
    <xf numFmtId="37" fontId="15" fillId="0" borderId="0" xfId="4" applyNumberFormat="1" applyFont="1" applyAlignment="1">
      <alignment horizontal="left"/>
    </xf>
    <xf numFmtId="37" fontId="15" fillId="6" borderId="0" xfId="4" applyNumberFormat="1" applyFont="1" applyFill="1" applyAlignment="1">
      <alignment horizontal="left"/>
    </xf>
    <xf numFmtId="37" fontId="15" fillId="9" borderId="0" xfId="4" applyNumberFormat="1" applyFont="1" applyFill="1" applyAlignment="1">
      <alignment horizontal="left"/>
    </xf>
    <xf numFmtId="38" fontId="55" fillId="0" borderId="0" xfId="0" applyNumberFormat="1" applyFont="1" applyAlignment="1"/>
    <xf numFmtId="0" fontId="15" fillId="0" borderId="0" xfId="4" applyFont="1" applyAlignment="1">
      <alignment horizontal="left" indent="2"/>
    </xf>
    <xf numFmtId="182" fontId="15" fillId="0" borderId="0" xfId="2" applyNumberFormat="1" applyFont="1" applyFill="1" applyBorder="1">
      <alignment vertical="center"/>
    </xf>
    <xf numFmtId="38" fontId="15" fillId="0" borderId="0" xfId="4" applyNumberFormat="1" applyFont="1" applyAlignment="1"/>
    <xf numFmtId="38" fontId="15" fillId="3" borderId="0" xfId="4" applyNumberFormat="1" applyFont="1" applyFill="1" applyAlignment="1">
      <alignment horizontal="right"/>
    </xf>
    <xf numFmtId="38" fontId="15" fillId="4" borderId="0" xfId="4" applyNumberFormat="1" applyFont="1" applyFill="1" applyAlignment="1"/>
    <xf numFmtId="38" fontId="15" fillId="4" borderId="0" xfId="5" applyNumberFormat="1" applyFont="1" applyFill="1">
      <alignment vertical="center"/>
    </xf>
    <xf numFmtId="38" fontId="15" fillId="0" borderId="3" xfId="4" applyNumberFormat="1" applyFont="1" applyBorder="1" applyAlignment="1"/>
    <xf numFmtId="38" fontId="15" fillId="4" borderId="3" xfId="4" applyNumberFormat="1" applyFont="1" applyFill="1" applyBorder="1">
      <alignment vertical="center"/>
    </xf>
    <xf numFmtId="0" fontId="15" fillId="0" borderId="5" xfId="0" applyFont="1" applyBorder="1" applyAlignment="1">
      <alignment horizontal="left" indent="3"/>
    </xf>
    <xf numFmtId="38" fontId="15" fillId="0" borderId="5" xfId="2" applyNumberFormat="1" applyFont="1" applyBorder="1">
      <alignment vertical="center"/>
    </xf>
    <xf numFmtId="182" fontId="15" fillId="0" borderId="5" xfId="2" applyNumberFormat="1" applyFont="1" applyBorder="1">
      <alignment vertical="center"/>
    </xf>
    <xf numFmtId="38" fontId="15" fillId="0" borderId="5" xfId="0" applyNumberFormat="1" applyFont="1" applyBorder="1" applyAlignment="1"/>
    <xf numFmtId="38" fontId="15" fillId="0" borderId="5" xfId="0" applyNumberFormat="1" applyFont="1" applyBorder="1" applyAlignment="1">
      <alignment horizontal="right"/>
    </xf>
    <xf numFmtId="38" fontId="15" fillId="3" borderId="5" xfId="0" applyNumberFormat="1" applyFont="1" applyFill="1" applyBorder="1" applyAlignment="1">
      <alignment horizontal="right"/>
    </xf>
    <xf numFmtId="38" fontId="15" fillId="4" borderId="5" xfId="0" applyNumberFormat="1" applyFont="1" applyFill="1" applyBorder="1" applyAlignment="1"/>
    <xf numFmtId="38" fontId="15" fillId="4" borderId="5" xfId="4" applyNumberFormat="1" applyFont="1" applyFill="1" applyBorder="1">
      <alignment vertical="center"/>
    </xf>
    <xf numFmtId="38" fontId="15" fillId="4" borderId="5" xfId="5" applyNumberFormat="1" applyFont="1" applyFill="1" applyBorder="1">
      <alignment vertical="center"/>
    </xf>
    <xf numFmtId="37" fontId="15" fillId="0" borderId="5" xfId="4" applyNumberFormat="1" applyFont="1" applyBorder="1">
      <alignment vertical="center"/>
    </xf>
    <xf numFmtId="37" fontId="15" fillId="6" borderId="5" xfId="4" applyNumberFormat="1" applyFont="1" applyFill="1" applyBorder="1">
      <alignment vertical="center"/>
    </xf>
    <xf numFmtId="37" fontId="15" fillId="0" borderId="5" xfId="5" applyNumberFormat="1" applyFont="1" applyBorder="1">
      <alignment vertical="center"/>
    </xf>
    <xf numFmtId="37" fontId="15" fillId="6" borderId="5" xfId="5" applyNumberFormat="1" applyFont="1" applyFill="1" applyBorder="1">
      <alignment vertical="center"/>
    </xf>
    <xf numFmtId="37" fontId="15" fillId="5" borderId="5" xfId="5" applyNumberFormat="1" applyFont="1" applyFill="1" applyBorder="1">
      <alignment vertical="center"/>
    </xf>
    <xf numFmtId="37" fontId="15" fillId="9" borderId="5" xfId="4" applyNumberFormat="1" applyFont="1" applyFill="1" applyBorder="1">
      <alignment vertical="center"/>
    </xf>
    <xf numFmtId="37" fontId="15" fillId="9" borderId="5" xfId="5" applyNumberFormat="1" applyFont="1" applyFill="1" applyBorder="1">
      <alignment vertical="center"/>
    </xf>
    <xf numFmtId="37" fontId="55" fillId="0" borderId="5" xfId="0" applyNumberFormat="1" applyFont="1" applyBorder="1" applyAlignment="1"/>
    <xf numFmtId="38" fontId="55" fillId="0" borderId="5" xfId="0" applyNumberFormat="1" applyFont="1" applyBorder="1" applyAlignment="1"/>
    <xf numFmtId="0" fontId="41" fillId="0" borderId="6" xfId="0" applyFont="1" applyBorder="1" applyAlignment="1"/>
    <xf numFmtId="38" fontId="41" fillId="0" borderId="7" xfId="2" applyNumberFormat="1" applyFont="1" applyBorder="1">
      <alignment vertical="center"/>
    </xf>
    <xf numFmtId="182" fontId="41" fillId="0" borderId="7" xfId="2" applyNumberFormat="1" applyFont="1" applyBorder="1">
      <alignment vertical="center"/>
    </xf>
    <xf numFmtId="38" fontId="41" fillId="0" borderId="7" xfId="0" applyNumberFormat="1" applyFont="1" applyBorder="1" applyAlignment="1"/>
    <xf numFmtId="38" fontId="41" fillId="0" borderId="7" xfId="0" applyNumberFormat="1" applyFont="1" applyBorder="1" applyAlignment="1">
      <alignment horizontal="right"/>
    </xf>
    <xf numFmtId="38" fontId="41" fillId="3" borderId="7" xfId="0" applyNumberFormat="1" applyFont="1" applyFill="1" applyBorder="1" applyAlignment="1">
      <alignment horizontal="right"/>
    </xf>
    <xf numFmtId="38" fontId="15" fillId="4" borderId="7" xfId="0" applyNumberFormat="1" applyFont="1" applyFill="1" applyBorder="1" applyAlignment="1"/>
    <xf numFmtId="38" fontId="15" fillId="0" borderId="7" xfId="0" applyNumberFormat="1" applyFont="1" applyBorder="1" applyAlignment="1"/>
    <xf numFmtId="38" fontId="15" fillId="0" borderId="6" xfId="0" applyNumberFormat="1" applyFont="1" applyBorder="1" applyAlignment="1"/>
    <xf numFmtId="38" fontId="15" fillId="4" borderId="6" xfId="4" applyNumberFormat="1" applyFont="1" applyFill="1" applyBorder="1">
      <alignment vertical="center"/>
    </xf>
    <xf numFmtId="38" fontId="15" fillId="4" borderId="6" xfId="5" applyNumberFormat="1" applyFont="1" applyFill="1" applyBorder="1">
      <alignment vertical="center"/>
    </xf>
    <xf numFmtId="37" fontId="15" fillId="0" borderId="7" xfId="4" applyNumberFormat="1" applyFont="1" applyBorder="1">
      <alignment vertical="center"/>
    </xf>
    <xf numFmtId="37" fontId="15" fillId="6" borderId="7" xfId="4" applyNumberFormat="1" applyFont="1" applyFill="1" applyBorder="1">
      <alignment vertical="center"/>
    </xf>
    <xf numFmtId="37" fontId="15" fillId="0" borderId="6" xfId="5" applyNumberFormat="1" applyFont="1" applyBorder="1">
      <alignment vertical="center"/>
    </xf>
    <xf numFmtId="37" fontId="15" fillId="6" borderId="6" xfId="5" applyNumberFormat="1" applyFont="1" applyFill="1" applyBorder="1">
      <alignment vertical="center"/>
    </xf>
    <xf numFmtId="37" fontId="15" fillId="5" borderId="6" xfId="5" applyNumberFormat="1" applyFont="1" applyFill="1" applyBorder="1">
      <alignment vertical="center"/>
    </xf>
    <xf numFmtId="37" fontId="15" fillId="0" borderId="6" xfId="4" applyNumberFormat="1" applyFont="1" applyBorder="1">
      <alignment vertical="center"/>
    </xf>
    <xf numFmtId="37" fontId="15" fillId="9" borderId="6" xfId="4" applyNumberFormat="1" applyFont="1" applyFill="1" applyBorder="1">
      <alignment vertical="center"/>
    </xf>
    <xf numFmtId="37" fontId="15" fillId="9" borderId="6" xfId="5" applyNumberFormat="1" applyFont="1" applyFill="1" applyBorder="1">
      <alignment vertical="center"/>
    </xf>
    <xf numFmtId="37" fontId="55" fillId="10" borderId="6" xfId="0" applyNumberFormat="1" applyFont="1" applyFill="1" applyBorder="1" applyAlignment="1"/>
    <xf numFmtId="10" fontId="55" fillId="0" borderId="6" xfId="0" applyNumberFormat="1" applyFont="1" applyBorder="1" applyAlignment="1"/>
    <xf numFmtId="37" fontId="55" fillId="0" borderId="6" xfId="0" applyNumberFormat="1" applyFont="1" applyBorder="1" applyAlignment="1"/>
    <xf numFmtId="38" fontId="55" fillId="0" borderId="6" xfId="0" applyNumberFormat="1" applyFont="1" applyBorder="1" applyAlignment="1"/>
    <xf numFmtId="38" fontId="15" fillId="0" borderId="0" xfId="5" applyNumberFormat="1" applyFont="1" applyAlignment="1">
      <alignment horizontal="right" vertical="center"/>
    </xf>
    <xf numFmtId="37" fontId="15" fillId="3" borderId="0" xfId="5" applyNumberFormat="1" applyFont="1" applyFill="1" applyAlignment="1">
      <alignment horizontal="right" vertical="center"/>
    </xf>
    <xf numFmtId="37" fontId="15" fillId="0" borderId="0" xfId="5" applyNumberFormat="1" applyFont="1" applyAlignment="1">
      <alignment horizontal="right" vertical="center"/>
    </xf>
    <xf numFmtId="0" fontId="15" fillId="0" borderId="0" xfId="0" applyFont="1" applyAlignment="1">
      <alignment horizontal="left" indent="1"/>
    </xf>
    <xf numFmtId="38" fontId="15" fillId="0" borderId="0" xfId="0" applyNumberFormat="1" applyFont="1" applyAlignment="1">
      <alignment horizontal="right"/>
    </xf>
    <xf numFmtId="37" fontId="15" fillId="3" borderId="0" xfId="0" applyNumberFormat="1" applyFont="1" applyFill="1" applyAlignment="1">
      <alignment horizontal="right"/>
    </xf>
    <xf numFmtId="37" fontId="15" fillId="0" borderId="0" xfId="0" applyNumberFormat="1" applyFont="1" applyAlignment="1">
      <alignment horizontal="right"/>
    </xf>
    <xf numFmtId="37" fontId="15" fillId="0" borderId="0" xfId="0" applyNumberFormat="1" applyFont="1" applyAlignment="1"/>
    <xf numFmtId="37" fontId="15" fillId="4" borderId="0" xfId="0" applyNumberFormat="1" applyFont="1" applyFill="1" applyAlignment="1"/>
    <xf numFmtId="0" fontId="15" fillId="0" borderId="0" xfId="0" applyFont="1" applyAlignment="1">
      <alignment horizontal="left" indent="2"/>
    </xf>
    <xf numFmtId="38" fontId="15" fillId="0" borderId="0" xfId="2" applyNumberFormat="1" applyFont="1">
      <alignment vertical="center"/>
    </xf>
    <xf numFmtId="38" fontId="15" fillId="0" borderId="0" xfId="0" applyNumberFormat="1" applyFont="1" applyAlignment="1"/>
    <xf numFmtId="38" fontId="15" fillId="0" borderId="0" xfId="0" applyNumberFormat="1" applyFont="1">
      <alignment vertical="center"/>
    </xf>
    <xf numFmtId="0" fontId="15" fillId="0" borderId="5" xfId="5" applyFont="1" applyBorder="1" applyAlignment="1">
      <alignment horizontal="left" vertical="center" indent="3"/>
    </xf>
    <xf numFmtId="38" fontId="15" fillId="0" borderId="5" xfId="5" applyNumberFormat="1" applyFont="1" applyBorder="1" applyAlignment="1">
      <alignment horizontal="right" vertical="center"/>
    </xf>
    <xf numFmtId="38" fontId="15" fillId="0" borderId="5" xfId="2" applyNumberFormat="1" applyFont="1" applyFill="1" applyBorder="1">
      <alignment vertical="center"/>
    </xf>
    <xf numFmtId="38" fontId="15" fillId="0" borderId="5" xfId="5" applyNumberFormat="1" applyFont="1" applyBorder="1">
      <alignment vertical="center"/>
    </xf>
    <xf numFmtId="37" fontId="15" fillId="3" borderId="5" xfId="5" applyNumberFormat="1" applyFont="1" applyFill="1" applyBorder="1" applyAlignment="1">
      <alignment horizontal="right" vertical="center"/>
    </xf>
    <xf numFmtId="37" fontId="15" fillId="0" borderId="5" xfId="5" applyNumberFormat="1" applyFont="1" applyBorder="1" applyAlignment="1">
      <alignment horizontal="right" vertical="center"/>
    </xf>
    <xf numFmtId="37" fontId="15" fillId="4" borderId="5" xfId="5" applyNumberFormat="1" applyFont="1" applyFill="1" applyBorder="1">
      <alignment vertical="center"/>
    </xf>
    <xf numFmtId="37" fontId="15" fillId="4" borderId="5" xfId="4" applyNumberFormat="1" applyFont="1" applyFill="1" applyBorder="1">
      <alignment vertical="center"/>
    </xf>
    <xf numFmtId="38" fontId="15" fillId="0" borderId="0" xfId="0" applyNumberFormat="1" applyFont="1" applyAlignment="1">
      <alignment horizontal="right" indent="1"/>
    </xf>
    <xf numFmtId="0" fontId="15" fillId="0" borderId="0" xfId="5" applyFont="1" applyAlignment="1">
      <alignment horizontal="left" vertical="center" indent="1"/>
    </xf>
    <xf numFmtId="38" fontId="15" fillId="0" borderId="0" xfId="5" applyNumberFormat="1" applyFont="1" applyAlignment="1">
      <alignment horizontal="right" vertical="center" indent="1"/>
    </xf>
    <xf numFmtId="37" fontId="55" fillId="10" borderId="4" xfId="0" applyNumberFormat="1" applyFont="1" applyFill="1" applyBorder="1" applyAlignment="1"/>
    <xf numFmtId="38" fontId="55" fillId="0" borderId="4" xfId="0" applyNumberFormat="1" applyFont="1" applyBorder="1" applyAlignment="1"/>
    <xf numFmtId="38" fontId="41" fillId="0" borderId="6" xfId="0" applyNumberFormat="1" applyFont="1" applyBorder="1" applyAlignment="1">
      <alignment horizontal="right"/>
    </xf>
    <xf numFmtId="38" fontId="41" fillId="0" borderId="6" xfId="0" applyNumberFormat="1" applyFont="1" applyBorder="1" applyAlignment="1"/>
    <xf numFmtId="37" fontId="41" fillId="3" borderId="6" xfId="0" applyNumberFormat="1" applyFont="1" applyFill="1" applyBorder="1" applyAlignment="1">
      <alignment horizontal="right"/>
    </xf>
    <xf numFmtId="37" fontId="41" fillId="0" borderId="6" xfId="0" applyNumberFormat="1" applyFont="1" applyBorder="1" applyAlignment="1">
      <alignment horizontal="right"/>
    </xf>
    <xf numFmtId="37" fontId="41" fillId="0" borderId="6" xfId="0" applyNumberFormat="1" applyFont="1" applyBorder="1" applyAlignment="1"/>
    <xf numFmtId="37" fontId="15" fillId="4" borderId="6" xfId="0" applyNumberFormat="1" applyFont="1" applyFill="1" applyBorder="1" applyAlignment="1"/>
    <xf numFmtId="37" fontId="15" fillId="0" borderId="6" xfId="0" applyNumberFormat="1" applyFont="1" applyBorder="1" applyAlignment="1"/>
    <xf numFmtId="37" fontId="15" fillId="4" borderId="6" xfId="4" applyNumberFormat="1" applyFont="1" applyFill="1" applyBorder="1">
      <alignment vertical="center"/>
    </xf>
    <xf numFmtId="37" fontId="15" fillId="4" borderId="6" xfId="5" applyNumberFormat="1" applyFont="1" applyFill="1" applyBorder="1">
      <alignment vertical="center"/>
    </xf>
    <xf numFmtId="0" fontId="36" fillId="0" borderId="0" xfId="4" applyFont="1">
      <alignment vertical="center"/>
    </xf>
    <xf numFmtId="0" fontId="36" fillId="0" borderId="0" xfId="5" applyFont="1">
      <alignment vertical="center"/>
    </xf>
    <xf numFmtId="0" fontId="36" fillId="0" borderId="0" xfId="5" applyFont="1" applyAlignment="1">
      <alignment horizontal="right" vertical="center"/>
    </xf>
    <xf numFmtId="38" fontId="36" fillId="0" borderId="0" xfId="4" applyNumberFormat="1" applyFont="1">
      <alignment vertical="center"/>
    </xf>
    <xf numFmtId="38" fontId="36" fillId="0" borderId="0" xfId="5" applyNumberFormat="1" applyFont="1">
      <alignment vertical="center"/>
    </xf>
    <xf numFmtId="0" fontId="36" fillId="0" borderId="1" xfId="4" applyFont="1" applyBorder="1">
      <alignment vertical="center"/>
    </xf>
    <xf numFmtId="0" fontId="36" fillId="0" borderId="1" xfId="5" applyFont="1" applyBorder="1" applyAlignment="1">
      <alignment horizontal="center" vertical="center"/>
    </xf>
    <xf numFmtId="0" fontId="36" fillId="0" borderId="1" xfId="5" applyFont="1" applyBorder="1">
      <alignment vertical="center"/>
    </xf>
    <xf numFmtId="0" fontId="36" fillId="0" borderId="0" xfId="5" applyFont="1" applyAlignment="1">
      <alignment horizontal="center" vertical="center"/>
    </xf>
    <xf numFmtId="0" fontId="36" fillId="0" borderId="2" xfId="5" applyFont="1" applyBorder="1" applyAlignment="1">
      <alignment horizontal="center" vertical="center"/>
    </xf>
    <xf numFmtId="0" fontId="36" fillId="0" borderId="0" xfId="5" applyFont="1" applyAlignment="1">
      <alignment horizontal="center" vertical="top" wrapText="1"/>
    </xf>
    <xf numFmtId="38" fontId="35" fillId="0" borderId="1" xfId="0" applyNumberFormat="1" applyFont="1" applyBorder="1" applyAlignment="1">
      <alignment horizontal="center" vertical="center"/>
    </xf>
    <xf numFmtId="0" fontId="36" fillId="12" borderId="1" xfId="5" applyFont="1" applyFill="1" applyBorder="1" applyAlignment="1">
      <alignment horizontal="center" vertical="center"/>
    </xf>
    <xf numFmtId="38" fontId="35" fillId="11" borderId="1" xfId="0" applyNumberFormat="1" applyFont="1" applyFill="1" applyBorder="1" applyAlignment="1">
      <alignment horizontal="center" vertical="center"/>
    </xf>
    <xf numFmtId="40" fontId="36" fillId="0" borderId="0" xfId="4" applyNumberFormat="1" applyFont="1">
      <alignment vertical="center"/>
    </xf>
    <xf numFmtId="40" fontId="36" fillId="0" borderId="0" xfId="5" applyNumberFormat="1" applyFont="1">
      <alignment vertical="center"/>
    </xf>
    <xf numFmtId="38" fontId="36" fillId="11" borderId="0" xfId="5" applyNumberFormat="1" applyFont="1" applyFill="1">
      <alignment vertical="center"/>
    </xf>
    <xf numFmtId="10" fontId="36" fillId="0" borderId="0" xfId="4" applyNumberFormat="1" applyFont="1">
      <alignment vertical="center"/>
    </xf>
    <xf numFmtId="0" fontId="36" fillId="0" borderId="0" xfId="4" applyFont="1" applyAlignment="1">
      <alignment horizontal="left" vertical="center" indent="2"/>
    </xf>
    <xf numFmtId="38" fontId="36" fillId="0" borderId="3" xfId="4" applyNumberFormat="1" applyFont="1" applyBorder="1">
      <alignment vertical="center"/>
    </xf>
    <xf numFmtId="40" fontId="36" fillId="0" borderId="3" xfId="4" applyNumberFormat="1" applyFont="1" applyBorder="1">
      <alignment vertical="center"/>
    </xf>
    <xf numFmtId="38" fontId="36" fillId="0" borderId="3" xfId="5" applyNumberFormat="1" applyFont="1" applyBorder="1">
      <alignment vertical="center"/>
    </xf>
    <xf numFmtId="40" fontId="36" fillId="0" borderId="3" xfId="5" applyNumberFormat="1" applyFont="1" applyBorder="1">
      <alignment vertical="center"/>
    </xf>
    <xf numFmtId="10" fontId="36" fillId="0" borderId="3" xfId="4" applyNumberFormat="1" applyFont="1" applyBorder="1">
      <alignment vertical="center"/>
    </xf>
    <xf numFmtId="38" fontId="36" fillId="11" borderId="3" xfId="5" applyNumberFormat="1" applyFont="1" applyFill="1" applyBorder="1">
      <alignment vertical="center"/>
    </xf>
    <xf numFmtId="38" fontId="36" fillId="13" borderId="0" xfId="4" applyNumberFormat="1" applyFont="1" applyFill="1">
      <alignment vertical="center"/>
    </xf>
    <xf numFmtId="38" fontId="36" fillId="13" borderId="0" xfId="5" applyNumberFormat="1" applyFont="1" applyFill="1">
      <alignment vertical="center"/>
    </xf>
    <xf numFmtId="10" fontId="36" fillId="0" borderId="0" xfId="5" applyNumberFormat="1" applyFont="1">
      <alignment vertical="center"/>
    </xf>
    <xf numFmtId="0" fontId="43" fillId="0" borderId="0" xfId="4" applyFont="1" applyAlignment="1">
      <alignment horizontal="left"/>
    </xf>
    <xf numFmtId="38" fontId="36" fillId="0" borderId="5" xfId="4" applyNumberFormat="1" applyFont="1" applyBorder="1" applyAlignment="1">
      <alignment horizontal="right"/>
    </xf>
    <xf numFmtId="38" fontId="36" fillId="0" borderId="5" xfId="5" applyNumberFormat="1" applyFont="1" applyBorder="1">
      <alignment vertical="center"/>
    </xf>
    <xf numFmtId="38" fontId="36" fillId="13" borderId="5" xfId="4" applyNumberFormat="1" applyFont="1" applyFill="1" applyBorder="1" applyAlignment="1">
      <alignment horizontal="right"/>
    </xf>
    <xf numFmtId="10" fontId="36" fillId="0" borderId="5" xfId="5" applyNumberFormat="1" applyFont="1" applyBorder="1">
      <alignment vertical="center"/>
    </xf>
    <xf numFmtId="0" fontId="36" fillId="6" borderId="7" xfId="4" applyFont="1" applyFill="1" applyBorder="1" applyAlignment="1">
      <alignment horizontal="left"/>
    </xf>
    <xf numFmtId="10" fontId="36" fillId="6" borderId="7" xfId="4" applyNumberFormat="1" applyFont="1" applyFill="1" applyBorder="1" applyAlignment="1">
      <alignment horizontal="right"/>
    </xf>
    <xf numFmtId="10" fontId="36" fillId="6" borderId="7" xfId="5" applyNumberFormat="1" applyFont="1" applyFill="1" applyBorder="1">
      <alignment vertical="center"/>
    </xf>
    <xf numFmtId="0" fontId="36" fillId="0" borderId="0" xfId="4" applyFont="1" applyAlignment="1">
      <alignment horizontal="left"/>
    </xf>
    <xf numFmtId="38" fontId="36" fillId="0" borderId="0" xfId="4" applyNumberFormat="1" applyFont="1" applyAlignment="1">
      <alignment horizontal="left"/>
    </xf>
    <xf numFmtId="0" fontId="36" fillId="0" borderId="0" xfId="4" applyFont="1" applyAlignment="1">
      <alignment horizontal="left" indent="2"/>
    </xf>
    <xf numFmtId="0" fontId="36" fillId="0" borderId="0" xfId="0" applyFont="1" applyAlignment="1">
      <alignment horizontal="left" indent="3"/>
    </xf>
    <xf numFmtId="38" fontId="36" fillId="0" borderId="5" xfId="4" applyNumberFormat="1" applyFont="1" applyBorder="1">
      <alignment vertical="center"/>
    </xf>
    <xf numFmtId="38" fontId="36" fillId="11" borderId="5" xfId="5" applyNumberFormat="1" applyFont="1" applyFill="1" applyBorder="1">
      <alignment vertical="center"/>
    </xf>
    <xf numFmtId="0" fontId="43" fillId="0" borderId="0" xfId="0" applyFont="1" applyAlignment="1"/>
    <xf numFmtId="38" fontId="36" fillId="0" borderId="6" xfId="4" applyNumberFormat="1" applyFont="1" applyBorder="1">
      <alignment vertical="center"/>
    </xf>
    <xf numFmtId="38" fontId="36" fillId="0" borderId="6" xfId="5" applyNumberFormat="1" applyFont="1" applyBorder="1">
      <alignment vertical="center"/>
    </xf>
    <xf numFmtId="38" fontId="36" fillId="11" borderId="6" xfId="5" applyNumberFormat="1" applyFont="1" applyFill="1" applyBorder="1">
      <alignment vertical="center"/>
    </xf>
    <xf numFmtId="10" fontId="36" fillId="0" borderId="6" xfId="5" applyNumberFormat="1" applyFont="1" applyBorder="1">
      <alignment vertical="center"/>
    </xf>
    <xf numFmtId="0" fontId="36" fillId="0" borderId="0" xfId="0" applyFont="1" applyAlignment="1">
      <alignment horizontal="left"/>
    </xf>
    <xf numFmtId="180" fontId="36" fillId="0" borderId="0" xfId="5" applyNumberFormat="1" applyFont="1">
      <alignment vertical="center"/>
    </xf>
    <xf numFmtId="0" fontId="36" fillId="11" borderId="0" xfId="5" applyFont="1" applyFill="1">
      <alignment vertical="center"/>
    </xf>
    <xf numFmtId="0" fontId="36" fillId="0" borderId="0" xfId="0" applyFont="1" applyAlignment="1">
      <alignment horizontal="left" indent="2"/>
    </xf>
    <xf numFmtId="0" fontId="36" fillId="0" borderId="5" xfId="5" applyFont="1" applyBorder="1" applyAlignment="1">
      <alignment horizontal="left" vertical="center" indent="3"/>
    </xf>
    <xf numFmtId="0" fontId="36" fillId="0" borderId="5" xfId="5" applyFont="1" applyBorder="1">
      <alignment vertical="center"/>
    </xf>
    <xf numFmtId="0" fontId="43" fillId="0" borderId="0" xfId="5" applyFont="1">
      <alignment vertical="center"/>
    </xf>
    <xf numFmtId="38" fontId="36" fillId="0" borderId="4" xfId="5" applyNumberFormat="1" applyFont="1" applyBorder="1">
      <alignment vertical="center"/>
    </xf>
    <xf numFmtId="38" fontId="36" fillId="11" borderId="4" xfId="5" applyNumberFormat="1" applyFont="1" applyFill="1" applyBorder="1">
      <alignment vertical="center"/>
    </xf>
    <xf numFmtId="0" fontId="36" fillId="0" borderId="4" xfId="5" applyFont="1" applyBorder="1">
      <alignment vertical="center"/>
    </xf>
    <xf numFmtId="0" fontId="43" fillId="0" borderId="6" xfId="0" applyFont="1" applyBorder="1" applyAlignment="1"/>
    <xf numFmtId="38" fontId="36" fillId="13" borderId="6" xfId="5" applyNumberFormat="1" applyFont="1" applyFill="1" applyBorder="1">
      <alignment vertical="center"/>
    </xf>
    <xf numFmtId="40" fontId="36" fillId="0" borderId="6" xfId="5" applyNumberFormat="1" applyFont="1" applyBorder="1">
      <alignment vertical="center"/>
    </xf>
    <xf numFmtId="0" fontId="58" fillId="0" borderId="0" xfId="5" applyFont="1">
      <alignment vertical="center"/>
    </xf>
    <xf numFmtId="38" fontId="36" fillId="0" borderId="0" xfId="5" applyNumberFormat="1" applyFont="1" applyAlignment="1">
      <alignment horizontal="center" vertical="center"/>
    </xf>
    <xf numFmtId="38" fontId="58" fillId="0" borderId="0" xfId="5" applyNumberFormat="1" applyFont="1">
      <alignment vertical="center"/>
    </xf>
    <xf numFmtId="38" fontId="59" fillId="0" borderId="0" xfId="5" applyNumberFormat="1" applyFont="1">
      <alignment vertical="center"/>
    </xf>
    <xf numFmtId="38" fontId="59" fillId="0" borderId="0" xfId="0" applyNumberFormat="1" applyFont="1" applyAlignment="1">
      <alignment horizontal="right" vertical="center"/>
    </xf>
    <xf numFmtId="0" fontId="60" fillId="0" borderId="9" xfId="0" applyFont="1" applyBorder="1" applyAlignment="1">
      <alignment horizontal="left" vertical="center" indent="1"/>
    </xf>
    <xf numFmtId="0" fontId="60" fillId="0" borderId="0" xfId="0" applyFont="1" applyAlignment="1">
      <alignment horizontal="left" vertical="center" indent="1"/>
    </xf>
    <xf numFmtId="38" fontId="60" fillId="0" borderId="0" xfId="0" applyNumberFormat="1" applyFont="1" applyAlignment="1">
      <alignment horizontal="right" vertical="center"/>
    </xf>
    <xf numFmtId="38" fontId="58" fillId="0" borderId="6" xfId="5" applyNumberFormat="1" applyFont="1" applyBorder="1">
      <alignment vertical="center"/>
    </xf>
    <xf numFmtId="0" fontId="42" fillId="0" borderId="0" xfId="0" applyFont="1" applyAlignment="1"/>
    <xf numFmtId="40" fontId="21" fillId="0" borderId="0" xfId="0" applyNumberFormat="1" applyFont="1" applyAlignment="1"/>
    <xf numFmtId="40" fontId="21" fillId="0" borderId="0" xfId="0" applyNumberFormat="1" applyFont="1" applyAlignment="1">
      <alignment horizontal="right"/>
    </xf>
    <xf numFmtId="0" fontId="21" fillId="14" borderId="3" xfId="0" applyFont="1" applyFill="1" applyBorder="1" applyAlignment="1">
      <alignment horizontal="center"/>
    </xf>
    <xf numFmtId="40" fontId="21" fillId="0" borderId="3" xfId="0" applyNumberFormat="1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40" fontId="21" fillId="0" borderId="0" xfId="0" applyNumberFormat="1" applyFont="1" applyAlignment="1">
      <alignment horizontal="center"/>
    </xf>
    <xf numFmtId="0" fontId="42" fillId="14" borderId="3" xfId="0" applyFont="1" applyFill="1" applyBorder="1" applyAlignment="1">
      <alignment horizontal="center"/>
    </xf>
    <xf numFmtId="38" fontId="42" fillId="0" borderId="0" xfId="0" applyNumberFormat="1" applyFont="1" applyAlignment="1"/>
    <xf numFmtId="0" fontId="42" fillId="0" borderId="0" xfId="0" applyFont="1" applyAlignment="1">
      <alignment horizontal="center"/>
    </xf>
    <xf numFmtId="0" fontId="42" fillId="0" borderId="0" xfId="0" applyFont="1" applyAlignment="1">
      <alignment horizontal="center" vertical="center"/>
    </xf>
    <xf numFmtId="38" fontId="42" fillId="0" borderId="3" xfId="0" applyNumberFormat="1" applyFont="1" applyBorder="1" applyAlignment="1"/>
    <xf numFmtId="38" fontId="42" fillId="0" borderId="5" xfId="0" applyNumberFormat="1" applyFont="1" applyBorder="1" applyAlignment="1"/>
    <xf numFmtId="40" fontId="21" fillId="0" borderId="5" xfId="0" applyNumberFormat="1" applyFont="1" applyBorder="1" applyAlignment="1"/>
    <xf numFmtId="38" fontId="42" fillId="0" borderId="0" xfId="0" applyNumberFormat="1" applyFont="1" applyAlignment="1">
      <alignment horizontal="right"/>
    </xf>
    <xf numFmtId="0" fontId="42" fillId="0" borderId="0" xfId="0" applyFont="1" applyAlignment="1">
      <alignment horizontal="left" vertical="center"/>
    </xf>
    <xf numFmtId="0" fontId="21" fillId="0" borderId="0" xfId="0" applyFont="1" applyAlignment="1">
      <alignment horizontal="left"/>
    </xf>
    <xf numFmtId="0" fontId="21" fillId="0" borderId="0" xfId="0" applyFont="1" applyAlignment="1"/>
    <xf numFmtId="38" fontId="42" fillId="0" borderId="4" xfId="0" applyNumberFormat="1" applyFont="1" applyBorder="1" applyAlignment="1"/>
    <xf numFmtId="38" fontId="42" fillId="0" borderId="6" xfId="0" applyNumberFormat="1" applyFont="1" applyBorder="1" applyAlignment="1"/>
    <xf numFmtId="40" fontId="21" fillId="0" borderId="6" xfId="0" applyNumberFormat="1" applyFont="1" applyBorder="1" applyAlignment="1"/>
    <xf numFmtId="183" fontId="42" fillId="0" borderId="0" xfId="2" applyNumberFormat="1" applyFont="1" applyFill="1">
      <alignment vertical="center"/>
    </xf>
    <xf numFmtId="0" fontId="46" fillId="0" borderId="0" xfId="0" applyFont="1" applyAlignment="1">
      <alignment horizontal="left" vertical="center"/>
    </xf>
    <xf numFmtId="0" fontId="46" fillId="0" borderId="0" xfId="0" applyFont="1">
      <alignment vertical="center"/>
    </xf>
    <xf numFmtId="0" fontId="47" fillId="0" borderId="0" xfId="6" applyFont="1" applyAlignment="1">
      <alignment horizontal="left" vertical="center"/>
    </xf>
    <xf numFmtId="0" fontId="30" fillId="0" borderId="7" xfId="0" applyFont="1" applyBorder="1" applyAlignment="1">
      <alignment horizontal="left" vertical="center"/>
    </xf>
    <xf numFmtId="180" fontId="30" fillId="0" borderId="11" xfId="0" quotePrefix="1" applyNumberFormat="1" applyFont="1" applyBorder="1" applyAlignment="1">
      <alignment horizontal="center" vertical="center"/>
    </xf>
    <xf numFmtId="180" fontId="30" fillId="0" borderId="11" xfId="0" applyNumberFormat="1" applyFont="1" applyBorder="1" applyAlignment="1">
      <alignment horizontal="center" vertical="center"/>
    </xf>
    <xf numFmtId="10" fontId="30" fillId="0" borderId="11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left" vertical="center"/>
    </xf>
    <xf numFmtId="180" fontId="30" fillId="0" borderId="11" xfId="0" quotePrefix="1" applyNumberFormat="1" applyFont="1" applyBorder="1" applyAlignment="1">
      <alignment horizontal="right" vertical="center"/>
    </xf>
    <xf numFmtId="3" fontId="47" fillId="0" borderId="0" xfId="6" applyNumberFormat="1" applyFont="1" applyAlignment="1">
      <alignment horizontal="left" vertical="center"/>
    </xf>
    <xf numFmtId="0" fontId="29" fillId="0" borderId="0" xfId="0" applyFont="1" applyAlignment="1">
      <alignment vertical="center" wrapText="1"/>
    </xf>
    <xf numFmtId="38" fontId="30" fillId="0" borderId="0" xfId="0" applyNumberFormat="1" applyFont="1">
      <alignment vertical="center"/>
    </xf>
    <xf numFmtId="38" fontId="47" fillId="0" borderId="0" xfId="0" applyNumberFormat="1" applyFont="1">
      <alignment vertical="center"/>
    </xf>
    <xf numFmtId="0" fontId="51" fillId="0" borderId="0" xfId="0" applyFont="1" applyAlignment="1">
      <alignment horizontal="left" vertical="center"/>
    </xf>
    <xf numFmtId="0" fontId="42" fillId="0" borderId="0" xfId="0" applyFont="1">
      <alignment vertical="center"/>
    </xf>
    <xf numFmtId="180" fontId="42" fillId="0" borderId="0" xfId="0" applyNumberFormat="1" applyFont="1">
      <alignment vertical="center"/>
    </xf>
    <xf numFmtId="10" fontId="42" fillId="0" borderId="0" xfId="0" applyNumberFormat="1" applyFont="1">
      <alignment vertical="center"/>
    </xf>
    <xf numFmtId="0" fontId="57" fillId="0" borderId="0" xfId="6" applyFont="1" applyAlignment="1">
      <alignment horizontal="left" vertical="center"/>
    </xf>
    <xf numFmtId="0" fontId="57" fillId="0" borderId="0" xfId="0" applyFont="1">
      <alignment vertical="center"/>
    </xf>
    <xf numFmtId="0" fontId="51" fillId="0" borderId="0" xfId="0" applyFont="1">
      <alignment vertical="center"/>
    </xf>
    <xf numFmtId="0" fontId="42" fillId="0" borderId="7" xfId="0" applyFont="1" applyBorder="1" applyAlignment="1">
      <alignment horizontal="left" vertical="center"/>
    </xf>
    <xf numFmtId="180" fontId="42" fillId="0" borderId="11" xfId="0" quotePrefix="1" applyNumberFormat="1" applyFont="1" applyBorder="1" applyAlignment="1">
      <alignment horizontal="center" vertical="center"/>
    </xf>
    <xf numFmtId="180" fontId="42" fillId="0" borderId="11" xfId="0" applyNumberFormat="1" applyFont="1" applyBorder="1" applyAlignment="1">
      <alignment horizontal="center" vertical="center"/>
    </xf>
    <xf numFmtId="10" fontId="42" fillId="0" borderId="11" xfId="0" applyNumberFormat="1" applyFont="1" applyBorder="1" applyAlignment="1">
      <alignment horizontal="center" vertical="center"/>
    </xf>
    <xf numFmtId="0" fontId="42" fillId="0" borderId="8" xfId="0" applyFont="1" applyBorder="1" applyAlignment="1">
      <alignment horizontal="left" vertical="center"/>
    </xf>
    <xf numFmtId="180" fontId="42" fillId="0" borderId="11" xfId="0" quotePrefix="1" applyNumberFormat="1" applyFont="1" applyBorder="1" applyAlignment="1">
      <alignment horizontal="right" vertical="center"/>
    </xf>
    <xf numFmtId="0" fontId="47" fillId="0" borderId="0" xfId="0" applyFont="1">
      <alignment vertical="center"/>
    </xf>
    <xf numFmtId="0" fontId="30" fillId="0" borderId="0" xfId="0" applyFont="1">
      <alignment vertical="center"/>
    </xf>
    <xf numFmtId="10" fontId="36" fillId="0" borderId="0" xfId="3" applyNumberFormat="1" applyFont="1" applyFill="1" applyBorder="1">
      <alignment vertical="center"/>
    </xf>
    <xf numFmtId="187" fontId="36" fillId="0" borderId="0" xfId="2" applyNumberFormat="1" applyFont="1" applyFill="1" applyBorder="1">
      <alignment vertical="center"/>
    </xf>
    <xf numFmtId="187" fontId="36" fillId="0" borderId="0" xfId="2" applyNumberFormat="1" applyFont="1" applyFill="1" applyBorder="1" applyAlignment="1">
      <alignment horizontal="right" vertical="center"/>
    </xf>
    <xf numFmtId="179" fontId="15" fillId="5" borderId="6" xfId="2" applyFont="1" applyFill="1" applyBorder="1" applyAlignment="1"/>
    <xf numFmtId="179" fontId="15" fillId="5" borderId="7" xfId="2" applyFont="1" applyFill="1" applyBorder="1" applyAlignment="1"/>
    <xf numFmtId="183" fontId="15" fillId="5" borderId="6" xfId="4" applyNumberFormat="1" applyFont="1" applyFill="1" applyBorder="1" applyAlignment="1"/>
    <xf numFmtId="183" fontId="15" fillId="5" borderId="7" xfId="4" applyNumberFormat="1" applyFont="1" applyFill="1" applyBorder="1" applyAlignment="1"/>
    <xf numFmtId="0" fontId="15" fillId="5" borderId="6" xfId="4" applyFont="1" applyFill="1" applyBorder="1" applyAlignment="1"/>
    <xf numFmtId="0" fontId="21" fillId="0" borderId="0" xfId="0" applyFont="1">
      <alignment vertical="center"/>
    </xf>
    <xf numFmtId="38" fontId="42" fillId="0" borderId="0" xfId="0" applyNumberFormat="1" applyFont="1">
      <alignment vertical="center"/>
    </xf>
    <xf numFmtId="38" fontId="42" fillId="0" borderId="3" xfId="0" applyNumberFormat="1" applyFont="1" applyBorder="1">
      <alignment vertical="center"/>
    </xf>
    <xf numFmtId="10" fontId="67" fillId="0" borderId="0" xfId="0" applyNumberFormat="1" applyFont="1">
      <alignment vertical="center"/>
    </xf>
    <xf numFmtId="0" fontId="67" fillId="0" borderId="0" xfId="0" applyFont="1">
      <alignment vertical="center"/>
    </xf>
    <xf numFmtId="180" fontId="30" fillId="0" borderId="0" xfId="0" applyNumberFormat="1" applyFont="1">
      <alignment vertical="center"/>
    </xf>
    <xf numFmtId="10" fontId="30" fillId="0" borderId="0" xfId="0" applyNumberFormat="1" applyFont="1">
      <alignment vertical="center"/>
    </xf>
    <xf numFmtId="180" fontId="30" fillId="0" borderId="0" xfId="0" quotePrefix="1" applyNumberFormat="1" applyFont="1">
      <alignment vertical="center"/>
    </xf>
    <xf numFmtId="10" fontId="62" fillId="0" borderId="0" xfId="1" applyNumberFormat="1" applyFont="1" applyFill="1" applyAlignment="1" applyProtection="1">
      <alignment vertical="center"/>
    </xf>
    <xf numFmtId="0" fontId="30" fillId="0" borderId="7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37" fillId="0" borderId="0" xfId="0" applyFont="1">
      <alignment vertical="center"/>
    </xf>
    <xf numFmtId="0" fontId="29" fillId="0" borderId="0" xfId="0" applyFont="1">
      <alignment vertical="center"/>
    </xf>
    <xf numFmtId="182" fontId="30" fillId="0" borderId="0" xfId="0" applyNumberFormat="1" applyFont="1">
      <alignment vertical="center"/>
    </xf>
    <xf numFmtId="0" fontId="63" fillId="0" borderId="0" xfId="0" applyFont="1">
      <alignment vertical="center"/>
    </xf>
    <xf numFmtId="0" fontId="29" fillId="0" borderId="3" xfId="0" applyFont="1" applyBorder="1">
      <alignment vertical="center"/>
    </xf>
    <xf numFmtId="0" fontId="30" fillId="0" borderId="3" xfId="0" applyFont="1" applyBorder="1">
      <alignment vertical="center"/>
    </xf>
    <xf numFmtId="10" fontId="30" fillId="0" borderId="3" xfId="0" applyNumberFormat="1" applyFont="1" applyBorder="1">
      <alignment vertical="center"/>
    </xf>
    <xf numFmtId="38" fontId="30" fillId="0" borderId="4" xfId="0" applyNumberFormat="1" applyFont="1" applyBorder="1">
      <alignment vertical="center"/>
    </xf>
    <xf numFmtId="0" fontId="29" fillId="6" borderId="7" xfId="0" applyFont="1" applyFill="1" applyBorder="1">
      <alignment vertical="center"/>
    </xf>
    <xf numFmtId="0" fontId="30" fillId="6" borderId="7" xfId="0" applyFont="1" applyFill="1" applyBorder="1">
      <alignment vertical="center"/>
    </xf>
    <xf numFmtId="181" fontId="30" fillId="5" borderId="7" xfId="0" applyNumberFormat="1" applyFont="1" applyFill="1" applyBorder="1">
      <alignment vertical="center"/>
    </xf>
    <xf numFmtId="10" fontId="30" fillId="6" borderId="7" xfId="0" applyNumberFormat="1" applyFont="1" applyFill="1" applyBorder="1">
      <alignment vertical="center"/>
    </xf>
    <xf numFmtId="0" fontId="48" fillId="0" borderId="0" xfId="1" applyFont="1" applyAlignment="1" applyProtection="1">
      <alignment vertical="center"/>
    </xf>
    <xf numFmtId="38" fontId="47" fillId="0" borderId="0" xfId="0" applyNumberFormat="1" applyFont="1" applyAlignment="1">
      <alignment horizontal="left" vertical="center"/>
    </xf>
    <xf numFmtId="0" fontId="29" fillId="0" borderId="5" xfId="0" applyFont="1" applyBorder="1">
      <alignment vertical="center"/>
    </xf>
    <xf numFmtId="0" fontId="30" fillId="0" borderId="5" xfId="0" applyFont="1" applyBorder="1">
      <alignment vertical="center"/>
    </xf>
    <xf numFmtId="38" fontId="30" fillId="0" borderId="5" xfId="0" applyNumberFormat="1" applyFont="1" applyBorder="1">
      <alignment vertical="center"/>
    </xf>
    <xf numFmtId="10" fontId="30" fillId="0" borderId="5" xfId="0" applyNumberFormat="1" applyFont="1" applyBorder="1">
      <alignment vertical="center"/>
    </xf>
    <xf numFmtId="10" fontId="29" fillId="0" borderId="0" xfId="0" applyNumberFormat="1" applyFont="1">
      <alignment vertical="center"/>
    </xf>
    <xf numFmtId="38" fontId="30" fillId="0" borderId="3" xfId="0" applyNumberFormat="1" applyFont="1" applyBorder="1">
      <alignment vertical="center"/>
    </xf>
    <xf numFmtId="185" fontId="30" fillId="0" borderId="5" xfId="0" applyNumberFormat="1" applyFont="1" applyBorder="1">
      <alignment vertical="center"/>
    </xf>
    <xf numFmtId="0" fontId="29" fillId="0" borderId="6" xfId="0" applyFont="1" applyBorder="1">
      <alignment vertical="center"/>
    </xf>
    <xf numFmtId="0" fontId="30" fillId="0" borderId="6" xfId="0" applyFont="1" applyBorder="1">
      <alignment vertical="center"/>
    </xf>
    <xf numFmtId="38" fontId="30" fillId="0" borderId="6" xfId="0" applyNumberFormat="1" applyFont="1" applyBorder="1">
      <alignment vertical="center"/>
    </xf>
    <xf numFmtId="10" fontId="64" fillId="0" borderId="6" xfId="0" applyNumberFormat="1" applyFont="1" applyBorder="1">
      <alignment vertical="center"/>
    </xf>
    <xf numFmtId="180" fontId="47" fillId="0" borderId="0" xfId="0" applyNumberFormat="1" applyFont="1">
      <alignment vertical="center"/>
    </xf>
    <xf numFmtId="10" fontId="47" fillId="0" borderId="0" xfId="0" applyNumberFormat="1" applyFont="1">
      <alignment vertical="center"/>
    </xf>
    <xf numFmtId="0" fontId="15" fillId="78" borderId="0" xfId="5" applyFont="1" applyFill="1" applyAlignment="1">
      <alignment horizontal="center" vertical="center"/>
    </xf>
    <xf numFmtId="0" fontId="15" fillId="78" borderId="1" xfId="5" applyFont="1" applyFill="1" applyBorder="1" applyAlignment="1">
      <alignment horizontal="center" vertical="center"/>
    </xf>
    <xf numFmtId="0" fontId="55" fillId="2" borderId="0" xfId="0" applyFont="1" applyFill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15" fillId="2" borderId="0" xfId="4" applyFont="1" applyFill="1">
      <alignment vertical="center"/>
    </xf>
    <xf numFmtId="38" fontId="15" fillId="2" borderId="0" xfId="4" applyNumberFormat="1" applyFont="1" applyFill="1">
      <alignment vertical="center"/>
    </xf>
    <xf numFmtId="38" fontId="15" fillId="2" borderId="3" xfId="4" applyNumberFormat="1" applyFont="1" applyFill="1" applyBorder="1">
      <alignment vertical="center"/>
    </xf>
    <xf numFmtId="38" fontId="15" fillId="2" borderId="0" xfId="4" applyNumberFormat="1" applyFont="1" applyFill="1" applyAlignment="1">
      <alignment horizontal="right"/>
    </xf>
    <xf numFmtId="0" fontId="15" fillId="2" borderId="0" xfId="4" applyFont="1" applyFill="1" applyAlignment="1">
      <alignment horizontal="left"/>
    </xf>
    <xf numFmtId="38" fontId="15" fillId="2" borderId="0" xfId="4" applyNumberFormat="1" applyFont="1" applyFill="1" applyAlignment="1"/>
    <xf numFmtId="38" fontId="15" fillId="2" borderId="5" xfId="0" applyNumberFormat="1" applyFont="1" applyFill="1" applyBorder="1" applyAlignment="1"/>
    <xf numFmtId="38" fontId="41" fillId="2" borderId="7" xfId="0" applyNumberFormat="1" applyFont="1" applyFill="1" applyBorder="1" applyAlignment="1"/>
    <xf numFmtId="0" fontId="15" fillId="2" borderId="0" xfId="5" applyFont="1" applyFill="1">
      <alignment vertical="center"/>
    </xf>
    <xf numFmtId="0" fontId="15" fillId="2" borderId="0" xfId="0" applyFont="1" applyFill="1" applyAlignment="1">
      <alignment horizontal="left" indent="1"/>
    </xf>
    <xf numFmtId="38" fontId="15" fillId="2" borderId="0" xfId="0" applyNumberFormat="1" applyFont="1" applyFill="1" applyAlignment="1"/>
    <xf numFmtId="38" fontId="15" fillId="2" borderId="5" xfId="5" applyNumberFormat="1" applyFont="1" applyFill="1" applyBorder="1">
      <alignment vertical="center"/>
    </xf>
    <xf numFmtId="38" fontId="15" fillId="2" borderId="0" xfId="0" applyNumberFormat="1" applyFont="1" applyFill="1" applyAlignment="1">
      <alignment horizontal="right" indent="1"/>
    </xf>
    <xf numFmtId="38" fontId="15" fillId="2" borderId="0" xfId="5" applyNumberFormat="1" applyFont="1" applyFill="1">
      <alignment vertical="center"/>
    </xf>
    <xf numFmtId="38" fontId="41" fillId="2" borderId="6" xfId="0" applyNumberFormat="1" applyFont="1" applyFill="1" applyBorder="1" applyAlignment="1"/>
    <xf numFmtId="179" fontId="15" fillId="5" borderId="6" xfId="2" applyFont="1" applyFill="1" applyBorder="1" applyAlignment="1">
      <alignment horizontal="right"/>
    </xf>
    <xf numFmtId="179" fontId="15" fillId="5" borderId="7" xfId="2" applyFont="1" applyFill="1" applyBorder="1" applyAlignment="1">
      <alignment horizontal="right"/>
    </xf>
    <xf numFmtId="0" fontId="115" fillId="0" borderId="0" xfId="0" applyFont="1">
      <alignment vertical="center"/>
    </xf>
    <xf numFmtId="192" fontId="15" fillId="5" borderId="6" xfId="4" applyNumberFormat="1" applyFont="1" applyFill="1" applyBorder="1" applyAlignment="1"/>
    <xf numFmtId="187" fontId="61" fillId="0" borderId="0" xfId="2" applyNumberFormat="1" applyFont="1" applyFill="1" applyBorder="1">
      <alignment vertical="center"/>
    </xf>
    <xf numFmtId="0" fontId="120" fillId="0" borderId="0" xfId="0" applyFont="1" applyAlignment="1">
      <alignment horizontal="center"/>
    </xf>
    <xf numFmtId="38" fontId="120" fillId="0" borderId="11" xfId="0" applyNumberFormat="1" applyFont="1" applyBorder="1" applyAlignment="1">
      <alignment horizontal="center" vertical="center"/>
    </xf>
    <xf numFmtId="0" fontId="120" fillId="0" borderId="0" xfId="0" applyFont="1" applyAlignment="1"/>
    <xf numFmtId="38" fontId="120" fillId="0" borderId="0" xfId="0" applyNumberFormat="1" applyFont="1" applyAlignment="1"/>
    <xf numFmtId="38" fontId="120" fillId="0" borderId="0" xfId="0" applyNumberFormat="1" applyFont="1">
      <alignment vertical="center"/>
    </xf>
    <xf numFmtId="180" fontId="120" fillId="0" borderId="11" xfId="0" applyNumberFormat="1" applyFont="1" applyBorder="1" applyAlignment="1">
      <alignment horizontal="center" vertical="center"/>
    </xf>
    <xf numFmtId="0" fontId="119" fillId="0" borderId="0" xfId="0" applyFont="1" applyAlignment="1">
      <alignment horizontal="left" vertical="center" wrapText="1"/>
    </xf>
    <xf numFmtId="180" fontId="120" fillId="0" borderId="0" xfId="0" applyNumberFormat="1" applyFont="1" applyAlignment="1"/>
    <xf numFmtId="0" fontId="123" fillId="0" borderId="0" xfId="0" applyFont="1" applyAlignment="1">
      <alignment horizontal="left"/>
    </xf>
    <xf numFmtId="0" fontId="123" fillId="0" borderId="0" xfId="0" applyFont="1" applyAlignment="1"/>
    <xf numFmtId="0" fontId="123" fillId="0" borderId="0" xfId="0" applyFont="1">
      <alignment vertical="center"/>
    </xf>
    <xf numFmtId="38" fontId="123" fillId="0" borderId="0" xfId="2" applyNumberFormat="1" applyFont="1" applyFill="1" applyAlignment="1">
      <alignment vertical="center"/>
    </xf>
    <xf numFmtId="0" fontId="120" fillId="0" borderId="0" xfId="0" applyFont="1" applyAlignment="1">
      <alignment horizontal="left" vertical="center"/>
    </xf>
    <xf numFmtId="9" fontId="120" fillId="0" borderId="0" xfId="0" applyNumberFormat="1" applyFont="1" applyAlignment="1"/>
    <xf numFmtId="9" fontId="120" fillId="0" borderId="0" xfId="0" applyNumberFormat="1" applyFont="1">
      <alignment vertical="center"/>
    </xf>
    <xf numFmtId="180" fontId="120" fillId="0" borderId="0" xfId="3" applyNumberFormat="1" applyFont="1">
      <alignment vertical="center"/>
    </xf>
    <xf numFmtId="9" fontId="117" fillId="0" borderId="0" xfId="3" applyFont="1">
      <alignment vertical="center"/>
    </xf>
    <xf numFmtId="10" fontId="120" fillId="0" borderId="0" xfId="3" applyNumberFormat="1" applyFont="1">
      <alignment vertical="center"/>
    </xf>
    <xf numFmtId="0" fontId="120" fillId="0" borderId="0" xfId="6" applyFont="1" applyAlignment="1">
      <alignment horizontal="left"/>
    </xf>
    <xf numFmtId="0" fontId="120" fillId="0" borderId="0" xfId="0" applyFont="1">
      <alignment vertical="center"/>
    </xf>
    <xf numFmtId="0" fontId="120" fillId="0" borderId="0" xfId="6" applyFont="1" applyAlignment="1">
      <alignment horizontal="left" vertical="center"/>
    </xf>
    <xf numFmtId="0" fontId="120" fillId="0" borderId="7" xfId="0" applyFont="1" applyBorder="1" applyAlignment="1">
      <alignment horizontal="left" vertical="center"/>
    </xf>
    <xf numFmtId="0" fontId="120" fillId="0" borderId="7" xfId="0" applyFont="1" applyBorder="1" applyAlignment="1">
      <alignment horizontal="center"/>
    </xf>
    <xf numFmtId="180" fontId="120" fillId="0" borderId="11" xfId="0" quotePrefix="1" applyNumberFormat="1" applyFont="1" applyBorder="1" applyAlignment="1">
      <alignment horizontal="center" vertical="center"/>
    </xf>
    <xf numFmtId="9" fontId="120" fillId="0" borderId="11" xfId="0" applyNumberFormat="1" applyFont="1" applyBorder="1" applyAlignment="1">
      <alignment horizontal="center" vertical="center"/>
    </xf>
    <xf numFmtId="9" fontId="117" fillId="0" borderId="11" xfId="3" applyFont="1" applyFill="1" applyBorder="1">
      <alignment vertical="center"/>
    </xf>
    <xf numFmtId="10" fontId="120" fillId="0" borderId="11" xfId="3" applyNumberFormat="1" applyFont="1" applyFill="1" applyBorder="1">
      <alignment vertical="center"/>
    </xf>
    <xf numFmtId="0" fontId="120" fillId="0" borderId="8" xfId="0" applyFont="1" applyBorder="1" applyAlignment="1">
      <alignment horizontal="left" vertical="center"/>
    </xf>
    <xf numFmtId="0" fontId="120" fillId="0" borderId="8" xfId="0" applyFont="1" applyBorder="1" applyAlignment="1">
      <alignment horizontal="center"/>
    </xf>
    <xf numFmtId="38" fontId="120" fillId="0" borderId="11" xfId="0" quotePrefix="1" applyNumberFormat="1" applyFont="1" applyBorder="1" applyAlignment="1">
      <alignment horizontal="right" vertical="center"/>
    </xf>
    <xf numFmtId="9" fontId="120" fillId="0" borderId="11" xfId="0" quotePrefix="1" applyNumberFormat="1" applyFont="1" applyBorder="1" applyAlignment="1">
      <alignment horizontal="right" vertical="center"/>
    </xf>
    <xf numFmtId="180" fontId="120" fillId="0" borderId="11" xfId="3" quotePrefix="1" applyNumberFormat="1" applyFont="1" applyBorder="1">
      <alignment vertical="center"/>
    </xf>
    <xf numFmtId="180" fontId="120" fillId="0" borderId="11" xfId="0" quotePrefix="1" applyNumberFormat="1" applyFont="1" applyBorder="1" applyAlignment="1">
      <alignment horizontal="right" vertical="center"/>
    </xf>
    <xf numFmtId="9" fontId="117" fillId="0" borderId="11" xfId="3" quotePrefix="1" applyFont="1" applyFill="1" applyBorder="1">
      <alignment vertical="center"/>
    </xf>
    <xf numFmtId="10" fontId="120" fillId="0" borderId="11" xfId="3" quotePrefix="1" applyNumberFormat="1" applyFont="1" applyBorder="1">
      <alignment vertical="center"/>
    </xf>
    <xf numFmtId="187" fontId="119" fillId="23" borderId="12" xfId="2" applyNumberFormat="1" applyFont="1" applyFill="1" applyBorder="1" applyAlignment="1">
      <alignment horizontal="center"/>
    </xf>
    <xf numFmtId="187" fontId="119" fillId="23" borderId="21" xfId="2" applyNumberFormat="1" applyFont="1" applyFill="1" applyBorder="1" applyAlignment="1">
      <alignment horizontal="center"/>
    </xf>
    <xf numFmtId="0" fontId="125" fillId="0" borderId="0" xfId="0" applyFont="1" applyAlignment="1"/>
    <xf numFmtId="0" fontId="118" fillId="0" borderId="0" xfId="0" applyFont="1" applyAlignment="1"/>
    <xf numFmtId="3" fontId="120" fillId="0" borderId="0" xfId="6" applyNumberFormat="1" applyFont="1" applyAlignment="1">
      <alignment horizontal="left" vertical="center"/>
    </xf>
    <xf numFmtId="38" fontId="117" fillId="0" borderId="0" xfId="0" applyNumberFormat="1" applyFont="1">
      <alignment vertical="center"/>
    </xf>
    <xf numFmtId="9" fontId="118" fillId="0" borderId="0" xfId="0" applyNumberFormat="1" applyFont="1" applyAlignment="1"/>
    <xf numFmtId="9" fontId="120" fillId="0" borderId="0" xfId="0" applyNumberFormat="1" applyFont="1" applyAlignment="1">
      <alignment horizontal="right"/>
    </xf>
    <xf numFmtId="9" fontId="118" fillId="0" borderId="0" xfId="0" applyNumberFormat="1" applyFont="1">
      <alignment vertical="center"/>
    </xf>
    <xf numFmtId="38" fontId="118" fillId="0" borderId="0" xfId="0" applyNumberFormat="1" applyFont="1" applyAlignment="1"/>
    <xf numFmtId="9" fontId="117" fillId="0" borderId="0" xfId="3" applyFont="1" applyFill="1">
      <alignment vertical="center"/>
    </xf>
    <xf numFmtId="10" fontId="120" fillId="0" borderId="0" xfId="3" applyNumberFormat="1" applyFont="1" applyFill="1">
      <alignment vertical="center"/>
    </xf>
    <xf numFmtId="0" fontId="118" fillId="19" borderId="0" xfId="0" applyFont="1" applyFill="1" applyAlignment="1"/>
    <xf numFmtId="0" fontId="120" fillId="19" borderId="0" xfId="0" applyFont="1" applyFill="1" applyAlignment="1"/>
    <xf numFmtId="38" fontId="118" fillId="19" borderId="0" xfId="0" applyNumberFormat="1" applyFont="1" applyFill="1" applyAlignment="1"/>
    <xf numFmtId="9" fontId="118" fillId="19" borderId="0" xfId="0" applyNumberFormat="1" applyFont="1" applyFill="1" applyAlignment="1"/>
    <xf numFmtId="9" fontId="120" fillId="19" borderId="0" xfId="0" applyNumberFormat="1" applyFont="1" applyFill="1" applyAlignment="1"/>
    <xf numFmtId="9" fontId="120" fillId="19" borderId="0" xfId="0" applyNumberFormat="1" applyFont="1" applyFill="1" applyAlignment="1">
      <alignment horizontal="right"/>
    </xf>
    <xf numFmtId="9" fontId="118" fillId="19" borderId="0" xfId="0" applyNumberFormat="1" applyFont="1" applyFill="1">
      <alignment vertical="center"/>
    </xf>
    <xf numFmtId="9" fontId="117" fillId="19" borderId="0" xfId="3" applyFont="1" applyFill="1">
      <alignment vertical="center"/>
    </xf>
    <xf numFmtId="10" fontId="120" fillId="19" borderId="0" xfId="3" applyNumberFormat="1" applyFont="1" applyFill="1">
      <alignment vertical="center"/>
    </xf>
    <xf numFmtId="180" fontId="120" fillId="19" borderId="0" xfId="0" applyNumberFormat="1" applyFont="1" applyFill="1" applyAlignment="1"/>
    <xf numFmtId="38" fontId="120" fillId="19" borderId="0" xfId="0" applyNumberFormat="1" applyFont="1" applyFill="1" applyAlignment="1"/>
    <xf numFmtId="0" fontId="118" fillId="6" borderId="0" xfId="0" applyFont="1" applyFill="1" applyAlignment="1"/>
    <xf numFmtId="0" fontId="120" fillId="6" borderId="0" xfId="0" applyFont="1" applyFill="1" applyAlignment="1"/>
    <xf numFmtId="38" fontId="118" fillId="6" borderId="0" xfId="0" applyNumberFormat="1" applyFont="1" applyFill="1" applyAlignment="1"/>
    <xf numFmtId="9" fontId="118" fillId="6" borderId="0" xfId="0" applyNumberFormat="1" applyFont="1" applyFill="1" applyAlignment="1"/>
    <xf numFmtId="9" fontId="120" fillId="6" borderId="0" xfId="0" applyNumberFormat="1" applyFont="1" applyFill="1" applyAlignment="1"/>
    <xf numFmtId="9" fontId="120" fillId="6" borderId="0" xfId="0" applyNumberFormat="1" applyFont="1" applyFill="1" applyAlignment="1">
      <alignment horizontal="right"/>
    </xf>
    <xf numFmtId="9" fontId="118" fillId="6" borderId="0" xfId="0" applyNumberFormat="1" applyFont="1" applyFill="1">
      <alignment vertical="center"/>
    </xf>
    <xf numFmtId="9" fontId="117" fillId="6" borderId="0" xfId="3" applyFont="1" applyFill="1">
      <alignment vertical="center"/>
    </xf>
    <xf numFmtId="10" fontId="120" fillId="6" borderId="0" xfId="3" applyNumberFormat="1" applyFont="1" applyFill="1">
      <alignment vertical="center"/>
    </xf>
    <xf numFmtId="180" fontId="120" fillId="6" borderId="0" xfId="0" applyNumberFormat="1" applyFont="1" applyFill="1" applyAlignment="1"/>
    <xf numFmtId="38" fontId="120" fillId="6" borderId="0" xfId="0" applyNumberFormat="1" applyFont="1" applyFill="1" applyAlignment="1"/>
    <xf numFmtId="0" fontId="118" fillId="24" borderId="0" xfId="0" applyFont="1" applyFill="1" applyAlignment="1"/>
    <xf numFmtId="0" fontId="120" fillId="24" borderId="0" xfId="0" applyFont="1" applyFill="1" applyAlignment="1"/>
    <xf numFmtId="38" fontId="118" fillId="24" borderId="0" xfId="0" applyNumberFormat="1" applyFont="1" applyFill="1" applyAlignment="1"/>
    <xf numFmtId="9" fontId="118" fillId="24" borderId="0" xfId="0" applyNumberFormat="1" applyFont="1" applyFill="1" applyAlignment="1"/>
    <xf numFmtId="9" fontId="120" fillId="24" borderId="0" xfId="0" applyNumberFormat="1" applyFont="1" applyFill="1" applyAlignment="1"/>
    <xf numFmtId="9" fontId="120" fillId="24" borderId="0" xfId="0" applyNumberFormat="1" applyFont="1" applyFill="1" applyAlignment="1">
      <alignment horizontal="right"/>
    </xf>
    <xf numFmtId="9" fontId="118" fillId="24" borderId="0" xfId="0" applyNumberFormat="1" applyFont="1" applyFill="1">
      <alignment vertical="center"/>
    </xf>
    <xf numFmtId="9" fontId="117" fillId="24" borderId="0" xfId="3" applyFont="1" applyFill="1">
      <alignment vertical="center"/>
    </xf>
    <xf numFmtId="10" fontId="120" fillId="24" borderId="0" xfId="3" applyNumberFormat="1" applyFont="1" applyFill="1">
      <alignment vertical="center"/>
    </xf>
    <xf numFmtId="180" fontId="120" fillId="24" borderId="0" xfId="0" applyNumberFormat="1" applyFont="1" applyFill="1" applyAlignment="1"/>
    <xf numFmtId="38" fontId="120" fillId="24" borderId="0" xfId="0" applyNumberFormat="1" applyFont="1" applyFill="1" applyAlignment="1"/>
    <xf numFmtId="0" fontId="122" fillId="0" borderId="0" xfId="1" applyFont="1" applyFill="1" applyAlignment="1" applyProtection="1"/>
    <xf numFmtId="10" fontId="118" fillId="6" borderId="0" xfId="0" applyNumberFormat="1" applyFont="1" applyFill="1" applyAlignment="1"/>
    <xf numFmtId="9" fontId="117" fillId="6" borderId="0" xfId="0" applyNumberFormat="1" applyFont="1" applyFill="1" applyAlignment="1"/>
    <xf numFmtId="10" fontId="120" fillId="5" borderId="0" xfId="3" applyNumberFormat="1" applyFont="1" applyFill="1">
      <alignment vertical="center"/>
    </xf>
    <xf numFmtId="181" fontId="120" fillId="6" borderId="0" xfId="0" applyNumberFormat="1" applyFont="1" applyFill="1" applyAlignment="1"/>
    <xf numFmtId="40" fontId="120" fillId="6" borderId="0" xfId="0" applyNumberFormat="1" applyFont="1" applyFill="1" applyAlignment="1"/>
    <xf numFmtId="9" fontId="120" fillId="0" borderId="0" xfId="0" applyNumberFormat="1" applyFont="1" applyAlignment="1">
      <alignment horizontal="right" vertical="center"/>
    </xf>
    <xf numFmtId="180" fontId="120" fillId="0" borderId="0" xfId="0" applyNumberFormat="1" applyFont="1">
      <alignment vertical="center"/>
    </xf>
    <xf numFmtId="9" fontId="117" fillId="0" borderId="0" xfId="3" applyFont="1" applyFill="1" applyBorder="1" applyProtection="1">
      <alignment vertical="center"/>
    </xf>
    <xf numFmtId="10" fontId="120" fillId="0" borderId="0" xfId="3" applyNumberFormat="1" applyFont="1" applyFill="1" applyBorder="1" applyProtection="1">
      <alignment vertical="center"/>
    </xf>
    <xf numFmtId="9" fontId="118" fillId="0" borderId="0" xfId="14" applyNumberFormat="1" applyFont="1" applyAlignment="1">
      <alignment horizontal="right"/>
    </xf>
    <xf numFmtId="0" fontId="125" fillId="6" borderId="0" xfId="0" applyFont="1" applyFill="1" applyAlignment="1"/>
    <xf numFmtId="38" fontId="117" fillId="5" borderId="0" xfId="0" applyNumberFormat="1" applyFont="1" applyFill="1">
      <alignment vertical="center"/>
    </xf>
    <xf numFmtId="38" fontId="120" fillId="0" borderId="0" xfId="0" applyNumberFormat="1" applyFont="1" applyAlignment="1">
      <alignment horizontal="left"/>
    </xf>
    <xf numFmtId="0" fontId="125" fillId="0" borderId="3" xfId="0" applyFont="1" applyBorder="1" applyAlignment="1"/>
    <xf numFmtId="0" fontId="118" fillId="0" borderId="3" xfId="0" applyFont="1" applyBorder="1" applyAlignment="1"/>
    <xf numFmtId="0" fontId="120" fillId="0" borderId="3" xfId="0" applyFont="1" applyBorder="1" applyAlignment="1"/>
    <xf numFmtId="38" fontId="118" fillId="0" borderId="3" xfId="0" applyNumberFormat="1" applyFont="1" applyBorder="1" applyAlignment="1"/>
    <xf numFmtId="9" fontId="118" fillId="0" borderId="3" xfId="0" applyNumberFormat="1" applyFont="1" applyBorder="1" applyAlignment="1"/>
    <xf numFmtId="9" fontId="120" fillId="0" borderId="3" xfId="0" applyNumberFormat="1" applyFont="1" applyBorder="1" applyAlignment="1"/>
    <xf numFmtId="9" fontId="120" fillId="0" borderId="3" xfId="0" applyNumberFormat="1" applyFont="1" applyBorder="1" applyAlignment="1">
      <alignment horizontal="right"/>
    </xf>
    <xf numFmtId="9" fontId="118" fillId="0" borderId="3" xfId="0" applyNumberFormat="1" applyFont="1" applyBorder="1">
      <alignment vertical="center"/>
    </xf>
    <xf numFmtId="9" fontId="118" fillId="0" borderId="3" xfId="3" applyFont="1" applyBorder="1" applyAlignment="1">
      <alignment vertical="center"/>
    </xf>
    <xf numFmtId="9" fontId="117" fillId="0" borderId="3" xfId="3" applyFont="1" applyBorder="1">
      <alignment vertical="center"/>
    </xf>
    <xf numFmtId="10" fontId="120" fillId="0" borderId="3" xfId="3" applyNumberFormat="1" applyFont="1" applyBorder="1">
      <alignment vertical="center"/>
    </xf>
    <xf numFmtId="38" fontId="120" fillId="0" borderId="4" xfId="0" applyNumberFormat="1" applyFont="1" applyBorder="1" applyAlignment="1"/>
    <xf numFmtId="0" fontId="125" fillId="0" borderId="7" xfId="0" applyFont="1" applyBorder="1" applyAlignment="1"/>
    <xf numFmtId="0" fontId="118" fillId="0" borderId="7" xfId="0" applyFont="1" applyBorder="1" applyAlignment="1"/>
    <xf numFmtId="0" fontId="120" fillId="0" borderId="7" xfId="0" applyFont="1" applyBorder="1" applyAlignment="1"/>
    <xf numFmtId="38" fontId="118" fillId="0" borderId="7" xfId="0" applyNumberFormat="1" applyFont="1" applyBorder="1" applyAlignment="1"/>
    <xf numFmtId="9" fontId="118" fillId="0" borderId="7" xfId="0" applyNumberFormat="1" applyFont="1" applyBorder="1" applyAlignment="1"/>
    <xf numFmtId="9" fontId="120" fillId="0" borderId="7" xfId="0" applyNumberFormat="1" applyFont="1" applyBorder="1" applyAlignment="1"/>
    <xf numFmtId="9" fontId="120" fillId="0" borderId="7" xfId="0" applyNumberFormat="1" applyFont="1" applyBorder="1" applyAlignment="1">
      <alignment horizontal="right"/>
    </xf>
    <xf numFmtId="9" fontId="118" fillId="0" borderId="7" xfId="0" applyNumberFormat="1" applyFont="1" applyBorder="1">
      <alignment vertical="center"/>
    </xf>
    <xf numFmtId="9" fontId="117" fillId="0" borderId="7" xfId="3" applyFont="1" applyFill="1" applyBorder="1">
      <alignment vertical="center"/>
    </xf>
    <xf numFmtId="10" fontId="120" fillId="0" borderId="7" xfId="3" applyNumberFormat="1" applyFont="1" applyFill="1" applyBorder="1">
      <alignment vertical="center"/>
    </xf>
    <xf numFmtId="38" fontId="120" fillId="0" borderId="7" xfId="0" applyNumberFormat="1" applyFont="1" applyBorder="1" applyAlignment="1"/>
    <xf numFmtId="0" fontId="121" fillId="0" borderId="0" xfId="0" applyFont="1" applyAlignment="1"/>
    <xf numFmtId="180" fontId="121" fillId="0" borderId="0" xfId="0" applyNumberFormat="1" applyFont="1" applyAlignment="1"/>
    <xf numFmtId="9" fontId="121" fillId="0" borderId="0" xfId="0" applyNumberFormat="1" applyFont="1" applyAlignment="1"/>
    <xf numFmtId="9" fontId="121" fillId="0" borderId="0" xfId="0" applyNumberFormat="1" applyFont="1" applyAlignment="1">
      <alignment horizontal="right"/>
    </xf>
    <xf numFmtId="38" fontId="121" fillId="0" borderId="0" xfId="0" applyNumberFormat="1" applyFont="1">
      <alignment vertical="center"/>
    </xf>
    <xf numFmtId="9" fontId="121" fillId="0" borderId="0" xfId="0" applyNumberFormat="1" applyFont="1">
      <alignment vertical="center"/>
    </xf>
    <xf numFmtId="0" fontId="116" fillId="0" borderId="0" xfId="0" applyFont="1">
      <alignment vertical="center"/>
    </xf>
    <xf numFmtId="181" fontId="116" fillId="0" borderId="0" xfId="0" applyNumberFormat="1" applyFont="1">
      <alignment vertical="center"/>
    </xf>
    <xf numFmtId="181" fontId="115" fillId="0" borderId="0" xfId="0" applyNumberFormat="1" applyFont="1">
      <alignment vertical="center"/>
    </xf>
    <xf numFmtId="181" fontId="123" fillId="0" borderId="0" xfId="0" applyNumberFormat="1" applyFont="1">
      <alignment vertical="center"/>
    </xf>
    <xf numFmtId="0" fontId="127" fillId="0" borderId="0" xfId="0" applyFont="1" applyAlignment="1"/>
    <xf numFmtId="0" fontId="120" fillId="0" borderId="0" xfId="0" applyFont="1" applyAlignment="1">
      <alignment horizontal="center" vertical="center"/>
    </xf>
    <xf numFmtId="0" fontId="120" fillId="22" borderId="0" xfId="0" applyFont="1" applyFill="1" applyAlignment="1">
      <alignment horizontal="center" vertical="center"/>
    </xf>
    <xf numFmtId="0" fontId="123" fillId="0" borderId="0" xfId="0" applyFont="1" applyAlignment="1">
      <alignment horizontal="center" vertical="center"/>
    </xf>
    <xf numFmtId="38" fontId="120" fillId="0" borderId="3" xfId="0" applyNumberFormat="1" applyFont="1" applyBorder="1">
      <alignment vertical="center"/>
    </xf>
    <xf numFmtId="38" fontId="120" fillId="0" borderId="6" xfId="0" applyNumberFormat="1" applyFont="1" applyBorder="1" applyAlignment="1"/>
    <xf numFmtId="38" fontId="123" fillId="0" borderId="0" xfId="0" applyNumberFormat="1" applyFont="1" applyAlignment="1"/>
    <xf numFmtId="38" fontId="120" fillId="22" borderId="0" xfId="0" applyNumberFormat="1" applyFont="1" applyFill="1" applyAlignment="1"/>
    <xf numFmtId="183" fontId="120" fillId="0" borderId="0" xfId="0" applyNumberFormat="1" applyFont="1" applyAlignment="1"/>
    <xf numFmtId="183" fontId="120" fillId="6" borderId="0" xfId="0" applyNumberFormat="1" applyFont="1" applyFill="1" applyAlignment="1"/>
    <xf numFmtId="183" fontId="118" fillId="0" borderId="0" xfId="0" applyNumberFormat="1" applyFont="1" applyAlignment="1"/>
    <xf numFmtId="183" fontId="118" fillId="6" borderId="0" xfId="0" applyNumberFormat="1" applyFont="1" applyFill="1" applyAlignment="1"/>
    <xf numFmtId="180" fontId="123" fillId="0" borderId="0" xfId="2" applyNumberFormat="1" applyFont="1">
      <alignment vertical="center"/>
    </xf>
    <xf numFmtId="0" fontId="123" fillId="0" borderId="0" xfId="0" applyFont="1" applyAlignment="1">
      <alignment horizontal="center"/>
    </xf>
    <xf numFmtId="0" fontId="123" fillId="22" borderId="0" xfId="0" applyFont="1" applyFill="1" applyAlignment="1">
      <alignment horizontal="center" vertical="center"/>
    </xf>
    <xf numFmtId="181" fontId="123" fillId="0" borderId="0" xfId="0" applyNumberFormat="1" applyFont="1" applyAlignment="1"/>
    <xf numFmtId="0" fontId="123" fillId="6" borderId="0" xfId="0" applyFont="1" applyFill="1" applyAlignment="1"/>
    <xf numFmtId="181" fontId="123" fillId="6" borderId="0" xfId="0" applyNumberFormat="1" applyFont="1" applyFill="1" applyAlignment="1"/>
    <xf numFmtId="190" fontId="123" fillId="0" borderId="0" xfId="0" applyNumberFormat="1" applyFont="1" applyAlignment="1"/>
    <xf numFmtId="181" fontId="128" fillId="0" borderId="0" xfId="0" applyNumberFormat="1" applyFont="1" applyAlignment="1">
      <alignment horizontal="center" vertical="center"/>
    </xf>
    <xf numFmtId="0" fontId="119" fillId="0" borderId="0" xfId="0" applyFont="1">
      <alignment vertical="center"/>
    </xf>
    <xf numFmtId="0" fontId="123" fillId="0" borderId="0" xfId="0" applyFont="1" applyAlignment="1">
      <alignment horizontal="left" vertical="center"/>
    </xf>
    <xf numFmtId="38" fontId="123" fillId="0" borderId="0" xfId="0" applyNumberFormat="1" applyFont="1" applyAlignment="1">
      <alignment horizontal="right" vertical="center"/>
    </xf>
    <xf numFmtId="10" fontId="123" fillId="0" borderId="0" xfId="0" applyNumberFormat="1" applyFont="1" applyAlignment="1">
      <alignment horizontal="right" vertical="center"/>
    </xf>
    <xf numFmtId="181" fontId="119" fillId="0" borderId="0" xfId="0" applyNumberFormat="1" applyFont="1" applyAlignment="1">
      <alignment horizontal="right" vertical="center"/>
    </xf>
    <xf numFmtId="0" fontId="129" fillId="0" borderId="9" xfId="1946" applyFont="1" applyBorder="1" applyAlignment="1">
      <alignment horizontal="left" vertical="center"/>
    </xf>
    <xf numFmtId="38" fontId="119" fillId="0" borderId="0" xfId="3219" applyNumberFormat="1" applyFont="1" applyAlignment="1">
      <alignment horizontal="right" vertical="center"/>
    </xf>
    <xf numFmtId="186" fontId="120" fillId="0" borderId="0" xfId="0" applyNumberFormat="1" applyFont="1" applyAlignment="1"/>
    <xf numFmtId="0" fontId="129" fillId="0" borderId="0" xfId="1946" applyFont="1" applyAlignment="1">
      <alignment horizontal="left" vertical="center"/>
    </xf>
    <xf numFmtId="0" fontId="123" fillId="0" borderId="22" xfId="0" applyFont="1" applyBorder="1">
      <alignment vertical="center"/>
    </xf>
    <xf numFmtId="0" fontId="118" fillId="0" borderId="0" xfId="0" applyFont="1">
      <alignment vertical="center"/>
    </xf>
    <xf numFmtId="0" fontId="117" fillId="0" borderId="0" xfId="0" applyFont="1">
      <alignment vertical="center"/>
    </xf>
    <xf numFmtId="0" fontId="130" fillId="0" borderId="0" xfId="0" applyFont="1">
      <alignment vertical="center"/>
    </xf>
    <xf numFmtId="38" fontId="130" fillId="0" borderId="0" xfId="0" applyNumberFormat="1" applyFont="1">
      <alignment vertical="center"/>
    </xf>
    <xf numFmtId="0" fontId="131" fillId="0" borderId="0" xfId="0" applyFont="1">
      <alignment vertical="center"/>
    </xf>
    <xf numFmtId="0" fontId="134" fillId="0" borderId="0" xfId="1" applyFont="1" applyFill="1" applyAlignment="1" applyProtection="1"/>
    <xf numFmtId="0" fontId="128" fillId="0" borderId="0" xfId="0" applyFont="1" applyAlignment="1"/>
    <xf numFmtId="0" fontId="119" fillId="0" borderId="0" xfId="0" applyFont="1" applyAlignment="1">
      <alignment horizontal="center" vertical="center"/>
    </xf>
    <xf numFmtId="0" fontId="134" fillId="0" borderId="0" xfId="1" applyFont="1" applyFill="1" applyAlignment="1" applyProtection="1">
      <alignment vertical="center"/>
    </xf>
    <xf numFmtId="38" fontId="115" fillId="0" borderId="0" xfId="0" applyNumberFormat="1" applyFont="1">
      <alignment vertical="center"/>
    </xf>
    <xf numFmtId="40" fontId="123" fillId="0" borderId="0" xfId="0" applyNumberFormat="1" applyFont="1">
      <alignment vertical="center"/>
    </xf>
    <xf numFmtId="6" fontId="115" fillId="0" borderId="0" xfId="0" applyNumberFormat="1" applyFont="1">
      <alignment vertical="center"/>
    </xf>
    <xf numFmtId="0" fontId="115" fillId="0" borderId="0" xfId="0" applyFont="1" applyAlignment="1">
      <alignment vertical="center" wrapText="1"/>
    </xf>
    <xf numFmtId="2" fontId="123" fillId="0" borderId="0" xfId="2" applyNumberFormat="1" applyFont="1" applyFill="1">
      <alignment vertical="center"/>
    </xf>
    <xf numFmtId="180" fontId="123" fillId="0" borderId="0" xfId="2" applyNumberFormat="1" applyFont="1" applyFill="1">
      <alignment vertical="center"/>
    </xf>
    <xf numFmtId="183" fontId="123" fillId="0" borderId="0" xfId="2" applyNumberFormat="1" applyFont="1" applyFill="1">
      <alignment vertical="center"/>
    </xf>
    <xf numFmtId="0" fontId="123" fillId="0" borderId="0" xfId="0" applyFont="1" applyAlignment="1">
      <alignment vertical="center" wrapText="1"/>
    </xf>
    <xf numFmtId="0" fontId="119" fillId="0" borderId="0" xfId="0" applyFont="1" applyAlignment="1">
      <alignment vertical="center" wrapText="1"/>
    </xf>
    <xf numFmtId="6" fontId="119" fillId="0" borderId="0" xfId="0" applyNumberFormat="1" applyFont="1">
      <alignment vertical="center"/>
    </xf>
    <xf numFmtId="176" fontId="115" fillId="0" borderId="0" xfId="0" applyNumberFormat="1" applyFont="1">
      <alignment vertical="center"/>
    </xf>
    <xf numFmtId="37" fontId="119" fillId="0" borderId="0" xfId="0" applyNumberFormat="1" applyFont="1">
      <alignment vertical="center"/>
    </xf>
    <xf numFmtId="0" fontId="119" fillId="11" borderId="0" xfId="0" applyFont="1" applyFill="1" applyAlignment="1"/>
    <xf numFmtId="40" fontId="119" fillId="0" borderId="0" xfId="0" applyNumberFormat="1" applyFont="1">
      <alignment vertical="center"/>
    </xf>
    <xf numFmtId="0" fontId="119" fillId="0" borderId="0" xfId="0" applyFont="1" applyAlignment="1"/>
    <xf numFmtId="37" fontId="123" fillId="0" borderId="3" xfId="0" applyNumberFormat="1" applyFont="1" applyBorder="1" applyAlignment="1"/>
    <xf numFmtId="38" fontId="123" fillId="0" borderId="3" xfId="0" applyNumberFormat="1" applyFont="1" applyBorder="1" applyAlignment="1"/>
    <xf numFmtId="37" fontId="119" fillId="0" borderId="3" xfId="0" applyNumberFormat="1" applyFont="1" applyBorder="1">
      <alignment vertical="center"/>
    </xf>
    <xf numFmtId="38" fontId="119" fillId="0" borderId="3" xfId="0" applyNumberFormat="1" applyFont="1" applyBorder="1">
      <alignment vertical="center"/>
    </xf>
    <xf numFmtId="0" fontId="119" fillId="0" borderId="0" xfId="0" applyFont="1" applyAlignment="1">
      <alignment wrapText="1"/>
    </xf>
    <xf numFmtId="37" fontId="123" fillId="0" borderId="0" xfId="0" applyNumberFormat="1" applyFont="1" applyAlignment="1"/>
    <xf numFmtId="37" fontId="119" fillId="0" borderId="0" xfId="0" applyNumberFormat="1" applyFont="1" applyAlignment="1"/>
    <xf numFmtId="39" fontId="119" fillId="0" borderId="0" xfId="0" applyNumberFormat="1" applyFont="1" applyAlignment="1"/>
    <xf numFmtId="38" fontId="119" fillId="0" borderId="0" xfId="0" applyNumberFormat="1" applyFont="1" applyAlignment="1"/>
    <xf numFmtId="0" fontId="135" fillId="0" borderId="0" xfId="0" applyFont="1" applyAlignment="1"/>
    <xf numFmtId="40" fontId="119" fillId="0" borderId="0" xfId="0" applyNumberFormat="1" applyFont="1" applyAlignment="1"/>
    <xf numFmtId="37" fontId="123" fillId="0" borderId="6" xfId="0" applyNumberFormat="1" applyFont="1" applyBorder="1" applyAlignment="1"/>
    <xf numFmtId="38" fontId="123" fillId="0" borderId="6" xfId="0" applyNumberFormat="1" applyFont="1" applyBorder="1" applyAlignment="1"/>
    <xf numFmtId="40" fontId="123" fillId="0" borderId="6" xfId="0" applyNumberFormat="1" applyFont="1" applyBorder="1">
      <alignment vertical="center"/>
    </xf>
    <xf numFmtId="37" fontId="119" fillId="0" borderId="6" xfId="0" applyNumberFormat="1" applyFont="1" applyBorder="1" applyAlignment="1"/>
    <xf numFmtId="0" fontId="123" fillId="12" borderId="0" xfId="0" applyFont="1" applyFill="1" applyAlignment="1"/>
    <xf numFmtId="180" fontId="123" fillId="12" borderId="0" xfId="0" applyNumberFormat="1" applyFont="1" applyFill="1" applyAlignment="1"/>
    <xf numFmtId="38" fontId="123" fillId="12" borderId="0" xfId="0" applyNumberFormat="1" applyFont="1" applyFill="1" applyAlignment="1"/>
    <xf numFmtId="180" fontId="119" fillId="0" borderId="0" xfId="2" applyNumberFormat="1" applyFont="1" applyFill="1">
      <alignment vertical="center"/>
    </xf>
    <xf numFmtId="180" fontId="123" fillId="0" borderId="0" xfId="0" applyNumberFormat="1" applyFont="1" applyAlignment="1"/>
    <xf numFmtId="0" fontId="119" fillId="0" borderId="0" xfId="11" applyFont="1">
      <alignment vertical="center"/>
    </xf>
    <xf numFmtId="0" fontId="136" fillId="12" borderId="0" xfId="0" applyFont="1" applyFill="1" applyAlignment="1">
      <alignment horizontal="center" vertical="center"/>
    </xf>
    <xf numFmtId="40" fontId="123" fillId="0" borderId="0" xfId="3" applyNumberFormat="1" applyFont="1" applyFill="1">
      <alignment vertical="center"/>
    </xf>
    <xf numFmtId="0" fontId="115" fillId="0" borderId="0" xfId="0" quotePrefix="1" applyFont="1">
      <alignment vertical="center"/>
    </xf>
    <xf numFmtId="0" fontId="123" fillId="0" borderId="0" xfId="0" applyFont="1" applyAlignment="1">
      <alignment wrapText="1"/>
    </xf>
    <xf numFmtId="38" fontId="123" fillId="0" borderId="0" xfId="0" applyNumberFormat="1" applyFont="1">
      <alignment vertical="center"/>
    </xf>
    <xf numFmtId="187" fontId="123" fillId="0" borderId="0" xfId="2" applyNumberFormat="1" applyFont="1" applyAlignment="1">
      <alignment vertical="center"/>
    </xf>
    <xf numFmtId="180" fontId="123" fillId="0" borderId="0" xfId="0" applyNumberFormat="1" applyFont="1">
      <alignment vertical="center"/>
    </xf>
    <xf numFmtId="37" fontId="123" fillId="0" borderId="0" xfId="0" applyNumberFormat="1" applyFont="1">
      <alignment vertical="center"/>
    </xf>
    <xf numFmtId="187" fontId="137" fillId="0" borderId="0" xfId="0" applyNumberFormat="1" applyFont="1">
      <alignment vertical="center"/>
    </xf>
    <xf numFmtId="187" fontId="130" fillId="0" borderId="0" xfId="0" applyNumberFormat="1" applyFont="1">
      <alignment vertical="center"/>
    </xf>
    <xf numFmtId="187" fontId="130" fillId="0" borderId="0" xfId="0" applyNumberFormat="1" applyFont="1" applyAlignment="1">
      <alignment horizontal="center" vertical="center"/>
    </xf>
    <xf numFmtId="189" fontId="133" fillId="0" borderId="0" xfId="0" applyNumberFormat="1" applyFont="1">
      <alignment vertical="center"/>
    </xf>
    <xf numFmtId="189" fontId="130" fillId="0" borderId="0" xfId="0" applyNumberFormat="1" applyFont="1">
      <alignment vertical="center"/>
    </xf>
    <xf numFmtId="187" fontId="132" fillId="0" borderId="0" xfId="0" applyNumberFormat="1" applyFont="1">
      <alignment vertical="center"/>
    </xf>
    <xf numFmtId="187" fontId="130" fillId="0" borderId="0" xfId="0" applyNumberFormat="1" applyFont="1" applyAlignment="1">
      <alignment horizontal="left" vertical="center"/>
    </xf>
    <xf numFmtId="38" fontId="133" fillId="0" borderId="0" xfId="0" applyNumberFormat="1" applyFont="1">
      <alignment vertical="center"/>
    </xf>
    <xf numFmtId="187" fontId="130" fillId="0" borderId="5" xfId="0" applyNumberFormat="1" applyFont="1" applyBorder="1">
      <alignment vertical="center"/>
    </xf>
    <xf numFmtId="38" fontId="133" fillId="0" borderId="5" xfId="0" applyNumberFormat="1" applyFont="1" applyBorder="1">
      <alignment vertical="center"/>
    </xf>
    <xf numFmtId="179" fontId="130" fillId="0" borderId="0" xfId="0" applyNumberFormat="1" applyFont="1">
      <alignment vertical="center"/>
    </xf>
    <xf numFmtId="179" fontId="133" fillId="0" borderId="0" xfId="0" applyNumberFormat="1" applyFont="1">
      <alignment vertical="center"/>
    </xf>
    <xf numFmtId="179" fontId="131" fillId="0" borderId="0" xfId="9" applyFont="1" applyFill="1">
      <alignment vertical="center"/>
    </xf>
    <xf numFmtId="40" fontId="133" fillId="0" borderId="0" xfId="0" applyNumberFormat="1" applyFont="1">
      <alignment vertical="center"/>
    </xf>
    <xf numFmtId="179" fontId="130" fillId="6" borderId="0" xfId="0" applyNumberFormat="1" applyFont="1" applyFill="1">
      <alignment vertical="center"/>
    </xf>
    <xf numFmtId="179" fontId="133" fillId="5" borderId="0" xfId="0" applyNumberFormat="1" applyFont="1" applyFill="1">
      <alignment vertical="center"/>
    </xf>
    <xf numFmtId="0" fontId="127" fillId="0" borderId="12" xfId="0" applyFont="1" applyBorder="1" applyAlignment="1">
      <alignment horizontal="left" vertical="center"/>
    </xf>
    <xf numFmtId="0" fontId="127" fillId="0" borderId="13" xfId="0" applyFont="1" applyBorder="1" applyAlignment="1">
      <alignment horizontal="left" vertical="center"/>
    </xf>
    <xf numFmtId="0" fontId="131" fillId="0" borderId="3" xfId="0" applyFont="1" applyBorder="1" applyAlignment="1"/>
    <xf numFmtId="0" fontId="131" fillId="0" borderId="0" xfId="0" applyFont="1" applyAlignment="1"/>
    <xf numFmtId="0" fontId="127" fillId="0" borderId="10" xfId="0" applyFont="1" applyBorder="1" applyAlignment="1"/>
    <xf numFmtId="17" fontId="127" fillId="0" borderId="10" xfId="0" applyNumberFormat="1" applyFont="1" applyBorder="1" applyAlignment="1">
      <alignment horizontal="center"/>
    </xf>
    <xf numFmtId="0" fontId="131" fillId="0" borderId="10" xfId="0" applyFont="1" applyBorder="1" applyAlignment="1">
      <alignment horizontal="center"/>
    </xf>
    <xf numFmtId="0" fontId="131" fillId="0" borderId="0" xfId="0" applyFont="1" applyAlignment="1">
      <alignment horizontal="center"/>
    </xf>
    <xf numFmtId="38" fontId="131" fillId="0" borderId="10" xfId="0" applyNumberFormat="1" applyFont="1" applyBorder="1" applyAlignment="1">
      <alignment horizontal="right"/>
    </xf>
    <xf numFmtId="38" fontId="131" fillId="0" borderId="10" xfId="0" applyNumberFormat="1" applyFont="1" applyBorder="1" applyAlignment="1"/>
    <xf numFmtId="38" fontId="131" fillId="0" borderId="0" xfId="0" applyNumberFormat="1" applyFont="1" applyAlignment="1"/>
    <xf numFmtId="0" fontId="127" fillId="0" borderId="10" xfId="0" applyFont="1" applyBorder="1" applyAlignment="1">
      <alignment horizontal="center" vertical="center"/>
    </xf>
    <xf numFmtId="38" fontId="131" fillId="0" borderId="10" xfId="0" applyNumberFormat="1" applyFont="1" applyBorder="1" applyAlignment="1">
      <alignment horizontal="right" vertical="center"/>
    </xf>
    <xf numFmtId="187" fontId="131" fillId="0" borderId="10" xfId="0" applyNumberFormat="1" applyFont="1" applyBorder="1">
      <alignment vertical="center"/>
    </xf>
    <xf numFmtId="38" fontId="127" fillId="5" borderId="10" xfId="0" applyNumberFormat="1" applyFont="1" applyFill="1" applyBorder="1" applyAlignment="1">
      <alignment horizontal="left" vertical="center"/>
    </xf>
    <xf numFmtId="38" fontId="131" fillId="5" borderId="10" xfId="0" applyNumberFormat="1" applyFont="1" applyFill="1" applyBorder="1" applyAlignment="1">
      <alignment horizontal="right" vertical="center"/>
    </xf>
    <xf numFmtId="38" fontId="131" fillId="5" borderId="10" xfId="0" applyNumberFormat="1" applyFont="1" applyFill="1" applyBorder="1" applyAlignment="1"/>
    <xf numFmtId="38" fontId="131" fillId="0" borderId="10" xfId="0" applyNumberFormat="1" applyFont="1" applyBorder="1">
      <alignment vertical="center"/>
    </xf>
    <xf numFmtId="0" fontId="131" fillId="0" borderId="0" xfId="0" applyFont="1" applyAlignment="1">
      <alignment horizontal="left" vertical="center"/>
    </xf>
    <xf numFmtId="0" fontId="127" fillId="0" borderId="0" xfId="0" applyFont="1" applyAlignment="1">
      <alignment horizontal="center" vertical="center"/>
    </xf>
    <xf numFmtId="10" fontId="130" fillId="0" borderId="0" xfId="3" applyNumberFormat="1" applyFont="1" applyBorder="1">
      <alignment vertical="center"/>
    </xf>
    <xf numFmtId="10" fontId="131" fillId="0" borderId="0" xfId="0" applyNumberFormat="1" applyFont="1">
      <alignment vertical="center"/>
    </xf>
    <xf numFmtId="187" fontId="131" fillId="0" borderId="0" xfId="0" applyNumberFormat="1" applyFont="1">
      <alignment vertical="center"/>
    </xf>
    <xf numFmtId="0" fontId="126" fillId="0" borderId="0" xfId="0" applyFont="1" applyAlignment="1">
      <alignment horizontal="left" vertical="center"/>
    </xf>
    <xf numFmtId="187" fontId="117" fillId="0" borderId="0" xfId="2" applyNumberFormat="1" applyFont="1" applyBorder="1">
      <alignment vertical="center"/>
    </xf>
    <xf numFmtId="0" fontId="117" fillId="0" borderId="0" xfId="0" applyFont="1" applyAlignment="1">
      <alignment horizontal="center" vertical="center"/>
    </xf>
    <xf numFmtId="38" fontId="115" fillId="0" borderId="0" xfId="0" applyNumberFormat="1" applyFont="1" applyAlignment="1">
      <alignment horizontal="center" vertical="center"/>
    </xf>
    <xf numFmtId="9" fontId="131" fillId="0" borderId="0" xfId="0" applyNumberFormat="1" applyFont="1">
      <alignment vertical="center"/>
    </xf>
    <xf numFmtId="0" fontId="117" fillId="0" borderId="0" xfId="0" applyFont="1" applyAlignment="1">
      <alignment horizontal="left" vertical="center"/>
    </xf>
    <xf numFmtId="49" fontId="138" fillId="14" borderId="0" xfId="0" applyNumberFormat="1" applyFont="1" applyFill="1" applyAlignment="1"/>
    <xf numFmtId="49" fontId="138" fillId="0" borderId="0" xfId="0" applyNumberFormat="1" applyFont="1" applyAlignment="1"/>
    <xf numFmtId="0" fontId="131" fillId="0" borderId="0" xfId="8" applyFont="1" applyAlignment="1">
      <alignment horizontal="center" vertical="center"/>
    </xf>
    <xf numFmtId="0" fontId="131" fillId="0" borderId="0" xfId="8" applyFont="1">
      <alignment vertical="center"/>
    </xf>
    <xf numFmtId="187" fontId="117" fillId="0" borderId="0" xfId="2" applyNumberFormat="1" applyFont="1" applyFill="1" applyBorder="1">
      <alignment vertical="center"/>
    </xf>
    <xf numFmtId="0" fontId="127" fillId="0" borderId="0" xfId="0" applyFont="1">
      <alignment vertical="center"/>
    </xf>
    <xf numFmtId="0" fontId="131" fillId="0" borderId="3" xfId="8" applyFont="1" applyBorder="1" applyAlignment="1">
      <alignment horizontal="center" vertical="center"/>
    </xf>
    <xf numFmtId="187" fontId="131" fillId="0" borderId="0" xfId="9" applyNumberFormat="1" applyFont="1" applyFill="1">
      <alignment vertical="center"/>
    </xf>
    <xf numFmtId="187" fontId="131" fillId="0" borderId="0" xfId="8" applyNumberFormat="1" applyFont="1">
      <alignment vertical="center"/>
    </xf>
    <xf numFmtId="187" fontId="133" fillId="0" borderId="41" xfId="9" applyNumberFormat="1" applyFont="1" applyFill="1" applyBorder="1">
      <alignment vertical="center"/>
    </xf>
    <xf numFmtId="0" fontId="131" fillId="0" borderId="0" xfId="8" applyFont="1" applyAlignment="1">
      <alignment horizontal="left" vertical="center"/>
    </xf>
    <xf numFmtId="187" fontId="131" fillId="0" borderId="0" xfId="2" applyNumberFormat="1" applyFont="1" applyBorder="1">
      <alignment vertical="center"/>
    </xf>
    <xf numFmtId="187" fontId="133" fillId="0" borderId="0" xfId="9" applyNumberFormat="1" applyFont="1" applyFill="1">
      <alignment vertical="center"/>
    </xf>
    <xf numFmtId="187" fontId="131" fillId="0" borderId="6" xfId="9" applyNumberFormat="1" applyFont="1" applyFill="1" applyBorder="1">
      <alignment vertical="center"/>
    </xf>
    <xf numFmtId="179" fontId="139" fillId="0" borderId="6" xfId="9" applyFont="1" applyFill="1" applyBorder="1">
      <alignment vertical="center"/>
    </xf>
    <xf numFmtId="187" fontId="131" fillId="0" borderId="0" xfId="9" applyNumberFormat="1" applyFont="1" applyFill="1" applyBorder="1">
      <alignment vertical="center"/>
    </xf>
    <xf numFmtId="40" fontId="131" fillId="0" borderId="0" xfId="2" applyNumberFormat="1" applyFont="1">
      <alignment vertical="center"/>
    </xf>
    <xf numFmtId="187" fontId="131" fillId="0" borderId="0" xfId="10" applyNumberFormat="1" applyFont="1" applyFill="1">
      <alignment vertical="center"/>
    </xf>
    <xf numFmtId="9" fontId="131" fillId="0" borderId="0" xfId="10" applyFont="1" applyFill="1">
      <alignment vertical="center"/>
    </xf>
    <xf numFmtId="179" fontId="131" fillId="0" borderId="0" xfId="2" applyFont="1">
      <alignment vertical="center"/>
    </xf>
    <xf numFmtId="38" fontId="131" fillId="0" borderId="0" xfId="10" applyNumberFormat="1" applyFont="1" applyFill="1">
      <alignment vertical="center"/>
    </xf>
    <xf numFmtId="40" fontId="131" fillId="0" borderId="0" xfId="8" applyNumberFormat="1" applyFont="1">
      <alignment vertical="center"/>
    </xf>
    <xf numFmtId="9" fontId="131" fillId="0" borderId="0" xfId="3" applyFont="1" applyFill="1">
      <alignment vertical="center"/>
    </xf>
    <xf numFmtId="187" fontId="131" fillId="18" borderId="3" xfId="9" applyNumberFormat="1" applyFont="1" applyFill="1" applyBorder="1">
      <alignment vertical="center"/>
    </xf>
    <xf numFmtId="0" fontId="133" fillId="0" borderId="0" xfId="0" applyFont="1">
      <alignment vertical="center"/>
    </xf>
    <xf numFmtId="187" fontId="139" fillId="19" borderId="0" xfId="9" applyNumberFormat="1" applyFont="1" applyFill="1">
      <alignment vertical="center"/>
    </xf>
    <xf numFmtId="186" fontId="133" fillId="0" borderId="0" xfId="10" applyNumberFormat="1" applyFont="1">
      <alignment vertical="center"/>
    </xf>
    <xf numFmtId="38" fontId="131" fillId="6" borderId="6" xfId="9" applyNumberFormat="1" applyFont="1" applyFill="1" applyBorder="1">
      <alignment vertical="center"/>
    </xf>
    <xf numFmtId="187" fontId="131" fillId="0" borderId="0" xfId="2" applyNumberFormat="1" applyFont="1">
      <alignment vertical="center"/>
    </xf>
    <xf numFmtId="191" fontId="131" fillId="0" borderId="0" xfId="9" applyNumberFormat="1" applyFont="1" applyFill="1" applyBorder="1">
      <alignment vertical="center"/>
    </xf>
    <xf numFmtId="38" fontId="131" fillId="0" borderId="6" xfId="8" applyNumberFormat="1" applyFont="1" applyBorder="1">
      <alignment vertical="center"/>
    </xf>
    <xf numFmtId="9" fontId="131" fillId="0" borderId="0" xfId="3" applyFont="1">
      <alignment vertical="center"/>
    </xf>
    <xf numFmtId="9" fontId="127" fillId="0" borderId="0" xfId="3" applyFont="1">
      <alignment vertical="center"/>
    </xf>
    <xf numFmtId="37" fontId="133" fillId="0" borderId="0" xfId="9" applyNumberFormat="1" applyFont="1">
      <alignment vertical="center"/>
    </xf>
    <xf numFmtId="37" fontId="131" fillId="0" borderId="0" xfId="8" applyNumberFormat="1" applyFont="1">
      <alignment vertical="center"/>
    </xf>
    <xf numFmtId="37" fontId="131" fillId="0" borderId="5" xfId="8" applyNumberFormat="1" applyFont="1" applyBorder="1">
      <alignment vertical="center"/>
    </xf>
    <xf numFmtId="38" fontId="131" fillId="5" borderId="5" xfId="8" applyNumberFormat="1" applyFont="1" applyFill="1" applyBorder="1">
      <alignment vertical="center"/>
    </xf>
    <xf numFmtId="187" fontId="133" fillId="0" borderId="0" xfId="0" applyNumberFormat="1" applyFont="1">
      <alignment vertical="center"/>
    </xf>
    <xf numFmtId="38" fontId="131" fillId="7" borderId="6" xfId="8" applyNumberFormat="1" applyFont="1" applyFill="1" applyBorder="1">
      <alignment vertical="center"/>
    </xf>
    <xf numFmtId="14" fontId="127" fillId="0" borderId="0" xfId="0" applyNumberFormat="1" applyFont="1" applyAlignment="1">
      <alignment horizontal="left" vertical="center"/>
    </xf>
    <xf numFmtId="0" fontId="129" fillId="0" borderId="0" xfId="0" applyFont="1">
      <alignment vertical="center"/>
    </xf>
    <xf numFmtId="0" fontId="119" fillId="12" borderId="0" xfId="0" applyFont="1" applyFill="1" applyAlignment="1">
      <alignment horizontal="left" vertical="center"/>
    </xf>
    <xf numFmtId="0" fontId="130" fillId="0" borderId="0" xfId="0" applyFont="1" applyAlignment="1"/>
    <xf numFmtId="0" fontId="119" fillId="0" borderId="0" xfId="0" applyFont="1" applyAlignment="1">
      <alignment horizontal="left" vertical="center"/>
    </xf>
    <xf numFmtId="187" fontId="119" fillId="0" borderId="0" xfId="9" applyNumberFormat="1" applyFont="1">
      <alignment vertical="center"/>
    </xf>
    <xf numFmtId="9" fontId="119" fillId="0" borderId="0" xfId="10" applyFont="1" applyFill="1" applyAlignment="1">
      <alignment horizontal="left" vertical="center"/>
    </xf>
    <xf numFmtId="9" fontId="119" fillId="0" borderId="0" xfId="10" applyFont="1" applyAlignment="1">
      <alignment vertical="center"/>
    </xf>
    <xf numFmtId="37" fontId="131" fillId="0" borderId="0" xfId="7" applyNumberFormat="1" applyFont="1" applyFill="1" applyAlignment="1">
      <alignment vertical="center"/>
    </xf>
    <xf numFmtId="37" fontId="141" fillId="0" borderId="0" xfId="7" applyNumberFormat="1" applyFont="1" applyFill="1" applyAlignment="1">
      <alignment vertical="center"/>
    </xf>
    <xf numFmtId="38" fontId="131" fillId="0" borderId="0" xfId="7" applyNumberFormat="1" applyFont="1" applyFill="1" applyAlignment="1">
      <alignment vertical="center"/>
    </xf>
    <xf numFmtId="37" fontId="140" fillId="0" borderId="0" xfId="7" applyNumberFormat="1" applyFont="1" applyFill="1" applyAlignment="1">
      <alignment vertical="center"/>
    </xf>
    <xf numFmtId="38" fontId="142" fillId="0" borderId="0" xfId="7" applyNumberFormat="1" applyFont="1" applyFill="1" applyAlignment="1">
      <alignment vertical="center"/>
    </xf>
    <xf numFmtId="38" fontId="141" fillId="0" borderId="0" xfId="7" applyNumberFormat="1" applyFont="1" applyFill="1" applyAlignment="1">
      <alignment vertical="center"/>
    </xf>
    <xf numFmtId="38" fontId="119" fillId="0" borderId="0" xfId="7" applyNumberFormat="1" applyFont="1" applyFill="1" applyAlignment="1">
      <alignment vertical="center"/>
    </xf>
    <xf numFmtId="37" fontId="119" fillId="0" borderId="0" xfId="7" applyNumberFormat="1" applyFont="1" applyFill="1" applyAlignment="1">
      <alignment vertical="center"/>
    </xf>
    <xf numFmtId="38" fontId="129" fillId="0" borderId="0" xfId="7" applyNumberFormat="1" applyFont="1" applyFill="1" applyBorder="1" applyAlignment="1">
      <alignment horizontal="center" vertical="center"/>
    </xf>
    <xf numFmtId="37" fontId="119" fillId="0" borderId="0" xfId="7" applyNumberFormat="1" applyFont="1" applyFill="1" applyBorder="1" applyAlignment="1">
      <alignment horizontal="center" vertical="center"/>
    </xf>
    <xf numFmtId="38" fontId="129" fillId="0" borderId="0" xfId="7" applyNumberFormat="1" applyFont="1" applyFill="1" applyBorder="1" applyAlignment="1">
      <alignment horizontal="left" vertical="center"/>
    </xf>
    <xf numFmtId="38" fontId="129" fillId="0" borderId="0" xfId="7" applyNumberFormat="1" applyFont="1" applyFill="1" applyAlignment="1">
      <alignment vertical="center"/>
    </xf>
    <xf numFmtId="38" fontId="129" fillId="0" borderId="0" xfId="7" applyNumberFormat="1" applyFont="1" applyFill="1" applyAlignment="1">
      <alignment vertical="center" wrapText="1"/>
    </xf>
    <xf numFmtId="37" fontId="115" fillId="0" borderId="0" xfId="7" applyNumberFormat="1" applyFont="1" applyFill="1" applyAlignment="1">
      <alignment vertical="center"/>
    </xf>
    <xf numFmtId="0" fontId="143" fillId="0" borderId="0" xfId="0" applyFont="1">
      <alignment vertical="center"/>
    </xf>
    <xf numFmtId="0" fontId="123" fillId="0" borderId="0" xfId="0" applyFont="1" applyAlignment="1">
      <alignment horizontal="right" vertical="center"/>
    </xf>
    <xf numFmtId="3" fontId="123" fillId="0" borderId="0" xfId="0" applyNumberFormat="1" applyFont="1">
      <alignment vertical="center"/>
    </xf>
    <xf numFmtId="0" fontId="123" fillId="17" borderId="0" xfId="0" applyFont="1" applyFill="1" applyAlignment="1">
      <alignment horizontal="center" vertical="center"/>
    </xf>
    <xf numFmtId="0" fontId="123" fillId="17" borderId="0" xfId="0" applyFont="1" applyFill="1" applyAlignment="1">
      <alignment horizontal="center" vertical="center" wrapText="1"/>
    </xf>
    <xf numFmtId="0" fontId="123" fillId="16" borderId="0" xfId="0" applyFont="1" applyFill="1" applyAlignment="1">
      <alignment horizontal="center" vertical="center" wrapText="1"/>
    </xf>
    <xf numFmtId="0" fontId="123" fillId="16" borderId="0" xfId="0" applyFont="1" applyFill="1" applyAlignment="1">
      <alignment horizontal="center" vertical="center"/>
    </xf>
    <xf numFmtId="3" fontId="123" fillId="0" borderId="0" xfId="0" applyNumberFormat="1" applyFont="1" applyAlignment="1">
      <alignment horizontal="center" vertical="center"/>
    </xf>
    <xf numFmtId="180" fontId="123" fillId="0" borderId="0" xfId="0" applyNumberFormat="1" applyFont="1" applyAlignment="1">
      <alignment horizontal="center" vertical="center"/>
    </xf>
    <xf numFmtId="10" fontId="123" fillId="0" borderId="0" xfId="0" applyNumberFormat="1" applyFont="1" applyAlignment="1">
      <alignment horizontal="center" vertical="center"/>
    </xf>
    <xf numFmtId="3" fontId="123" fillId="0" borderId="0" xfId="0" applyNumberFormat="1" applyFont="1" applyAlignment="1">
      <alignment horizontal="right" vertical="center"/>
    </xf>
    <xf numFmtId="10" fontId="123" fillId="0" borderId="0" xfId="0" applyNumberFormat="1" applyFont="1">
      <alignment vertical="center"/>
    </xf>
    <xf numFmtId="38" fontId="123" fillId="0" borderId="0" xfId="2" applyNumberFormat="1" applyFont="1" applyFill="1" applyBorder="1" applyAlignment="1" applyProtection="1">
      <alignment vertical="center"/>
    </xf>
    <xf numFmtId="0" fontId="123" fillId="0" borderId="6" xfId="0" applyFont="1" applyBorder="1">
      <alignment vertical="center"/>
    </xf>
    <xf numFmtId="38" fontId="123" fillId="0" borderId="6" xfId="0" applyNumberFormat="1" applyFont="1" applyBorder="1">
      <alignment vertical="center"/>
    </xf>
    <xf numFmtId="186" fontId="120" fillId="0" borderId="0" xfId="2" applyNumberFormat="1" applyFont="1">
      <alignment vertical="center"/>
    </xf>
    <xf numFmtId="9" fontId="120" fillId="0" borderId="0" xfId="3" applyFont="1">
      <alignment vertical="center"/>
    </xf>
    <xf numFmtId="180" fontId="120" fillId="0" borderId="0" xfId="0" applyNumberFormat="1" applyFont="1" applyAlignment="1">
      <alignment horizontal="right"/>
    </xf>
    <xf numFmtId="10" fontId="120" fillId="0" borderId="0" xfId="0" applyNumberFormat="1" applyFont="1" applyAlignment="1">
      <alignment horizontal="right"/>
    </xf>
    <xf numFmtId="186" fontId="120" fillId="0" borderId="0" xfId="0" applyNumberFormat="1" applyFont="1" applyAlignment="1">
      <alignment horizontal="right"/>
    </xf>
    <xf numFmtId="38" fontId="117" fillId="0" borderId="0" xfId="6" applyNumberFormat="1" applyFont="1" applyAlignment="1">
      <alignment horizontal="right"/>
    </xf>
    <xf numFmtId="38" fontId="117" fillId="0" borderId="0" xfId="6" applyNumberFormat="1" applyFont="1" applyAlignment="1">
      <alignment horizontal="right" vertical="center"/>
    </xf>
    <xf numFmtId="38" fontId="120" fillId="0" borderId="11" xfId="0" quotePrefix="1" applyNumberFormat="1" applyFont="1" applyBorder="1" applyAlignment="1">
      <alignment horizontal="center" vertical="center"/>
    </xf>
    <xf numFmtId="186" fontId="120" fillId="0" borderId="11" xfId="0" applyNumberFormat="1" applyFont="1" applyBorder="1" applyAlignment="1">
      <alignment horizontal="center" vertical="center"/>
    </xf>
    <xf numFmtId="186" fontId="120" fillId="0" borderId="11" xfId="2" applyNumberFormat="1" applyFont="1" applyFill="1" applyBorder="1">
      <alignment vertical="center"/>
    </xf>
    <xf numFmtId="9" fontId="120" fillId="0" borderId="11" xfId="3" applyFont="1" applyFill="1" applyBorder="1">
      <alignment vertical="center"/>
    </xf>
    <xf numFmtId="10" fontId="120" fillId="0" borderId="11" xfId="0" applyNumberFormat="1" applyFont="1" applyBorder="1" applyAlignment="1">
      <alignment horizontal="center" vertical="center"/>
    </xf>
    <xf numFmtId="38" fontId="117" fillId="0" borderId="11" xfId="0" applyNumberFormat="1" applyFont="1" applyBorder="1" applyAlignment="1">
      <alignment horizontal="center" vertical="center"/>
    </xf>
    <xf numFmtId="186" fontId="120" fillId="0" borderId="11" xfId="0" quotePrefix="1" applyNumberFormat="1" applyFont="1" applyBorder="1" applyAlignment="1">
      <alignment horizontal="right" vertical="center"/>
    </xf>
    <xf numFmtId="186" fontId="120" fillId="0" borderId="11" xfId="2" quotePrefix="1" applyNumberFormat="1" applyFont="1" applyBorder="1">
      <alignment vertical="center"/>
    </xf>
    <xf numFmtId="9" fontId="120" fillId="0" borderId="11" xfId="3" quotePrefix="1" applyFont="1" applyBorder="1">
      <alignment vertical="center"/>
    </xf>
    <xf numFmtId="10" fontId="120" fillId="0" borderId="11" xfId="0" quotePrefix="1" applyNumberFormat="1" applyFont="1" applyBorder="1" applyAlignment="1">
      <alignment horizontal="right" vertical="center"/>
    </xf>
    <xf numFmtId="186" fontId="120" fillId="0" borderId="0" xfId="3" applyNumberFormat="1" applyFont="1">
      <alignment vertical="center"/>
    </xf>
    <xf numFmtId="186" fontId="120" fillId="0" borderId="0" xfId="2" applyNumberFormat="1" applyFont="1" applyBorder="1">
      <alignment vertical="center"/>
    </xf>
    <xf numFmtId="186" fontId="118" fillId="0" borderId="0" xfId="2" applyNumberFormat="1" applyFont="1">
      <alignment vertical="center"/>
    </xf>
    <xf numFmtId="38" fontId="117" fillId="0" borderId="0" xfId="0" applyNumberFormat="1" applyFont="1" applyAlignment="1">
      <alignment horizontal="right"/>
    </xf>
    <xf numFmtId="186" fontId="118" fillId="0" borderId="0" xfId="0" applyNumberFormat="1" applyFont="1" applyAlignment="1"/>
    <xf numFmtId="0" fontId="118" fillId="8" borderId="0" xfId="0" applyFont="1" applyFill="1" applyAlignment="1">
      <alignment horizontal="left" indent="2"/>
    </xf>
    <xf numFmtId="0" fontId="120" fillId="8" borderId="0" xfId="0" applyFont="1" applyFill="1" applyAlignment="1"/>
    <xf numFmtId="38" fontId="118" fillId="8" borderId="0" xfId="0" applyNumberFormat="1" applyFont="1" applyFill="1" applyAlignment="1"/>
    <xf numFmtId="10" fontId="118" fillId="8" borderId="0" xfId="0" applyNumberFormat="1" applyFont="1" applyFill="1" applyAlignment="1"/>
    <xf numFmtId="38" fontId="120" fillId="8" borderId="0" xfId="0" applyNumberFormat="1" applyFont="1" applyFill="1" applyAlignment="1"/>
    <xf numFmtId="186" fontId="120" fillId="8" borderId="0" xfId="2" applyNumberFormat="1" applyFont="1" applyFill="1" applyBorder="1">
      <alignment vertical="center"/>
    </xf>
    <xf numFmtId="186" fontId="120" fillId="8" borderId="0" xfId="0" applyNumberFormat="1" applyFont="1" applyFill="1" applyAlignment="1"/>
    <xf numFmtId="186" fontId="118" fillId="8" borderId="0" xfId="0" applyNumberFormat="1" applyFont="1" applyFill="1" applyAlignment="1"/>
    <xf numFmtId="186" fontId="118" fillId="8" borderId="0" xfId="2" applyNumberFormat="1" applyFont="1" applyFill="1">
      <alignment vertical="center"/>
    </xf>
    <xf numFmtId="186" fontId="120" fillId="8" borderId="0" xfId="3" applyNumberFormat="1" applyFont="1" applyFill="1">
      <alignment vertical="center"/>
    </xf>
    <xf numFmtId="186" fontId="120" fillId="8" borderId="0" xfId="0" applyNumberFormat="1" applyFont="1" applyFill="1" applyAlignment="1">
      <alignment horizontal="right"/>
    </xf>
    <xf numFmtId="10" fontId="120" fillId="8" borderId="0" xfId="0" applyNumberFormat="1" applyFont="1" applyFill="1" applyAlignment="1">
      <alignment horizontal="right"/>
    </xf>
    <xf numFmtId="0" fontId="118" fillId="0" borderId="0" xfId="0" applyFont="1" applyAlignment="1">
      <alignment horizontal="left" indent="2"/>
    </xf>
    <xf numFmtId="10" fontId="118" fillId="0" borderId="0" xfId="0" applyNumberFormat="1" applyFont="1" applyAlignment="1"/>
    <xf numFmtId="10" fontId="120" fillId="0" borderId="0" xfId="0" applyNumberFormat="1" applyFont="1" applyAlignment="1"/>
    <xf numFmtId="186" fontId="120" fillId="0" borderId="0" xfId="2" applyNumberFormat="1" applyFont="1" applyFill="1" applyBorder="1">
      <alignment vertical="center"/>
    </xf>
    <xf numFmtId="186" fontId="118" fillId="0" borderId="0" xfId="2" applyNumberFormat="1" applyFont="1" applyFill="1">
      <alignment vertical="center"/>
    </xf>
    <xf numFmtId="186" fontId="120" fillId="0" borderId="0" xfId="3" applyNumberFormat="1" applyFont="1" applyFill="1">
      <alignment vertical="center"/>
    </xf>
    <xf numFmtId="186" fontId="124" fillId="0" borderId="0" xfId="0" applyNumberFormat="1" applyFont="1" applyAlignment="1">
      <alignment horizontal="right"/>
    </xf>
    <xf numFmtId="0" fontId="118" fillId="8" borderId="0" xfId="0" applyFont="1" applyFill="1" applyAlignment="1"/>
    <xf numFmtId="10" fontId="118" fillId="0" borderId="0" xfId="0" applyNumberFormat="1" applyFont="1" applyAlignment="1">
      <alignment horizontal="right"/>
    </xf>
    <xf numFmtId="0" fontId="118" fillId="15" borderId="0" xfId="0" applyFont="1" applyFill="1" applyAlignment="1"/>
    <xf numFmtId="0" fontId="120" fillId="15" borderId="0" xfId="0" applyFont="1" applyFill="1" applyAlignment="1"/>
    <xf numFmtId="38" fontId="120" fillId="15" borderId="0" xfId="0" applyNumberFormat="1" applyFont="1" applyFill="1" applyAlignment="1"/>
    <xf numFmtId="10" fontId="118" fillId="15" borderId="0" xfId="0" applyNumberFormat="1" applyFont="1" applyFill="1" applyAlignment="1"/>
    <xf numFmtId="186" fontId="120" fillId="15" borderId="0" xfId="2" applyNumberFormat="1" applyFont="1" applyFill="1" applyBorder="1">
      <alignment vertical="center"/>
    </xf>
    <xf numFmtId="9" fontId="118" fillId="15" borderId="0" xfId="0" applyNumberFormat="1" applyFont="1" applyFill="1" applyAlignment="1"/>
    <xf numFmtId="9" fontId="120" fillId="15" borderId="0" xfId="0" applyNumberFormat="1" applyFont="1" applyFill="1" applyAlignment="1"/>
    <xf numFmtId="186" fontId="118" fillId="15" borderId="0" xfId="2" applyNumberFormat="1" applyFont="1" applyFill="1">
      <alignment vertical="center"/>
    </xf>
    <xf numFmtId="186" fontId="120" fillId="15" borderId="0" xfId="0" applyNumberFormat="1" applyFont="1" applyFill="1" applyAlignment="1"/>
    <xf numFmtId="186" fontId="120" fillId="15" borderId="0" xfId="3" applyNumberFormat="1" applyFont="1" applyFill="1">
      <alignment vertical="center"/>
    </xf>
    <xf numFmtId="10" fontId="120" fillId="15" borderId="0" xfId="0" applyNumberFormat="1" applyFont="1" applyFill="1" applyAlignment="1">
      <alignment horizontal="right"/>
    </xf>
    <xf numFmtId="186" fontId="120" fillId="15" borderId="0" xfId="0" applyNumberFormat="1" applyFont="1" applyFill="1" applyAlignment="1">
      <alignment horizontal="right"/>
    </xf>
    <xf numFmtId="0" fontId="118" fillId="11" borderId="0" xfId="0" applyFont="1" applyFill="1" applyAlignment="1"/>
    <xf numFmtId="0" fontId="120" fillId="11" borderId="0" xfId="0" applyFont="1" applyFill="1" applyAlignment="1"/>
    <xf numFmtId="38" fontId="118" fillId="11" borderId="0" xfId="0" applyNumberFormat="1" applyFont="1" applyFill="1" applyAlignment="1"/>
    <xf numFmtId="10" fontId="118" fillId="11" borderId="0" xfId="0" applyNumberFormat="1" applyFont="1" applyFill="1" applyAlignment="1"/>
    <xf numFmtId="186" fontId="118" fillId="11" borderId="0" xfId="2" applyNumberFormat="1" applyFont="1" applyFill="1">
      <alignment vertical="center"/>
    </xf>
    <xf numFmtId="9" fontId="118" fillId="11" borderId="0" xfId="0" applyNumberFormat="1" applyFont="1" applyFill="1" applyAlignment="1"/>
    <xf numFmtId="10" fontId="120" fillId="11" borderId="0" xfId="0" applyNumberFormat="1" applyFont="1" applyFill="1" applyAlignment="1"/>
    <xf numFmtId="186" fontId="120" fillId="11" borderId="0" xfId="0" applyNumberFormat="1" applyFont="1" applyFill="1" applyAlignment="1"/>
    <xf numFmtId="186" fontId="120" fillId="11" borderId="0" xfId="3" applyNumberFormat="1" applyFont="1" applyFill="1">
      <alignment vertical="center"/>
    </xf>
    <xf numFmtId="186" fontId="120" fillId="11" borderId="0" xfId="0" applyNumberFormat="1" applyFont="1" applyFill="1" applyAlignment="1">
      <alignment horizontal="right"/>
    </xf>
    <xf numFmtId="10" fontId="120" fillId="11" borderId="0" xfId="0" applyNumberFormat="1" applyFont="1" applyFill="1" applyAlignment="1">
      <alignment horizontal="right"/>
    </xf>
    <xf numFmtId="38" fontId="120" fillId="11" borderId="0" xfId="0" applyNumberFormat="1" applyFont="1" applyFill="1" applyAlignment="1"/>
    <xf numFmtId="0" fontId="125" fillId="15" borderId="0" xfId="0" applyFont="1" applyFill="1" applyAlignment="1"/>
    <xf numFmtId="38" fontId="118" fillId="15" borderId="0" xfId="0" applyNumberFormat="1" applyFont="1" applyFill="1" applyAlignment="1"/>
    <xf numFmtId="185" fontId="118" fillId="15" borderId="0" xfId="0" applyNumberFormat="1" applyFont="1" applyFill="1" applyAlignment="1"/>
    <xf numFmtId="185" fontId="120" fillId="15" borderId="0" xfId="2" applyNumberFormat="1" applyFont="1" applyFill="1" applyBorder="1">
      <alignment vertical="center"/>
    </xf>
    <xf numFmtId="185" fontId="120" fillId="0" borderId="0" xfId="2" applyNumberFormat="1" applyFont="1" applyBorder="1">
      <alignment vertical="center"/>
    </xf>
    <xf numFmtId="185" fontId="120" fillId="0" borderId="0" xfId="0" applyNumberFormat="1" applyFont="1" applyAlignment="1"/>
    <xf numFmtId="185" fontId="120" fillId="0" borderId="3" xfId="2" applyNumberFormat="1" applyFont="1" applyBorder="1">
      <alignment vertical="center"/>
    </xf>
    <xf numFmtId="186" fontId="118" fillId="0" borderId="3" xfId="2" applyNumberFormat="1" applyFont="1" applyBorder="1">
      <alignment vertical="center"/>
    </xf>
    <xf numFmtId="186" fontId="120" fillId="0" borderId="3" xfId="0" applyNumberFormat="1" applyFont="1" applyBorder="1" applyAlignment="1"/>
    <xf numFmtId="186" fontId="120" fillId="0" borderId="3" xfId="3" applyNumberFormat="1" applyFont="1" applyBorder="1">
      <alignment vertical="center"/>
    </xf>
    <xf numFmtId="186" fontId="120" fillId="0" borderId="3" xfId="0" applyNumberFormat="1" applyFont="1" applyBorder="1" applyAlignment="1">
      <alignment horizontal="right"/>
    </xf>
    <xf numFmtId="10" fontId="120" fillId="0" borderId="3" xfId="0" applyNumberFormat="1" applyFont="1" applyBorder="1" applyAlignment="1">
      <alignment horizontal="right"/>
    </xf>
    <xf numFmtId="38" fontId="120" fillId="0" borderId="3" xfId="0" applyNumberFormat="1" applyFont="1" applyBorder="1" applyAlignment="1"/>
    <xf numFmtId="38" fontId="117" fillId="0" borderId="3" xfId="6" applyNumberFormat="1" applyFont="1" applyBorder="1" applyAlignment="1">
      <alignment horizontal="right"/>
    </xf>
    <xf numFmtId="38" fontId="121" fillId="0" borderId="0" xfId="0" applyNumberFormat="1" applyFont="1" applyAlignment="1"/>
    <xf numFmtId="186" fontId="121" fillId="0" borderId="0" xfId="0" applyNumberFormat="1" applyFont="1" applyAlignment="1"/>
    <xf numFmtId="186" fontId="121" fillId="0" borderId="0" xfId="2" applyNumberFormat="1" applyFont="1" applyBorder="1">
      <alignment vertical="center"/>
    </xf>
    <xf numFmtId="186" fontId="121" fillId="0" borderId="0" xfId="2" applyNumberFormat="1" applyFont="1">
      <alignment vertical="center"/>
    </xf>
    <xf numFmtId="10" fontId="121" fillId="0" borderId="0" xfId="0" applyNumberFormat="1" applyFont="1" applyAlignment="1">
      <alignment horizontal="right"/>
    </xf>
    <xf numFmtId="186" fontId="121" fillId="0" borderId="0" xfId="0" applyNumberFormat="1" applyFont="1" applyAlignment="1">
      <alignment horizontal="right"/>
    </xf>
    <xf numFmtId="38" fontId="126" fillId="0" borderId="0" xfId="0" applyNumberFormat="1" applyFont="1" applyAlignment="1">
      <alignment horizontal="right"/>
    </xf>
    <xf numFmtId="180" fontId="121" fillId="0" borderId="0" xfId="0" applyNumberFormat="1" applyFont="1" applyAlignment="1">
      <alignment horizontal="right"/>
    </xf>
    <xf numFmtId="40" fontId="120" fillId="15" borderId="0" xfId="0" applyNumberFormat="1" applyFont="1" applyFill="1" applyAlignment="1">
      <alignment horizontal="right"/>
    </xf>
    <xf numFmtId="40" fontId="120" fillId="0" borderId="3" xfId="0" applyNumberFormat="1" applyFont="1" applyBorder="1" applyAlignment="1">
      <alignment horizontal="right"/>
    </xf>
    <xf numFmtId="40" fontId="120" fillId="0" borderId="0" xfId="0" applyNumberFormat="1" applyFont="1" applyAlignment="1"/>
    <xf numFmtId="186" fontId="118" fillId="15" borderId="0" xfId="0" applyNumberFormat="1" applyFont="1" applyFill="1" applyAlignment="1">
      <alignment horizontal="right"/>
    </xf>
    <xf numFmtId="40" fontId="120" fillId="0" borderId="0" xfId="0" applyNumberFormat="1" applyFont="1" applyAlignment="1">
      <alignment horizontal="right"/>
    </xf>
    <xf numFmtId="186" fontId="144" fillId="0" borderId="0" xfId="0" applyNumberFormat="1" applyFont="1" applyAlignment="1">
      <alignment horizontal="right"/>
    </xf>
    <xf numFmtId="186" fontId="144" fillId="0" borderId="0" xfId="0" applyNumberFormat="1" applyFont="1" applyAlignment="1"/>
    <xf numFmtId="0" fontId="146" fillId="0" borderId="0" xfId="0" applyFont="1">
      <alignment vertical="center"/>
    </xf>
    <xf numFmtId="186" fontId="123" fillId="0" borderId="0" xfId="0" applyNumberFormat="1" applyFont="1" applyAlignment="1">
      <alignment vertical="center" wrapText="1"/>
    </xf>
    <xf numFmtId="40" fontId="115" fillId="0" borderId="23" xfId="0" applyNumberFormat="1" applyFont="1" applyBorder="1">
      <alignment vertical="center"/>
    </xf>
    <xf numFmtId="190" fontId="123" fillId="11" borderId="12" xfId="0" applyNumberFormat="1" applyFont="1" applyFill="1" applyBorder="1" applyAlignment="1">
      <alignment horizontal="center"/>
    </xf>
    <xf numFmtId="180" fontId="123" fillId="11" borderId="13" xfId="0" applyNumberFormat="1" applyFont="1" applyFill="1" applyBorder="1" applyAlignment="1">
      <alignment horizontal="center"/>
    </xf>
    <xf numFmtId="180" fontId="136" fillId="21" borderId="13" xfId="0" applyNumberFormat="1" applyFont="1" applyFill="1" applyBorder="1" applyAlignment="1">
      <alignment horizontal="center"/>
    </xf>
    <xf numFmtId="186" fontId="123" fillId="0" borderId="0" xfId="0" applyNumberFormat="1" applyFont="1" applyAlignment="1"/>
    <xf numFmtId="40" fontId="136" fillId="21" borderId="0" xfId="0" applyNumberFormat="1" applyFont="1" applyFill="1">
      <alignment vertical="center"/>
    </xf>
    <xf numFmtId="180" fontId="119" fillId="11" borderId="13" xfId="12" applyNumberFormat="1" applyFont="1" applyFill="1" applyBorder="1" applyAlignment="1">
      <alignment horizontal="center" vertical="center"/>
    </xf>
    <xf numFmtId="38" fontId="136" fillId="21" borderId="0" xfId="0" applyNumberFormat="1" applyFont="1" applyFill="1">
      <alignment vertical="center"/>
    </xf>
    <xf numFmtId="181" fontId="119" fillId="11" borderId="13" xfId="12" applyNumberFormat="1" applyFont="1" applyFill="1" applyBorder="1" applyAlignment="1">
      <alignment horizontal="center" vertical="center"/>
    </xf>
    <xf numFmtId="181" fontId="119" fillId="11" borderId="13" xfId="12" applyNumberFormat="1" applyFont="1" applyFill="1" applyBorder="1" applyAlignment="1">
      <alignment horizontal="center" vertical="center" wrapText="1"/>
    </xf>
    <xf numFmtId="181" fontId="119" fillId="11" borderId="21" xfId="12" applyNumberFormat="1" applyFont="1" applyFill="1" applyBorder="1" applyAlignment="1">
      <alignment horizontal="center" vertical="center"/>
    </xf>
    <xf numFmtId="181" fontId="123" fillId="0" borderId="0" xfId="0" applyNumberFormat="1" applyFont="1" applyAlignment="1">
      <alignment horizontal="center"/>
    </xf>
    <xf numFmtId="37" fontId="115" fillId="21" borderId="0" xfId="0" applyNumberFormat="1" applyFont="1" applyFill="1">
      <alignment vertical="center"/>
    </xf>
    <xf numFmtId="40" fontId="119" fillId="0" borderId="0" xfId="0" applyNumberFormat="1" applyFont="1" applyAlignment="1">
      <alignment horizontal="right"/>
    </xf>
    <xf numFmtId="38" fontId="119" fillId="12" borderId="0" xfId="0" applyNumberFormat="1" applyFont="1" applyFill="1" applyAlignment="1"/>
    <xf numFmtId="0" fontId="119" fillId="0" borderId="0" xfId="0" applyFont="1" applyAlignment="1">
      <alignment horizontal="left"/>
    </xf>
    <xf numFmtId="40" fontId="119" fillId="0" borderId="27" xfId="0" applyNumberFormat="1" applyFont="1" applyBorder="1" applyAlignment="1">
      <alignment horizontal="right"/>
    </xf>
    <xf numFmtId="0" fontId="119" fillId="0" borderId="26" xfId="0" applyFont="1" applyBorder="1" applyAlignment="1"/>
    <xf numFmtId="40" fontId="119" fillId="0" borderId="26" xfId="0" applyNumberFormat="1" applyFont="1" applyBorder="1" applyAlignment="1"/>
    <xf numFmtId="38" fontId="119" fillId="0" borderId="26" xfId="0" applyNumberFormat="1" applyFont="1" applyBorder="1" applyAlignment="1"/>
    <xf numFmtId="0" fontId="119" fillId="0" borderId="25" xfId="0" applyFont="1" applyBorder="1" applyAlignment="1">
      <alignment horizontal="left"/>
    </xf>
    <xf numFmtId="0" fontId="119" fillId="0" borderId="3" xfId="0" applyFont="1" applyBorder="1" applyAlignment="1"/>
    <xf numFmtId="0" fontId="119" fillId="0" borderId="22" xfId="0" applyFont="1" applyBorder="1" applyAlignment="1">
      <alignment vertical="top" wrapText="1"/>
    </xf>
    <xf numFmtId="40" fontId="119" fillId="0" borderId="23" xfId="0" applyNumberFormat="1" applyFont="1" applyBorder="1" applyAlignment="1">
      <alignment horizontal="right"/>
    </xf>
    <xf numFmtId="10" fontId="123" fillId="0" borderId="23" xfId="3" applyNumberFormat="1" applyFont="1" applyBorder="1">
      <alignment vertical="center"/>
    </xf>
    <xf numFmtId="0" fontId="119" fillId="0" borderId="22" xfId="0" applyFont="1" applyBorder="1" applyAlignment="1">
      <alignment horizontal="left"/>
    </xf>
    <xf numFmtId="185" fontId="123" fillId="0" borderId="24" xfId="2" applyNumberFormat="1" applyFont="1" applyBorder="1">
      <alignment vertical="center"/>
    </xf>
    <xf numFmtId="10" fontId="123" fillId="0" borderId="29" xfId="3" applyNumberFormat="1" applyFont="1" applyBorder="1">
      <alignment vertical="center"/>
    </xf>
    <xf numFmtId="0" fontId="123" fillId="0" borderId="3" xfId="0" applyFont="1" applyBorder="1" applyAlignment="1">
      <alignment vertical="center" wrapText="1"/>
    </xf>
    <xf numFmtId="40" fontId="119" fillId="0" borderId="3" xfId="0" applyNumberFormat="1" applyFont="1" applyBorder="1">
      <alignment vertical="center"/>
    </xf>
    <xf numFmtId="38" fontId="119" fillId="0" borderId="3" xfId="0" applyNumberFormat="1" applyFont="1" applyBorder="1" applyAlignment="1">
      <alignment horizontal="right" vertical="center"/>
    </xf>
    <xf numFmtId="38" fontId="123" fillId="0" borderId="3" xfId="0" applyNumberFormat="1" applyFont="1" applyBorder="1">
      <alignment vertical="center"/>
    </xf>
    <xf numFmtId="0" fontId="123" fillId="0" borderId="28" xfId="0" applyFont="1" applyBorder="1" applyAlignment="1">
      <alignment horizontal="left" vertical="center"/>
    </xf>
    <xf numFmtId="181" fontId="119" fillId="0" borderId="0" xfId="0" applyNumberFormat="1" applyFont="1">
      <alignment vertical="center"/>
    </xf>
    <xf numFmtId="38" fontId="119" fillId="0" borderId="0" xfId="0" applyNumberFormat="1" applyFont="1" applyAlignment="1">
      <alignment vertical="center" wrapText="1"/>
    </xf>
    <xf numFmtId="0" fontId="146" fillId="0" borderId="22" xfId="0" applyFont="1" applyBorder="1">
      <alignment vertical="center"/>
    </xf>
    <xf numFmtId="181" fontId="119" fillId="0" borderId="0" xfId="0" applyNumberFormat="1" applyFont="1" applyAlignment="1"/>
    <xf numFmtId="181" fontId="119" fillId="11" borderId="0" xfId="12" applyNumberFormat="1" applyFont="1" applyFill="1" applyAlignment="1">
      <alignment horizontal="center" vertical="center"/>
    </xf>
    <xf numFmtId="181" fontId="134" fillId="11" borderId="0" xfId="1" applyNumberFormat="1" applyFont="1" applyFill="1" applyBorder="1" applyAlignment="1" applyProtection="1">
      <alignment horizontal="left" vertical="center"/>
    </xf>
    <xf numFmtId="181" fontId="119" fillId="14" borderId="13" xfId="12" applyNumberFormat="1" applyFont="1" applyFill="1" applyBorder="1" applyAlignment="1">
      <alignment horizontal="center" vertical="center" wrapText="1"/>
    </xf>
    <xf numFmtId="38" fontId="119" fillId="11" borderId="13" xfId="12" applyNumberFormat="1" applyFont="1" applyFill="1" applyBorder="1" applyAlignment="1">
      <alignment horizontal="center" vertical="center"/>
    </xf>
    <xf numFmtId="38" fontId="119" fillId="11" borderId="13" xfId="0" applyNumberFormat="1" applyFont="1" applyFill="1" applyBorder="1" applyAlignment="1">
      <alignment horizontal="center" vertical="center"/>
    </xf>
    <xf numFmtId="181" fontId="119" fillId="11" borderId="12" xfId="0" applyNumberFormat="1" applyFont="1" applyFill="1" applyBorder="1" applyAlignment="1">
      <alignment horizontal="left" vertical="center"/>
    </xf>
    <xf numFmtId="40" fontId="136" fillId="15" borderId="0" xfId="0" applyNumberFormat="1" applyFont="1" applyFill="1" applyAlignment="1"/>
    <xf numFmtId="38" fontId="136" fillId="15" borderId="6" xfId="0" applyNumberFormat="1" applyFont="1" applyFill="1" applyBorder="1" applyAlignment="1"/>
    <xf numFmtId="38" fontId="136" fillId="15" borderId="0" xfId="0" applyNumberFormat="1" applyFont="1" applyFill="1" applyAlignment="1"/>
    <xf numFmtId="40" fontId="123" fillId="0" borderId="30" xfId="0" applyNumberFormat="1" applyFont="1" applyBorder="1" applyAlignment="1"/>
    <xf numFmtId="0" fontId="123" fillId="0" borderId="1" xfId="0" applyFont="1" applyBorder="1" applyAlignment="1"/>
    <xf numFmtId="40" fontId="123" fillId="0" borderId="26" xfId="0" applyNumberFormat="1" applyFont="1" applyBorder="1" applyAlignment="1"/>
    <xf numFmtId="38" fontId="136" fillId="21" borderId="26" xfId="0" applyNumberFormat="1" applyFont="1" applyFill="1" applyBorder="1" applyAlignment="1"/>
    <xf numFmtId="38" fontId="123" fillId="0" borderId="26" xfId="0" applyNumberFormat="1" applyFont="1" applyBorder="1" applyAlignment="1"/>
    <xf numFmtId="0" fontId="123" fillId="0" borderId="25" xfId="0" applyFont="1" applyBorder="1" applyAlignment="1">
      <alignment horizontal="left"/>
    </xf>
    <xf numFmtId="40" fontId="123" fillId="0" borderId="23" xfId="0" applyNumberFormat="1" applyFont="1" applyBorder="1" applyAlignment="1"/>
    <xf numFmtId="0" fontId="123" fillId="0" borderId="22" xfId="0" applyFont="1" applyBorder="1" applyAlignment="1">
      <alignment horizontal="left"/>
    </xf>
    <xf numFmtId="10" fontId="123" fillId="0" borderId="23" xfId="0" applyNumberFormat="1" applyFont="1" applyBorder="1" applyAlignment="1"/>
    <xf numFmtId="40" fontId="123" fillId="0" borderId="0" xfId="0" applyNumberFormat="1" applyFont="1" applyAlignment="1"/>
    <xf numFmtId="38" fontId="136" fillId="21" borderId="0" xfId="0" applyNumberFormat="1" applyFont="1" applyFill="1" applyAlignment="1"/>
    <xf numFmtId="38" fontId="136" fillId="0" borderId="0" xfId="0" applyNumberFormat="1" applyFont="1" applyAlignment="1"/>
    <xf numFmtId="10" fontId="123" fillId="0" borderId="29" xfId="0" applyNumberFormat="1" applyFont="1" applyBorder="1">
      <alignment vertical="center"/>
    </xf>
    <xf numFmtId="0" fontId="123" fillId="0" borderId="3" xfId="0" applyFont="1" applyBorder="1">
      <alignment vertical="center"/>
    </xf>
    <xf numFmtId="40" fontId="123" fillId="0" borderId="3" xfId="0" applyNumberFormat="1" applyFont="1" applyBorder="1">
      <alignment vertical="center"/>
    </xf>
    <xf numFmtId="38" fontId="123" fillId="0" borderId="3" xfId="0" applyNumberFormat="1" applyFont="1" applyBorder="1" applyAlignment="1">
      <alignment horizontal="right" vertical="center"/>
    </xf>
    <xf numFmtId="40" fontId="136" fillId="0" borderId="3" xfId="0" applyNumberFormat="1" applyFont="1" applyBorder="1">
      <alignment vertical="center"/>
    </xf>
    <xf numFmtId="38" fontId="136" fillId="0" borderId="3" xfId="0" applyNumberFormat="1" applyFont="1" applyBorder="1">
      <alignment vertical="center"/>
    </xf>
    <xf numFmtId="37" fontId="115" fillId="0" borderId="3" xfId="0" applyNumberFormat="1" applyFont="1" applyBorder="1">
      <alignment vertical="center"/>
    </xf>
    <xf numFmtId="40" fontId="119" fillId="0" borderId="28" xfId="0" applyNumberFormat="1" applyFont="1" applyBorder="1">
      <alignment vertical="center"/>
    </xf>
    <xf numFmtId="0" fontId="119" fillId="0" borderId="0" xfId="18" applyFont="1" applyAlignment="1">
      <alignment vertical="center" wrapText="1"/>
    </xf>
    <xf numFmtId="0" fontId="120" fillId="0" borderId="8" xfId="0" applyFont="1" applyBorder="1" applyAlignment="1">
      <alignment horizontal="right"/>
    </xf>
    <xf numFmtId="0" fontId="145" fillId="0" borderId="0" xfId="0" applyFont="1">
      <alignment vertical="center"/>
    </xf>
    <xf numFmtId="181" fontId="145" fillId="0" borderId="0" xfId="0" applyNumberFormat="1" applyFont="1">
      <alignment vertical="center"/>
    </xf>
    <xf numFmtId="0" fontId="147" fillId="0" borderId="0" xfId="0" applyFont="1">
      <alignment vertical="center"/>
    </xf>
    <xf numFmtId="38" fontId="146" fillId="0" borderId="0" xfId="0" applyNumberFormat="1" applyFont="1">
      <alignment vertical="center"/>
    </xf>
    <xf numFmtId="181" fontId="147" fillId="0" borderId="0" xfId="0" applyNumberFormat="1" applyFont="1" applyAlignment="1">
      <alignment horizontal="center" vertical="center"/>
    </xf>
    <xf numFmtId="38" fontId="15" fillId="0" borderId="3" xfId="0" applyNumberFormat="1" applyFont="1" applyBorder="1" applyAlignment="1">
      <alignment horizontal="right"/>
    </xf>
    <xf numFmtId="38" fontId="15" fillId="0" borderId="3" xfId="2" applyNumberFormat="1" applyFont="1" applyBorder="1">
      <alignment vertical="center"/>
    </xf>
    <xf numFmtId="38" fontId="15" fillId="0" borderId="3" xfId="0" applyNumberFormat="1" applyFont="1" applyBorder="1" applyAlignment="1"/>
    <xf numFmtId="182" fontId="15" fillId="0" borderId="3" xfId="2" applyNumberFormat="1" applyFont="1" applyFill="1" applyBorder="1">
      <alignment vertical="center"/>
    </xf>
    <xf numFmtId="0" fontId="125" fillId="0" borderId="51" xfId="0" applyFont="1" applyBorder="1" applyAlignment="1"/>
    <xf numFmtId="0" fontId="118" fillId="0" borderId="51" xfId="0" applyFont="1" applyBorder="1" applyAlignment="1"/>
    <xf numFmtId="0" fontId="120" fillId="0" borderId="51" xfId="0" applyFont="1" applyBorder="1" applyAlignment="1"/>
    <xf numFmtId="38" fontId="118" fillId="0" borderId="51" xfId="0" applyNumberFormat="1" applyFont="1" applyBorder="1" applyAlignment="1"/>
    <xf numFmtId="38" fontId="120" fillId="0" borderId="51" xfId="0" applyNumberFormat="1" applyFont="1" applyBorder="1" applyAlignment="1"/>
    <xf numFmtId="9" fontId="120" fillId="0" borderId="51" xfId="0" applyNumberFormat="1" applyFont="1" applyBorder="1" applyAlignment="1"/>
    <xf numFmtId="9" fontId="118" fillId="0" borderId="51" xfId="0" applyNumberFormat="1" applyFont="1" applyBorder="1" applyAlignment="1"/>
    <xf numFmtId="186" fontId="118" fillId="0" borderId="51" xfId="2" applyNumberFormat="1" applyFont="1" applyBorder="1">
      <alignment vertical="center"/>
    </xf>
    <xf numFmtId="186" fontId="120" fillId="0" borderId="51" xfId="0" applyNumberFormat="1" applyFont="1" applyBorder="1" applyAlignment="1"/>
    <xf numFmtId="186" fontId="120" fillId="0" borderId="51" xfId="3" applyNumberFormat="1" applyFont="1" applyFill="1" applyBorder="1">
      <alignment vertical="center"/>
    </xf>
    <xf numFmtId="9" fontId="120" fillId="0" borderId="51" xfId="0" applyNumberFormat="1" applyFont="1" applyBorder="1" applyAlignment="1">
      <alignment horizontal="right"/>
    </xf>
    <xf numFmtId="10" fontId="120" fillId="0" borderId="51" xfId="0" applyNumberFormat="1" applyFont="1" applyBorder="1" applyAlignment="1">
      <alignment horizontal="right"/>
    </xf>
    <xf numFmtId="186" fontId="120" fillId="0" borderId="51" xfId="0" applyNumberFormat="1" applyFont="1" applyBorder="1" applyAlignment="1">
      <alignment horizontal="right"/>
    </xf>
    <xf numFmtId="38" fontId="117" fillId="0" borderId="51" xfId="6" applyNumberFormat="1" applyFont="1" applyBorder="1" applyAlignment="1">
      <alignment horizontal="right"/>
    </xf>
    <xf numFmtId="0" fontId="123" fillId="21" borderId="0" xfId="0" applyFont="1" applyFill="1">
      <alignment vertical="center"/>
    </xf>
    <xf numFmtId="0" fontId="115" fillId="21" borderId="0" xfId="0" applyFont="1" applyFill="1">
      <alignment vertical="center"/>
    </xf>
    <xf numFmtId="0" fontId="42" fillId="0" borderId="7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38" fontId="21" fillId="0" borderId="0" xfId="0" applyNumberFormat="1" applyFont="1">
      <alignment vertical="center"/>
    </xf>
    <xf numFmtId="0" fontId="21" fillId="15" borderId="3" xfId="0" applyFont="1" applyFill="1" applyBorder="1">
      <alignment vertical="center"/>
    </xf>
    <xf numFmtId="0" fontId="42" fillId="15" borderId="3" xfId="0" applyFont="1" applyFill="1" applyBorder="1">
      <alignment vertical="center"/>
    </xf>
    <xf numFmtId="38" fontId="21" fillId="0" borderId="3" xfId="0" applyNumberFormat="1" applyFont="1" applyBorder="1">
      <alignment vertical="center"/>
    </xf>
    <xf numFmtId="10" fontId="42" fillId="0" borderId="3" xfId="0" applyNumberFormat="1" applyFont="1" applyBorder="1">
      <alignment vertical="center"/>
    </xf>
    <xf numFmtId="14" fontId="57" fillId="0" borderId="0" xfId="0" applyNumberFormat="1" applyFont="1">
      <alignment vertical="center"/>
    </xf>
    <xf numFmtId="0" fontId="21" fillId="16" borderId="7" xfId="0" applyFont="1" applyFill="1" applyBorder="1">
      <alignment vertical="center"/>
    </xf>
    <xf numFmtId="0" fontId="42" fillId="16" borderId="7" xfId="0" applyFont="1" applyFill="1" applyBorder="1">
      <alignment vertical="center"/>
    </xf>
    <xf numFmtId="181" fontId="21" fillId="16" borderId="7" xfId="0" applyNumberFormat="1" applyFont="1" applyFill="1" applyBorder="1">
      <alignment vertical="center"/>
    </xf>
    <xf numFmtId="40" fontId="21" fillId="16" borderId="7" xfId="0" applyNumberFormat="1" applyFont="1" applyFill="1" applyBorder="1">
      <alignment vertical="center"/>
    </xf>
    <xf numFmtId="181" fontId="42" fillId="16" borderId="7" xfId="0" applyNumberFormat="1" applyFont="1" applyFill="1" applyBorder="1">
      <alignment vertical="center"/>
    </xf>
    <xf numFmtId="10" fontId="42" fillId="16" borderId="7" xfId="0" applyNumberFormat="1" applyFont="1" applyFill="1" applyBorder="1">
      <alignment vertical="center"/>
    </xf>
    <xf numFmtId="0" fontId="65" fillId="0" borderId="0" xfId="1" applyFont="1" applyAlignment="1" applyProtection="1">
      <alignment vertical="center"/>
    </xf>
    <xf numFmtId="40" fontId="57" fillId="0" borderId="0" xfId="0" applyNumberFormat="1" applyFont="1">
      <alignment vertical="center"/>
    </xf>
    <xf numFmtId="0" fontId="21" fillId="0" borderId="3" xfId="0" applyFont="1" applyBorder="1">
      <alignment vertical="center"/>
    </xf>
    <xf numFmtId="0" fontId="42" fillId="0" borderId="3" xfId="0" applyFont="1" applyBorder="1">
      <alignment vertical="center"/>
    </xf>
    <xf numFmtId="0" fontId="21" fillId="0" borderId="5" xfId="0" applyFont="1" applyBorder="1">
      <alignment vertical="center"/>
    </xf>
    <xf numFmtId="0" fontId="42" fillId="0" borderId="5" xfId="0" applyFont="1" applyBorder="1">
      <alignment vertical="center"/>
    </xf>
    <xf numFmtId="38" fontId="21" fillId="0" borderId="5" xfId="0" applyNumberFormat="1" applyFont="1" applyBorder="1">
      <alignment vertical="center"/>
    </xf>
    <xf numFmtId="38" fontId="42" fillId="0" borderId="5" xfId="0" applyNumberFormat="1" applyFont="1" applyBorder="1">
      <alignment vertical="center"/>
    </xf>
    <xf numFmtId="10" fontId="42" fillId="0" borderId="5" xfId="0" applyNumberFormat="1" applyFont="1" applyBorder="1">
      <alignment vertical="center"/>
    </xf>
    <xf numFmtId="10" fontId="21" fillId="0" borderId="0" xfId="0" applyNumberFormat="1" applyFont="1">
      <alignment vertical="center"/>
    </xf>
    <xf numFmtId="10" fontId="21" fillId="0" borderId="3" xfId="0" applyNumberFormat="1" applyFont="1" applyBorder="1">
      <alignment vertical="center"/>
    </xf>
    <xf numFmtId="10" fontId="21" fillId="0" borderId="5" xfId="0" applyNumberFormat="1" applyFont="1" applyBorder="1">
      <alignment vertical="center"/>
    </xf>
    <xf numFmtId="0" fontId="21" fillId="0" borderId="6" xfId="0" applyFont="1" applyBorder="1">
      <alignment vertical="center"/>
    </xf>
    <xf numFmtId="0" fontId="42" fillId="0" borderId="6" xfId="0" applyFont="1" applyBorder="1">
      <alignment vertical="center"/>
    </xf>
    <xf numFmtId="38" fontId="21" fillId="0" borderId="6" xfId="0" applyNumberFormat="1" applyFont="1" applyBorder="1">
      <alignment vertical="center"/>
    </xf>
    <xf numFmtId="38" fontId="42" fillId="0" borderId="6" xfId="0" applyNumberFormat="1" applyFont="1" applyBorder="1">
      <alignment vertical="center"/>
    </xf>
    <xf numFmtId="10" fontId="21" fillId="0" borderId="6" xfId="0" applyNumberFormat="1" applyFont="1" applyBorder="1">
      <alignment vertical="center"/>
    </xf>
    <xf numFmtId="38" fontId="57" fillId="0" borderId="0" xfId="0" applyNumberFormat="1" applyFont="1">
      <alignment vertical="center"/>
    </xf>
    <xf numFmtId="10" fontId="66" fillId="0" borderId="6" xfId="0" applyNumberFormat="1" applyFont="1" applyBorder="1">
      <alignment vertical="center"/>
    </xf>
    <xf numFmtId="180" fontId="67" fillId="0" borderId="0" xfId="0" applyNumberFormat="1" applyFont="1">
      <alignment vertical="center"/>
    </xf>
    <xf numFmtId="180" fontId="57" fillId="0" borderId="0" xfId="0" applyNumberFormat="1" applyFont="1">
      <alignment vertical="center"/>
    </xf>
    <xf numFmtId="10" fontId="57" fillId="0" borderId="0" xfId="0" applyNumberFormat="1" applyFont="1">
      <alignment vertical="center"/>
    </xf>
    <xf numFmtId="185" fontId="118" fillId="0" borderId="0" xfId="0" applyNumberFormat="1" applyFont="1" applyAlignment="1"/>
    <xf numFmtId="40" fontId="118" fillId="0" borderId="3" xfId="3" applyNumberFormat="1" applyFont="1" applyBorder="1" applyAlignment="1"/>
    <xf numFmtId="40" fontId="118" fillId="0" borderId="51" xfId="3" applyNumberFormat="1" applyFont="1" applyBorder="1" applyAlignment="1"/>
    <xf numFmtId="40" fontId="120" fillId="15" borderId="0" xfId="0" applyNumberFormat="1" applyFont="1" applyFill="1" applyAlignment="1"/>
    <xf numFmtId="40" fontId="120" fillId="0" borderId="3" xfId="0" applyNumberFormat="1" applyFont="1" applyBorder="1" applyAlignment="1"/>
    <xf numFmtId="40" fontId="120" fillId="0" borderId="51" xfId="0" applyNumberFormat="1" applyFont="1" applyBorder="1" applyAlignment="1"/>
    <xf numFmtId="179" fontId="123" fillId="0" borderId="0" xfId="2" applyFont="1" applyFill="1" applyBorder="1" applyAlignment="1" applyProtection="1">
      <alignment horizontal="right" vertical="center"/>
    </xf>
    <xf numFmtId="40" fontId="123" fillId="0" borderId="0" xfId="2" applyNumberFormat="1" applyFont="1" applyFill="1" applyBorder="1" applyAlignment="1" applyProtection="1">
      <alignment horizontal="right" vertical="center"/>
    </xf>
    <xf numFmtId="40" fontId="123" fillId="0" borderId="0" xfId="2" applyNumberFormat="1" applyFont="1" applyAlignment="1">
      <alignment horizontal="right" vertical="center"/>
    </xf>
    <xf numFmtId="9" fontId="123" fillId="0" borderId="6" xfId="0" applyNumberFormat="1" applyFont="1" applyBorder="1" applyAlignment="1">
      <alignment horizontal="right" vertical="center"/>
    </xf>
    <xf numFmtId="40" fontId="123" fillId="0" borderId="0" xfId="0" applyNumberFormat="1" applyFont="1" applyAlignment="1">
      <alignment horizontal="right" vertical="center"/>
    </xf>
    <xf numFmtId="40" fontId="123" fillId="0" borderId="0" xfId="2" applyNumberFormat="1" applyFont="1" applyFill="1" applyAlignment="1">
      <alignment vertical="center"/>
    </xf>
    <xf numFmtId="9" fontId="123" fillId="0" borderId="6" xfId="0" applyNumberFormat="1" applyFont="1" applyBorder="1">
      <alignment vertical="center"/>
    </xf>
    <xf numFmtId="0" fontId="123" fillId="0" borderId="0" xfId="0" quotePrefix="1" applyFont="1">
      <alignment vertical="center"/>
    </xf>
    <xf numFmtId="38" fontId="123" fillId="5" borderId="0" xfId="0" applyNumberFormat="1" applyFont="1" applyFill="1">
      <alignment vertical="center"/>
    </xf>
    <xf numFmtId="0" fontId="41" fillId="0" borderId="0" xfId="0" applyFont="1" applyAlignment="1">
      <alignment horizontal="center" vertical="center"/>
    </xf>
    <xf numFmtId="14" fontId="41" fillId="0" borderId="0" xfId="0" applyNumberFormat="1" applyFont="1">
      <alignment vertical="center"/>
    </xf>
    <xf numFmtId="188" fontId="15" fillId="12" borderId="0" xfId="0" applyNumberFormat="1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2" borderId="0" xfId="0" applyFont="1" applyFill="1">
      <alignment vertical="center"/>
    </xf>
    <xf numFmtId="0" fontId="55" fillId="12" borderId="0" xfId="0" applyFont="1" applyFill="1">
      <alignment vertical="center"/>
    </xf>
    <xf numFmtId="0" fontId="10" fillId="12" borderId="1" xfId="0" applyFont="1" applyFill="1" applyBorder="1" applyAlignment="1">
      <alignment horizontal="center" vertical="center"/>
    </xf>
    <xf numFmtId="178" fontId="15" fillId="0" borderId="0" xfId="9" applyNumberFormat="1" applyFont="1" applyFill="1" applyAlignment="1">
      <alignment vertical="center"/>
    </xf>
    <xf numFmtId="178" fontId="15" fillId="0" borderId="0" xfId="9" applyNumberFormat="1" applyFont="1" applyFill="1">
      <alignment vertical="center"/>
    </xf>
    <xf numFmtId="38" fontId="15" fillId="0" borderId="0" xfId="9" applyNumberFormat="1" applyFont="1" applyFill="1" applyBorder="1" applyAlignment="1" applyProtection="1">
      <alignment vertical="center"/>
    </xf>
    <xf numFmtId="187" fontId="15" fillId="0" borderId="0" xfId="9" applyNumberFormat="1" applyFont="1" applyFill="1">
      <alignment vertical="center"/>
    </xf>
    <xf numFmtId="38" fontId="15" fillId="0" borderId="6" xfId="9" applyNumberFormat="1" applyFont="1" applyFill="1" applyBorder="1" applyAlignment="1">
      <alignment vertical="center"/>
    </xf>
    <xf numFmtId="38" fontId="15" fillId="0" borderId="6" xfId="9" applyNumberFormat="1" applyFont="1" applyFill="1" applyBorder="1">
      <alignment vertical="center"/>
    </xf>
    <xf numFmtId="0" fontId="15" fillId="0" borderId="0" xfId="0" applyFont="1">
      <alignment vertical="center"/>
    </xf>
    <xf numFmtId="38" fontId="10" fillId="0" borderId="0" xfId="0" applyNumberFormat="1" applyFont="1" applyAlignment="1">
      <alignment horizontal="left"/>
    </xf>
    <xf numFmtId="38" fontId="15" fillId="0" borderId="40" xfId="0" applyNumberFormat="1" applyFont="1" applyBorder="1" applyAlignment="1">
      <alignment horizontal="right"/>
    </xf>
    <xf numFmtId="38" fontId="15" fillId="0" borderId="51" xfId="0" applyNumberFormat="1" applyFont="1" applyBorder="1" applyAlignment="1">
      <alignment horizontal="right"/>
    </xf>
    <xf numFmtId="9" fontId="15" fillId="0" borderId="0" xfId="10" applyFont="1" applyAlignment="1">
      <alignment vertical="center"/>
    </xf>
    <xf numFmtId="9" fontId="15" fillId="0" borderId="0" xfId="10" applyFont="1">
      <alignment vertical="center"/>
    </xf>
    <xf numFmtId="9" fontId="15" fillId="0" borderId="0" xfId="10" applyFont="1" applyFill="1">
      <alignment vertical="center"/>
    </xf>
    <xf numFmtId="187" fontId="15" fillId="6" borderId="0" xfId="9" applyNumberFormat="1" applyFont="1" applyFill="1" applyAlignment="1">
      <alignment vertical="center"/>
    </xf>
    <xf numFmtId="187" fontId="15" fillId="0" borderId="0" xfId="0" applyNumberFormat="1" applyFont="1">
      <alignment vertical="center"/>
    </xf>
    <xf numFmtId="0" fontId="15" fillId="0" borderId="0" xfId="0" applyFont="1" applyAlignment="1">
      <alignment horizontal="center" vertical="center"/>
    </xf>
    <xf numFmtId="0" fontId="150" fillId="0" borderId="0" xfId="0" applyFont="1" applyAlignment="1">
      <alignment horizontal="left" vertical="center" wrapText="1"/>
    </xf>
    <xf numFmtId="186" fontId="148" fillId="0" borderId="0" xfId="0" applyNumberFormat="1" applyFont="1" applyAlignment="1">
      <alignment horizontal="right" vertical="center"/>
    </xf>
    <xf numFmtId="0" fontId="130" fillId="0" borderId="0" xfId="0" applyFont="1" applyAlignment="1">
      <alignment vertical="center" wrapText="1"/>
    </xf>
    <xf numFmtId="0" fontId="119" fillId="0" borderId="0" xfId="8" applyFont="1" applyAlignment="1">
      <alignment horizontal="center" vertical="center"/>
    </xf>
    <xf numFmtId="0" fontId="121" fillId="0" borderId="10" xfId="0" applyFont="1" applyBorder="1" applyAlignment="1">
      <alignment horizontal="right" vertical="center"/>
    </xf>
    <xf numFmtId="0" fontId="119" fillId="0" borderId="0" xfId="8" applyFont="1">
      <alignment vertical="center"/>
    </xf>
    <xf numFmtId="181" fontId="151" fillId="0" borderId="0" xfId="0" applyNumberFormat="1" applyFont="1" applyAlignment="1">
      <alignment horizontal="center" vertical="center"/>
    </xf>
    <xf numFmtId="38" fontId="119" fillId="0" borderId="0" xfId="4004" applyNumberFormat="1" applyFont="1" applyAlignment="1">
      <alignment horizontal="right" vertical="center"/>
    </xf>
    <xf numFmtId="0" fontId="148" fillId="0" borderId="0" xfId="0" applyFont="1" applyAlignment="1">
      <alignment horizontal="right" vertical="center"/>
    </xf>
    <xf numFmtId="181" fontId="121" fillId="0" borderId="10" xfId="0" applyNumberFormat="1" applyFont="1" applyBorder="1" applyAlignment="1">
      <alignment horizontal="right" vertical="center"/>
    </xf>
    <xf numFmtId="187" fontId="119" fillId="0" borderId="0" xfId="2" applyNumberFormat="1" applyFont="1" applyAlignment="1">
      <alignment horizontal="right" vertical="center"/>
    </xf>
    <xf numFmtId="181" fontId="137" fillId="0" borderId="0" xfId="0" applyNumberFormat="1" applyFont="1" applyAlignment="1">
      <alignment horizontal="right" vertical="center"/>
    </xf>
    <xf numFmtId="10" fontId="151" fillId="0" borderId="6" xfId="0" applyNumberFormat="1" applyFont="1" applyBorder="1" applyAlignment="1">
      <alignment horizontal="right" vertical="center"/>
    </xf>
    <xf numFmtId="0" fontId="129" fillId="0" borderId="9" xfId="8" applyFont="1" applyBorder="1" applyAlignment="1">
      <alignment horizontal="left" vertical="center"/>
    </xf>
    <xf numFmtId="181" fontId="131" fillId="0" borderId="0" xfId="0" applyNumberFormat="1" applyFont="1" applyAlignment="1">
      <alignment horizontal="center" vertical="center"/>
    </xf>
    <xf numFmtId="0" fontId="151" fillId="0" borderId="0" xfId="0" applyFont="1" applyAlignment="1">
      <alignment horizontal="left" vertical="center"/>
    </xf>
    <xf numFmtId="0" fontId="149" fillId="0" borderId="0" xfId="0" applyFont="1">
      <alignment vertical="center"/>
    </xf>
    <xf numFmtId="180" fontId="151" fillId="0" borderId="0" xfId="0" applyNumberFormat="1" applyFont="1" applyAlignment="1">
      <alignment horizontal="left" vertical="center"/>
    </xf>
    <xf numFmtId="0" fontId="151" fillId="0" borderId="0" xfId="0" applyFont="1">
      <alignment vertical="center"/>
    </xf>
    <xf numFmtId="0" fontId="150" fillId="0" borderId="0" xfId="0" applyFont="1" applyAlignment="1">
      <alignment vertical="center" wrapText="1"/>
    </xf>
    <xf numFmtId="0" fontId="119" fillId="0" borderId="9" xfId="4004" applyFont="1" applyBorder="1" applyAlignment="1">
      <alignment horizontal="left" vertical="center"/>
    </xf>
    <xf numFmtId="184" fontId="137" fillId="0" borderId="0" xfId="0" applyNumberFormat="1" applyFont="1" applyAlignment="1">
      <alignment horizontal="right" vertical="center"/>
    </xf>
    <xf numFmtId="10" fontId="151" fillId="0" borderId="0" xfId="0" applyNumberFormat="1" applyFont="1" applyAlignment="1">
      <alignment horizontal="right" vertical="center"/>
    </xf>
    <xf numFmtId="38" fontId="148" fillId="0" borderId="0" xfId="0" applyNumberFormat="1" applyFont="1" applyAlignment="1">
      <alignment horizontal="right" vertical="center"/>
    </xf>
    <xf numFmtId="184" fontId="121" fillId="0" borderId="10" xfId="0" applyNumberFormat="1" applyFont="1" applyBorder="1" applyAlignment="1">
      <alignment horizontal="right" vertical="center"/>
    </xf>
    <xf numFmtId="180" fontId="121" fillId="0" borderId="10" xfId="0" applyNumberFormat="1" applyFont="1" applyBorder="1" applyAlignment="1">
      <alignment horizontal="right" vertical="center"/>
    </xf>
    <xf numFmtId="0" fontId="153" fillId="0" borderId="0" xfId="1" applyFont="1" applyFill="1" applyAlignment="1" applyProtection="1">
      <alignment horizontal="left" vertical="center"/>
    </xf>
    <xf numFmtId="181" fontId="151" fillId="0" borderId="0" xfId="0" applyNumberFormat="1" applyFont="1" applyAlignment="1">
      <alignment horizontal="center" vertical="center" wrapText="1"/>
    </xf>
    <xf numFmtId="0" fontId="150" fillId="0" borderId="0" xfId="0" applyFont="1">
      <alignment vertical="center"/>
    </xf>
    <xf numFmtId="0" fontId="148" fillId="0" borderId="0" xfId="0" applyFont="1" applyAlignment="1">
      <alignment horizontal="left" vertical="center"/>
    </xf>
    <xf numFmtId="181" fontId="137" fillId="0" borderId="0" xfId="0" applyNumberFormat="1" applyFont="1" applyAlignment="1">
      <alignment horizontal="left" vertical="center"/>
    </xf>
    <xf numFmtId="0" fontId="130" fillId="0" borderId="3" xfId="0" applyFont="1" applyBorder="1">
      <alignment vertical="center"/>
    </xf>
    <xf numFmtId="0" fontId="130" fillId="14" borderId="0" xfId="0" applyFont="1" applyFill="1">
      <alignment vertical="center"/>
    </xf>
    <xf numFmtId="181" fontId="121" fillId="0" borderId="10" xfId="0" applyNumberFormat="1" applyFont="1" applyBorder="1" applyAlignment="1">
      <alignment horizontal="right" vertical="center" wrapText="1"/>
    </xf>
    <xf numFmtId="38" fontId="151" fillId="0" borderId="0" xfId="0" applyNumberFormat="1" applyFont="1">
      <alignment vertical="center"/>
    </xf>
    <xf numFmtId="38" fontId="131" fillId="0" borderId="0" xfId="0" applyNumberFormat="1" applyFont="1">
      <alignment vertical="center"/>
    </xf>
    <xf numFmtId="180" fontId="119" fillId="0" borderId="0" xfId="2" applyNumberFormat="1" applyFont="1" applyAlignment="1">
      <alignment vertical="center"/>
    </xf>
    <xf numFmtId="0" fontId="121" fillId="0" borderId="10" xfId="0" applyFont="1" applyBorder="1" applyAlignment="1">
      <alignment horizontal="left" vertical="center"/>
    </xf>
    <xf numFmtId="38" fontId="119" fillId="0" borderId="0" xfId="1710" applyNumberFormat="1" applyFont="1" applyAlignment="1">
      <alignment horizontal="right" vertical="center"/>
    </xf>
    <xf numFmtId="0" fontId="156" fillId="0" borderId="0" xfId="0" applyFont="1">
      <alignment vertical="center"/>
    </xf>
    <xf numFmtId="181" fontId="156" fillId="0" borderId="0" xfId="0" applyNumberFormat="1" applyFont="1">
      <alignment vertical="center"/>
    </xf>
    <xf numFmtId="183" fontId="156" fillId="0" borderId="0" xfId="0" applyNumberFormat="1" applyFont="1">
      <alignment vertical="center"/>
    </xf>
    <xf numFmtId="0" fontId="157" fillId="0" borderId="0" xfId="0" applyFont="1">
      <alignment vertical="center"/>
    </xf>
    <xf numFmtId="181" fontId="157" fillId="0" borderId="0" xfId="0" applyNumberFormat="1" applyFont="1">
      <alignment vertical="center"/>
    </xf>
    <xf numFmtId="0" fontId="158" fillId="0" borderId="0" xfId="0" applyFont="1">
      <alignment vertical="center"/>
    </xf>
    <xf numFmtId="181" fontId="158" fillId="0" borderId="0" xfId="0" applyNumberFormat="1" applyFont="1">
      <alignment vertical="center"/>
    </xf>
    <xf numFmtId="183" fontId="158" fillId="0" borderId="0" xfId="0" applyNumberFormat="1" applyFont="1">
      <alignment vertical="center"/>
    </xf>
    <xf numFmtId="181" fontId="0" fillId="0" borderId="0" xfId="0" applyNumberFormat="1">
      <alignment vertical="center"/>
    </xf>
    <xf numFmtId="183" fontId="0" fillId="0" borderId="0" xfId="0" applyNumberFormat="1">
      <alignment vertical="center"/>
    </xf>
    <xf numFmtId="40" fontId="29" fillId="0" borderId="0" xfId="0" applyNumberFormat="1" applyFont="1">
      <alignment vertical="center"/>
    </xf>
    <xf numFmtId="40" fontId="120" fillId="0" borderId="51" xfId="2" applyNumberFormat="1" applyFont="1" applyFill="1" applyBorder="1">
      <alignment vertical="center"/>
    </xf>
    <xf numFmtId="38" fontId="115" fillId="21" borderId="0" xfId="0" applyNumberFormat="1" applyFont="1" applyFill="1">
      <alignment vertical="center"/>
    </xf>
    <xf numFmtId="0" fontId="147" fillId="0" borderId="0" xfId="0" applyFont="1" applyAlignment="1">
      <alignment horizontal="center" vertical="center"/>
    </xf>
    <xf numFmtId="0" fontId="115" fillId="0" borderId="22" xfId="0" applyFont="1" applyBorder="1">
      <alignment vertical="center"/>
    </xf>
    <xf numFmtId="49" fontId="143" fillId="0" borderId="0" xfId="0" applyNumberFormat="1" applyFont="1">
      <alignment vertical="center"/>
    </xf>
    <xf numFmtId="17" fontId="123" fillId="0" borderId="11" xfId="0" quotePrefix="1" applyNumberFormat="1" applyFont="1" applyBorder="1" applyAlignment="1">
      <alignment horizontal="center" vertical="center"/>
    </xf>
    <xf numFmtId="0" fontId="123" fillId="0" borderId="11" xfId="0" applyFont="1" applyBorder="1" applyAlignment="1">
      <alignment horizontal="center" vertical="center"/>
    </xf>
    <xf numFmtId="38" fontId="123" fillId="0" borderId="11" xfId="0" applyNumberFormat="1" applyFont="1" applyBorder="1" applyAlignment="1">
      <alignment horizontal="center" vertical="center"/>
    </xf>
    <xf numFmtId="0" fontId="115" fillId="0" borderId="7" xfId="0" applyFont="1" applyBorder="1" applyAlignment="1">
      <alignment horizontal="center" vertical="center" wrapText="1"/>
    </xf>
    <xf numFmtId="187" fontId="123" fillId="0" borderId="0" xfId="2" applyNumberFormat="1" applyFont="1" applyFill="1" applyAlignment="1">
      <alignment horizontal="center" vertical="center"/>
    </xf>
    <xf numFmtId="38" fontId="123" fillId="0" borderId="11" xfId="0" quotePrefix="1" applyNumberFormat="1" applyFont="1" applyBorder="1" applyAlignment="1">
      <alignment horizontal="right" vertical="center"/>
    </xf>
    <xf numFmtId="38" fontId="123" fillId="0" borderId="7" xfId="0" quotePrefix="1" applyNumberFormat="1" applyFont="1" applyBorder="1">
      <alignment vertical="center"/>
    </xf>
    <xf numFmtId="187" fontId="123" fillId="0" borderId="0" xfId="2" applyNumberFormat="1" applyFont="1" applyFill="1" applyAlignment="1">
      <alignment vertical="center"/>
    </xf>
    <xf numFmtId="49" fontId="123" fillId="0" borderId="0" xfId="0" applyNumberFormat="1" applyFont="1">
      <alignment vertical="center"/>
    </xf>
    <xf numFmtId="38" fontId="119" fillId="0" borderId="0" xfId="0" applyNumberFormat="1" applyFont="1">
      <alignment vertical="center"/>
    </xf>
    <xf numFmtId="3" fontId="115" fillId="0" borderId="0" xfId="0" applyNumberFormat="1" applyFont="1" applyAlignment="1">
      <alignment horizontal="left" vertical="center" wrapText="1"/>
    </xf>
    <xf numFmtId="181" fontId="115" fillId="0" borderId="0" xfId="0" applyNumberFormat="1" applyFont="1" applyAlignment="1">
      <alignment vertical="center" wrapText="1"/>
    </xf>
    <xf numFmtId="3" fontId="119" fillId="0" borderId="0" xfId="0" applyNumberFormat="1" applyFont="1" applyAlignment="1">
      <alignment horizontal="left" vertical="center" wrapText="1"/>
    </xf>
    <xf numFmtId="0" fontId="119" fillId="0" borderId="0" xfId="19" applyFont="1" applyAlignment="1">
      <alignment horizontal="left" vertical="center" wrapText="1"/>
    </xf>
    <xf numFmtId="0" fontId="119" fillId="0" borderId="0" xfId="20" applyFont="1" applyAlignment="1">
      <alignment horizontal="left" vertical="center" wrapText="1"/>
    </xf>
    <xf numFmtId="0" fontId="119" fillId="0" borderId="0" xfId="22" applyFont="1" applyAlignment="1">
      <alignment horizontal="left" vertical="center" wrapText="1"/>
    </xf>
    <xf numFmtId="0" fontId="119" fillId="0" borderId="0" xfId="23" applyFont="1" applyAlignment="1">
      <alignment horizontal="left" vertical="center" wrapText="1"/>
    </xf>
    <xf numFmtId="0" fontId="119" fillId="0" borderId="0" xfId="24" applyFont="1" applyAlignment="1">
      <alignment vertical="center" wrapText="1"/>
    </xf>
    <xf numFmtId="185" fontId="123" fillId="0" borderId="0" xfId="0" applyNumberFormat="1" applyFont="1">
      <alignment vertical="center"/>
    </xf>
    <xf numFmtId="0" fontId="119" fillId="0" borderId="0" xfId="25" applyFont="1" applyAlignment="1">
      <alignment horizontal="left" vertical="center" wrapText="1"/>
    </xf>
    <xf numFmtId="187" fontId="123" fillId="0" borderId="0" xfId="2" applyNumberFormat="1" applyFont="1" applyFill="1" applyAlignment="1">
      <alignment horizontal="right" vertical="center"/>
    </xf>
    <xf numFmtId="38" fontId="123" fillId="0" borderId="6" xfId="0" applyNumberFormat="1" applyFont="1" applyBorder="1" applyAlignment="1">
      <alignment horizontal="right" vertical="center"/>
    </xf>
    <xf numFmtId="38" fontId="123" fillId="0" borderId="0" xfId="2" applyNumberFormat="1" applyFont="1" applyFill="1" applyAlignment="1">
      <alignment horizontal="center" vertical="center"/>
    </xf>
    <xf numFmtId="0" fontId="119" fillId="0" borderId="0" xfId="20" applyFont="1" applyAlignment="1">
      <alignment horizontal="center" vertical="center" wrapText="1"/>
    </xf>
    <xf numFmtId="38" fontId="123" fillId="0" borderId="0" xfId="0" applyNumberFormat="1" applyFont="1" applyAlignment="1">
      <alignment horizontal="center" vertical="center"/>
    </xf>
    <xf numFmtId="3" fontId="115" fillId="0" borderId="0" xfId="0" applyNumberFormat="1" applyFont="1" applyAlignment="1">
      <alignment horizontal="left" vertical="center"/>
    </xf>
    <xf numFmtId="0" fontId="115" fillId="0" borderId="0" xfId="0" applyFont="1" applyAlignment="1">
      <alignment horizontal="left" vertical="center"/>
    </xf>
    <xf numFmtId="0" fontId="115" fillId="0" borderId="0" xfId="0" applyFont="1" applyAlignment="1">
      <alignment horizontal="center" vertical="center"/>
    </xf>
    <xf numFmtId="0" fontId="143" fillId="0" borderId="0" xfId="0" applyFont="1" applyAlignment="1">
      <alignment horizontal="left" vertical="center"/>
    </xf>
    <xf numFmtId="180" fontId="123" fillId="0" borderId="11" xfId="0" applyNumberFormat="1" applyFont="1" applyBorder="1" applyAlignment="1">
      <alignment horizontal="center" vertical="center"/>
    </xf>
    <xf numFmtId="0" fontId="119" fillId="0" borderId="0" xfId="17" applyFont="1" applyAlignment="1">
      <alignment vertical="center" wrapText="1"/>
    </xf>
    <xf numFmtId="0" fontId="115" fillId="0" borderId="0" xfId="0" applyFont="1" applyAlignment="1">
      <alignment horizontal="left" vertical="center" wrapText="1"/>
    </xf>
    <xf numFmtId="10" fontId="115" fillId="0" borderId="0" xfId="0" applyNumberFormat="1" applyFont="1" applyAlignment="1">
      <alignment horizontal="left" vertical="center" wrapText="1"/>
    </xf>
    <xf numFmtId="180" fontId="123" fillId="0" borderId="0" xfId="0" applyNumberFormat="1" applyFont="1" applyAlignment="1">
      <alignment horizontal="right" vertical="center"/>
    </xf>
    <xf numFmtId="0" fontId="115" fillId="0" borderId="0" xfId="0" applyFont="1" applyAlignment="1">
      <alignment horizontal="center" vertical="center" wrapText="1"/>
    </xf>
    <xf numFmtId="37" fontId="143" fillId="0" borderId="0" xfId="0" applyNumberFormat="1" applyFont="1" applyAlignment="1">
      <alignment horizontal="left" vertical="center"/>
    </xf>
    <xf numFmtId="37" fontId="123" fillId="0" borderId="11" xfId="0" quotePrefix="1" applyNumberFormat="1" applyFont="1" applyBorder="1" applyAlignment="1">
      <alignment horizontal="center" vertical="center"/>
    </xf>
    <xf numFmtId="0" fontId="119" fillId="0" borderId="7" xfId="0" applyFont="1" applyBorder="1" applyAlignment="1">
      <alignment horizontal="center" vertical="center" wrapText="1"/>
    </xf>
    <xf numFmtId="38" fontId="123" fillId="0" borderId="0" xfId="2" applyNumberFormat="1" applyFont="1" applyFill="1" applyBorder="1" applyAlignment="1">
      <alignment vertical="center"/>
    </xf>
    <xf numFmtId="38" fontId="123" fillId="0" borderId="7" xfId="0" applyNumberFormat="1" applyFont="1" applyBorder="1" applyAlignment="1">
      <alignment horizontal="right" vertical="center"/>
    </xf>
    <xf numFmtId="38" fontId="123" fillId="0" borderId="7" xfId="0" quotePrefix="1" applyNumberFormat="1" applyFont="1" applyBorder="1" applyAlignment="1">
      <alignment horizontal="right" vertical="center"/>
    </xf>
    <xf numFmtId="0" fontId="123" fillId="0" borderId="7" xfId="0" applyFont="1" applyBorder="1" applyAlignment="1">
      <alignment horizontal="center" vertical="center"/>
    </xf>
    <xf numFmtId="180" fontId="119" fillId="0" borderId="0" xfId="0" applyNumberFormat="1" applyFont="1">
      <alignment vertical="center"/>
    </xf>
    <xf numFmtId="0" fontId="119" fillId="0" borderId="0" xfId="15" applyFont="1" applyAlignment="1">
      <alignment horizontal="left" vertical="center" wrapText="1"/>
    </xf>
    <xf numFmtId="3" fontId="123" fillId="0" borderId="0" xfId="0" applyNumberFormat="1" applyFont="1" applyAlignment="1">
      <alignment horizontal="left" vertical="center" wrapText="1"/>
    </xf>
    <xf numFmtId="37" fontId="123" fillId="0" borderId="0" xfId="0" applyNumberFormat="1" applyFont="1" applyAlignment="1">
      <alignment horizontal="center" vertical="center"/>
    </xf>
    <xf numFmtId="0" fontId="119" fillId="0" borderId="0" xfId="0" applyFont="1" applyAlignment="1">
      <alignment horizontal="center" vertical="center" wrapText="1"/>
    </xf>
    <xf numFmtId="4" fontId="119" fillId="0" borderId="0" xfId="16" applyNumberFormat="1" applyFont="1" applyAlignment="1">
      <alignment horizontal="right" vertical="center"/>
    </xf>
    <xf numFmtId="0" fontId="119" fillId="0" borderId="0" xfId="16" applyFont="1" applyAlignment="1">
      <alignment horizontal="left" vertical="center"/>
    </xf>
    <xf numFmtId="37" fontId="135" fillId="0" borderId="0" xfId="0" applyNumberFormat="1" applyFont="1">
      <alignment vertical="center"/>
    </xf>
    <xf numFmtId="0" fontId="119" fillId="0" borderId="0" xfId="16" applyFont="1" applyAlignment="1">
      <alignment horizontal="right" vertical="center"/>
    </xf>
    <xf numFmtId="179" fontId="133" fillId="0" borderId="0" xfId="2" applyFont="1" applyAlignment="1">
      <alignment vertical="center"/>
    </xf>
    <xf numFmtId="179" fontId="130" fillId="0" borderId="0" xfId="2" applyFont="1" applyAlignment="1">
      <alignment vertical="center"/>
    </xf>
    <xf numFmtId="40" fontId="15" fillId="5" borderId="6" xfId="2" applyNumberFormat="1" applyFont="1" applyFill="1" applyBorder="1" applyAlignment="1">
      <alignment horizontal="right"/>
    </xf>
    <xf numFmtId="40" fontId="15" fillId="5" borderId="7" xfId="2" applyNumberFormat="1" applyFont="1" applyFill="1" applyBorder="1" applyAlignment="1">
      <alignment horizontal="right"/>
    </xf>
    <xf numFmtId="0" fontId="128" fillId="0" borderId="0" xfId="0" applyFont="1">
      <alignment vertical="center"/>
    </xf>
    <xf numFmtId="183" fontId="115" fillId="0" borderId="0" xfId="0" applyNumberFormat="1" applyFont="1">
      <alignment vertical="center"/>
    </xf>
    <xf numFmtId="0" fontId="119" fillId="0" borderId="0" xfId="0" applyFont="1" applyAlignment="1">
      <alignment horizontal="right" vertical="center"/>
    </xf>
    <xf numFmtId="0" fontId="159" fillId="0" borderId="0" xfId="0" applyFont="1">
      <alignment vertical="center"/>
    </xf>
    <xf numFmtId="38" fontId="121" fillId="0" borderId="10" xfId="0" applyNumberFormat="1" applyFont="1" applyBorder="1" applyAlignment="1">
      <alignment horizontal="right" vertical="center"/>
    </xf>
    <xf numFmtId="0" fontId="160" fillId="0" borderId="14" xfId="0" applyFont="1" applyBorder="1" applyAlignment="1">
      <alignment horizontal="center" vertical="center"/>
    </xf>
    <xf numFmtId="0" fontId="160" fillId="0" borderId="15" xfId="0" applyFont="1" applyBorder="1" applyAlignment="1">
      <alignment horizontal="center" vertical="center"/>
    </xf>
    <xf numFmtId="0" fontId="160" fillId="0" borderId="15" xfId="0" applyFont="1" applyBorder="1" applyAlignment="1">
      <alignment horizontal="right" vertical="center"/>
    </xf>
    <xf numFmtId="0" fontId="161" fillId="20" borderId="0" xfId="0" applyFont="1" applyFill="1" applyAlignment="1">
      <alignment horizontal="left" vertical="center"/>
    </xf>
    <xf numFmtId="0" fontId="162" fillId="0" borderId="9" xfId="0" applyFont="1" applyBorder="1" applyAlignment="1">
      <alignment horizontal="left" vertical="center"/>
    </xf>
    <xf numFmtId="38" fontId="162" fillId="0" borderId="0" xfId="0" applyNumberFormat="1" applyFont="1" applyAlignment="1">
      <alignment horizontal="right" vertical="center"/>
    </xf>
    <xf numFmtId="186" fontId="162" fillId="0" borderId="17" xfId="0" applyNumberFormat="1" applyFont="1" applyBorder="1" applyAlignment="1">
      <alignment horizontal="right" vertical="center"/>
    </xf>
    <xf numFmtId="0" fontId="163" fillId="0" borderId="16" xfId="0" applyFont="1" applyBorder="1" applyAlignment="1">
      <alignment horizontal="left" vertical="center"/>
    </xf>
    <xf numFmtId="0" fontId="163" fillId="0" borderId="0" xfId="0" applyFont="1" applyAlignment="1">
      <alignment horizontal="left" vertical="center"/>
    </xf>
    <xf numFmtId="38" fontId="163" fillId="0" borderId="0" xfId="0" applyNumberFormat="1" applyFont="1" applyAlignment="1">
      <alignment horizontal="right" vertical="center"/>
    </xf>
    <xf numFmtId="186" fontId="163" fillId="0" borderId="0" xfId="0" applyNumberFormat="1" applyFont="1" applyAlignment="1">
      <alignment horizontal="right" vertical="center"/>
    </xf>
    <xf numFmtId="0" fontId="161" fillId="20" borderId="16" xfId="0" applyFont="1" applyFill="1" applyBorder="1" applyAlignment="1">
      <alignment horizontal="left" vertical="center"/>
    </xf>
    <xf numFmtId="38" fontId="161" fillId="20" borderId="0" xfId="0" applyNumberFormat="1" applyFont="1" applyFill="1" applyAlignment="1">
      <alignment horizontal="right" vertical="center"/>
    </xf>
    <xf numFmtId="186" fontId="161" fillId="20" borderId="0" xfId="0" applyNumberFormat="1" applyFont="1" applyFill="1" applyAlignment="1">
      <alignment horizontal="right" vertical="center"/>
    </xf>
    <xf numFmtId="0" fontId="164" fillId="0" borderId="18" xfId="0" applyFont="1" applyBorder="1" applyAlignment="1">
      <alignment horizontal="left" vertical="center"/>
    </xf>
    <xf numFmtId="0" fontId="164" fillId="0" borderId="19" xfId="0" applyFont="1" applyBorder="1" applyAlignment="1">
      <alignment horizontal="right" vertical="center"/>
    </xf>
    <xf numFmtId="38" fontId="164" fillId="0" borderId="19" xfId="0" applyNumberFormat="1" applyFont="1" applyBorder="1" applyAlignment="1">
      <alignment horizontal="right" vertical="center"/>
    </xf>
    <xf numFmtId="186" fontId="164" fillId="0" borderId="20" xfId="0" applyNumberFormat="1" applyFont="1" applyBorder="1" applyAlignment="1">
      <alignment horizontal="right" vertical="center"/>
    </xf>
    <xf numFmtId="38" fontId="123" fillId="5" borderId="0" xfId="0" quotePrefix="1" applyNumberFormat="1" applyFont="1" applyFill="1">
      <alignment vertical="center"/>
    </xf>
    <xf numFmtId="0" fontId="167" fillId="0" borderId="9" xfId="0" applyFont="1" applyBorder="1" applyAlignment="1">
      <alignment horizontal="left" vertical="center"/>
    </xf>
    <xf numFmtId="0" fontId="169" fillId="0" borderId="0" xfId="0" applyFont="1">
      <alignment vertical="center"/>
    </xf>
    <xf numFmtId="0" fontId="170" fillId="0" borderId="0" xfId="0" applyFont="1">
      <alignment vertical="center"/>
    </xf>
    <xf numFmtId="181" fontId="170" fillId="0" borderId="0" xfId="0" applyNumberFormat="1" applyFont="1">
      <alignment vertical="center"/>
    </xf>
    <xf numFmtId="183" fontId="170" fillId="0" borderId="0" xfId="0" applyNumberFormat="1" applyFont="1">
      <alignment vertical="center"/>
    </xf>
    <xf numFmtId="0" fontId="174" fillId="0" borderId="0" xfId="0" applyFont="1">
      <alignment vertical="center"/>
    </xf>
    <xf numFmtId="0" fontId="175" fillId="0" borderId="0" xfId="0" applyFont="1">
      <alignment vertical="center"/>
    </xf>
    <xf numFmtId="0" fontId="176" fillId="0" borderId="0" xfId="0" applyFont="1">
      <alignment vertical="center"/>
    </xf>
    <xf numFmtId="180" fontId="176" fillId="0" borderId="0" xfId="0" applyNumberFormat="1" applyFont="1">
      <alignment vertical="center"/>
    </xf>
    <xf numFmtId="10" fontId="176" fillId="0" borderId="0" xfId="0" applyNumberFormat="1" applyFont="1">
      <alignment vertical="center"/>
    </xf>
    <xf numFmtId="0" fontId="177" fillId="0" borderId="0" xfId="13" applyFont="1" applyAlignment="1">
      <alignment horizontal="left" vertical="center"/>
    </xf>
    <xf numFmtId="0" fontId="179" fillId="0" borderId="0" xfId="0" applyFont="1">
      <alignment vertical="center"/>
    </xf>
    <xf numFmtId="181" fontId="179" fillId="0" borderId="0" xfId="0" applyNumberFormat="1" applyFont="1">
      <alignment vertical="center"/>
    </xf>
    <xf numFmtId="181" fontId="174" fillId="0" borderId="0" xfId="0" applyNumberFormat="1" applyFont="1" applyAlignment="1">
      <alignment horizontal="right" vertical="center"/>
    </xf>
    <xf numFmtId="187" fontId="15" fillId="0" borderId="6" xfId="0" applyNumberFormat="1" applyFont="1" applyBorder="1">
      <alignment vertical="center"/>
    </xf>
    <xf numFmtId="0" fontId="165" fillId="0" borderId="52" xfId="0" applyFont="1" applyBorder="1">
      <alignment vertical="center"/>
    </xf>
    <xf numFmtId="0" fontId="165" fillId="0" borderId="2" xfId="0" applyFont="1" applyBorder="1">
      <alignment vertical="center"/>
    </xf>
    <xf numFmtId="0" fontId="165" fillId="0" borderId="2" xfId="0" applyFont="1" applyBorder="1" applyAlignment="1">
      <alignment horizontal="right" vertical="center"/>
    </xf>
    <xf numFmtId="0" fontId="165" fillId="0" borderId="53" xfId="0" applyFont="1" applyBorder="1" applyAlignment="1">
      <alignment horizontal="right" vertical="center"/>
    </xf>
    <xf numFmtId="0" fontId="166" fillId="20" borderId="22" xfId="0" applyFont="1" applyFill="1" applyBorder="1" applyAlignment="1">
      <alignment horizontal="left" vertical="center"/>
    </xf>
    <xf numFmtId="0" fontId="166" fillId="20" borderId="0" xfId="0" applyFont="1" applyFill="1" applyAlignment="1">
      <alignment horizontal="left" vertical="center"/>
    </xf>
    <xf numFmtId="38" fontId="166" fillId="20" borderId="0" xfId="0" applyNumberFormat="1" applyFont="1" applyFill="1" applyAlignment="1">
      <alignment horizontal="right" vertical="center"/>
    </xf>
    <xf numFmtId="10" fontId="166" fillId="20" borderId="23" xfId="0" applyNumberFormat="1" applyFont="1" applyFill="1" applyBorder="1" applyAlignment="1">
      <alignment horizontal="right" vertical="center"/>
    </xf>
    <xf numFmtId="0" fontId="168" fillId="0" borderId="22" xfId="0" applyFont="1" applyBorder="1" applyAlignment="1">
      <alignment horizontal="left" vertical="center"/>
    </xf>
    <xf numFmtId="38" fontId="167" fillId="0" borderId="0" xfId="0" applyNumberFormat="1" applyFont="1" applyAlignment="1">
      <alignment horizontal="right" vertical="center"/>
    </xf>
    <xf numFmtId="10" fontId="167" fillId="0" borderId="23" xfId="0" applyNumberFormat="1" applyFont="1" applyBorder="1" applyAlignment="1">
      <alignment horizontal="right" vertical="center"/>
    </xf>
    <xf numFmtId="0" fontId="168" fillId="0" borderId="0" xfId="0" applyFont="1" applyAlignment="1">
      <alignment horizontal="left" vertical="center"/>
    </xf>
    <xf numFmtId="38" fontId="168" fillId="0" borderId="0" xfId="0" applyNumberFormat="1" applyFont="1" applyAlignment="1">
      <alignment horizontal="right" vertical="center"/>
    </xf>
    <xf numFmtId="10" fontId="168" fillId="0" borderId="23" xfId="0" applyNumberFormat="1" applyFont="1" applyBorder="1" applyAlignment="1">
      <alignment horizontal="right" vertical="center"/>
    </xf>
    <xf numFmtId="0" fontId="166" fillId="79" borderId="22" xfId="0" applyFont="1" applyFill="1" applyBorder="1" applyAlignment="1">
      <alignment horizontal="left" vertical="center"/>
    </xf>
    <xf numFmtId="0" fontId="178" fillId="0" borderId="54" xfId="0" applyFont="1" applyBorder="1" applyAlignment="1">
      <alignment horizontal="left" vertical="center"/>
    </xf>
    <xf numFmtId="0" fontId="178" fillId="0" borderId="55" xfId="0" applyFont="1" applyBorder="1" applyAlignment="1">
      <alignment horizontal="right" vertical="center"/>
    </xf>
    <xf numFmtId="38" fontId="178" fillId="0" borderId="55" xfId="0" applyNumberFormat="1" applyFont="1" applyBorder="1" applyAlignment="1">
      <alignment horizontal="right" vertical="center"/>
    </xf>
    <xf numFmtId="10" fontId="178" fillId="0" borderId="56" xfId="0" applyNumberFormat="1" applyFont="1" applyBorder="1" applyAlignment="1">
      <alignment horizontal="right" vertical="center"/>
    </xf>
    <xf numFmtId="0" fontId="123" fillId="14" borderId="3" xfId="0" applyFont="1" applyFill="1" applyBorder="1" applyAlignment="1">
      <alignment horizontal="center" vertical="center"/>
    </xf>
    <xf numFmtId="178" fontId="15" fillId="0" borderId="0" xfId="9" applyNumberFormat="1" applyFont="1">
      <alignment vertical="center"/>
    </xf>
    <xf numFmtId="0" fontId="15" fillId="0" borderId="0" xfId="0" applyFont="1" applyAlignment="1">
      <alignment horizontal="left" vertical="center"/>
    </xf>
    <xf numFmtId="9" fontId="10" fillId="0" borderId="0" xfId="1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82" fillId="0" borderId="0" xfId="5314" applyFont="1">
      <alignment vertical="center"/>
    </xf>
    <xf numFmtId="0" fontId="171" fillId="0" borderId="0" xfId="5314" applyFont="1" applyAlignment="1">
      <alignment horizontal="center" vertical="center"/>
    </xf>
    <xf numFmtId="181" fontId="171" fillId="0" borderId="0" xfId="5314" applyNumberFormat="1" applyFont="1" applyAlignment="1">
      <alignment horizontal="center" vertical="center"/>
    </xf>
    <xf numFmtId="0" fontId="117" fillId="0" borderId="0" xfId="5314" applyFont="1">
      <alignment vertical="center"/>
    </xf>
    <xf numFmtId="177" fontId="117" fillId="0" borderId="0" xfId="5314" applyNumberFormat="1" applyFont="1">
      <alignment vertical="center"/>
    </xf>
    <xf numFmtId="40" fontId="117" fillId="0" borderId="0" xfId="5314" applyNumberFormat="1" applyFont="1">
      <alignment vertical="center"/>
    </xf>
    <xf numFmtId="38" fontId="117" fillId="0" borderId="0" xfId="5315" applyNumberFormat="1" applyFont="1" applyAlignment="1">
      <alignment vertical="center"/>
    </xf>
    <xf numFmtId="38" fontId="117" fillId="0" borderId="0" xfId="5315" applyNumberFormat="1" applyFont="1" applyFill="1">
      <alignment vertical="center"/>
    </xf>
    <xf numFmtId="3" fontId="117" fillId="0" borderId="0" xfId="5314" applyNumberFormat="1" applyFont="1">
      <alignment vertical="center"/>
    </xf>
    <xf numFmtId="0" fontId="126" fillId="0" borderId="0" xfId="5314" applyFont="1">
      <alignment vertical="center"/>
    </xf>
    <xf numFmtId="187" fontId="126" fillId="0" borderId="0" xfId="5315" applyNumberFormat="1" applyFont="1" applyAlignment="1">
      <alignment vertical="center"/>
    </xf>
    <xf numFmtId="0" fontId="173" fillId="0" borderId="0" xfId="5314" applyFont="1">
      <alignment vertical="center"/>
    </xf>
    <xf numFmtId="187" fontId="173" fillId="0" borderId="0" xfId="5315" applyNumberFormat="1" applyFont="1">
      <alignment vertical="center"/>
    </xf>
    <xf numFmtId="40" fontId="126" fillId="0" borderId="0" xfId="5314" applyNumberFormat="1" applyFont="1">
      <alignment vertical="center"/>
    </xf>
    <xf numFmtId="0" fontId="172" fillId="0" borderId="0" xfId="5314" applyFont="1">
      <alignment vertical="center"/>
    </xf>
    <xf numFmtId="181" fontId="172" fillId="0" borderId="0" xfId="5314" applyNumberFormat="1" applyFont="1">
      <alignment vertical="center"/>
    </xf>
    <xf numFmtId="0" fontId="143" fillId="0" borderId="0" xfId="0" applyFont="1" applyAlignment="1">
      <alignment horizontal="center" vertical="center"/>
    </xf>
    <xf numFmtId="0" fontId="143" fillId="0" borderId="0" xfId="0" applyFont="1" applyAlignment="1">
      <alignment horizontal="center" vertical="center" wrapText="1"/>
    </xf>
    <xf numFmtId="192" fontId="123" fillId="0" borderId="0" xfId="0" applyNumberFormat="1" applyFont="1">
      <alignment vertical="center"/>
    </xf>
    <xf numFmtId="193" fontId="123" fillId="0" borderId="0" xfId="0" applyNumberFormat="1" applyFont="1">
      <alignment vertical="center"/>
    </xf>
    <xf numFmtId="177" fontId="115" fillId="0" borderId="0" xfId="0" applyNumberFormat="1" applyFont="1">
      <alignment vertical="center"/>
    </xf>
    <xf numFmtId="38" fontId="183" fillId="0" borderId="0" xfId="0" applyNumberFormat="1" applyFont="1" applyAlignment="1"/>
    <xf numFmtId="0" fontId="15" fillId="78" borderId="2" xfId="5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center" vertical="center"/>
    </xf>
    <xf numFmtId="0" fontId="55" fillId="7" borderId="2" xfId="0" applyFont="1" applyFill="1" applyBorder="1" applyAlignment="1">
      <alignment horizontal="center"/>
    </xf>
    <xf numFmtId="0" fontId="15" fillId="4" borderId="2" xfId="5" applyFont="1" applyFill="1" applyBorder="1" applyAlignment="1">
      <alignment horizontal="center" vertical="center"/>
    </xf>
    <xf numFmtId="0" fontId="55" fillId="5" borderId="2" xfId="0" applyFont="1" applyFill="1" applyBorder="1" applyAlignment="1">
      <alignment horizontal="center"/>
    </xf>
    <xf numFmtId="0" fontId="15" fillId="2" borderId="2" xfId="5" applyFont="1" applyFill="1" applyBorder="1" applyAlignment="1">
      <alignment horizontal="center" vertical="center"/>
    </xf>
    <xf numFmtId="0" fontId="36" fillId="11" borderId="0" xfId="5" applyFont="1" applyFill="1" applyAlignment="1">
      <alignment horizontal="center" vertical="center"/>
    </xf>
    <xf numFmtId="0" fontId="36" fillId="0" borderId="2" xfId="5" applyFont="1" applyBorder="1" applyAlignment="1">
      <alignment horizontal="center" vertical="center"/>
    </xf>
    <xf numFmtId="0" fontId="36" fillId="0" borderId="0" xfId="5" applyFont="1" applyAlignment="1">
      <alignment horizontal="center" vertical="top" wrapText="1"/>
    </xf>
    <xf numFmtId="0" fontId="36" fillId="0" borderId="0" xfId="5" applyFont="1" applyAlignment="1">
      <alignment horizontal="center" vertical="center"/>
    </xf>
    <xf numFmtId="0" fontId="150" fillId="0" borderId="0" xfId="0" applyFont="1" applyAlignment="1">
      <alignment horizontal="left" vertical="center"/>
    </xf>
    <xf numFmtId="0" fontId="130" fillId="0" borderId="3" xfId="0" applyFont="1" applyBorder="1">
      <alignment vertical="center"/>
    </xf>
    <xf numFmtId="0" fontId="150" fillId="0" borderId="0" xfId="0" applyFont="1" applyAlignment="1">
      <alignment vertical="center" wrapText="1"/>
    </xf>
    <xf numFmtId="0" fontId="150" fillId="0" borderId="0" xfId="0" applyFont="1" applyAlignment="1">
      <alignment horizontal="left" vertical="center" wrapText="1"/>
    </xf>
    <xf numFmtId="0" fontId="150" fillId="0" borderId="0" xfId="0" applyFont="1">
      <alignment vertical="center"/>
    </xf>
    <xf numFmtId="0" fontId="51" fillId="0" borderId="0" xfId="0" applyFont="1" applyAlignment="1">
      <alignment horizontal="center"/>
    </xf>
    <xf numFmtId="0" fontId="123" fillId="17" borderId="0" xfId="0" applyFont="1" applyFill="1" applyAlignment="1">
      <alignment horizontal="center" vertical="center" wrapText="1"/>
    </xf>
    <xf numFmtId="0" fontId="123" fillId="17" borderId="0" xfId="0" applyFont="1" applyFill="1" applyAlignment="1">
      <alignment horizontal="center" vertical="center"/>
    </xf>
    <xf numFmtId="10" fontId="123" fillId="17" borderId="0" xfId="0" applyNumberFormat="1" applyFont="1" applyFill="1" applyAlignment="1">
      <alignment horizontal="center" vertical="center"/>
    </xf>
    <xf numFmtId="37" fontId="119" fillId="0" borderId="0" xfId="7" applyNumberFormat="1" applyFont="1" applyFill="1" applyAlignment="1">
      <alignment horizontal="left" vertical="center"/>
    </xf>
    <xf numFmtId="38" fontId="140" fillId="0" borderId="0" xfId="7" applyNumberFormat="1" applyFont="1" applyFill="1" applyAlignment="1">
      <alignment horizontal="center" vertical="center"/>
    </xf>
    <xf numFmtId="38" fontId="141" fillId="0" borderId="0" xfId="7" applyNumberFormat="1" applyFont="1" applyFill="1" applyAlignment="1">
      <alignment horizontal="center" vertical="center"/>
    </xf>
    <xf numFmtId="0" fontId="123" fillId="0" borderId="0" xfId="0" applyFont="1">
      <alignment vertical="center"/>
    </xf>
    <xf numFmtId="0" fontId="123" fillId="11" borderId="3" xfId="0" applyFont="1" applyFill="1" applyBorder="1" applyAlignment="1">
      <alignment horizontal="center" vertical="center"/>
    </xf>
    <xf numFmtId="0" fontId="123" fillId="19" borderId="3" xfId="0" applyFont="1" applyFill="1" applyBorder="1" applyAlignment="1">
      <alignment horizontal="center" vertical="center"/>
    </xf>
    <xf numFmtId="0" fontId="123" fillId="14" borderId="3" xfId="0" applyFont="1" applyFill="1" applyBorder="1" applyAlignment="1">
      <alignment horizontal="center" vertical="center"/>
    </xf>
    <xf numFmtId="0" fontId="119" fillId="14" borderId="3" xfId="0" applyFont="1" applyFill="1" applyBorder="1" applyAlignment="1">
      <alignment horizontal="center" vertical="center"/>
    </xf>
    <xf numFmtId="0" fontId="154" fillId="0" borderId="0" xfId="0" applyFont="1" applyAlignment="1">
      <alignment horizontal="center" vertical="center"/>
    </xf>
    <xf numFmtId="0" fontId="155" fillId="0" borderId="0" xfId="0" applyFont="1" applyAlignment="1">
      <alignment horizontal="center" vertical="center"/>
    </xf>
    <xf numFmtId="0" fontId="123" fillId="0" borderId="0" xfId="0" applyFont="1" applyAlignment="1">
      <alignment horizontal="center" vertical="center"/>
    </xf>
    <xf numFmtId="179" fontId="0" fillId="0" borderId="0" xfId="2" applyFont="1">
      <alignment vertical="center"/>
    </xf>
    <xf numFmtId="181" fontId="0" fillId="0" borderId="0" xfId="2" applyNumberFormat="1" applyFont="1">
      <alignment vertical="center"/>
    </xf>
  </cellXfs>
  <cellStyles count="5316">
    <cellStyle name="20% - 輔色1" xfId="3641" builtinId="30" customBuiltin="1"/>
    <cellStyle name="20% - 輔色1 10" xfId="424" xr:uid="{00000000-0005-0000-0000-000001000000}"/>
    <cellStyle name="20% - 輔色1 10 2" xfId="2169" xr:uid="{00000000-0005-0000-0000-000002000000}"/>
    <cellStyle name="20% - 輔色1 10 2 2" xfId="4343" xr:uid="{00000000-0005-0000-0000-000003000000}"/>
    <cellStyle name="20% - 輔色1 10 3" xfId="3033" xr:uid="{00000000-0005-0000-0000-000004000000}"/>
    <cellStyle name="20% - 輔色1 10 3 2" xfId="4623" xr:uid="{00000000-0005-0000-0000-000005000000}"/>
    <cellStyle name="20% - 輔色1 10 4" xfId="3051" xr:uid="{00000000-0005-0000-0000-000006000000}"/>
    <cellStyle name="20% - 輔色1 10 4 2" xfId="4632" xr:uid="{00000000-0005-0000-0000-000007000000}"/>
    <cellStyle name="20% - 輔色1 10 5" xfId="3510" xr:uid="{00000000-0005-0000-0000-000008000000}"/>
    <cellStyle name="20% - 輔色1 10 5 2" xfId="4849" xr:uid="{00000000-0005-0000-0000-000009000000}"/>
    <cellStyle name="20% - 輔色1 10 6" xfId="4036" xr:uid="{00000000-0005-0000-0000-00000A000000}"/>
    <cellStyle name="20% - 輔色1 10 7" xfId="5101" xr:uid="{00000000-0005-0000-0000-00000B000000}"/>
    <cellStyle name="20% - 輔色1 10 8" xfId="5260" xr:uid="{00000000-0005-0000-0000-00000C000000}"/>
    <cellStyle name="20% - 輔色1 11" xfId="466" xr:uid="{00000000-0005-0000-0000-00000D000000}"/>
    <cellStyle name="20% - 輔色1 11 2" xfId="2202" xr:uid="{00000000-0005-0000-0000-00000E000000}"/>
    <cellStyle name="20% - 輔色1 11 2 2" xfId="4362" xr:uid="{00000000-0005-0000-0000-00000F000000}"/>
    <cellStyle name="20% - 輔色1 11 3" xfId="2114" xr:uid="{00000000-0005-0000-0000-000010000000}"/>
    <cellStyle name="20% - 輔色1 11 3 2" xfId="4315" xr:uid="{00000000-0005-0000-0000-000011000000}"/>
    <cellStyle name="20% - 輔色1 11 4" xfId="2087" xr:uid="{00000000-0005-0000-0000-000012000000}"/>
    <cellStyle name="20% - 輔色1 11 4 2" xfId="4303" xr:uid="{00000000-0005-0000-0000-000013000000}"/>
    <cellStyle name="20% - 輔色1 11 5" xfId="2204" xr:uid="{00000000-0005-0000-0000-000014000000}"/>
    <cellStyle name="20% - 輔色1 11 5 2" xfId="4364" xr:uid="{00000000-0005-0000-0000-000015000000}"/>
    <cellStyle name="20% - 輔色1 11 6" xfId="4049" xr:uid="{00000000-0005-0000-0000-000016000000}"/>
    <cellStyle name="20% - 輔色1 11 7" xfId="5114" xr:uid="{00000000-0005-0000-0000-000017000000}"/>
    <cellStyle name="20% - 輔色1 11 8" xfId="5273" xr:uid="{00000000-0005-0000-0000-000018000000}"/>
    <cellStyle name="20% - 輔色1 12" xfId="507" xr:uid="{00000000-0005-0000-0000-000019000000}"/>
    <cellStyle name="20% - 輔色1 12 2" xfId="2228" xr:uid="{00000000-0005-0000-0000-00001A000000}"/>
    <cellStyle name="20% - 輔色1 12 2 2" xfId="4382" xr:uid="{00000000-0005-0000-0000-00001B000000}"/>
    <cellStyle name="20% - 輔色1 12 3" xfId="3200" xr:uid="{00000000-0005-0000-0000-00001C000000}"/>
    <cellStyle name="20% - 輔色1 12 3 2" xfId="4714" xr:uid="{00000000-0005-0000-0000-00001D000000}"/>
    <cellStyle name="20% - 輔色1 12 4" xfId="1731" xr:uid="{00000000-0005-0000-0000-00001E000000}"/>
    <cellStyle name="20% - 輔色1 12 4 2" xfId="4182" xr:uid="{00000000-0005-0000-0000-00001F000000}"/>
    <cellStyle name="20% - 輔色1 12 5" xfId="3575" xr:uid="{00000000-0005-0000-0000-000020000000}"/>
    <cellStyle name="20% - 輔色1 12 5 2" xfId="4880" xr:uid="{00000000-0005-0000-0000-000021000000}"/>
    <cellStyle name="20% - 輔色1 12 6" xfId="4062" xr:uid="{00000000-0005-0000-0000-000022000000}"/>
    <cellStyle name="20% - 輔色1 12 7" xfId="5127" xr:uid="{00000000-0005-0000-0000-000023000000}"/>
    <cellStyle name="20% - 輔色1 12 8" xfId="5286" xr:uid="{00000000-0005-0000-0000-000024000000}"/>
    <cellStyle name="20% - 輔色1 13" xfId="549" xr:uid="{00000000-0005-0000-0000-000025000000}"/>
    <cellStyle name="20% - 輔色1 13 2" xfId="2255" xr:uid="{00000000-0005-0000-0000-000026000000}"/>
    <cellStyle name="20% - 輔色1 13 2 2" xfId="4400" xr:uid="{00000000-0005-0000-0000-000027000000}"/>
    <cellStyle name="20% - 輔色1 13 3" xfId="1941" xr:uid="{00000000-0005-0000-0000-000028000000}"/>
    <cellStyle name="20% - 輔色1 13 3 2" xfId="4263" xr:uid="{00000000-0005-0000-0000-000029000000}"/>
    <cellStyle name="20% - 輔色1 13 4" xfId="3153" xr:uid="{00000000-0005-0000-0000-00002A000000}"/>
    <cellStyle name="20% - 輔色1 13 4 2" xfId="4689" xr:uid="{00000000-0005-0000-0000-00002B000000}"/>
    <cellStyle name="20% - 輔色1 13 5" xfId="3604" xr:uid="{00000000-0005-0000-0000-00002C000000}"/>
    <cellStyle name="20% - 輔色1 13 5 2" xfId="4904" xr:uid="{00000000-0005-0000-0000-00002D000000}"/>
    <cellStyle name="20% - 輔色1 13 6" xfId="4075" xr:uid="{00000000-0005-0000-0000-00002E000000}"/>
    <cellStyle name="20% - 輔色1 13 7" xfId="5140" xr:uid="{00000000-0005-0000-0000-00002F000000}"/>
    <cellStyle name="20% - 輔色1 13 8" xfId="5299" xr:uid="{00000000-0005-0000-0000-000030000000}"/>
    <cellStyle name="20% - 輔色1 14" xfId="590" xr:uid="{00000000-0005-0000-0000-000031000000}"/>
    <cellStyle name="20% - 輔色1 14 2" xfId="2306" xr:uid="{00000000-0005-0000-0000-000032000000}"/>
    <cellStyle name="20% - 輔色1 14 2 2" xfId="2413" xr:uid="{00000000-0005-0000-0000-000033000000}"/>
    <cellStyle name="20% - 輔色1 14 2 2 2" xfId="4430" xr:uid="{00000000-0005-0000-0000-000034000000}"/>
    <cellStyle name="20% - 輔色1 14 2 3" xfId="3052" xr:uid="{00000000-0005-0000-0000-000035000000}"/>
    <cellStyle name="20% - 輔色1 14 2 3 2" xfId="4633" xr:uid="{00000000-0005-0000-0000-000036000000}"/>
    <cellStyle name="20% - 輔色1 14 2 4" xfId="2823" xr:uid="{00000000-0005-0000-0000-000037000000}"/>
    <cellStyle name="20% - 輔色1 14 2 4 2" xfId="4542" xr:uid="{00000000-0005-0000-0000-000038000000}"/>
    <cellStyle name="20% - 輔色1 14 3" xfId="1762" xr:uid="{00000000-0005-0000-0000-000039000000}"/>
    <cellStyle name="20% - 輔色1 14 4" xfId="3384" xr:uid="{00000000-0005-0000-0000-00003A000000}"/>
    <cellStyle name="20% - 輔色1 14 5" xfId="3078" xr:uid="{00000000-0005-0000-0000-00003B000000}"/>
    <cellStyle name="20% - 輔色1 14 5 2" xfId="4649" xr:uid="{00000000-0005-0000-0000-00003C000000}"/>
    <cellStyle name="20% - 輔色1 14 6" xfId="4088" xr:uid="{00000000-0005-0000-0000-00003D000000}"/>
    <cellStyle name="20% - 輔色1 15" xfId="631" xr:uid="{00000000-0005-0000-0000-00003E000000}"/>
    <cellStyle name="20% - 輔色1 15 2" xfId="2680" xr:uid="{00000000-0005-0000-0000-00003F000000}"/>
    <cellStyle name="20% - 輔色1 15 2 2" xfId="4448" xr:uid="{00000000-0005-0000-0000-000040000000}"/>
    <cellStyle name="20% - 輔色1 15 3" xfId="3086" xr:uid="{00000000-0005-0000-0000-000041000000}"/>
    <cellStyle name="20% - 輔色1 15 3 2" xfId="4653" xr:uid="{00000000-0005-0000-0000-000042000000}"/>
    <cellStyle name="20% - 輔色1 15 4" xfId="2819" xr:uid="{00000000-0005-0000-0000-000043000000}"/>
    <cellStyle name="20% - 輔色1 15 4 2" xfId="4539" xr:uid="{00000000-0005-0000-0000-000044000000}"/>
    <cellStyle name="20% - 輔色1 15 5" xfId="3398" xr:uid="{00000000-0005-0000-0000-000045000000}"/>
    <cellStyle name="20% - 輔色1 15 5 2" xfId="4799" xr:uid="{00000000-0005-0000-0000-000046000000}"/>
    <cellStyle name="20% - 輔色1 15 6" xfId="4101" xr:uid="{00000000-0005-0000-0000-000047000000}"/>
    <cellStyle name="20% - 輔色1 16" xfId="673" xr:uid="{00000000-0005-0000-0000-000048000000}"/>
    <cellStyle name="20% - 輔色1 16 2" xfId="2709" xr:uid="{00000000-0005-0000-0000-000049000000}"/>
    <cellStyle name="20% - 輔色1 16 2 2" xfId="4465" xr:uid="{00000000-0005-0000-0000-00004A000000}"/>
    <cellStyle name="20% - 輔色1 16 3" xfId="3240" xr:uid="{00000000-0005-0000-0000-00004B000000}"/>
    <cellStyle name="20% - 輔色1 16 3 2" xfId="4737" xr:uid="{00000000-0005-0000-0000-00004C000000}"/>
    <cellStyle name="20% - 輔色1 16 4" xfId="3344" xr:uid="{00000000-0005-0000-0000-00004D000000}"/>
    <cellStyle name="20% - 輔色1 16 4 2" xfId="4770" xr:uid="{00000000-0005-0000-0000-00004E000000}"/>
    <cellStyle name="20% - 輔色1 16 5" xfId="2375" xr:uid="{00000000-0005-0000-0000-00004F000000}"/>
    <cellStyle name="20% - 輔色1 16 5 2" xfId="4427" xr:uid="{00000000-0005-0000-0000-000050000000}"/>
    <cellStyle name="20% - 輔色1 16 6" xfId="4114" xr:uid="{00000000-0005-0000-0000-000051000000}"/>
    <cellStyle name="20% - 輔色1 17" xfId="714" xr:uid="{00000000-0005-0000-0000-000052000000}"/>
    <cellStyle name="20% - 輔色1 17 2" xfId="2737" xr:uid="{00000000-0005-0000-0000-000053000000}"/>
    <cellStyle name="20% - 輔色1 17 2 2" xfId="4482" xr:uid="{00000000-0005-0000-0000-000054000000}"/>
    <cellStyle name="20% - 輔色1 17 3" xfId="2320" xr:uid="{00000000-0005-0000-0000-000055000000}"/>
    <cellStyle name="20% - 輔色1 17 3 2" xfId="4419" xr:uid="{00000000-0005-0000-0000-000056000000}"/>
    <cellStyle name="20% - 輔色1 17 4" xfId="2398" xr:uid="{00000000-0005-0000-0000-000057000000}"/>
    <cellStyle name="20% - 輔色1 17 4 2" xfId="4429" xr:uid="{00000000-0005-0000-0000-000058000000}"/>
    <cellStyle name="20% - 輔色1 17 5" xfId="3094" xr:uid="{00000000-0005-0000-0000-000059000000}"/>
    <cellStyle name="20% - 輔色1 17 5 2" xfId="4658" xr:uid="{00000000-0005-0000-0000-00005A000000}"/>
    <cellStyle name="20% - 輔色1 17 6" xfId="4127" xr:uid="{00000000-0005-0000-0000-00005B000000}"/>
    <cellStyle name="20% - 輔色1 18" xfId="755" xr:uid="{00000000-0005-0000-0000-00005C000000}"/>
    <cellStyle name="20% - 輔色1 18 2" xfId="2762" xr:uid="{00000000-0005-0000-0000-00005D000000}"/>
    <cellStyle name="20% - 輔色1 18 2 2" xfId="4500" xr:uid="{00000000-0005-0000-0000-00005E000000}"/>
    <cellStyle name="20% - 輔色1 18 3" xfId="3109" xr:uid="{00000000-0005-0000-0000-00005F000000}"/>
    <cellStyle name="20% - 輔色1 18 3 2" xfId="4665" xr:uid="{00000000-0005-0000-0000-000060000000}"/>
    <cellStyle name="20% - 輔色1 18 4" xfId="2043" xr:uid="{00000000-0005-0000-0000-000061000000}"/>
    <cellStyle name="20% - 輔色1 18 4 2" xfId="4293" xr:uid="{00000000-0005-0000-0000-000062000000}"/>
    <cellStyle name="20% - 輔色1 18 5" xfId="3571" xr:uid="{00000000-0005-0000-0000-000063000000}"/>
    <cellStyle name="20% - 輔色1 18 5 2" xfId="4876" xr:uid="{00000000-0005-0000-0000-000064000000}"/>
    <cellStyle name="20% - 輔色1 18 6" xfId="4140" xr:uid="{00000000-0005-0000-0000-000065000000}"/>
    <cellStyle name="20% - 輔色1 19" xfId="796" xr:uid="{00000000-0005-0000-0000-000066000000}"/>
    <cellStyle name="20% - 輔色1 19 2" xfId="2789" xr:uid="{00000000-0005-0000-0000-000067000000}"/>
    <cellStyle name="20% - 輔色1 19 2 2" xfId="4518" xr:uid="{00000000-0005-0000-0000-000068000000}"/>
    <cellStyle name="20% - 輔色1 19 3" xfId="3114" xr:uid="{00000000-0005-0000-0000-000069000000}"/>
    <cellStyle name="20% - 輔色1 19 3 2" xfId="4667" xr:uid="{00000000-0005-0000-0000-00006A000000}"/>
    <cellStyle name="20% - 輔色1 19 4" xfId="2739" xr:uid="{00000000-0005-0000-0000-00006B000000}"/>
    <cellStyle name="20% - 輔色1 19 4 2" xfId="4484" xr:uid="{00000000-0005-0000-0000-00006C000000}"/>
    <cellStyle name="20% - 輔色1 19 5" xfId="3612" xr:uid="{00000000-0005-0000-0000-00006D000000}"/>
    <cellStyle name="20% - 輔色1 19 5 2" xfId="4911" xr:uid="{00000000-0005-0000-0000-00006E000000}"/>
    <cellStyle name="20% - 輔色1 19 6" xfId="4153" xr:uid="{00000000-0005-0000-0000-00006F000000}"/>
    <cellStyle name="20% - 輔色1 2" xfId="27" xr:uid="{00000000-0005-0000-0000-000070000000}"/>
    <cellStyle name="20% - 輔色1 2 10" xfId="1529" xr:uid="{00000000-0005-0000-0000-000071000000}"/>
    <cellStyle name="20% - 輔色1 2 11" xfId="1587" xr:uid="{00000000-0005-0000-0000-000072000000}"/>
    <cellStyle name="20% - 輔色1 2 12" xfId="1374" xr:uid="{00000000-0005-0000-0000-000073000000}"/>
    <cellStyle name="20% - 輔色1 2 13" xfId="3687" xr:uid="{00000000-0005-0000-0000-000074000000}"/>
    <cellStyle name="20% - 輔色1 2 13 2" xfId="4934" xr:uid="{00000000-0005-0000-0000-000075000000}"/>
    <cellStyle name="20% - 輔色1 2 14" xfId="3900" xr:uid="{00000000-0005-0000-0000-000076000000}"/>
    <cellStyle name="20% - 輔色1 2 14 2" xfId="4982" xr:uid="{00000000-0005-0000-0000-000077000000}"/>
    <cellStyle name="20% - 輔色1 2 2" xfId="28" xr:uid="{00000000-0005-0000-0000-000078000000}"/>
    <cellStyle name="20% - 輔色1 2 2 2" xfId="1967" xr:uid="{00000000-0005-0000-0000-000079000000}"/>
    <cellStyle name="20% - 輔色1 2 2 2 2" xfId="1968" xr:uid="{00000000-0005-0000-0000-00007A000000}"/>
    <cellStyle name="20% - 輔色1 2 2 2 3" xfId="2457" xr:uid="{00000000-0005-0000-0000-00007B000000}"/>
    <cellStyle name="20% - 輔色1 2 2 3" xfId="2456" xr:uid="{00000000-0005-0000-0000-00007C000000}"/>
    <cellStyle name="20% - 輔色1 2 3" xfId="821" xr:uid="{00000000-0005-0000-0000-00007D000000}"/>
    <cellStyle name="20% - 輔色1 2 4" xfId="1166" xr:uid="{00000000-0005-0000-0000-00007E000000}"/>
    <cellStyle name="20% - 輔色1 2 4 2" xfId="2539" xr:uid="{00000000-0005-0000-0000-00007F000000}"/>
    <cellStyle name="20% - 輔色1 2 4 2 2" xfId="2976" xr:uid="{00000000-0005-0000-0000-000080000000}"/>
    <cellStyle name="20% - 輔色1 2 4 2 3" xfId="3363" xr:uid="{00000000-0005-0000-0000-000081000000}"/>
    <cellStyle name="20% - 輔色1 2 4 2 4" xfId="2171" xr:uid="{00000000-0005-0000-0000-000082000000}"/>
    <cellStyle name="20% - 輔色1 2 4 3" xfId="2770" xr:uid="{00000000-0005-0000-0000-000083000000}"/>
    <cellStyle name="20% - 輔色1 2 4 4" xfId="3014" xr:uid="{00000000-0005-0000-0000-000084000000}"/>
    <cellStyle name="20% - 輔色1 2 5" xfId="849" xr:uid="{00000000-0005-0000-0000-000085000000}"/>
    <cellStyle name="20% - 輔色1 2 6" xfId="1061" xr:uid="{00000000-0005-0000-0000-000086000000}"/>
    <cellStyle name="20% - 輔色1 2 7" xfId="1029" xr:uid="{00000000-0005-0000-0000-000087000000}"/>
    <cellStyle name="20% - 輔色1 2 8" xfId="1419" xr:uid="{00000000-0005-0000-0000-000088000000}"/>
    <cellStyle name="20% - 輔色1 2 9" xfId="1473" xr:uid="{00000000-0005-0000-0000-000089000000}"/>
    <cellStyle name="20% - 輔色1 20" xfId="820" xr:uid="{00000000-0005-0000-0000-00008A000000}"/>
    <cellStyle name="20% - 輔色1 21" xfId="1192" xr:uid="{00000000-0005-0000-0000-00008B000000}"/>
    <cellStyle name="20% - 輔色1 22" xfId="1178" xr:uid="{00000000-0005-0000-0000-00008C000000}"/>
    <cellStyle name="20% - 輔色1 23" xfId="842" xr:uid="{00000000-0005-0000-0000-00008D000000}"/>
    <cellStyle name="20% - 輔色1 24" xfId="1075" xr:uid="{00000000-0005-0000-0000-00008E000000}"/>
    <cellStyle name="20% - 輔色1 25" xfId="1404" xr:uid="{00000000-0005-0000-0000-00008F000000}"/>
    <cellStyle name="20% - 輔色1 26" xfId="1474" xr:uid="{00000000-0005-0000-0000-000090000000}"/>
    <cellStyle name="20% - 輔色1 27" xfId="1530" xr:uid="{00000000-0005-0000-0000-000091000000}"/>
    <cellStyle name="20% - 輔色1 28" xfId="1588" xr:uid="{00000000-0005-0000-0000-000092000000}"/>
    <cellStyle name="20% - 輔色1 29" xfId="1375" xr:uid="{00000000-0005-0000-0000-000093000000}"/>
    <cellStyle name="20% - 輔色1 3" xfId="29" xr:uid="{00000000-0005-0000-0000-000094000000}"/>
    <cellStyle name="20% - 輔色1 3 2" xfId="3688" xr:uid="{00000000-0005-0000-0000-000095000000}"/>
    <cellStyle name="20% - 輔色1 3 2 2" xfId="4935" xr:uid="{00000000-0005-0000-0000-000096000000}"/>
    <cellStyle name="20% - 輔色1 3 3" xfId="3835" xr:uid="{00000000-0005-0000-0000-000097000000}"/>
    <cellStyle name="20% - 輔色1 3 3 2" xfId="4981" xr:uid="{00000000-0005-0000-0000-000098000000}"/>
    <cellStyle name="20% - 輔色1 30" xfId="3992" xr:uid="{00000000-0005-0000-0000-000099000000}"/>
    <cellStyle name="20% - 輔色1 4" xfId="30" xr:uid="{00000000-0005-0000-0000-00009A000000}"/>
    <cellStyle name="20% - 輔色1 4 2" xfId="3689" xr:uid="{00000000-0005-0000-0000-00009B000000}"/>
    <cellStyle name="20% - 輔色1 4 2 2" xfId="4936" xr:uid="{00000000-0005-0000-0000-00009C000000}"/>
    <cellStyle name="20% - 輔色1 4 3" xfId="3823" xr:uid="{00000000-0005-0000-0000-00009D000000}"/>
    <cellStyle name="20% - 輔色1 4 3 2" xfId="4980" xr:uid="{00000000-0005-0000-0000-00009E000000}"/>
    <cellStyle name="20% - 輔色1 5" xfId="31" xr:uid="{00000000-0005-0000-0000-00009F000000}"/>
    <cellStyle name="20% - 輔色1 5 2" xfId="1829" xr:uid="{00000000-0005-0000-0000-0000A0000000}"/>
    <cellStyle name="20% - 輔色1 5 2 2" xfId="4220" xr:uid="{00000000-0005-0000-0000-0000A1000000}"/>
    <cellStyle name="20% - 輔色1 5 2 3" xfId="5062" xr:uid="{00000000-0005-0000-0000-0000A2000000}"/>
    <cellStyle name="20% - 輔色1 5 2 4" xfId="5221" xr:uid="{00000000-0005-0000-0000-0000A3000000}"/>
    <cellStyle name="20% - 輔色1 5 3" xfId="2576" xr:uid="{00000000-0005-0000-0000-0000A4000000}"/>
    <cellStyle name="20% - 輔色1 5 4" xfId="3075" xr:uid="{00000000-0005-0000-0000-0000A5000000}"/>
    <cellStyle name="20% - 輔色1 5 4 2" xfId="4647" xr:uid="{00000000-0005-0000-0000-0000A6000000}"/>
    <cellStyle name="20% - 輔色1 5 5" xfId="3037" xr:uid="{00000000-0005-0000-0000-0000A7000000}"/>
    <cellStyle name="20% - 輔色1 5 5 2" xfId="4624" xr:uid="{00000000-0005-0000-0000-0000A8000000}"/>
    <cellStyle name="20% - 輔色1 5 6" xfId="4996" xr:uid="{00000000-0005-0000-0000-0000A9000000}"/>
    <cellStyle name="20% - 輔色1 5 7" xfId="5155" xr:uid="{00000000-0005-0000-0000-0000AA000000}"/>
    <cellStyle name="20% - 輔色1 6" xfId="32" xr:uid="{00000000-0005-0000-0000-0000AB000000}"/>
    <cellStyle name="20% - 輔色1 6 2" xfId="1871" xr:uid="{00000000-0005-0000-0000-0000AC000000}"/>
    <cellStyle name="20% - 輔色1 6 2 2" xfId="4233" xr:uid="{00000000-0005-0000-0000-0000AD000000}"/>
    <cellStyle name="20% - 輔色1 6 2 3" xfId="5075" xr:uid="{00000000-0005-0000-0000-0000AE000000}"/>
    <cellStyle name="20% - 輔色1 6 2 4" xfId="5234" xr:uid="{00000000-0005-0000-0000-0000AF000000}"/>
    <cellStyle name="20% - 輔色1 6 3" xfId="2425" xr:uid="{00000000-0005-0000-0000-0000B0000000}"/>
    <cellStyle name="20% - 輔色1 6 4" xfId="2222" xr:uid="{00000000-0005-0000-0000-0000B1000000}"/>
    <cellStyle name="20% - 輔色1 6 4 2" xfId="4379" xr:uid="{00000000-0005-0000-0000-0000B2000000}"/>
    <cellStyle name="20% - 輔色1 6 5" xfId="3020" xr:uid="{00000000-0005-0000-0000-0000B3000000}"/>
    <cellStyle name="20% - 輔色1 6 5 2" xfId="4620" xr:uid="{00000000-0005-0000-0000-0000B4000000}"/>
    <cellStyle name="20% - 輔色1 6 6" xfId="5009" xr:uid="{00000000-0005-0000-0000-0000B5000000}"/>
    <cellStyle name="20% - 輔色1 6 7" xfId="5168" xr:uid="{00000000-0005-0000-0000-0000B6000000}"/>
    <cellStyle name="20% - 輔色1 7" xfId="33" xr:uid="{00000000-0005-0000-0000-0000B7000000}"/>
    <cellStyle name="20% - 輔色1 7 2" xfId="1912" xr:uid="{00000000-0005-0000-0000-0000B8000000}"/>
    <cellStyle name="20% - 輔色1 7 2 2" xfId="4246" xr:uid="{00000000-0005-0000-0000-0000B9000000}"/>
    <cellStyle name="20% - 輔色1 7 2 3" xfId="5088" xr:uid="{00000000-0005-0000-0000-0000BA000000}"/>
    <cellStyle name="20% - 輔色1 7 2 4" xfId="5247" xr:uid="{00000000-0005-0000-0000-0000BB000000}"/>
    <cellStyle name="20% - 輔色1 7 3" xfId="2560" xr:uid="{00000000-0005-0000-0000-0000BC000000}"/>
    <cellStyle name="20% - 輔色1 7 4" xfId="2160" xr:uid="{00000000-0005-0000-0000-0000BD000000}"/>
    <cellStyle name="20% - 輔色1 7 4 2" xfId="4339" xr:uid="{00000000-0005-0000-0000-0000BE000000}"/>
    <cellStyle name="20% - 輔色1 7 5" xfId="1724" xr:uid="{00000000-0005-0000-0000-0000BF000000}"/>
    <cellStyle name="20% - 輔色1 7 5 2" xfId="4175" xr:uid="{00000000-0005-0000-0000-0000C0000000}"/>
    <cellStyle name="20% - 輔色1 7 6" xfId="5022" xr:uid="{00000000-0005-0000-0000-0000C1000000}"/>
    <cellStyle name="20% - 輔色1 7 7" xfId="5181" xr:uid="{00000000-0005-0000-0000-0000C2000000}"/>
    <cellStyle name="20% - 輔色1 8" xfId="341" xr:uid="{00000000-0005-0000-0000-0000C3000000}"/>
    <cellStyle name="20% - 輔色1 8 2" xfId="1951" xr:uid="{00000000-0005-0000-0000-0000C4000000}"/>
    <cellStyle name="20% - 輔色1 8 2 2" xfId="4266" xr:uid="{00000000-0005-0000-0000-0000C5000000}"/>
    <cellStyle name="20% - 輔色1 8 3" xfId="2698" xr:uid="{00000000-0005-0000-0000-0000C6000000}"/>
    <cellStyle name="20% - 輔色1 8 3 2" xfId="4462" xr:uid="{00000000-0005-0000-0000-0000C7000000}"/>
    <cellStyle name="20% - 輔色1 8 4" xfId="3499" xr:uid="{00000000-0005-0000-0000-0000C8000000}"/>
    <cellStyle name="20% - 輔色1 8 4 2" xfId="4842" xr:uid="{00000000-0005-0000-0000-0000C9000000}"/>
    <cellStyle name="20% - 輔色1 8 5" xfId="2688" xr:uid="{00000000-0005-0000-0000-0000CA000000}"/>
    <cellStyle name="20% - 輔色1 8 5 2" xfId="4454" xr:uid="{00000000-0005-0000-0000-0000CB000000}"/>
    <cellStyle name="20% - 輔色1 8 6" xfId="4010" xr:uid="{00000000-0005-0000-0000-0000CC000000}"/>
    <cellStyle name="20% - 輔色1 8 7" xfId="5036" xr:uid="{00000000-0005-0000-0000-0000CD000000}"/>
    <cellStyle name="20% - 輔色1 8 8" xfId="5195" xr:uid="{00000000-0005-0000-0000-0000CE000000}"/>
    <cellStyle name="20% - 輔色1 9" xfId="383" xr:uid="{00000000-0005-0000-0000-0000CF000000}"/>
    <cellStyle name="20% - 輔色1 9 2" xfId="2047" xr:uid="{00000000-0005-0000-0000-0000D0000000}"/>
    <cellStyle name="20% - 輔色1 9 2 2" xfId="4295" xr:uid="{00000000-0005-0000-0000-0000D1000000}"/>
    <cellStyle name="20% - 輔色1 9 3" xfId="3087" xr:uid="{00000000-0005-0000-0000-0000D2000000}"/>
    <cellStyle name="20% - 輔色1 9 3 2" xfId="4654" xr:uid="{00000000-0005-0000-0000-0000D3000000}"/>
    <cellStyle name="20% - 輔色1 9 4" xfId="3534" xr:uid="{00000000-0005-0000-0000-0000D4000000}"/>
    <cellStyle name="20% - 輔色1 9 4 2" xfId="4857" xr:uid="{00000000-0005-0000-0000-0000D5000000}"/>
    <cellStyle name="20% - 輔色1 9 5" xfId="3582" xr:uid="{00000000-0005-0000-0000-0000D6000000}"/>
    <cellStyle name="20% - 輔色1 9 5 2" xfId="4887" xr:uid="{00000000-0005-0000-0000-0000D7000000}"/>
    <cellStyle name="20% - 輔色1 9 6" xfId="4023" xr:uid="{00000000-0005-0000-0000-0000D8000000}"/>
    <cellStyle name="20% - 輔色1 9 7" xfId="5059" xr:uid="{00000000-0005-0000-0000-0000D9000000}"/>
    <cellStyle name="20% - 輔色1 9 8" xfId="5218" xr:uid="{00000000-0005-0000-0000-0000DA000000}"/>
    <cellStyle name="20% - 輔色2" xfId="3645" builtinId="34" customBuiltin="1"/>
    <cellStyle name="20% - 輔色2 10" xfId="428" xr:uid="{00000000-0005-0000-0000-0000DC000000}"/>
    <cellStyle name="20% - 輔色2 10 2" xfId="2173" xr:uid="{00000000-0005-0000-0000-0000DD000000}"/>
    <cellStyle name="20% - 輔色2 10 2 2" xfId="4345" xr:uid="{00000000-0005-0000-0000-0000DE000000}"/>
    <cellStyle name="20% - 輔色2 10 3" xfId="3220" xr:uid="{00000000-0005-0000-0000-0000DF000000}"/>
    <cellStyle name="20% - 輔色2 10 3 2" xfId="4723" xr:uid="{00000000-0005-0000-0000-0000E0000000}"/>
    <cellStyle name="20% - 輔色2 10 4" xfId="3072" xr:uid="{00000000-0005-0000-0000-0000E1000000}"/>
    <cellStyle name="20% - 輔色2 10 4 2" xfId="4644" xr:uid="{00000000-0005-0000-0000-0000E2000000}"/>
    <cellStyle name="20% - 輔色2 10 5" xfId="3158" xr:uid="{00000000-0005-0000-0000-0000E3000000}"/>
    <cellStyle name="20% - 輔色2 10 5 2" xfId="4692" xr:uid="{00000000-0005-0000-0000-0000E4000000}"/>
    <cellStyle name="20% - 輔色2 10 6" xfId="4038" xr:uid="{00000000-0005-0000-0000-0000E5000000}"/>
    <cellStyle name="20% - 輔色2 10 7" xfId="5103" xr:uid="{00000000-0005-0000-0000-0000E6000000}"/>
    <cellStyle name="20% - 輔色2 10 8" xfId="5262" xr:uid="{00000000-0005-0000-0000-0000E7000000}"/>
    <cellStyle name="20% - 輔色2 11" xfId="470" xr:uid="{00000000-0005-0000-0000-0000E8000000}"/>
    <cellStyle name="20% - 輔色2 11 2" xfId="2205" xr:uid="{00000000-0005-0000-0000-0000E9000000}"/>
    <cellStyle name="20% - 輔色2 11 2 2" xfId="4365" xr:uid="{00000000-0005-0000-0000-0000EA000000}"/>
    <cellStyle name="20% - 輔色2 11 3" xfId="3241" xr:uid="{00000000-0005-0000-0000-0000EB000000}"/>
    <cellStyle name="20% - 輔色2 11 3 2" xfId="4738" xr:uid="{00000000-0005-0000-0000-0000EC000000}"/>
    <cellStyle name="20% - 輔色2 11 4" xfId="2943" xr:uid="{00000000-0005-0000-0000-0000ED000000}"/>
    <cellStyle name="20% - 輔色2 11 4 2" xfId="4586" xr:uid="{00000000-0005-0000-0000-0000EE000000}"/>
    <cellStyle name="20% - 輔色2 11 5" xfId="3460" xr:uid="{00000000-0005-0000-0000-0000EF000000}"/>
    <cellStyle name="20% - 輔色2 11 5 2" xfId="4818" xr:uid="{00000000-0005-0000-0000-0000F0000000}"/>
    <cellStyle name="20% - 輔色2 11 6" xfId="4051" xr:uid="{00000000-0005-0000-0000-0000F1000000}"/>
    <cellStyle name="20% - 輔色2 11 7" xfId="5116" xr:uid="{00000000-0005-0000-0000-0000F2000000}"/>
    <cellStyle name="20% - 輔色2 11 8" xfId="5275" xr:uid="{00000000-0005-0000-0000-0000F3000000}"/>
    <cellStyle name="20% - 輔色2 12" xfId="511" xr:uid="{00000000-0005-0000-0000-0000F4000000}"/>
    <cellStyle name="20% - 輔色2 12 2" xfId="2231" xr:uid="{00000000-0005-0000-0000-0000F5000000}"/>
    <cellStyle name="20% - 輔色2 12 2 2" xfId="4384" xr:uid="{00000000-0005-0000-0000-0000F6000000}"/>
    <cellStyle name="20% - 輔色2 12 3" xfId="2972" xr:uid="{00000000-0005-0000-0000-0000F7000000}"/>
    <cellStyle name="20% - 輔色2 12 3 2" xfId="4602" xr:uid="{00000000-0005-0000-0000-0000F8000000}"/>
    <cellStyle name="20% - 輔色2 12 4" xfId="2139" xr:uid="{00000000-0005-0000-0000-0000F9000000}"/>
    <cellStyle name="20% - 輔色2 12 4 2" xfId="4327" xr:uid="{00000000-0005-0000-0000-0000FA000000}"/>
    <cellStyle name="20% - 輔色2 12 5" xfId="3543" xr:uid="{00000000-0005-0000-0000-0000FB000000}"/>
    <cellStyle name="20% - 輔色2 12 5 2" xfId="4861" xr:uid="{00000000-0005-0000-0000-0000FC000000}"/>
    <cellStyle name="20% - 輔色2 12 6" xfId="4064" xr:uid="{00000000-0005-0000-0000-0000FD000000}"/>
    <cellStyle name="20% - 輔色2 12 7" xfId="5129" xr:uid="{00000000-0005-0000-0000-0000FE000000}"/>
    <cellStyle name="20% - 輔色2 12 8" xfId="5288" xr:uid="{00000000-0005-0000-0000-0000FF000000}"/>
    <cellStyle name="20% - 輔色2 13" xfId="553" xr:uid="{00000000-0005-0000-0000-000000010000}"/>
    <cellStyle name="20% - 輔色2 13 2" xfId="2258" xr:uid="{00000000-0005-0000-0000-000001010000}"/>
    <cellStyle name="20% - 輔色2 13 2 2" xfId="4403" xr:uid="{00000000-0005-0000-0000-000002010000}"/>
    <cellStyle name="20% - 輔色2 13 3" xfId="1766" xr:uid="{00000000-0005-0000-0000-000003010000}"/>
    <cellStyle name="20% - 輔色2 13 3 2" xfId="4195" xr:uid="{00000000-0005-0000-0000-000004010000}"/>
    <cellStyle name="20% - 輔色2 13 4" xfId="3187" xr:uid="{00000000-0005-0000-0000-000005010000}"/>
    <cellStyle name="20% - 輔色2 13 4 2" xfId="4707" xr:uid="{00000000-0005-0000-0000-000006010000}"/>
    <cellStyle name="20% - 輔色2 13 5" xfId="3479" xr:uid="{00000000-0005-0000-0000-000007010000}"/>
    <cellStyle name="20% - 輔色2 13 5 2" xfId="4828" xr:uid="{00000000-0005-0000-0000-000008010000}"/>
    <cellStyle name="20% - 輔色2 13 6" xfId="4077" xr:uid="{00000000-0005-0000-0000-000009010000}"/>
    <cellStyle name="20% - 輔色2 13 7" xfId="5142" xr:uid="{00000000-0005-0000-0000-00000A010000}"/>
    <cellStyle name="20% - 輔色2 13 8" xfId="5301" xr:uid="{00000000-0005-0000-0000-00000B010000}"/>
    <cellStyle name="20% - 輔色2 14" xfId="594" xr:uid="{00000000-0005-0000-0000-00000C010000}"/>
    <cellStyle name="20% - 輔色2 14 2" xfId="2309" xr:uid="{00000000-0005-0000-0000-00000D010000}"/>
    <cellStyle name="20% - 輔色2 14 2 2" xfId="2633" xr:uid="{00000000-0005-0000-0000-00000E010000}"/>
    <cellStyle name="20% - 輔色2 14 2 2 2" xfId="4434" xr:uid="{00000000-0005-0000-0000-00000F010000}"/>
    <cellStyle name="20% - 輔色2 14 2 3" xfId="3018" xr:uid="{00000000-0005-0000-0000-000010010000}"/>
    <cellStyle name="20% - 輔色2 14 2 3 2" xfId="4619" xr:uid="{00000000-0005-0000-0000-000011010000}"/>
    <cellStyle name="20% - 輔色2 14 2 4" xfId="2679" xr:uid="{00000000-0005-0000-0000-000012010000}"/>
    <cellStyle name="20% - 輔色2 14 2 4 2" xfId="4447" xr:uid="{00000000-0005-0000-0000-000013010000}"/>
    <cellStyle name="20% - 輔色2 14 3" xfId="1761" xr:uid="{00000000-0005-0000-0000-000014010000}"/>
    <cellStyle name="20% - 輔色2 14 4" xfId="2773" xr:uid="{00000000-0005-0000-0000-000015010000}"/>
    <cellStyle name="20% - 輔色2 14 5" xfId="3592" xr:uid="{00000000-0005-0000-0000-000016010000}"/>
    <cellStyle name="20% - 輔色2 14 5 2" xfId="4894" xr:uid="{00000000-0005-0000-0000-000017010000}"/>
    <cellStyle name="20% - 輔色2 14 6" xfId="4090" xr:uid="{00000000-0005-0000-0000-000018010000}"/>
    <cellStyle name="20% - 輔色2 15" xfId="635" xr:uid="{00000000-0005-0000-0000-000019010000}"/>
    <cellStyle name="20% - 輔色2 15 2" xfId="2682" xr:uid="{00000000-0005-0000-0000-00001A010000}"/>
    <cellStyle name="20% - 輔色2 15 2 2" xfId="4450" xr:uid="{00000000-0005-0000-0000-00001B010000}"/>
    <cellStyle name="20% - 輔色2 15 3" xfId="2324" xr:uid="{00000000-0005-0000-0000-00001C010000}"/>
    <cellStyle name="20% - 輔色2 15 3 2" xfId="4420" xr:uid="{00000000-0005-0000-0000-00001D010000}"/>
    <cellStyle name="20% - 輔色2 15 4" xfId="1713" xr:uid="{00000000-0005-0000-0000-00001E010000}"/>
    <cellStyle name="20% - 輔色2 15 4 2" xfId="4166" xr:uid="{00000000-0005-0000-0000-00001F010000}"/>
    <cellStyle name="20% - 輔色2 15 5" xfId="3608" xr:uid="{00000000-0005-0000-0000-000020010000}"/>
    <cellStyle name="20% - 輔色2 15 5 2" xfId="4907" xr:uid="{00000000-0005-0000-0000-000021010000}"/>
    <cellStyle name="20% - 輔色2 15 6" xfId="4103" xr:uid="{00000000-0005-0000-0000-000022010000}"/>
    <cellStyle name="20% - 輔色2 16" xfId="677" xr:uid="{00000000-0005-0000-0000-000023010000}"/>
    <cellStyle name="20% - 輔色2 16 2" xfId="2712" xr:uid="{00000000-0005-0000-0000-000024010000}"/>
    <cellStyle name="20% - 輔色2 16 2 2" xfId="4467" xr:uid="{00000000-0005-0000-0000-000025010000}"/>
    <cellStyle name="20% - 輔色2 16 3" xfId="3139" xr:uid="{00000000-0005-0000-0000-000026010000}"/>
    <cellStyle name="20% - 輔色2 16 3 2" xfId="4684" xr:uid="{00000000-0005-0000-0000-000027010000}"/>
    <cellStyle name="20% - 輔色2 16 4" xfId="3390" xr:uid="{00000000-0005-0000-0000-000028010000}"/>
    <cellStyle name="20% - 輔色2 16 4 2" xfId="4795" xr:uid="{00000000-0005-0000-0000-000029010000}"/>
    <cellStyle name="20% - 輔色2 16 5" xfId="3481" xr:uid="{00000000-0005-0000-0000-00002A010000}"/>
    <cellStyle name="20% - 輔色2 16 5 2" xfId="4829" xr:uid="{00000000-0005-0000-0000-00002B010000}"/>
    <cellStyle name="20% - 輔色2 16 6" xfId="4116" xr:uid="{00000000-0005-0000-0000-00002C010000}"/>
    <cellStyle name="20% - 輔色2 17" xfId="718" xr:uid="{00000000-0005-0000-0000-00002D010000}"/>
    <cellStyle name="20% - 輔色2 17 2" xfId="2740" xr:uid="{00000000-0005-0000-0000-00002E010000}"/>
    <cellStyle name="20% - 輔色2 17 2 2" xfId="4485" xr:uid="{00000000-0005-0000-0000-00002F010000}"/>
    <cellStyle name="20% - 輔色2 17 3" xfId="3179" xr:uid="{00000000-0005-0000-0000-000030010000}"/>
    <cellStyle name="20% - 輔色2 17 3 2" xfId="4704" xr:uid="{00000000-0005-0000-0000-000031010000}"/>
    <cellStyle name="20% - 輔色2 17 4" xfId="3308" xr:uid="{00000000-0005-0000-0000-000032010000}"/>
    <cellStyle name="20% - 輔色2 17 4 2" xfId="4756" xr:uid="{00000000-0005-0000-0000-000033010000}"/>
    <cellStyle name="20% - 輔色2 17 5" xfId="2356" xr:uid="{00000000-0005-0000-0000-000034010000}"/>
    <cellStyle name="20% - 輔色2 17 5 2" xfId="4425" xr:uid="{00000000-0005-0000-0000-000035010000}"/>
    <cellStyle name="20% - 輔色2 17 6" xfId="4129" xr:uid="{00000000-0005-0000-0000-000036010000}"/>
    <cellStyle name="20% - 輔色2 18" xfId="759" xr:uid="{00000000-0005-0000-0000-000037010000}"/>
    <cellStyle name="20% - 輔色2 18 2" xfId="2765" xr:uid="{00000000-0005-0000-0000-000038010000}"/>
    <cellStyle name="20% - 輔色2 18 2 2" xfId="4502" xr:uid="{00000000-0005-0000-0000-000039010000}"/>
    <cellStyle name="20% - 輔色2 18 3" xfId="2892" xr:uid="{00000000-0005-0000-0000-00003A010000}"/>
    <cellStyle name="20% - 輔色2 18 3 2" xfId="4567" xr:uid="{00000000-0005-0000-0000-00003B010000}"/>
    <cellStyle name="20% - 輔色2 18 4" xfId="3526" xr:uid="{00000000-0005-0000-0000-00003C010000}"/>
    <cellStyle name="20% - 輔色2 18 4 2" xfId="4855" xr:uid="{00000000-0005-0000-0000-00003D010000}"/>
    <cellStyle name="20% - 輔色2 18 5" xfId="2103" xr:uid="{00000000-0005-0000-0000-00003E010000}"/>
    <cellStyle name="20% - 輔色2 18 5 2" xfId="4311" xr:uid="{00000000-0005-0000-0000-00003F010000}"/>
    <cellStyle name="20% - 輔色2 18 6" xfId="4142" xr:uid="{00000000-0005-0000-0000-000040010000}"/>
    <cellStyle name="20% - 輔色2 19" xfId="800" xr:uid="{00000000-0005-0000-0000-000041010000}"/>
    <cellStyle name="20% - 輔色2 19 2" xfId="2791" xr:uid="{00000000-0005-0000-0000-000042010000}"/>
    <cellStyle name="20% - 輔色2 19 2 2" xfId="4520" xr:uid="{00000000-0005-0000-0000-000043010000}"/>
    <cellStyle name="20% - 輔色2 19 3" xfId="2097" xr:uid="{00000000-0005-0000-0000-000044010000}"/>
    <cellStyle name="20% - 輔色2 19 3 2" xfId="4307" xr:uid="{00000000-0005-0000-0000-000045010000}"/>
    <cellStyle name="20% - 輔色2 19 4" xfId="2946" xr:uid="{00000000-0005-0000-0000-000046010000}"/>
    <cellStyle name="20% - 輔色2 19 4 2" xfId="4589" xr:uid="{00000000-0005-0000-0000-000047010000}"/>
    <cellStyle name="20% - 輔色2 19 5" xfId="3574" xr:uid="{00000000-0005-0000-0000-000048010000}"/>
    <cellStyle name="20% - 輔色2 19 5 2" xfId="4879" xr:uid="{00000000-0005-0000-0000-000049010000}"/>
    <cellStyle name="20% - 輔色2 19 6" xfId="4155" xr:uid="{00000000-0005-0000-0000-00004A010000}"/>
    <cellStyle name="20% - 輔色2 2" xfId="34" xr:uid="{00000000-0005-0000-0000-00004B010000}"/>
    <cellStyle name="20% - 輔色2 2 10" xfId="1400" xr:uid="{00000000-0005-0000-0000-00004C010000}"/>
    <cellStyle name="20% - 輔色2 2 11" xfId="1472" xr:uid="{00000000-0005-0000-0000-00004D010000}"/>
    <cellStyle name="20% - 輔色2 2 12" xfId="1368" xr:uid="{00000000-0005-0000-0000-00004E010000}"/>
    <cellStyle name="20% - 輔色2 2 13" xfId="3690" xr:uid="{00000000-0005-0000-0000-00004F010000}"/>
    <cellStyle name="20% - 輔色2 2 13 2" xfId="4937" xr:uid="{00000000-0005-0000-0000-000050010000}"/>
    <cellStyle name="20% - 輔色2 2 14" xfId="3812" xr:uid="{00000000-0005-0000-0000-000051010000}"/>
    <cellStyle name="20% - 輔色2 2 14 2" xfId="4979" xr:uid="{00000000-0005-0000-0000-000052010000}"/>
    <cellStyle name="20% - 輔色2 2 2" xfId="35" xr:uid="{00000000-0005-0000-0000-000053010000}"/>
    <cellStyle name="20% - 輔色2 2 2 2" xfId="1969" xr:uid="{00000000-0005-0000-0000-000054010000}"/>
    <cellStyle name="20% - 輔色2 2 2 2 2" xfId="1970" xr:uid="{00000000-0005-0000-0000-000055010000}"/>
    <cellStyle name="20% - 輔色2 2 2 2 3" xfId="2459" xr:uid="{00000000-0005-0000-0000-000056010000}"/>
    <cellStyle name="20% - 輔色2 2 2 3" xfId="2458" xr:uid="{00000000-0005-0000-0000-000057010000}"/>
    <cellStyle name="20% - 輔色2 2 3" xfId="828" xr:uid="{00000000-0005-0000-0000-000058010000}"/>
    <cellStyle name="20% - 輔色2 2 4" xfId="1015" xr:uid="{00000000-0005-0000-0000-000059010000}"/>
    <cellStyle name="20% - 輔色2 2 4 2" xfId="2407" xr:uid="{00000000-0005-0000-0000-00005A010000}"/>
    <cellStyle name="20% - 輔色2 2 4 2 2" xfId="2899" xr:uid="{00000000-0005-0000-0000-00005B010000}"/>
    <cellStyle name="20% - 輔色2 2 4 2 3" xfId="3303" xr:uid="{00000000-0005-0000-0000-00005C010000}"/>
    <cellStyle name="20% - 輔色2 2 4 2 4" xfId="3305" xr:uid="{00000000-0005-0000-0000-00005D010000}"/>
    <cellStyle name="20% - 輔色2 2 4 3" xfId="3120" xr:uid="{00000000-0005-0000-0000-00005E010000}"/>
    <cellStyle name="20% - 輔色2 2 4 4" xfId="2858" xr:uid="{00000000-0005-0000-0000-00005F010000}"/>
    <cellStyle name="20% - 輔色2 2 5" xfId="1018" xr:uid="{00000000-0005-0000-0000-000060010000}"/>
    <cellStyle name="20% - 輔色2 2 6" xfId="923" xr:uid="{00000000-0005-0000-0000-000061010000}"/>
    <cellStyle name="20% - 輔色2 2 7" xfId="1263" xr:uid="{00000000-0005-0000-0000-000062010000}"/>
    <cellStyle name="20% - 輔色2 2 8" xfId="1397" xr:uid="{00000000-0005-0000-0000-000063010000}"/>
    <cellStyle name="20% - 輔色2 2 9" xfId="1468" xr:uid="{00000000-0005-0000-0000-000064010000}"/>
    <cellStyle name="20% - 輔色2 20" xfId="827" xr:uid="{00000000-0005-0000-0000-000065010000}"/>
    <cellStyle name="20% - 輔色2 21" xfId="1038" xr:uid="{00000000-0005-0000-0000-000066010000}"/>
    <cellStyle name="20% - 輔色2 22" xfId="1212" xr:uid="{00000000-0005-0000-0000-000067010000}"/>
    <cellStyle name="20% - 輔色2 23" xfId="823" xr:uid="{00000000-0005-0000-0000-000068010000}"/>
    <cellStyle name="20% - 輔色2 24" xfId="1280" xr:uid="{00000000-0005-0000-0000-000069010000}"/>
    <cellStyle name="20% - 輔色2 25" xfId="1417" xr:uid="{00000000-0005-0000-0000-00006A010000}"/>
    <cellStyle name="20% - 輔色2 26" xfId="1469" xr:uid="{00000000-0005-0000-0000-00006B010000}"/>
    <cellStyle name="20% - 輔色2 27" xfId="1401" xr:uid="{00000000-0005-0000-0000-00006C010000}"/>
    <cellStyle name="20% - 輔色2 28" xfId="1601" xr:uid="{00000000-0005-0000-0000-00006D010000}"/>
    <cellStyle name="20% - 輔色2 29" xfId="1626" xr:uid="{00000000-0005-0000-0000-00006E010000}"/>
    <cellStyle name="20% - 輔色2 3" xfId="36" xr:uid="{00000000-0005-0000-0000-00006F010000}"/>
    <cellStyle name="20% - 輔色2 3 2" xfId="3691" xr:uid="{00000000-0005-0000-0000-000070010000}"/>
    <cellStyle name="20% - 輔色2 3 2 2" xfId="4938" xr:uid="{00000000-0005-0000-0000-000071010000}"/>
    <cellStyle name="20% - 輔色2 3 3" xfId="3801" xr:uid="{00000000-0005-0000-0000-000072010000}"/>
    <cellStyle name="20% - 輔色2 3 3 2" xfId="4978" xr:uid="{00000000-0005-0000-0000-000073010000}"/>
    <cellStyle name="20% - 輔色2 30" xfId="3994" xr:uid="{00000000-0005-0000-0000-000074010000}"/>
    <cellStyle name="20% - 輔色2 4" xfId="37" xr:uid="{00000000-0005-0000-0000-000075010000}"/>
    <cellStyle name="20% - 輔色2 4 2" xfId="3692" xr:uid="{00000000-0005-0000-0000-000076010000}"/>
    <cellStyle name="20% - 輔色2 4 2 2" xfId="4939" xr:uid="{00000000-0005-0000-0000-000077010000}"/>
    <cellStyle name="20% - 輔色2 4 3" xfId="3790" xr:uid="{00000000-0005-0000-0000-000078010000}"/>
    <cellStyle name="20% - 輔色2 4 3 2" xfId="4977" xr:uid="{00000000-0005-0000-0000-000079010000}"/>
    <cellStyle name="20% - 輔色2 5" xfId="38" xr:uid="{00000000-0005-0000-0000-00007A010000}"/>
    <cellStyle name="20% - 輔色2 5 2" xfId="1833" xr:uid="{00000000-0005-0000-0000-00007B010000}"/>
    <cellStyle name="20% - 輔色2 5 2 2" xfId="4222" xr:uid="{00000000-0005-0000-0000-00007C010000}"/>
    <cellStyle name="20% - 輔色2 5 2 3" xfId="5064" xr:uid="{00000000-0005-0000-0000-00007D010000}"/>
    <cellStyle name="20% - 輔色2 5 2 4" xfId="5223" xr:uid="{00000000-0005-0000-0000-00007E010000}"/>
    <cellStyle name="20% - 輔色2 5 3" xfId="2631" xr:uid="{00000000-0005-0000-0000-00007F010000}"/>
    <cellStyle name="20% - 輔色2 5 4" xfId="3208" xr:uid="{00000000-0005-0000-0000-000080010000}"/>
    <cellStyle name="20% - 輔色2 5 4 2" xfId="4717" xr:uid="{00000000-0005-0000-0000-000081010000}"/>
    <cellStyle name="20% - 輔色2 5 5" xfId="3478" xr:uid="{00000000-0005-0000-0000-000082010000}"/>
    <cellStyle name="20% - 輔色2 5 5 2" xfId="4827" xr:uid="{00000000-0005-0000-0000-000083010000}"/>
    <cellStyle name="20% - 輔色2 5 6" xfId="4998" xr:uid="{00000000-0005-0000-0000-000084010000}"/>
    <cellStyle name="20% - 輔色2 5 7" xfId="5157" xr:uid="{00000000-0005-0000-0000-000085010000}"/>
    <cellStyle name="20% - 輔色2 6" xfId="39" xr:uid="{00000000-0005-0000-0000-000086010000}"/>
    <cellStyle name="20% - 輔色2 6 2" xfId="1875" xr:uid="{00000000-0005-0000-0000-000087010000}"/>
    <cellStyle name="20% - 輔色2 6 2 2" xfId="4235" xr:uid="{00000000-0005-0000-0000-000088010000}"/>
    <cellStyle name="20% - 輔色2 6 2 3" xfId="5077" xr:uid="{00000000-0005-0000-0000-000089010000}"/>
    <cellStyle name="20% - 輔色2 6 2 4" xfId="5236" xr:uid="{00000000-0005-0000-0000-00008A010000}"/>
    <cellStyle name="20% - 輔色2 6 3" xfId="2620" xr:uid="{00000000-0005-0000-0000-00008B010000}"/>
    <cellStyle name="20% - 輔色2 6 4" xfId="3191" xr:uid="{00000000-0005-0000-0000-00008C010000}"/>
    <cellStyle name="20% - 輔色2 6 4 2" xfId="4711" xr:uid="{00000000-0005-0000-0000-00008D010000}"/>
    <cellStyle name="20% - 輔色2 6 5" xfId="3476" xr:uid="{00000000-0005-0000-0000-00008E010000}"/>
    <cellStyle name="20% - 輔色2 6 5 2" xfId="4826" xr:uid="{00000000-0005-0000-0000-00008F010000}"/>
    <cellStyle name="20% - 輔色2 6 6" xfId="5011" xr:uid="{00000000-0005-0000-0000-000090010000}"/>
    <cellStyle name="20% - 輔色2 6 7" xfId="5170" xr:uid="{00000000-0005-0000-0000-000091010000}"/>
    <cellStyle name="20% - 輔色2 7" xfId="40" xr:uid="{00000000-0005-0000-0000-000092010000}"/>
    <cellStyle name="20% - 輔色2 7 2" xfId="1916" xr:uid="{00000000-0005-0000-0000-000093010000}"/>
    <cellStyle name="20% - 輔色2 7 2 2" xfId="4248" xr:uid="{00000000-0005-0000-0000-000094010000}"/>
    <cellStyle name="20% - 輔色2 7 2 3" xfId="5090" xr:uid="{00000000-0005-0000-0000-000095010000}"/>
    <cellStyle name="20% - 輔色2 7 2 4" xfId="5249" xr:uid="{00000000-0005-0000-0000-000096010000}"/>
    <cellStyle name="20% - 輔色2 7 3" xfId="2602" xr:uid="{00000000-0005-0000-0000-000097010000}"/>
    <cellStyle name="20% - 輔色2 7 4" xfId="2985" xr:uid="{00000000-0005-0000-0000-000098010000}"/>
    <cellStyle name="20% - 輔色2 7 4 2" xfId="4606" xr:uid="{00000000-0005-0000-0000-000099010000}"/>
    <cellStyle name="20% - 輔色2 7 5" xfId="2166" xr:uid="{00000000-0005-0000-0000-00009A010000}"/>
    <cellStyle name="20% - 輔色2 7 5 2" xfId="4341" xr:uid="{00000000-0005-0000-0000-00009B010000}"/>
    <cellStyle name="20% - 輔色2 7 6" xfId="5024" xr:uid="{00000000-0005-0000-0000-00009C010000}"/>
    <cellStyle name="20% - 輔色2 7 7" xfId="5183" xr:uid="{00000000-0005-0000-0000-00009D010000}"/>
    <cellStyle name="20% - 輔色2 8" xfId="345" xr:uid="{00000000-0005-0000-0000-00009E010000}"/>
    <cellStyle name="20% - 輔色2 8 2" xfId="1953" xr:uid="{00000000-0005-0000-0000-00009F010000}"/>
    <cellStyle name="20% - 輔色2 8 2 2" xfId="4268" xr:uid="{00000000-0005-0000-0000-0000A0010000}"/>
    <cellStyle name="20% - 輔色2 8 3" xfId="2189" xr:uid="{00000000-0005-0000-0000-0000A1010000}"/>
    <cellStyle name="20% - 輔色2 8 3 2" xfId="4357" xr:uid="{00000000-0005-0000-0000-0000A2010000}"/>
    <cellStyle name="20% - 輔色2 8 4" xfId="3113" xr:uid="{00000000-0005-0000-0000-0000A3010000}"/>
    <cellStyle name="20% - 輔色2 8 4 2" xfId="4666" xr:uid="{00000000-0005-0000-0000-0000A4010000}"/>
    <cellStyle name="20% - 輔色2 8 5" xfId="2930" xr:uid="{00000000-0005-0000-0000-0000A5010000}"/>
    <cellStyle name="20% - 輔色2 8 5 2" xfId="4582" xr:uid="{00000000-0005-0000-0000-0000A6010000}"/>
    <cellStyle name="20% - 輔色2 8 6" xfId="4012" xr:uid="{00000000-0005-0000-0000-0000A7010000}"/>
    <cellStyle name="20% - 輔色2 8 7" xfId="5038" xr:uid="{00000000-0005-0000-0000-0000A8010000}"/>
    <cellStyle name="20% - 輔色2 8 8" xfId="5197" xr:uid="{00000000-0005-0000-0000-0000A9010000}"/>
    <cellStyle name="20% - 輔色2 9" xfId="387" xr:uid="{00000000-0005-0000-0000-0000AA010000}"/>
    <cellStyle name="20% - 輔色2 9 2" xfId="2040" xr:uid="{00000000-0005-0000-0000-0000AB010000}"/>
    <cellStyle name="20% - 輔色2 9 2 2" xfId="4292" xr:uid="{00000000-0005-0000-0000-0000AC010000}"/>
    <cellStyle name="20% - 輔色2 9 3" xfId="3045" xr:uid="{00000000-0005-0000-0000-0000AD010000}"/>
    <cellStyle name="20% - 輔色2 9 3 2" xfId="4627" xr:uid="{00000000-0005-0000-0000-0000AE010000}"/>
    <cellStyle name="20% - 輔色2 9 4" xfId="3314" xr:uid="{00000000-0005-0000-0000-0000AF010000}"/>
    <cellStyle name="20% - 輔色2 9 4 2" xfId="4759" xr:uid="{00000000-0005-0000-0000-0000B0010000}"/>
    <cellStyle name="20% - 輔色2 9 5" xfId="3099" xr:uid="{00000000-0005-0000-0000-0000B1010000}"/>
    <cellStyle name="20% - 輔色2 9 5 2" xfId="4661" xr:uid="{00000000-0005-0000-0000-0000B2010000}"/>
    <cellStyle name="20% - 輔色2 9 6" xfId="4025" xr:uid="{00000000-0005-0000-0000-0000B3010000}"/>
    <cellStyle name="20% - 輔色2 9 7" xfId="5057" xr:uid="{00000000-0005-0000-0000-0000B4010000}"/>
    <cellStyle name="20% - 輔色2 9 8" xfId="5216" xr:uid="{00000000-0005-0000-0000-0000B5010000}"/>
    <cellStyle name="20% - 輔色3" xfId="3649" builtinId="38" customBuiltin="1"/>
    <cellStyle name="20% - 輔色3 10" xfId="432" xr:uid="{00000000-0005-0000-0000-0000B7010000}"/>
    <cellStyle name="20% - 輔色3 10 2" xfId="2176" xr:uid="{00000000-0005-0000-0000-0000B8010000}"/>
    <cellStyle name="20% - 輔色3 10 2 2" xfId="4347" xr:uid="{00000000-0005-0000-0000-0000B9010000}"/>
    <cellStyle name="20% - 輔色3 10 3" xfId="2760" xr:uid="{00000000-0005-0000-0000-0000BA010000}"/>
    <cellStyle name="20% - 輔色3 10 3 2" xfId="4499" xr:uid="{00000000-0005-0000-0000-0000BB010000}"/>
    <cellStyle name="20% - 輔色3 10 4" xfId="2330" xr:uid="{00000000-0005-0000-0000-0000BC010000}"/>
    <cellStyle name="20% - 輔色3 10 4 2" xfId="4422" xr:uid="{00000000-0005-0000-0000-0000BD010000}"/>
    <cellStyle name="20% - 輔色3 10 5" xfId="3296" xr:uid="{00000000-0005-0000-0000-0000BE010000}"/>
    <cellStyle name="20% - 輔色3 10 5 2" xfId="4752" xr:uid="{00000000-0005-0000-0000-0000BF010000}"/>
    <cellStyle name="20% - 輔色3 10 6" xfId="4040" xr:uid="{00000000-0005-0000-0000-0000C0010000}"/>
    <cellStyle name="20% - 輔色3 10 7" xfId="5105" xr:uid="{00000000-0005-0000-0000-0000C1010000}"/>
    <cellStyle name="20% - 輔色3 10 8" xfId="5264" xr:uid="{00000000-0005-0000-0000-0000C2010000}"/>
    <cellStyle name="20% - 輔色3 11" xfId="474" xr:uid="{00000000-0005-0000-0000-0000C3010000}"/>
    <cellStyle name="20% - 輔色3 11 2" xfId="2207" xr:uid="{00000000-0005-0000-0000-0000C4010000}"/>
    <cellStyle name="20% - 輔色3 11 2 2" xfId="4367" xr:uid="{00000000-0005-0000-0000-0000C5010000}"/>
    <cellStyle name="20% - 輔色3 11 3" xfId="3130" xr:uid="{00000000-0005-0000-0000-0000C6010000}"/>
    <cellStyle name="20% - 輔色3 11 3 2" xfId="4677" xr:uid="{00000000-0005-0000-0000-0000C7010000}"/>
    <cellStyle name="20% - 輔色3 11 4" xfId="2818" xr:uid="{00000000-0005-0000-0000-0000C8010000}"/>
    <cellStyle name="20% - 輔色3 11 4 2" xfId="4538" xr:uid="{00000000-0005-0000-0000-0000C9010000}"/>
    <cellStyle name="20% - 輔色3 11 5" xfId="2130" xr:uid="{00000000-0005-0000-0000-0000CA010000}"/>
    <cellStyle name="20% - 輔色3 11 5 2" xfId="4321" xr:uid="{00000000-0005-0000-0000-0000CB010000}"/>
    <cellStyle name="20% - 輔色3 11 6" xfId="4053" xr:uid="{00000000-0005-0000-0000-0000CC010000}"/>
    <cellStyle name="20% - 輔色3 11 7" xfId="5118" xr:uid="{00000000-0005-0000-0000-0000CD010000}"/>
    <cellStyle name="20% - 輔色3 11 8" xfId="5277" xr:uid="{00000000-0005-0000-0000-0000CE010000}"/>
    <cellStyle name="20% - 輔色3 12" xfId="515" xr:uid="{00000000-0005-0000-0000-0000CF010000}"/>
    <cellStyle name="20% - 輔色3 12 2" xfId="2233" xr:uid="{00000000-0005-0000-0000-0000D0010000}"/>
    <cellStyle name="20% - 輔色3 12 2 2" xfId="4386" xr:uid="{00000000-0005-0000-0000-0000D1010000}"/>
    <cellStyle name="20% - 輔色3 12 3" xfId="2851" xr:uid="{00000000-0005-0000-0000-0000D2010000}"/>
    <cellStyle name="20% - 輔色3 12 3 2" xfId="4557" xr:uid="{00000000-0005-0000-0000-0000D3010000}"/>
    <cellStyle name="20% - 輔色3 12 4" xfId="2963" xr:uid="{00000000-0005-0000-0000-0000D4010000}"/>
    <cellStyle name="20% - 輔色3 12 4 2" xfId="4597" xr:uid="{00000000-0005-0000-0000-0000D5010000}"/>
    <cellStyle name="20% - 輔色3 12 5" xfId="3579" xr:uid="{00000000-0005-0000-0000-0000D6010000}"/>
    <cellStyle name="20% - 輔色3 12 5 2" xfId="4884" xr:uid="{00000000-0005-0000-0000-0000D7010000}"/>
    <cellStyle name="20% - 輔色3 12 6" xfId="4066" xr:uid="{00000000-0005-0000-0000-0000D8010000}"/>
    <cellStyle name="20% - 輔色3 12 7" xfId="5131" xr:uid="{00000000-0005-0000-0000-0000D9010000}"/>
    <cellStyle name="20% - 輔色3 12 8" xfId="5290" xr:uid="{00000000-0005-0000-0000-0000DA010000}"/>
    <cellStyle name="20% - 輔色3 13" xfId="557" xr:uid="{00000000-0005-0000-0000-0000DB010000}"/>
    <cellStyle name="20% - 輔色3 13 2" xfId="2262" xr:uid="{00000000-0005-0000-0000-0000DC010000}"/>
    <cellStyle name="20% - 輔色3 13 2 2" xfId="4405" xr:uid="{00000000-0005-0000-0000-0000DD010000}"/>
    <cellStyle name="20% - 輔色3 13 3" xfId="3133" xr:uid="{00000000-0005-0000-0000-0000DE010000}"/>
    <cellStyle name="20% - 輔色3 13 3 2" xfId="4679" xr:uid="{00000000-0005-0000-0000-0000DF010000}"/>
    <cellStyle name="20% - 輔色3 13 4" xfId="3243" xr:uid="{00000000-0005-0000-0000-0000E0010000}"/>
    <cellStyle name="20% - 輔色3 13 4 2" xfId="4740" xr:uid="{00000000-0005-0000-0000-0000E1010000}"/>
    <cellStyle name="20% - 輔色3 13 5" xfId="3591" xr:uid="{00000000-0005-0000-0000-0000E2010000}"/>
    <cellStyle name="20% - 輔色3 13 5 2" xfId="4893" xr:uid="{00000000-0005-0000-0000-0000E3010000}"/>
    <cellStyle name="20% - 輔色3 13 6" xfId="4079" xr:uid="{00000000-0005-0000-0000-0000E4010000}"/>
    <cellStyle name="20% - 輔色3 13 7" xfId="5144" xr:uid="{00000000-0005-0000-0000-0000E5010000}"/>
    <cellStyle name="20% - 輔色3 13 8" xfId="5303" xr:uid="{00000000-0005-0000-0000-0000E6010000}"/>
    <cellStyle name="20% - 輔色3 14" xfId="598" xr:uid="{00000000-0005-0000-0000-0000E7010000}"/>
    <cellStyle name="20% - 輔色3 14 2" xfId="2312" xr:uid="{00000000-0005-0000-0000-0000E8010000}"/>
    <cellStyle name="20% - 輔色3 14 2 2" xfId="2656" xr:uid="{00000000-0005-0000-0000-0000E9010000}"/>
    <cellStyle name="20% - 輔色3 14 2 2 2" xfId="4435" xr:uid="{00000000-0005-0000-0000-0000EA010000}"/>
    <cellStyle name="20% - 輔色3 14 2 3" xfId="3083" xr:uid="{00000000-0005-0000-0000-0000EB010000}"/>
    <cellStyle name="20% - 輔色3 14 2 3 2" xfId="4651" xr:uid="{00000000-0005-0000-0000-0000EC010000}"/>
    <cellStyle name="20% - 輔色3 14 2 4" xfId="3001" xr:uid="{00000000-0005-0000-0000-0000ED010000}"/>
    <cellStyle name="20% - 輔色3 14 2 4 2" xfId="4613" xr:uid="{00000000-0005-0000-0000-0000EE010000}"/>
    <cellStyle name="20% - 輔色3 14 3" xfId="2708" xr:uid="{00000000-0005-0000-0000-0000EF010000}"/>
    <cellStyle name="20% - 輔色3 14 4" xfId="3184" xr:uid="{00000000-0005-0000-0000-0000F0010000}"/>
    <cellStyle name="20% - 輔色3 14 5" xfId="3568" xr:uid="{00000000-0005-0000-0000-0000F1010000}"/>
    <cellStyle name="20% - 輔色3 14 5 2" xfId="4873" xr:uid="{00000000-0005-0000-0000-0000F2010000}"/>
    <cellStyle name="20% - 輔色3 14 6" xfId="4092" xr:uid="{00000000-0005-0000-0000-0000F3010000}"/>
    <cellStyle name="20% - 輔色3 15" xfId="639" xr:uid="{00000000-0005-0000-0000-0000F4010000}"/>
    <cellStyle name="20% - 輔色3 15 2" xfId="2686" xr:uid="{00000000-0005-0000-0000-0000F5010000}"/>
    <cellStyle name="20% - 輔色3 15 2 2" xfId="4452" xr:uid="{00000000-0005-0000-0000-0000F6010000}"/>
    <cellStyle name="20% - 輔色3 15 3" xfId="3134" xr:uid="{00000000-0005-0000-0000-0000F7010000}"/>
    <cellStyle name="20% - 輔色3 15 3 2" xfId="4680" xr:uid="{00000000-0005-0000-0000-0000F8010000}"/>
    <cellStyle name="20% - 輔色3 15 4" xfId="3393" xr:uid="{00000000-0005-0000-0000-0000F9010000}"/>
    <cellStyle name="20% - 輔色3 15 4 2" xfId="4797" xr:uid="{00000000-0005-0000-0000-0000FA010000}"/>
    <cellStyle name="20% - 輔色3 15 5" xfId="3577" xr:uid="{00000000-0005-0000-0000-0000FB010000}"/>
    <cellStyle name="20% - 輔色3 15 5 2" xfId="4882" xr:uid="{00000000-0005-0000-0000-0000FC010000}"/>
    <cellStyle name="20% - 輔色3 15 6" xfId="4105" xr:uid="{00000000-0005-0000-0000-0000FD010000}"/>
    <cellStyle name="20% - 輔色3 16" xfId="681" xr:uid="{00000000-0005-0000-0000-0000FE010000}"/>
    <cellStyle name="20% - 輔色3 16 2" xfId="2716" xr:uid="{00000000-0005-0000-0000-0000FF010000}"/>
    <cellStyle name="20% - 輔色3 16 2 2" xfId="4470" xr:uid="{00000000-0005-0000-0000-000000020000}"/>
    <cellStyle name="20% - 輔色3 16 3" xfId="3016" xr:uid="{00000000-0005-0000-0000-000001020000}"/>
    <cellStyle name="20% - 輔色3 16 3 2" xfId="4618" xr:uid="{00000000-0005-0000-0000-000002020000}"/>
    <cellStyle name="20% - 輔色3 16 4" xfId="3374" xr:uid="{00000000-0005-0000-0000-000003020000}"/>
    <cellStyle name="20% - 輔色3 16 4 2" xfId="4787" xr:uid="{00000000-0005-0000-0000-000004020000}"/>
    <cellStyle name="20% - 輔色3 16 5" xfId="3602" xr:uid="{00000000-0005-0000-0000-000005020000}"/>
    <cellStyle name="20% - 輔色3 16 5 2" xfId="4902" xr:uid="{00000000-0005-0000-0000-000006020000}"/>
    <cellStyle name="20% - 輔色3 16 6" xfId="4118" xr:uid="{00000000-0005-0000-0000-000007020000}"/>
    <cellStyle name="20% - 輔色3 17" xfId="722" xr:uid="{00000000-0005-0000-0000-000008020000}"/>
    <cellStyle name="20% - 輔色3 17 2" xfId="2743" xr:uid="{00000000-0005-0000-0000-000009020000}"/>
    <cellStyle name="20% - 輔色3 17 2 2" xfId="4487" xr:uid="{00000000-0005-0000-0000-00000A020000}"/>
    <cellStyle name="20% - 輔色3 17 3" xfId="2105" xr:uid="{00000000-0005-0000-0000-00000B020000}"/>
    <cellStyle name="20% - 輔色3 17 3 2" xfId="4312" xr:uid="{00000000-0005-0000-0000-00000C020000}"/>
    <cellStyle name="20% - 輔色3 17 4" xfId="1714" xr:uid="{00000000-0005-0000-0000-00000D020000}"/>
    <cellStyle name="20% - 輔色3 17 4 2" xfId="4167" xr:uid="{00000000-0005-0000-0000-00000E020000}"/>
    <cellStyle name="20% - 輔色3 17 5" xfId="3563" xr:uid="{00000000-0005-0000-0000-00000F020000}"/>
    <cellStyle name="20% - 輔色3 17 5 2" xfId="4870" xr:uid="{00000000-0005-0000-0000-000010020000}"/>
    <cellStyle name="20% - 輔色3 17 6" xfId="4131" xr:uid="{00000000-0005-0000-0000-000011020000}"/>
    <cellStyle name="20% - 輔色3 18" xfId="763" xr:uid="{00000000-0005-0000-0000-000012020000}"/>
    <cellStyle name="20% - 輔色3 18 2" xfId="2768" xr:uid="{00000000-0005-0000-0000-000013020000}"/>
    <cellStyle name="20% - 輔色3 18 2 2" xfId="4504" xr:uid="{00000000-0005-0000-0000-000014020000}"/>
    <cellStyle name="20% - 輔色3 18 3" xfId="3067" xr:uid="{00000000-0005-0000-0000-000015020000}"/>
    <cellStyle name="20% - 輔色3 18 3 2" xfId="4640" xr:uid="{00000000-0005-0000-0000-000016020000}"/>
    <cellStyle name="20% - 輔色3 18 4" xfId="1715" xr:uid="{00000000-0005-0000-0000-000017020000}"/>
    <cellStyle name="20% - 輔色3 18 4 2" xfId="4168" xr:uid="{00000000-0005-0000-0000-000018020000}"/>
    <cellStyle name="20% - 輔色3 18 5" xfId="3418" xr:uid="{00000000-0005-0000-0000-000019020000}"/>
    <cellStyle name="20% - 輔色3 18 5 2" xfId="4807" xr:uid="{00000000-0005-0000-0000-00001A020000}"/>
    <cellStyle name="20% - 輔色3 18 6" xfId="4144" xr:uid="{00000000-0005-0000-0000-00001B020000}"/>
    <cellStyle name="20% - 輔色3 19" xfId="804" xr:uid="{00000000-0005-0000-0000-00001C020000}"/>
    <cellStyle name="20% - 輔色3 19 2" xfId="2795" xr:uid="{00000000-0005-0000-0000-00001D020000}"/>
    <cellStyle name="20% - 輔色3 19 2 2" xfId="4523" xr:uid="{00000000-0005-0000-0000-00001E020000}"/>
    <cellStyle name="20% - 輔色3 19 3" xfId="3213" xr:uid="{00000000-0005-0000-0000-00001F020000}"/>
    <cellStyle name="20% - 輔色3 19 3 2" xfId="4722" xr:uid="{00000000-0005-0000-0000-000020020000}"/>
    <cellStyle name="20% - 輔色3 19 4" xfId="3105" xr:uid="{00000000-0005-0000-0000-000021020000}"/>
    <cellStyle name="20% - 輔色3 19 4 2" xfId="4662" xr:uid="{00000000-0005-0000-0000-000022020000}"/>
    <cellStyle name="20% - 輔色3 19 5" xfId="3567" xr:uid="{00000000-0005-0000-0000-000023020000}"/>
    <cellStyle name="20% - 輔色3 19 5 2" xfId="4872" xr:uid="{00000000-0005-0000-0000-000024020000}"/>
    <cellStyle name="20% - 輔色3 19 6" xfId="4157" xr:uid="{00000000-0005-0000-0000-000025020000}"/>
    <cellStyle name="20% - 輔色3 2" xfId="41" xr:uid="{00000000-0005-0000-0000-000026020000}"/>
    <cellStyle name="20% - 輔色3 2 10" xfId="1394" xr:uid="{00000000-0005-0000-0000-000027020000}"/>
    <cellStyle name="20% - 輔色3 2 11" xfId="1598" xr:uid="{00000000-0005-0000-0000-000028020000}"/>
    <cellStyle name="20% - 輔色3 2 12" xfId="1563" xr:uid="{00000000-0005-0000-0000-000029020000}"/>
    <cellStyle name="20% - 輔色3 2 13" xfId="3693" xr:uid="{00000000-0005-0000-0000-00002A020000}"/>
    <cellStyle name="20% - 輔色3 2 13 2" xfId="4940" xr:uid="{00000000-0005-0000-0000-00002B020000}"/>
    <cellStyle name="20% - 輔色3 2 14" xfId="3779" xr:uid="{00000000-0005-0000-0000-00002C020000}"/>
    <cellStyle name="20% - 輔色3 2 14 2" xfId="4976" xr:uid="{00000000-0005-0000-0000-00002D020000}"/>
    <cellStyle name="20% - 輔色3 2 2" xfId="42" xr:uid="{00000000-0005-0000-0000-00002E020000}"/>
    <cellStyle name="20% - 輔色3 2 2 2" xfId="1971" xr:uid="{00000000-0005-0000-0000-00002F020000}"/>
    <cellStyle name="20% - 輔色3 2 2 2 2" xfId="1972" xr:uid="{00000000-0005-0000-0000-000030020000}"/>
    <cellStyle name="20% - 輔色3 2 2 2 3" xfId="2461" xr:uid="{00000000-0005-0000-0000-000031020000}"/>
    <cellStyle name="20% - 輔色3 2 2 3" xfId="2460" xr:uid="{00000000-0005-0000-0000-000032020000}"/>
    <cellStyle name="20% - 輔色3 2 3" xfId="832" xr:uid="{00000000-0005-0000-0000-000033020000}"/>
    <cellStyle name="20% - 輔色3 2 4" xfId="1228" xr:uid="{00000000-0005-0000-0000-000034020000}"/>
    <cellStyle name="20% - 輔色3 2 4 2" xfId="2574" xr:uid="{00000000-0005-0000-0000-000035020000}"/>
    <cellStyle name="20% - 輔色3 2 4 2 2" xfId="3015" xr:uid="{00000000-0005-0000-0000-000036020000}"/>
    <cellStyle name="20% - 輔色3 2 4 2 3" xfId="3394" xr:uid="{00000000-0005-0000-0000-000037020000}"/>
    <cellStyle name="20% - 輔色3 2 4 2 4" xfId="3522" xr:uid="{00000000-0005-0000-0000-000038020000}"/>
    <cellStyle name="20% - 輔色3 2 4 3" xfId="1746" xr:uid="{00000000-0005-0000-0000-000039020000}"/>
    <cellStyle name="20% - 輔色3 2 4 4" xfId="3532" xr:uid="{00000000-0005-0000-0000-00003A020000}"/>
    <cellStyle name="20% - 輔色3 2 5" xfId="1267" xr:uid="{00000000-0005-0000-0000-00003B020000}"/>
    <cellStyle name="20% - 輔色3 2 6" xfId="1309" xr:uid="{00000000-0005-0000-0000-00003C020000}"/>
    <cellStyle name="20% - 輔色3 2 7" xfId="866" xr:uid="{00000000-0005-0000-0000-00003D020000}"/>
    <cellStyle name="20% - 輔色3 2 8" xfId="1390" xr:uid="{00000000-0005-0000-0000-00003E020000}"/>
    <cellStyle name="20% - 輔色3 2 9" xfId="1464" xr:uid="{00000000-0005-0000-0000-00003F020000}"/>
    <cellStyle name="20% - 輔色3 20" xfId="831" xr:uid="{00000000-0005-0000-0000-000040020000}"/>
    <cellStyle name="20% - 輔色3 21" xfId="1244" xr:uid="{00000000-0005-0000-0000-000041020000}"/>
    <cellStyle name="20% - 輔色3 22" xfId="1285" xr:uid="{00000000-0005-0000-0000-000042020000}"/>
    <cellStyle name="20% - 輔色3 23" xfId="1324" xr:uid="{00000000-0005-0000-0000-000043020000}"/>
    <cellStyle name="20% - 輔色3 24" xfId="1102" xr:uid="{00000000-0005-0000-0000-000044020000}"/>
    <cellStyle name="20% - 輔色3 25" xfId="1391" xr:uid="{00000000-0005-0000-0000-000045020000}"/>
    <cellStyle name="20% - 輔色3 26" xfId="1465" xr:uid="{00000000-0005-0000-0000-000046020000}"/>
    <cellStyle name="20% - 輔色3 27" xfId="1395" xr:uid="{00000000-0005-0000-0000-000047020000}"/>
    <cellStyle name="20% - 輔色3 28" xfId="1619" xr:uid="{00000000-0005-0000-0000-000048020000}"/>
    <cellStyle name="20% - 輔色3 29" xfId="1664" xr:uid="{00000000-0005-0000-0000-000049020000}"/>
    <cellStyle name="20% - 輔色3 3" xfId="43" xr:uid="{00000000-0005-0000-0000-00004A020000}"/>
    <cellStyle name="20% - 輔色3 3 2" xfId="3694" xr:uid="{00000000-0005-0000-0000-00004B020000}"/>
    <cellStyle name="20% - 輔色3 3 2 2" xfId="4941" xr:uid="{00000000-0005-0000-0000-00004C020000}"/>
    <cellStyle name="20% - 輔色3 3 3" xfId="3768" xr:uid="{00000000-0005-0000-0000-00004D020000}"/>
    <cellStyle name="20% - 輔色3 3 3 2" xfId="4975" xr:uid="{00000000-0005-0000-0000-00004E020000}"/>
    <cellStyle name="20% - 輔色3 30" xfId="3996" xr:uid="{00000000-0005-0000-0000-00004F020000}"/>
    <cellStyle name="20% - 輔色3 4" xfId="44" xr:uid="{00000000-0005-0000-0000-000050020000}"/>
    <cellStyle name="20% - 輔色3 4 2" xfId="3695" xr:uid="{00000000-0005-0000-0000-000051020000}"/>
    <cellStyle name="20% - 輔色3 4 2 2" xfId="4942" xr:uid="{00000000-0005-0000-0000-000052020000}"/>
    <cellStyle name="20% - 輔色3 4 3" xfId="3757" xr:uid="{00000000-0005-0000-0000-000053020000}"/>
    <cellStyle name="20% - 輔色3 4 3 2" xfId="4974" xr:uid="{00000000-0005-0000-0000-000054020000}"/>
    <cellStyle name="20% - 輔色3 5" xfId="45" xr:uid="{00000000-0005-0000-0000-000055020000}"/>
    <cellStyle name="20% - 輔色3 5 2" xfId="1837" xr:uid="{00000000-0005-0000-0000-000056020000}"/>
    <cellStyle name="20% - 輔色3 5 2 2" xfId="4224" xr:uid="{00000000-0005-0000-0000-000057020000}"/>
    <cellStyle name="20% - 輔色3 5 2 3" xfId="5066" xr:uid="{00000000-0005-0000-0000-000058020000}"/>
    <cellStyle name="20% - 輔色3 5 2 4" xfId="5225" xr:uid="{00000000-0005-0000-0000-000059020000}"/>
    <cellStyle name="20% - 輔色3 5 3" xfId="2391" xr:uid="{00000000-0005-0000-0000-00005A020000}"/>
    <cellStyle name="20% - 輔色3 5 4" xfId="2070" xr:uid="{00000000-0005-0000-0000-00005B020000}"/>
    <cellStyle name="20% - 輔色3 5 4 2" xfId="4299" xr:uid="{00000000-0005-0000-0000-00005C020000}"/>
    <cellStyle name="20% - 輔色3 5 5" xfId="2275" xr:uid="{00000000-0005-0000-0000-00005D020000}"/>
    <cellStyle name="20% - 輔色3 5 5 2" xfId="4414" xr:uid="{00000000-0005-0000-0000-00005E020000}"/>
    <cellStyle name="20% - 輔色3 5 6" xfId="5000" xr:uid="{00000000-0005-0000-0000-00005F020000}"/>
    <cellStyle name="20% - 輔色3 5 7" xfId="5159" xr:uid="{00000000-0005-0000-0000-000060020000}"/>
    <cellStyle name="20% - 輔色3 6" xfId="46" xr:uid="{00000000-0005-0000-0000-000061020000}"/>
    <cellStyle name="20% - 輔色3 6 2" xfId="1879" xr:uid="{00000000-0005-0000-0000-000062020000}"/>
    <cellStyle name="20% - 輔色3 6 2 2" xfId="4237" xr:uid="{00000000-0005-0000-0000-000063020000}"/>
    <cellStyle name="20% - 輔色3 6 2 3" xfId="5079" xr:uid="{00000000-0005-0000-0000-000064020000}"/>
    <cellStyle name="20% - 輔色3 6 2 4" xfId="5238" xr:uid="{00000000-0005-0000-0000-000065020000}"/>
    <cellStyle name="20% - 輔色3 6 3" xfId="2390" xr:uid="{00000000-0005-0000-0000-000066020000}"/>
    <cellStyle name="20% - 輔色3 6 4" xfId="2134" xr:uid="{00000000-0005-0000-0000-000067020000}"/>
    <cellStyle name="20% - 輔色3 6 4 2" xfId="4324" xr:uid="{00000000-0005-0000-0000-000068020000}"/>
    <cellStyle name="20% - 輔色3 6 5" xfId="2187" xr:uid="{00000000-0005-0000-0000-000069020000}"/>
    <cellStyle name="20% - 輔色3 6 5 2" xfId="4356" xr:uid="{00000000-0005-0000-0000-00006A020000}"/>
    <cellStyle name="20% - 輔色3 6 6" xfId="5013" xr:uid="{00000000-0005-0000-0000-00006B020000}"/>
    <cellStyle name="20% - 輔色3 6 7" xfId="5172" xr:uid="{00000000-0005-0000-0000-00006C020000}"/>
    <cellStyle name="20% - 輔色3 7" xfId="47" xr:uid="{00000000-0005-0000-0000-00006D020000}"/>
    <cellStyle name="20% - 輔色3 7 2" xfId="1920" xr:uid="{00000000-0005-0000-0000-00006E020000}"/>
    <cellStyle name="20% - 輔色3 7 2 2" xfId="4250" xr:uid="{00000000-0005-0000-0000-00006F020000}"/>
    <cellStyle name="20% - 輔色3 7 2 3" xfId="5092" xr:uid="{00000000-0005-0000-0000-000070020000}"/>
    <cellStyle name="20% - 輔色3 7 2 4" xfId="5251" xr:uid="{00000000-0005-0000-0000-000071020000}"/>
    <cellStyle name="20% - 輔色3 7 3" xfId="2545" xr:uid="{00000000-0005-0000-0000-000072020000}"/>
    <cellStyle name="20% - 輔色3 7 4" xfId="2780" xr:uid="{00000000-0005-0000-0000-000073020000}"/>
    <cellStyle name="20% - 輔色3 7 4 2" xfId="4513" xr:uid="{00000000-0005-0000-0000-000074020000}"/>
    <cellStyle name="20% - 輔色3 7 5" xfId="3381" xr:uid="{00000000-0005-0000-0000-000075020000}"/>
    <cellStyle name="20% - 輔色3 7 5 2" xfId="4792" xr:uid="{00000000-0005-0000-0000-000076020000}"/>
    <cellStyle name="20% - 輔色3 7 6" xfId="5026" xr:uid="{00000000-0005-0000-0000-000077020000}"/>
    <cellStyle name="20% - 輔色3 7 7" xfId="5185" xr:uid="{00000000-0005-0000-0000-000078020000}"/>
    <cellStyle name="20% - 輔色3 8" xfId="349" xr:uid="{00000000-0005-0000-0000-000079020000}"/>
    <cellStyle name="20% - 輔色3 8 2" xfId="1957" xr:uid="{00000000-0005-0000-0000-00007A020000}"/>
    <cellStyle name="20% - 輔色3 8 2 2" xfId="4272" xr:uid="{00000000-0005-0000-0000-00007B020000}"/>
    <cellStyle name="20% - 輔色3 8 3" xfId="2242" xr:uid="{00000000-0005-0000-0000-00007C020000}"/>
    <cellStyle name="20% - 輔色3 8 3 2" xfId="4394" xr:uid="{00000000-0005-0000-0000-00007D020000}"/>
    <cellStyle name="20% - 輔色3 8 4" xfId="2125" xr:uid="{00000000-0005-0000-0000-00007E020000}"/>
    <cellStyle name="20% - 輔色3 8 4 2" xfId="4319" xr:uid="{00000000-0005-0000-0000-00007F020000}"/>
    <cellStyle name="20% - 輔色3 8 5" xfId="3382" xr:uid="{00000000-0005-0000-0000-000080020000}"/>
    <cellStyle name="20% - 輔色3 8 5 2" xfId="4793" xr:uid="{00000000-0005-0000-0000-000081020000}"/>
    <cellStyle name="20% - 輔色3 8 6" xfId="4014" xr:uid="{00000000-0005-0000-0000-000082020000}"/>
    <cellStyle name="20% - 輔色3 8 7" xfId="5040" xr:uid="{00000000-0005-0000-0000-000083020000}"/>
    <cellStyle name="20% - 輔色3 8 8" xfId="5199" xr:uid="{00000000-0005-0000-0000-000084020000}"/>
    <cellStyle name="20% - 輔色3 9" xfId="391" xr:uid="{00000000-0005-0000-0000-000085020000}"/>
    <cellStyle name="20% - 輔色3 9 2" xfId="2033" xr:uid="{00000000-0005-0000-0000-000086020000}"/>
    <cellStyle name="20% - 輔色3 9 2 2" xfId="4289" xr:uid="{00000000-0005-0000-0000-000087020000}"/>
    <cellStyle name="20% - 輔色3 9 3" xfId="2126" xr:uid="{00000000-0005-0000-0000-000088020000}"/>
    <cellStyle name="20% - 輔色3 9 3 2" xfId="4320" xr:uid="{00000000-0005-0000-0000-000089020000}"/>
    <cellStyle name="20% - 輔色3 9 4" xfId="3440" xr:uid="{00000000-0005-0000-0000-00008A020000}"/>
    <cellStyle name="20% - 輔色3 9 4 2" xfId="4813" xr:uid="{00000000-0005-0000-0000-00008B020000}"/>
    <cellStyle name="20% - 輔色3 9 5" xfId="2866" xr:uid="{00000000-0005-0000-0000-00008C020000}"/>
    <cellStyle name="20% - 輔色3 9 5 2" xfId="4561" xr:uid="{00000000-0005-0000-0000-00008D020000}"/>
    <cellStyle name="20% - 輔色3 9 6" xfId="4027" xr:uid="{00000000-0005-0000-0000-00008E020000}"/>
    <cellStyle name="20% - 輔色3 9 7" xfId="5055" xr:uid="{00000000-0005-0000-0000-00008F020000}"/>
    <cellStyle name="20% - 輔色3 9 8" xfId="5214" xr:uid="{00000000-0005-0000-0000-000090020000}"/>
    <cellStyle name="20% - 輔色4" xfId="3653" builtinId="42" customBuiltin="1"/>
    <cellStyle name="20% - 輔色4 10" xfId="436" xr:uid="{00000000-0005-0000-0000-000092020000}"/>
    <cellStyle name="20% - 輔色4 10 2" xfId="2179" xr:uid="{00000000-0005-0000-0000-000093020000}"/>
    <cellStyle name="20% - 輔色4 10 2 2" xfId="4350" xr:uid="{00000000-0005-0000-0000-000094020000}"/>
    <cellStyle name="20% - 輔色4 10 3" xfId="2253" xr:uid="{00000000-0005-0000-0000-000095020000}"/>
    <cellStyle name="20% - 輔色4 10 3 2" xfId="4399" xr:uid="{00000000-0005-0000-0000-000096020000}"/>
    <cellStyle name="20% - 輔色4 10 4" xfId="3537" xr:uid="{00000000-0005-0000-0000-000097020000}"/>
    <cellStyle name="20% - 輔色4 10 4 2" xfId="4860" xr:uid="{00000000-0005-0000-0000-000098020000}"/>
    <cellStyle name="20% - 輔色4 10 5" xfId="3610" xr:uid="{00000000-0005-0000-0000-000099020000}"/>
    <cellStyle name="20% - 輔色4 10 5 2" xfId="4909" xr:uid="{00000000-0005-0000-0000-00009A020000}"/>
    <cellStyle name="20% - 輔色4 10 6" xfId="4042" xr:uid="{00000000-0005-0000-0000-00009B020000}"/>
    <cellStyle name="20% - 輔色4 10 7" xfId="5107" xr:uid="{00000000-0005-0000-0000-00009C020000}"/>
    <cellStyle name="20% - 輔色4 10 8" xfId="5266" xr:uid="{00000000-0005-0000-0000-00009D020000}"/>
    <cellStyle name="20% - 輔色4 11" xfId="478" xr:uid="{00000000-0005-0000-0000-00009E020000}"/>
    <cellStyle name="20% - 輔色4 11 2" xfId="2211" xr:uid="{00000000-0005-0000-0000-00009F020000}"/>
    <cellStyle name="20% - 輔色4 11 2 2" xfId="4371" xr:uid="{00000000-0005-0000-0000-0000A0020000}"/>
    <cellStyle name="20% - 輔色4 11 3" xfId="2951" xr:uid="{00000000-0005-0000-0000-0000A1020000}"/>
    <cellStyle name="20% - 輔色4 11 3 2" xfId="4593" xr:uid="{00000000-0005-0000-0000-0000A2020000}"/>
    <cellStyle name="20% - 輔色4 11 4" xfId="1944" xr:uid="{00000000-0005-0000-0000-0000A3020000}"/>
    <cellStyle name="20% - 輔色4 11 4 2" xfId="4264" xr:uid="{00000000-0005-0000-0000-0000A4020000}"/>
    <cellStyle name="20% - 輔色4 11 5" xfId="2974" xr:uid="{00000000-0005-0000-0000-0000A5020000}"/>
    <cellStyle name="20% - 輔色4 11 5 2" xfId="4603" xr:uid="{00000000-0005-0000-0000-0000A6020000}"/>
    <cellStyle name="20% - 輔色4 11 6" xfId="4055" xr:uid="{00000000-0005-0000-0000-0000A7020000}"/>
    <cellStyle name="20% - 輔色4 11 7" xfId="5120" xr:uid="{00000000-0005-0000-0000-0000A8020000}"/>
    <cellStyle name="20% - 輔色4 11 8" xfId="5279" xr:uid="{00000000-0005-0000-0000-0000A9020000}"/>
    <cellStyle name="20% - 輔色4 12" xfId="519" xr:uid="{00000000-0005-0000-0000-0000AA020000}"/>
    <cellStyle name="20% - 輔色4 12 2" xfId="2235" xr:uid="{00000000-0005-0000-0000-0000AB020000}"/>
    <cellStyle name="20% - 輔色4 12 2 2" xfId="4388" xr:uid="{00000000-0005-0000-0000-0000AC020000}"/>
    <cellStyle name="20% - 輔色4 12 3" xfId="3061" xr:uid="{00000000-0005-0000-0000-0000AD020000}"/>
    <cellStyle name="20% - 輔色4 12 3 2" xfId="4637" xr:uid="{00000000-0005-0000-0000-0000AE020000}"/>
    <cellStyle name="20% - 輔色4 12 4" xfId="1743" xr:uid="{00000000-0005-0000-0000-0000AF020000}"/>
    <cellStyle name="20% - 輔色4 12 4 2" xfId="4190" xr:uid="{00000000-0005-0000-0000-0000B0020000}"/>
    <cellStyle name="20% - 輔色4 12 5" xfId="3558" xr:uid="{00000000-0005-0000-0000-0000B1020000}"/>
    <cellStyle name="20% - 輔色4 12 5 2" xfId="4868" xr:uid="{00000000-0005-0000-0000-0000B2020000}"/>
    <cellStyle name="20% - 輔色4 12 6" xfId="4068" xr:uid="{00000000-0005-0000-0000-0000B3020000}"/>
    <cellStyle name="20% - 輔色4 12 7" xfId="5133" xr:uid="{00000000-0005-0000-0000-0000B4020000}"/>
    <cellStyle name="20% - 輔色4 12 8" xfId="5292" xr:uid="{00000000-0005-0000-0000-0000B5020000}"/>
    <cellStyle name="20% - 輔色4 13" xfId="561" xr:uid="{00000000-0005-0000-0000-0000B6020000}"/>
    <cellStyle name="20% - 輔色4 13 2" xfId="2264" xr:uid="{00000000-0005-0000-0000-0000B7020000}"/>
    <cellStyle name="20% - 輔色4 13 2 2" xfId="4407" xr:uid="{00000000-0005-0000-0000-0000B8020000}"/>
    <cellStyle name="20% - 輔色4 13 3" xfId="2941" xr:uid="{00000000-0005-0000-0000-0000B9020000}"/>
    <cellStyle name="20% - 輔色4 13 3 2" xfId="4585" xr:uid="{00000000-0005-0000-0000-0000BA020000}"/>
    <cellStyle name="20% - 輔色4 13 4" xfId="2849" xr:uid="{00000000-0005-0000-0000-0000BB020000}"/>
    <cellStyle name="20% - 輔色4 13 4 2" xfId="4556" xr:uid="{00000000-0005-0000-0000-0000BC020000}"/>
    <cellStyle name="20% - 輔色4 13 5" xfId="3129" xr:uid="{00000000-0005-0000-0000-0000BD020000}"/>
    <cellStyle name="20% - 輔色4 13 5 2" xfId="4676" xr:uid="{00000000-0005-0000-0000-0000BE020000}"/>
    <cellStyle name="20% - 輔色4 13 6" xfId="4081" xr:uid="{00000000-0005-0000-0000-0000BF020000}"/>
    <cellStyle name="20% - 輔色4 13 7" xfId="5146" xr:uid="{00000000-0005-0000-0000-0000C0020000}"/>
    <cellStyle name="20% - 輔色4 13 8" xfId="5305" xr:uid="{00000000-0005-0000-0000-0000C1020000}"/>
    <cellStyle name="20% - 輔色4 14" xfId="602" xr:uid="{00000000-0005-0000-0000-0000C2020000}"/>
    <cellStyle name="20% - 輔色4 14 2" xfId="2314" xr:uid="{00000000-0005-0000-0000-0000C3020000}"/>
    <cellStyle name="20% - 輔色4 14 2 2" xfId="2660" xr:uid="{00000000-0005-0000-0000-0000C4020000}"/>
    <cellStyle name="20% - 輔色4 14 2 2 2" xfId="4437" xr:uid="{00000000-0005-0000-0000-0000C5020000}"/>
    <cellStyle name="20% - 輔色4 14 2 3" xfId="2964" xr:uid="{00000000-0005-0000-0000-0000C6020000}"/>
    <cellStyle name="20% - 輔色4 14 2 3 2" xfId="4598" xr:uid="{00000000-0005-0000-0000-0000C7020000}"/>
    <cellStyle name="20% - 輔色4 14 2 4" xfId="2246" xr:uid="{00000000-0005-0000-0000-0000C8020000}"/>
    <cellStyle name="20% - 輔色4 14 2 4 2" xfId="4395" xr:uid="{00000000-0005-0000-0000-0000C9020000}"/>
    <cellStyle name="20% - 輔色4 14 3" xfId="2254" xr:uid="{00000000-0005-0000-0000-0000CA020000}"/>
    <cellStyle name="20% - 輔色4 14 4" xfId="3456" xr:uid="{00000000-0005-0000-0000-0000CB020000}"/>
    <cellStyle name="20% - 輔色4 14 5" xfId="3587" xr:uid="{00000000-0005-0000-0000-0000CC020000}"/>
    <cellStyle name="20% - 輔色4 14 5 2" xfId="4890" xr:uid="{00000000-0005-0000-0000-0000CD020000}"/>
    <cellStyle name="20% - 輔色4 14 6" xfId="4094" xr:uid="{00000000-0005-0000-0000-0000CE020000}"/>
    <cellStyle name="20% - 輔色4 15" xfId="643" xr:uid="{00000000-0005-0000-0000-0000CF020000}"/>
    <cellStyle name="20% - 輔色4 15 2" xfId="2689" xr:uid="{00000000-0005-0000-0000-0000D0020000}"/>
    <cellStyle name="20% - 輔色4 15 2 2" xfId="4455" xr:uid="{00000000-0005-0000-0000-0000D1020000}"/>
    <cellStyle name="20% - 輔色4 15 3" xfId="2098" xr:uid="{00000000-0005-0000-0000-0000D2020000}"/>
    <cellStyle name="20% - 輔色4 15 3 2" xfId="4308" xr:uid="{00000000-0005-0000-0000-0000D3020000}"/>
    <cellStyle name="20% - 輔色4 15 4" xfId="3005" xr:uid="{00000000-0005-0000-0000-0000D4020000}"/>
    <cellStyle name="20% - 輔色4 15 4 2" xfId="4615" xr:uid="{00000000-0005-0000-0000-0000D5020000}"/>
    <cellStyle name="20% - 輔色4 15 5" xfId="2338" xr:uid="{00000000-0005-0000-0000-0000D6020000}"/>
    <cellStyle name="20% - 輔色4 15 5 2" xfId="4423" xr:uid="{00000000-0005-0000-0000-0000D7020000}"/>
    <cellStyle name="20% - 輔色4 15 6" xfId="4107" xr:uid="{00000000-0005-0000-0000-0000D8020000}"/>
    <cellStyle name="20% - 輔色4 16" xfId="685" xr:uid="{00000000-0005-0000-0000-0000D9020000}"/>
    <cellStyle name="20% - 輔色4 16 2" xfId="2720" xr:uid="{00000000-0005-0000-0000-0000DA020000}"/>
    <cellStyle name="20% - 輔色4 16 2 2" xfId="4472" xr:uid="{00000000-0005-0000-0000-0000DB020000}"/>
    <cellStyle name="20% - 輔色4 16 3" xfId="3053" xr:uid="{00000000-0005-0000-0000-0000DC020000}"/>
    <cellStyle name="20% - 輔色4 16 3 2" xfId="4634" xr:uid="{00000000-0005-0000-0000-0000DD020000}"/>
    <cellStyle name="20% - 輔色4 16 4" xfId="3336" xr:uid="{00000000-0005-0000-0000-0000DE020000}"/>
    <cellStyle name="20% - 輔色4 16 4 2" xfId="4768" xr:uid="{00000000-0005-0000-0000-0000DF020000}"/>
    <cellStyle name="20% - 輔色4 16 5" xfId="3572" xr:uid="{00000000-0005-0000-0000-0000E0020000}"/>
    <cellStyle name="20% - 輔色4 16 5 2" xfId="4877" xr:uid="{00000000-0005-0000-0000-0000E1020000}"/>
    <cellStyle name="20% - 輔色4 16 6" xfId="4120" xr:uid="{00000000-0005-0000-0000-0000E2020000}"/>
    <cellStyle name="20% - 輔色4 17" xfId="726" xr:uid="{00000000-0005-0000-0000-0000E3020000}"/>
    <cellStyle name="20% - 輔色4 17 2" xfId="2746" xr:uid="{00000000-0005-0000-0000-0000E4020000}"/>
    <cellStyle name="20% - 輔色4 17 2 2" xfId="4490" xr:uid="{00000000-0005-0000-0000-0000E5020000}"/>
    <cellStyle name="20% - 輔色4 17 3" xfId="3198" xr:uid="{00000000-0005-0000-0000-0000E6020000}"/>
    <cellStyle name="20% - 輔色4 17 3 2" xfId="4713" xr:uid="{00000000-0005-0000-0000-0000E7020000}"/>
    <cellStyle name="20% - 輔色4 17 4" xfId="3461" xr:uid="{00000000-0005-0000-0000-0000E8020000}"/>
    <cellStyle name="20% - 輔色4 17 4 2" xfId="4819" xr:uid="{00000000-0005-0000-0000-0000E9020000}"/>
    <cellStyle name="20% - 輔色4 17 5" xfId="2908" xr:uid="{00000000-0005-0000-0000-0000EA020000}"/>
    <cellStyle name="20% - 輔色4 17 5 2" xfId="4575" xr:uid="{00000000-0005-0000-0000-0000EB020000}"/>
    <cellStyle name="20% - 輔色4 17 6" xfId="4133" xr:uid="{00000000-0005-0000-0000-0000EC020000}"/>
    <cellStyle name="20% - 輔色4 18" xfId="767" xr:uid="{00000000-0005-0000-0000-0000ED020000}"/>
    <cellStyle name="20% - 輔色4 18 2" xfId="2771" xr:uid="{00000000-0005-0000-0000-0000EE020000}"/>
    <cellStyle name="20% - 輔色4 18 2 2" xfId="4506" xr:uid="{00000000-0005-0000-0000-0000EF020000}"/>
    <cellStyle name="20% - 輔色4 18 3" xfId="1722" xr:uid="{00000000-0005-0000-0000-0000F0020000}"/>
    <cellStyle name="20% - 輔色4 18 3 2" xfId="4174" xr:uid="{00000000-0005-0000-0000-0000F1020000}"/>
    <cellStyle name="20% - 輔色4 18 4" xfId="3290" xr:uid="{00000000-0005-0000-0000-0000F2020000}"/>
    <cellStyle name="20% - 輔色4 18 4 2" xfId="4749" xr:uid="{00000000-0005-0000-0000-0000F3020000}"/>
    <cellStyle name="20% - 輔色4 18 5" xfId="3221" xr:uid="{00000000-0005-0000-0000-0000F4020000}"/>
    <cellStyle name="20% - 輔色4 18 5 2" xfId="4724" xr:uid="{00000000-0005-0000-0000-0000F5020000}"/>
    <cellStyle name="20% - 輔色4 18 6" xfId="4146" xr:uid="{00000000-0005-0000-0000-0000F6020000}"/>
    <cellStyle name="20% - 輔色4 19" xfId="808" xr:uid="{00000000-0005-0000-0000-0000F7020000}"/>
    <cellStyle name="20% - 輔色4 19 2" xfId="2799" xr:uid="{00000000-0005-0000-0000-0000F8020000}"/>
    <cellStyle name="20% - 輔色4 19 2 2" xfId="4525" xr:uid="{00000000-0005-0000-0000-0000F9020000}"/>
    <cellStyle name="20% - 輔色4 19 3" xfId="2944" xr:uid="{00000000-0005-0000-0000-0000FA020000}"/>
    <cellStyle name="20% - 輔色4 19 3 2" xfId="4587" xr:uid="{00000000-0005-0000-0000-0000FB020000}"/>
    <cellStyle name="20% - 輔色4 19 4" xfId="3397" xr:uid="{00000000-0005-0000-0000-0000FC020000}"/>
    <cellStyle name="20% - 輔色4 19 4 2" xfId="4798" xr:uid="{00000000-0005-0000-0000-0000FD020000}"/>
    <cellStyle name="20% - 輔色4 19 5" xfId="3423" xr:uid="{00000000-0005-0000-0000-0000FE020000}"/>
    <cellStyle name="20% - 輔色4 19 5 2" xfId="4809" xr:uid="{00000000-0005-0000-0000-0000FF020000}"/>
    <cellStyle name="20% - 輔色4 19 6" xfId="4159" xr:uid="{00000000-0005-0000-0000-000000030000}"/>
    <cellStyle name="20% - 輔色4 2" xfId="48" xr:uid="{00000000-0005-0000-0000-000001030000}"/>
    <cellStyle name="20% - 輔色4 2 10" xfId="1384" xr:uid="{00000000-0005-0000-0000-000002030000}"/>
    <cellStyle name="20% - 輔色4 2 11" xfId="1618" xr:uid="{00000000-0005-0000-0000-000003030000}"/>
    <cellStyle name="20% - 輔色4 2 12" xfId="1663" xr:uid="{00000000-0005-0000-0000-000004030000}"/>
    <cellStyle name="20% - 輔色4 2 13" xfId="3696" xr:uid="{00000000-0005-0000-0000-000005030000}"/>
    <cellStyle name="20% - 輔色4 2 13 2" xfId="4943" xr:uid="{00000000-0005-0000-0000-000006030000}"/>
    <cellStyle name="20% - 輔色4 2 14" xfId="3746" xr:uid="{00000000-0005-0000-0000-000007030000}"/>
    <cellStyle name="20% - 輔色4 2 14 2" xfId="4973" xr:uid="{00000000-0005-0000-0000-000008030000}"/>
    <cellStyle name="20% - 輔色4 2 2" xfId="49" xr:uid="{00000000-0005-0000-0000-000009030000}"/>
    <cellStyle name="20% - 輔色4 2 2 2" xfId="1973" xr:uid="{00000000-0005-0000-0000-00000A030000}"/>
    <cellStyle name="20% - 輔色4 2 2 2 2" xfId="1974" xr:uid="{00000000-0005-0000-0000-00000B030000}"/>
    <cellStyle name="20% - 輔色4 2 2 2 3" xfId="2463" xr:uid="{00000000-0005-0000-0000-00000C030000}"/>
    <cellStyle name="20% - 輔色4 2 2 3" xfId="2462" xr:uid="{00000000-0005-0000-0000-00000D030000}"/>
    <cellStyle name="20% - 輔色4 2 3" xfId="837" xr:uid="{00000000-0005-0000-0000-00000E030000}"/>
    <cellStyle name="20% - 輔色4 2 4" xfId="1073" xr:uid="{00000000-0005-0000-0000-00000F030000}"/>
    <cellStyle name="20% - 輔色4 2 4 2" xfId="2444" xr:uid="{00000000-0005-0000-0000-000010030000}"/>
    <cellStyle name="20% - 輔色4 2 4 2 2" xfId="2931" xr:uid="{00000000-0005-0000-0000-000011030000}"/>
    <cellStyle name="20% - 輔色4 2 4 2 3" xfId="3326" xr:uid="{00000000-0005-0000-0000-000012030000}"/>
    <cellStyle name="20% - 輔色4 2 4 2 4" xfId="3439" xr:uid="{00000000-0005-0000-0000-000013030000}"/>
    <cellStyle name="20% - 輔色4 2 4 3" xfId="3206" xr:uid="{00000000-0005-0000-0000-000014030000}"/>
    <cellStyle name="20% - 輔色4 2 4 4" xfId="3234" xr:uid="{00000000-0005-0000-0000-000015030000}"/>
    <cellStyle name="20% - 輔色4 2 5" xfId="1093" xr:uid="{00000000-0005-0000-0000-000016030000}"/>
    <cellStyle name="20% - 輔色4 2 6" xfId="1176" xr:uid="{00000000-0005-0000-0000-000017030000}"/>
    <cellStyle name="20% - 輔色4 2 7" xfId="1243" xr:uid="{00000000-0005-0000-0000-000018030000}"/>
    <cellStyle name="20% - 輔色4 2 8" xfId="1382" xr:uid="{00000000-0005-0000-0000-000019030000}"/>
    <cellStyle name="20% - 輔色4 2 9" xfId="1459" xr:uid="{00000000-0005-0000-0000-00001A030000}"/>
    <cellStyle name="20% - 輔色4 20" xfId="836" xr:uid="{00000000-0005-0000-0000-00001B030000}"/>
    <cellStyle name="20% - 輔色4 21" xfId="1099" xr:uid="{00000000-0005-0000-0000-00001C030000}"/>
    <cellStyle name="20% - 輔色4 22" xfId="881" xr:uid="{00000000-0005-0000-0000-00001D030000}"/>
    <cellStyle name="20% - 輔色4 23" xfId="1098" xr:uid="{00000000-0005-0000-0000-00001E030000}"/>
    <cellStyle name="20% - 輔色4 24" xfId="1074" xr:uid="{00000000-0005-0000-0000-00001F030000}"/>
    <cellStyle name="20% - 輔色4 25" xfId="1383" xr:uid="{00000000-0005-0000-0000-000020030000}"/>
    <cellStyle name="20% - 輔色4 26" xfId="1460" xr:uid="{00000000-0005-0000-0000-000021030000}"/>
    <cellStyle name="20% - 輔色4 27" xfId="1387" xr:uid="{00000000-0005-0000-0000-000022030000}"/>
    <cellStyle name="20% - 輔色4 28" xfId="1642" xr:uid="{00000000-0005-0000-0000-000023030000}"/>
    <cellStyle name="20% - 輔色4 29" xfId="1677" xr:uid="{00000000-0005-0000-0000-000024030000}"/>
    <cellStyle name="20% - 輔色4 3" xfId="50" xr:uid="{00000000-0005-0000-0000-000025030000}"/>
    <cellStyle name="20% - 輔色4 3 2" xfId="3697" xr:uid="{00000000-0005-0000-0000-000026030000}"/>
    <cellStyle name="20% - 輔色4 3 2 2" xfId="4944" xr:uid="{00000000-0005-0000-0000-000027030000}"/>
    <cellStyle name="20% - 輔色4 3 3" xfId="3735" xr:uid="{00000000-0005-0000-0000-000028030000}"/>
    <cellStyle name="20% - 輔色4 3 3 2" xfId="4972" xr:uid="{00000000-0005-0000-0000-000029030000}"/>
    <cellStyle name="20% - 輔色4 30" xfId="3998" xr:uid="{00000000-0005-0000-0000-00002A030000}"/>
    <cellStyle name="20% - 輔色4 4" xfId="51" xr:uid="{00000000-0005-0000-0000-00002B030000}"/>
    <cellStyle name="20% - 輔色4 4 2" xfId="3698" xr:uid="{00000000-0005-0000-0000-00002C030000}"/>
    <cellStyle name="20% - 輔色4 4 2 2" xfId="4945" xr:uid="{00000000-0005-0000-0000-00002D030000}"/>
    <cellStyle name="20% - 輔色4 4 3" xfId="3724" xr:uid="{00000000-0005-0000-0000-00002E030000}"/>
    <cellStyle name="20% - 輔色4 4 3 2" xfId="4971" xr:uid="{00000000-0005-0000-0000-00002F030000}"/>
    <cellStyle name="20% - 輔色4 5" xfId="52" xr:uid="{00000000-0005-0000-0000-000030030000}"/>
    <cellStyle name="20% - 輔色4 5 2" xfId="1841" xr:uid="{00000000-0005-0000-0000-000031030000}"/>
    <cellStyle name="20% - 輔色4 5 2 2" xfId="4226" xr:uid="{00000000-0005-0000-0000-000032030000}"/>
    <cellStyle name="20% - 輔色4 5 2 3" xfId="5068" xr:uid="{00000000-0005-0000-0000-000033030000}"/>
    <cellStyle name="20% - 輔色4 5 2 4" xfId="5227" xr:uid="{00000000-0005-0000-0000-000034030000}"/>
    <cellStyle name="20% - 輔色4 5 3" xfId="2424" xr:uid="{00000000-0005-0000-0000-000035030000}"/>
    <cellStyle name="20% - 輔色4 5 4" xfId="2086" xr:uid="{00000000-0005-0000-0000-000036030000}"/>
    <cellStyle name="20% - 輔色4 5 4 2" xfId="4302" xr:uid="{00000000-0005-0000-0000-000037030000}"/>
    <cellStyle name="20% - 輔色4 5 5" xfId="2100" xr:uid="{00000000-0005-0000-0000-000038030000}"/>
    <cellStyle name="20% - 輔色4 5 5 2" xfId="4310" xr:uid="{00000000-0005-0000-0000-000039030000}"/>
    <cellStyle name="20% - 輔色4 5 6" xfId="5002" xr:uid="{00000000-0005-0000-0000-00003A030000}"/>
    <cellStyle name="20% - 輔色4 5 7" xfId="5161" xr:uid="{00000000-0005-0000-0000-00003B030000}"/>
    <cellStyle name="20% - 輔色4 6" xfId="53" xr:uid="{00000000-0005-0000-0000-00003C030000}"/>
    <cellStyle name="20% - 輔色4 6 2" xfId="1883" xr:uid="{00000000-0005-0000-0000-00003D030000}"/>
    <cellStyle name="20% - 輔色4 6 2 2" xfId="4239" xr:uid="{00000000-0005-0000-0000-00003E030000}"/>
    <cellStyle name="20% - 輔色4 6 2 3" xfId="5081" xr:uid="{00000000-0005-0000-0000-00003F030000}"/>
    <cellStyle name="20% - 輔色4 6 2 4" xfId="5240" xr:uid="{00000000-0005-0000-0000-000040030000}"/>
    <cellStyle name="20% - 輔色4 6 3" xfId="2559" xr:uid="{00000000-0005-0000-0000-000041030000}"/>
    <cellStyle name="20% - 輔色4 6 4" xfId="1794" xr:uid="{00000000-0005-0000-0000-000042030000}"/>
    <cellStyle name="20% - 輔色4 6 4 2" xfId="4213" xr:uid="{00000000-0005-0000-0000-000043030000}"/>
    <cellStyle name="20% - 輔色4 6 5" xfId="2957" xr:uid="{00000000-0005-0000-0000-000044030000}"/>
    <cellStyle name="20% - 輔色4 6 5 2" xfId="4594" xr:uid="{00000000-0005-0000-0000-000045030000}"/>
    <cellStyle name="20% - 輔色4 6 6" xfId="5015" xr:uid="{00000000-0005-0000-0000-000046030000}"/>
    <cellStyle name="20% - 輔色4 6 7" xfId="5174" xr:uid="{00000000-0005-0000-0000-000047030000}"/>
    <cellStyle name="20% - 輔色4 7" xfId="54" xr:uid="{00000000-0005-0000-0000-000048030000}"/>
    <cellStyle name="20% - 輔色4 7 2" xfId="1924" xr:uid="{00000000-0005-0000-0000-000049030000}"/>
    <cellStyle name="20% - 輔色4 7 2 2" xfId="4252" xr:uid="{00000000-0005-0000-0000-00004A030000}"/>
    <cellStyle name="20% - 輔色4 7 2 3" xfId="5094" xr:uid="{00000000-0005-0000-0000-00004B030000}"/>
    <cellStyle name="20% - 輔色4 7 2 4" xfId="5253" xr:uid="{00000000-0005-0000-0000-00004C030000}"/>
    <cellStyle name="20% - 輔色4 7 3" xfId="2404" xr:uid="{00000000-0005-0000-0000-00004D030000}"/>
    <cellStyle name="20% - 輔色4 7 4" xfId="1938" xr:uid="{00000000-0005-0000-0000-00004E030000}"/>
    <cellStyle name="20% - 輔色4 7 4 2" xfId="4261" xr:uid="{00000000-0005-0000-0000-00004F030000}"/>
    <cellStyle name="20% - 輔色4 7 5" xfId="2875" xr:uid="{00000000-0005-0000-0000-000050030000}"/>
    <cellStyle name="20% - 輔色4 7 5 2" xfId="4565" xr:uid="{00000000-0005-0000-0000-000051030000}"/>
    <cellStyle name="20% - 輔色4 7 6" xfId="5028" xr:uid="{00000000-0005-0000-0000-000052030000}"/>
    <cellStyle name="20% - 輔色4 7 7" xfId="5187" xr:uid="{00000000-0005-0000-0000-000053030000}"/>
    <cellStyle name="20% - 輔色4 8" xfId="353" xr:uid="{00000000-0005-0000-0000-000054030000}"/>
    <cellStyle name="20% - 輔色4 8 2" xfId="1960" xr:uid="{00000000-0005-0000-0000-000055030000}"/>
    <cellStyle name="20% - 輔色4 8 2 2" xfId="4274" xr:uid="{00000000-0005-0000-0000-000056030000}"/>
    <cellStyle name="20% - 輔色4 8 3" xfId="2078" xr:uid="{00000000-0005-0000-0000-000057030000}"/>
    <cellStyle name="20% - 輔色4 8 3 2" xfId="4301" xr:uid="{00000000-0005-0000-0000-000058030000}"/>
    <cellStyle name="20% - 輔色4 8 4" xfId="1774" xr:uid="{00000000-0005-0000-0000-000059030000}"/>
    <cellStyle name="20% - 輔色4 8 4 2" xfId="4201" xr:uid="{00000000-0005-0000-0000-00005A030000}"/>
    <cellStyle name="20% - 輔色4 8 5" xfId="3359" xr:uid="{00000000-0005-0000-0000-00005B030000}"/>
    <cellStyle name="20% - 輔色4 8 5 2" xfId="4776" xr:uid="{00000000-0005-0000-0000-00005C030000}"/>
    <cellStyle name="20% - 輔色4 8 6" xfId="4016" xr:uid="{00000000-0005-0000-0000-00005D030000}"/>
    <cellStyle name="20% - 輔色4 8 7" xfId="5042" xr:uid="{00000000-0005-0000-0000-00005E030000}"/>
    <cellStyle name="20% - 輔色4 8 8" xfId="5201" xr:uid="{00000000-0005-0000-0000-00005F030000}"/>
    <cellStyle name="20% - 輔色4 9" xfId="395" xr:uid="{00000000-0005-0000-0000-000060030000}"/>
    <cellStyle name="20% - 輔色4 9 2" xfId="2027" xr:uid="{00000000-0005-0000-0000-000061030000}"/>
    <cellStyle name="20% - 輔色4 9 2 2" xfId="4287" xr:uid="{00000000-0005-0000-0000-000062030000}"/>
    <cellStyle name="20% - 輔色4 9 3" xfId="2694" xr:uid="{00000000-0005-0000-0000-000063030000}"/>
    <cellStyle name="20% - 輔色4 9 3 2" xfId="4459" xr:uid="{00000000-0005-0000-0000-000064030000}"/>
    <cellStyle name="20% - 輔色4 9 4" xfId="3237" xr:uid="{00000000-0005-0000-0000-000065030000}"/>
    <cellStyle name="20% - 輔色4 9 4 2" xfId="4735" xr:uid="{00000000-0005-0000-0000-000066030000}"/>
    <cellStyle name="20% - 輔色4 9 5" xfId="1775" xr:uid="{00000000-0005-0000-0000-000067030000}"/>
    <cellStyle name="20% - 輔色4 9 5 2" xfId="4202" xr:uid="{00000000-0005-0000-0000-000068030000}"/>
    <cellStyle name="20% - 輔色4 9 6" xfId="4029" xr:uid="{00000000-0005-0000-0000-000069030000}"/>
    <cellStyle name="20% - 輔色4 9 7" xfId="5053" xr:uid="{00000000-0005-0000-0000-00006A030000}"/>
    <cellStyle name="20% - 輔色4 9 8" xfId="5212" xr:uid="{00000000-0005-0000-0000-00006B030000}"/>
    <cellStyle name="20% - 輔色5" xfId="3657" builtinId="46" customBuiltin="1"/>
    <cellStyle name="20% - 輔色5 10" xfId="440" xr:uid="{00000000-0005-0000-0000-00006D030000}"/>
    <cellStyle name="20% - 輔色5 10 2" xfId="2183" xr:uid="{00000000-0005-0000-0000-00006E030000}"/>
    <cellStyle name="20% - 輔色5 10 2 2" xfId="4352" xr:uid="{00000000-0005-0000-0000-00006F030000}"/>
    <cellStyle name="20% - 輔色5 10 3" xfId="2142" xr:uid="{00000000-0005-0000-0000-000070030000}"/>
    <cellStyle name="20% - 輔色5 10 3 2" xfId="4328" xr:uid="{00000000-0005-0000-0000-000071030000}"/>
    <cellStyle name="20% - 輔色5 10 4" xfId="3277" xr:uid="{00000000-0005-0000-0000-000072030000}"/>
    <cellStyle name="20% - 輔色5 10 4 2" xfId="4746" xr:uid="{00000000-0005-0000-0000-000073030000}"/>
    <cellStyle name="20% - 輔色5 10 5" xfId="3407" xr:uid="{00000000-0005-0000-0000-000074030000}"/>
    <cellStyle name="20% - 輔色5 10 5 2" xfId="4803" xr:uid="{00000000-0005-0000-0000-000075030000}"/>
    <cellStyle name="20% - 輔色5 10 6" xfId="4044" xr:uid="{00000000-0005-0000-0000-000076030000}"/>
    <cellStyle name="20% - 輔色5 10 7" xfId="5109" xr:uid="{00000000-0005-0000-0000-000077030000}"/>
    <cellStyle name="20% - 輔色5 10 8" xfId="5268" xr:uid="{00000000-0005-0000-0000-000078030000}"/>
    <cellStyle name="20% - 輔色5 11" xfId="482" xr:uid="{00000000-0005-0000-0000-000079030000}"/>
    <cellStyle name="20% - 輔色5 11 2" xfId="2214" xr:uid="{00000000-0005-0000-0000-00007A030000}"/>
    <cellStyle name="20% - 輔色5 11 2 2" xfId="4373" xr:uid="{00000000-0005-0000-0000-00007B030000}"/>
    <cellStyle name="20% - 輔色5 11 3" xfId="2998" xr:uid="{00000000-0005-0000-0000-00007C030000}"/>
    <cellStyle name="20% - 輔色5 11 3 2" xfId="4611" xr:uid="{00000000-0005-0000-0000-00007D030000}"/>
    <cellStyle name="20% - 輔色5 11 4" xfId="3515" xr:uid="{00000000-0005-0000-0000-00007E030000}"/>
    <cellStyle name="20% - 輔色5 11 4 2" xfId="4852" xr:uid="{00000000-0005-0000-0000-00007F030000}"/>
    <cellStyle name="20% - 輔色5 11 5" xfId="3600" xr:uid="{00000000-0005-0000-0000-000080030000}"/>
    <cellStyle name="20% - 輔色5 11 5 2" xfId="4900" xr:uid="{00000000-0005-0000-0000-000081030000}"/>
    <cellStyle name="20% - 輔色5 11 6" xfId="4057" xr:uid="{00000000-0005-0000-0000-000082030000}"/>
    <cellStyle name="20% - 輔色5 11 7" xfId="5122" xr:uid="{00000000-0005-0000-0000-000083030000}"/>
    <cellStyle name="20% - 輔色5 11 8" xfId="5281" xr:uid="{00000000-0005-0000-0000-000084030000}"/>
    <cellStyle name="20% - 輔色5 12" xfId="523" xr:uid="{00000000-0005-0000-0000-000085030000}"/>
    <cellStyle name="20% - 輔色5 12 2" xfId="2238" xr:uid="{00000000-0005-0000-0000-000086030000}"/>
    <cellStyle name="20% - 輔色5 12 2 2" xfId="4390" xr:uid="{00000000-0005-0000-0000-000087030000}"/>
    <cellStyle name="20% - 輔色5 12 3" xfId="3117" xr:uid="{00000000-0005-0000-0000-000088030000}"/>
    <cellStyle name="20% - 輔色5 12 3 2" xfId="4669" xr:uid="{00000000-0005-0000-0000-000089030000}"/>
    <cellStyle name="20% - 輔色5 12 4" xfId="3298" xr:uid="{00000000-0005-0000-0000-00008A030000}"/>
    <cellStyle name="20% - 輔色5 12 4 2" xfId="4753" xr:uid="{00000000-0005-0000-0000-00008B030000}"/>
    <cellStyle name="20% - 輔色5 12 5" xfId="2982" xr:uid="{00000000-0005-0000-0000-00008C030000}"/>
    <cellStyle name="20% - 輔色5 12 5 2" xfId="4605" xr:uid="{00000000-0005-0000-0000-00008D030000}"/>
    <cellStyle name="20% - 輔色5 12 6" xfId="4070" xr:uid="{00000000-0005-0000-0000-00008E030000}"/>
    <cellStyle name="20% - 輔色5 12 7" xfId="5135" xr:uid="{00000000-0005-0000-0000-00008F030000}"/>
    <cellStyle name="20% - 輔色5 12 8" xfId="5294" xr:uid="{00000000-0005-0000-0000-000090030000}"/>
    <cellStyle name="20% - 輔色5 13" xfId="565" xr:uid="{00000000-0005-0000-0000-000091030000}"/>
    <cellStyle name="20% - 輔色5 13 2" xfId="2268" xr:uid="{00000000-0005-0000-0000-000092030000}"/>
    <cellStyle name="20% - 輔色5 13 2 2" xfId="4409" xr:uid="{00000000-0005-0000-0000-000093030000}"/>
    <cellStyle name="20% - 輔色5 13 3" xfId="3159" xr:uid="{00000000-0005-0000-0000-000094030000}"/>
    <cellStyle name="20% - 輔色5 13 3 2" xfId="4693" xr:uid="{00000000-0005-0000-0000-000095030000}"/>
    <cellStyle name="20% - 輔色5 13 4" xfId="3324" xr:uid="{00000000-0005-0000-0000-000096030000}"/>
    <cellStyle name="20% - 輔色5 13 4 2" xfId="4762" xr:uid="{00000000-0005-0000-0000-000097030000}"/>
    <cellStyle name="20% - 輔色5 13 5" xfId="3366" xr:uid="{00000000-0005-0000-0000-000098030000}"/>
    <cellStyle name="20% - 輔色5 13 5 2" xfId="4780" xr:uid="{00000000-0005-0000-0000-000099030000}"/>
    <cellStyle name="20% - 輔色5 13 6" xfId="4083" xr:uid="{00000000-0005-0000-0000-00009A030000}"/>
    <cellStyle name="20% - 輔色5 13 7" xfId="5148" xr:uid="{00000000-0005-0000-0000-00009B030000}"/>
    <cellStyle name="20% - 輔色5 13 8" xfId="5307" xr:uid="{00000000-0005-0000-0000-00009C030000}"/>
    <cellStyle name="20% - 輔色5 14" xfId="606" xr:uid="{00000000-0005-0000-0000-00009D030000}"/>
    <cellStyle name="20% - 輔色5 14 2" xfId="2316" xr:uid="{00000000-0005-0000-0000-00009E030000}"/>
    <cellStyle name="20% - 輔色5 14 2 2" xfId="2664" xr:uid="{00000000-0005-0000-0000-00009F030000}"/>
    <cellStyle name="20% - 輔色5 14 2 2 2" xfId="4439" xr:uid="{00000000-0005-0000-0000-0000A0030000}"/>
    <cellStyle name="20% - 輔色5 14 2 3" xfId="2928" xr:uid="{00000000-0005-0000-0000-0000A1030000}"/>
    <cellStyle name="20% - 輔色5 14 2 3 2" xfId="4581" xr:uid="{00000000-0005-0000-0000-0000A2030000}"/>
    <cellStyle name="20% - 輔色5 14 2 4" xfId="2675" xr:uid="{00000000-0005-0000-0000-0000A3030000}"/>
    <cellStyle name="20% - 輔色5 14 2 4 2" xfId="4445" xr:uid="{00000000-0005-0000-0000-0000A4030000}"/>
    <cellStyle name="20% - 輔色5 14 3" xfId="2201" xr:uid="{00000000-0005-0000-0000-0000A5030000}"/>
    <cellStyle name="20% - 輔色5 14 4" xfId="1807" xr:uid="{00000000-0005-0000-0000-0000A6030000}"/>
    <cellStyle name="20% - 輔色5 14 5" xfId="3509" xr:uid="{00000000-0005-0000-0000-0000A7030000}"/>
    <cellStyle name="20% - 輔色5 14 5 2" xfId="4848" xr:uid="{00000000-0005-0000-0000-0000A8030000}"/>
    <cellStyle name="20% - 輔色5 14 6" xfId="4096" xr:uid="{00000000-0005-0000-0000-0000A9030000}"/>
    <cellStyle name="20% - 輔色5 15" xfId="647" xr:uid="{00000000-0005-0000-0000-0000AA030000}"/>
    <cellStyle name="20% - 輔色5 15 2" xfId="2692" xr:uid="{00000000-0005-0000-0000-0000AB030000}"/>
    <cellStyle name="20% - 輔色5 15 2 2" xfId="4457" xr:uid="{00000000-0005-0000-0000-0000AC030000}"/>
    <cellStyle name="20% - 輔色5 15 3" xfId="2933" xr:uid="{00000000-0005-0000-0000-0000AD030000}"/>
    <cellStyle name="20% - 輔色5 15 3 2" xfId="4583" xr:uid="{00000000-0005-0000-0000-0000AE030000}"/>
    <cellStyle name="20% - 輔色5 15 4" xfId="3411" xr:uid="{00000000-0005-0000-0000-0000AF030000}"/>
    <cellStyle name="20% - 輔色5 15 4 2" xfId="4804" xr:uid="{00000000-0005-0000-0000-0000B0030000}"/>
    <cellStyle name="20% - 輔色5 15 5" xfId="2812" xr:uid="{00000000-0005-0000-0000-0000B1030000}"/>
    <cellStyle name="20% - 輔色5 15 5 2" xfId="4534" xr:uid="{00000000-0005-0000-0000-0000B2030000}"/>
    <cellStyle name="20% - 輔色5 15 6" xfId="4109" xr:uid="{00000000-0005-0000-0000-0000B3030000}"/>
    <cellStyle name="20% - 輔色5 16" xfId="689" xr:uid="{00000000-0005-0000-0000-0000B4030000}"/>
    <cellStyle name="20% - 輔色5 16 2" xfId="2723" xr:uid="{00000000-0005-0000-0000-0000B5030000}"/>
    <cellStyle name="20% - 輔色5 16 2 2" xfId="4474" xr:uid="{00000000-0005-0000-0000-0000B6030000}"/>
    <cellStyle name="20% - 輔色5 16 3" xfId="1730" xr:uid="{00000000-0005-0000-0000-0000B7030000}"/>
    <cellStyle name="20% - 輔色5 16 3 2" xfId="4181" xr:uid="{00000000-0005-0000-0000-0000B8030000}"/>
    <cellStyle name="20% - 輔色5 16 4" xfId="2013" xr:uid="{00000000-0005-0000-0000-0000B9030000}"/>
    <cellStyle name="20% - 輔色5 16 4 2" xfId="4282" xr:uid="{00000000-0005-0000-0000-0000BA030000}"/>
    <cellStyle name="20% - 輔色5 16 5" xfId="3590" xr:uid="{00000000-0005-0000-0000-0000BB030000}"/>
    <cellStyle name="20% - 輔色5 16 5 2" xfId="4892" xr:uid="{00000000-0005-0000-0000-0000BC030000}"/>
    <cellStyle name="20% - 輔色5 16 6" xfId="4122" xr:uid="{00000000-0005-0000-0000-0000BD030000}"/>
    <cellStyle name="20% - 輔色5 17" xfId="730" xr:uid="{00000000-0005-0000-0000-0000BE030000}"/>
    <cellStyle name="20% - 輔色5 17 2" xfId="2748" xr:uid="{00000000-0005-0000-0000-0000BF030000}"/>
    <cellStyle name="20% - 輔色5 17 2 2" xfId="4492" xr:uid="{00000000-0005-0000-0000-0000C0030000}"/>
    <cellStyle name="20% - 輔色5 17 3" xfId="2873" xr:uid="{00000000-0005-0000-0000-0000C1030000}"/>
    <cellStyle name="20% - 輔色5 17 3 2" xfId="4564" xr:uid="{00000000-0005-0000-0000-0000C2030000}"/>
    <cellStyle name="20% - 輔色5 17 4" xfId="3138" xr:uid="{00000000-0005-0000-0000-0000C3030000}"/>
    <cellStyle name="20% - 輔色5 17 4 2" xfId="4683" xr:uid="{00000000-0005-0000-0000-0000C4030000}"/>
    <cellStyle name="20% - 輔色5 17 5" xfId="3596" xr:uid="{00000000-0005-0000-0000-0000C5030000}"/>
    <cellStyle name="20% - 輔色5 17 5 2" xfId="4897" xr:uid="{00000000-0005-0000-0000-0000C6030000}"/>
    <cellStyle name="20% - 輔色5 17 6" xfId="4135" xr:uid="{00000000-0005-0000-0000-0000C7030000}"/>
    <cellStyle name="20% - 輔色5 18" xfId="771" xr:uid="{00000000-0005-0000-0000-0000C8030000}"/>
    <cellStyle name="20% - 輔色5 18 2" xfId="2774" xr:uid="{00000000-0005-0000-0000-0000C9030000}"/>
    <cellStyle name="20% - 輔色5 18 2 2" xfId="4508" xr:uid="{00000000-0005-0000-0000-0000CA030000}"/>
    <cellStyle name="20% - 輔色5 18 3" xfId="1721" xr:uid="{00000000-0005-0000-0000-0000CB030000}"/>
    <cellStyle name="20% - 輔色5 18 3 2" xfId="4173" xr:uid="{00000000-0005-0000-0000-0000CC030000}"/>
    <cellStyle name="20% - 輔色5 18 4" xfId="3291" xr:uid="{00000000-0005-0000-0000-0000CD030000}"/>
    <cellStyle name="20% - 輔色5 18 4 2" xfId="4750" xr:uid="{00000000-0005-0000-0000-0000CE030000}"/>
    <cellStyle name="20% - 輔色5 18 5" xfId="3055" xr:uid="{00000000-0005-0000-0000-0000CF030000}"/>
    <cellStyle name="20% - 輔色5 18 5 2" xfId="4635" xr:uid="{00000000-0005-0000-0000-0000D0030000}"/>
    <cellStyle name="20% - 輔色5 18 6" xfId="4148" xr:uid="{00000000-0005-0000-0000-0000D1030000}"/>
    <cellStyle name="20% - 輔色5 19" xfId="812" xr:uid="{00000000-0005-0000-0000-0000D2030000}"/>
    <cellStyle name="20% - 輔色5 19 2" xfId="2802" xr:uid="{00000000-0005-0000-0000-0000D3030000}"/>
    <cellStyle name="20% - 輔色5 19 2 2" xfId="4528" xr:uid="{00000000-0005-0000-0000-0000D4030000}"/>
    <cellStyle name="20% - 輔色5 19 3" xfId="2813" xr:uid="{00000000-0005-0000-0000-0000D5030000}"/>
    <cellStyle name="20% - 輔色5 19 3 2" xfId="4535" xr:uid="{00000000-0005-0000-0000-0000D6030000}"/>
    <cellStyle name="20% - 輔色5 19 4" xfId="3351" xr:uid="{00000000-0005-0000-0000-0000D7030000}"/>
    <cellStyle name="20% - 輔色5 19 4 2" xfId="4772" xr:uid="{00000000-0005-0000-0000-0000D8030000}"/>
    <cellStyle name="20% - 輔色5 19 5" xfId="3268" xr:uid="{00000000-0005-0000-0000-0000D9030000}"/>
    <cellStyle name="20% - 輔色5 19 5 2" xfId="4743" xr:uid="{00000000-0005-0000-0000-0000DA030000}"/>
    <cellStyle name="20% - 輔色5 19 6" xfId="4161" xr:uid="{00000000-0005-0000-0000-0000DB030000}"/>
    <cellStyle name="20% - 輔色5 2" xfId="55" xr:uid="{00000000-0005-0000-0000-0000DC030000}"/>
    <cellStyle name="20% - 輔色5 2 10" xfId="1538" xr:uid="{00000000-0005-0000-0000-0000DD030000}"/>
    <cellStyle name="20% - 輔色5 2 11" xfId="1641" xr:uid="{00000000-0005-0000-0000-0000DE030000}"/>
    <cellStyle name="20% - 輔色5 2 12" xfId="1676" xr:uid="{00000000-0005-0000-0000-0000DF030000}"/>
    <cellStyle name="20% - 輔色5 2 13" xfId="3699" xr:uid="{00000000-0005-0000-0000-0000E0030000}"/>
    <cellStyle name="20% - 輔色5 2 13 2" xfId="4946" xr:uid="{00000000-0005-0000-0000-0000E1030000}"/>
    <cellStyle name="20% - 輔色5 2 14" xfId="3723" xr:uid="{00000000-0005-0000-0000-0000E2030000}"/>
    <cellStyle name="20% - 輔色5 2 14 2" xfId="4970" xr:uid="{00000000-0005-0000-0000-0000E3030000}"/>
    <cellStyle name="20% - 輔色5 2 2" xfId="56" xr:uid="{00000000-0005-0000-0000-0000E4030000}"/>
    <cellStyle name="20% - 輔色5 2 2 2" xfId="1975" xr:uid="{00000000-0005-0000-0000-0000E5030000}"/>
    <cellStyle name="20% - 輔色5 2 2 2 2" xfId="1976" xr:uid="{00000000-0005-0000-0000-0000E6030000}"/>
    <cellStyle name="20% - 輔色5 2 2 2 3" xfId="2465" xr:uid="{00000000-0005-0000-0000-0000E7030000}"/>
    <cellStyle name="20% - 輔色5 2 2 3" xfId="2464" xr:uid="{00000000-0005-0000-0000-0000E8030000}"/>
    <cellStyle name="20% - 輔色5 2 3" xfId="839" xr:uid="{00000000-0005-0000-0000-0000E9030000}"/>
    <cellStyle name="20% - 輔色5 2 4" xfId="1004" xr:uid="{00000000-0005-0000-0000-0000EA030000}"/>
    <cellStyle name="20% - 輔色5 2 4 2" xfId="2388" xr:uid="{00000000-0005-0000-0000-0000EB030000}"/>
    <cellStyle name="20% - 輔色5 2 4 2 2" xfId="2891" xr:uid="{00000000-0005-0000-0000-0000EC030000}"/>
    <cellStyle name="20% - 輔色5 2 4 2 3" xfId="3299" xr:uid="{00000000-0005-0000-0000-0000ED030000}"/>
    <cellStyle name="20% - 輔色5 2 4 2 4" xfId="2706" xr:uid="{00000000-0005-0000-0000-0000EE030000}"/>
    <cellStyle name="20% - 輔色5 2 4 3" xfId="3250" xr:uid="{00000000-0005-0000-0000-0000EF030000}"/>
    <cellStyle name="20% - 輔色5 2 4 4" xfId="3483" xr:uid="{00000000-0005-0000-0000-0000F0030000}"/>
    <cellStyle name="20% - 輔色5 2 5" xfId="1193" xr:uid="{00000000-0005-0000-0000-0000F1030000}"/>
    <cellStyle name="20% - 輔色5 2 6" xfId="1156" xr:uid="{00000000-0005-0000-0000-0000F2030000}"/>
    <cellStyle name="20% - 輔色5 2 7" xfId="1314" xr:uid="{00000000-0005-0000-0000-0000F3030000}"/>
    <cellStyle name="20% - 輔色5 2 8" xfId="1412" xr:uid="{00000000-0005-0000-0000-0000F4030000}"/>
    <cellStyle name="20% - 輔色5 2 9" xfId="1483" xr:uid="{00000000-0005-0000-0000-0000F5030000}"/>
    <cellStyle name="20% - 輔色5 20" xfId="838" xr:uid="{00000000-0005-0000-0000-0000F6030000}"/>
    <cellStyle name="20% - 輔色5 21" xfId="1005" xr:uid="{00000000-0005-0000-0000-0000F7030000}"/>
    <cellStyle name="20% - 輔色5 22" xfId="1167" xr:uid="{00000000-0005-0000-0000-0000F8030000}"/>
    <cellStyle name="20% - 輔色5 23" xfId="848" xr:uid="{00000000-0005-0000-0000-0000F9030000}"/>
    <cellStyle name="20% - 輔色5 24" xfId="1148" xr:uid="{00000000-0005-0000-0000-0000FA030000}"/>
    <cellStyle name="20% - 輔色5 25" xfId="1379" xr:uid="{00000000-0005-0000-0000-0000FB030000}"/>
    <cellStyle name="20% - 輔色5 26" xfId="1505" xr:uid="{00000000-0005-0000-0000-0000FC030000}"/>
    <cellStyle name="20% - 輔色5 27" xfId="1561" xr:uid="{00000000-0005-0000-0000-0000FD030000}"/>
    <cellStyle name="20% - 輔色5 28" xfId="1461" xr:uid="{00000000-0005-0000-0000-0000FE030000}"/>
    <cellStyle name="20% - 輔色5 29" xfId="1357" xr:uid="{00000000-0005-0000-0000-0000FF030000}"/>
    <cellStyle name="20% - 輔色5 3" xfId="57" xr:uid="{00000000-0005-0000-0000-000000040000}"/>
    <cellStyle name="20% - 輔色5 3 2" xfId="3700" xr:uid="{00000000-0005-0000-0000-000001040000}"/>
    <cellStyle name="20% - 輔色5 3 2 2" xfId="4947" xr:uid="{00000000-0005-0000-0000-000002040000}"/>
    <cellStyle name="20% - 輔色5 3 3" xfId="3683" xr:uid="{00000000-0005-0000-0000-000003040000}"/>
    <cellStyle name="20% - 輔色5 3 3 2" xfId="4933" xr:uid="{00000000-0005-0000-0000-000004040000}"/>
    <cellStyle name="20% - 輔色5 30" xfId="4000" xr:uid="{00000000-0005-0000-0000-000005040000}"/>
    <cellStyle name="20% - 輔色5 4" xfId="58" xr:uid="{00000000-0005-0000-0000-000006040000}"/>
    <cellStyle name="20% - 輔色5 4 2" xfId="3701" xr:uid="{00000000-0005-0000-0000-000007040000}"/>
    <cellStyle name="20% - 輔色5 4 2 2" xfId="4948" xr:uid="{00000000-0005-0000-0000-000008040000}"/>
    <cellStyle name="20% - 輔色5 4 3" xfId="3680" xr:uid="{00000000-0005-0000-0000-000009040000}"/>
    <cellStyle name="20% - 輔色5 4 3 2" xfId="4930" xr:uid="{00000000-0005-0000-0000-00000A040000}"/>
    <cellStyle name="20% - 輔色5 5" xfId="59" xr:uid="{00000000-0005-0000-0000-00000B040000}"/>
    <cellStyle name="20% - 輔色5 5 2" xfId="1845" xr:uid="{00000000-0005-0000-0000-00000C040000}"/>
    <cellStyle name="20% - 輔色5 5 2 2" xfId="4228" xr:uid="{00000000-0005-0000-0000-00000D040000}"/>
    <cellStyle name="20% - 輔色5 5 2 3" xfId="5070" xr:uid="{00000000-0005-0000-0000-00000E040000}"/>
    <cellStyle name="20% - 輔色5 5 2 4" xfId="5229" xr:uid="{00000000-0005-0000-0000-00000F040000}"/>
    <cellStyle name="20% - 輔色5 5 3" xfId="2619" xr:uid="{00000000-0005-0000-0000-000010040000}"/>
    <cellStyle name="20% - 輔色5 5 4" xfId="3183" xr:uid="{00000000-0005-0000-0000-000011040000}"/>
    <cellStyle name="20% - 輔色5 5 4 2" xfId="4706" xr:uid="{00000000-0005-0000-0000-000012040000}"/>
    <cellStyle name="20% - 輔色5 5 5" xfId="3506" xr:uid="{00000000-0005-0000-0000-000013040000}"/>
    <cellStyle name="20% - 輔色5 5 5 2" xfId="4846" xr:uid="{00000000-0005-0000-0000-000014040000}"/>
    <cellStyle name="20% - 輔色5 5 6" xfId="5004" xr:uid="{00000000-0005-0000-0000-000015040000}"/>
    <cellStyle name="20% - 輔色5 5 7" xfId="5163" xr:uid="{00000000-0005-0000-0000-000016040000}"/>
    <cellStyle name="20% - 輔色5 6" xfId="60" xr:uid="{00000000-0005-0000-0000-000017040000}"/>
    <cellStyle name="20% - 輔色5 6 2" xfId="1887" xr:uid="{00000000-0005-0000-0000-000018040000}"/>
    <cellStyle name="20% - 輔色5 6 2 2" xfId="4241" xr:uid="{00000000-0005-0000-0000-000019040000}"/>
    <cellStyle name="20% - 輔色5 6 2 3" xfId="5083" xr:uid="{00000000-0005-0000-0000-00001A040000}"/>
    <cellStyle name="20% - 輔色5 6 2 4" xfId="5242" xr:uid="{00000000-0005-0000-0000-00001B040000}"/>
    <cellStyle name="20% - 輔色5 6 3" xfId="2600" xr:uid="{00000000-0005-0000-0000-00001C040000}"/>
    <cellStyle name="20% - 輔色5 6 4" xfId="3126" xr:uid="{00000000-0005-0000-0000-00001D040000}"/>
    <cellStyle name="20% - 輔色5 6 4 2" xfId="4674" xr:uid="{00000000-0005-0000-0000-00001E040000}"/>
    <cellStyle name="20% - 輔色5 6 5" xfId="3378" xr:uid="{00000000-0005-0000-0000-00001F040000}"/>
    <cellStyle name="20% - 輔色5 6 5 2" xfId="4791" xr:uid="{00000000-0005-0000-0000-000020040000}"/>
    <cellStyle name="20% - 輔色5 6 6" xfId="5017" xr:uid="{00000000-0005-0000-0000-000021040000}"/>
    <cellStyle name="20% - 輔色5 6 7" xfId="5176" xr:uid="{00000000-0005-0000-0000-000022040000}"/>
    <cellStyle name="20% - 輔色5 7" xfId="61" xr:uid="{00000000-0005-0000-0000-000023040000}"/>
    <cellStyle name="20% - 輔色5 7 2" xfId="1928" xr:uid="{00000000-0005-0000-0000-000024040000}"/>
    <cellStyle name="20% - 輔色5 7 2 2" xfId="4254" xr:uid="{00000000-0005-0000-0000-000025040000}"/>
    <cellStyle name="20% - 輔色5 7 2 3" xfId="5096" xr:uid="{00000000-0005-0000-0000-000026040000}"/>
    <cellStyle name="20% - 輔色5 7 2 4" xfId="5255" xr:uid="{00000000-0005-0000-0000-000027040000}"/>
    <cellStyle name="20% - 輔色5 7 3" xfId="2546" xr:uid="{00000000-0005-0000-0000-000028040000}"/>
    <cellStyle name="20% - 輔色5 7 4" xfId="1791" xr:uid="{00000000-0005-0000-0000-000029040000}"/>
    <cellStyle name="20% - 輔色5 7 4 2" xfId="4212" xr:uid="{00000000-0005-0000-0000-00002A040000}"/>
    <cellStyle name="20% - 輔色5 7 5" xfId="2715" xr:uid="{00000000-0005-0000-0000-00002B040000}"/>
    <cellStyle name="20% - 輔色5 7 5 2" xfId="4469" xr:uid="{00000000-0005-0000-0000-00002C040000}"/>
    <cellStyle name="20% - 輔色5 7 6" xfId="5030" xr:uid="{00000000-0005-0000-0000-00002D040000}"/>
    <cellStyle name="20% - 輔色5 7 7" xfId="5189" xr:uid="{00000000-0005-0000-0000-00002E040000}"/>
    <cellStyle name="20% - 輔色5 8" xfId="357" xr:uid="{00000000-0005-0000-0000-00002F040000}"/>
    <cellStyle name="20% - 輔色5 8 2" xfId="1962" xr:uid="{00000000-0005-0000-0000-000030040000}"/>
    <cellStyle name="20% - 輔色5 8 2 2" xfId="4276" xr:uid="{00000000-0005-0000-0000-000031040000}"/>
    <cellStyle name="20% - 輔色5 8 3" xfId="1937" xr:uid="{00000000-0005-0000-0000-000032040000}"/>
    <cellStyle name="20% - 輔色5 8 3 2" xfId="4260" xr:uid="{00000000-0005-0000-0000-000033040000}"/>
    <cellStyle name="20% - 輔色5 8 4" xfId="3370" xr:uid="{00000000-0005-0000-0000-000034040000}"/>
    <cellStyle name="20% - 輔色5 8 4 2" xfId="4784" xr:uid="{00000000-0005-0000-0000-000035040000}"/>
    <cellStyle name="20% - 輔色5 8 5" xfId="3367" xr:uid="{00000000-0005-0000-0000-000036040000}"/>
    <cellStyle name="20% - 輔色5 8 5 2" xfId="4781" xr:uid="{00000000-0005-0000-0000-000037040000}"/>
    <cellStyle name="20% - 輔色5 8 6" xfId="4018" xr:uid="{00000000-0005-0000-0000-000038040000}"/>
    <cellStyle name="20% - 輔色5 8 7" xfId="5044" xr:uid="{00000000-0005-0000-0000-000039040000}"/>
    <cellStyle name="20% - 輔色5 8 8" xfId="5203" xr:uid="{00000000-0005-0000-0000-00003A040000}"/>
    <cellStyle name="20% - 輔色5 9" xfId="399" xr:uid="{00000000-0005-0000-0000-00003B040000}"/>
    <cellStyle name="20% - 輔色5 9 2" xfId="2020" xr:uid="{00000000-0005-0000-0000-00003C040000}"/>
    <cellStyle name="20% - 輔色5 9 2 2" xfId="4284" xr:uid="{00000000-0005-0000-0000-00003D040000}"/>
    <cellStyle name="20% - 輔色5 9 3" xfId="3229" xr:uid="{00000000-0005-0000-0000-00003E040000}"/>
    <cellStyle name="20% - 輔色5 9 3 2" xfId="4729" xr:uid="{00000000-0005-0000-0000-00003F040000}"/>
    <cellStyle name="20% - 輔色5 9 4" xfId="2257" xr:uid="{00000000-0005-0000-0000-000040040000}"/>
    <cellStyle name="20% - 輔色5 9 4 2" xfId="4402" xr:uid="{00000000-0005-0000-0000-000041040000}"/>
    <cellStyle name="20% - 輔色5 9 5" xfId="1734" xr:uid="{00000000-0005-0000-0000-000042040000}"/>
    <cellStyle name="20% - 輔色5 9 5 2" xfId="4185" xr:uid="{00000000-0005-0000-0000-000043040000}"/>
    <cellStyle name="20% - 輔色5 9 6" xfId="4031" xr:uid="{00000000-0005-0000-0000-000044040000}"/>
    <cellStyle name="20% - 輔色5 9 7" xfId="5051" xr:uid="{00000000-0005-0000-0000-000045040000}"/>
    <cellStyle name="20% - 輔色5 9 8" xfId="5210" xr:uid="{00000000-0005-0000-0000-000046040000}"/>
    <cellStyle name="20% - 輔色6" xfId="3661" builtinId="50" customBuiltin="1"/>
    <cellStyle name="20% - 輔色6 10" xfId="444" xr:uid="{00000000-0005-0000-0000-000048040000}"/>
    <cellStyle name="20% - 輔色6 10 2" xfId="2185" xr:uid="{00000000-0005-0000-0000-000049040000}"/>
    <cellStyle name="20% - 輔色6 10 2 2" xfId="4354" xr:uid="{00000000-0005-0000-0000-00004A040000}"/>
    <cellStyle name="20% - 輔色6 10 3" xfId="3202" xr:uid="{00000000-0005-0000-0000-00004B040000}"/>
    <cellStyle name="20% - 輔色6 10 3 2" xfId="4716" xr:uid="{00000000-0005-0000-0000-00004C040000}"/>
    <cellStyle name="20% - 輔色6 10 4" xfId="3389" xr:uid="{00000000-0005-0000-0000-00004D040000}"/>
    <cellStyle name="20% - 輔色6 10 4 2" xfId="4794" xr:uid="{00000000-0005-0000-0000-00004E040000}"/>
    <cellStyle name="20% - 輔色6 10 5" xfId="2783" xr:uid="{00000000-0005-0000-0000-00004F040000}"/>
    <cellStyle name="20% - 輔色6 10 5 2" xfId="4514" xr:uid="{00000000-0005-0000-0000-000050040000}"/>
    <cellStyle name="20% - 輔色6 10 6" xfId="4046" xr:uid="{00000000-0005-0000-0000-000051040000}"/>
    <cellStyle name="20% - 輔色6 10 7" xfId="5111" xr:uid="{00000000-0005-0000-0000-000052040000}"/>
    <cellStyle name="20% - 輔色6 10 8" xfId="5270" xr:uid="{00000000-0005-0000-0000-000053040000}"/>
    <cellStyle name="20% - 輔色6 11" xfId="486" xr:uid="{00000000-0005-0000-0000-000054040000}"/>
    <cellStyle name="20% - 輔色6 11 2" xfId="2216" xr:uid="{00000000-0005-0000-0000-000055040000}"/>
    <cellStyle name="20% - 輔色6 11 2 2" xfId="4375" xr:uid="{00000000-0005-0000-0000-000056040000}"/>
    <cellStyle name="20% - 輔色6 11 3" xfId="1769" xr:uid="{00000000-0005-0000-0000-000057040000}"/>
    <cellStyle name="20% - 輔色6 11 3 2" xfId="4198" xr:uid="{00000000-0005-0000-0000-000058040000}"/>
    <cellStyle name="20% - 輔色6 11 4" xfId="3334" xr:uid="{00000000-0005-0000-0000-000059040000}"/>
    <cellStyle name="20% - 輔色6 11 4 2" xfId="4767" xr:uid="{00000000-0005-0000-0000-00005A040000}"/>
    <cellStyle name="20% - 輔色6 11 5" xfId="3360" xr:uid="{00000000-0005-0000-0000-00005B040000}"/>
    <cellStyle name="20% - 輔色6 11 5 2" xfId="4777" xr:uid="{00000000-0005-0000-0000-00005C040000}"/>
    <cellStyle name="20% - 輔色6 11 6" xfId="4059" xr:uid="{00000000-0005-0000-0000-00005D040000}"/>
    <cellStyle name="20% - 輔色6 11 7" xfId="5124" xr:uid="{00000000-0005-0000-0000-00005E040000}"/>
    <cellStyle name="20% - 輔色6 11 8" xfId="5283" xr:uid="{00000000-0005-0000-0000-00005F040000}"/>
    <cellStyle name="20% - 輔色6 12" xfId="527" xr:uid="{00000000-0005-0000-0000-000060040000}"/>
    <cellStyle name="20% - 輔色6 12 2" xfId="2240" xr:uid="{00000000-0005-0000-0000-000061040000}"/>
    <cellStyle name="20% - 輔色6 12 2 2" xfId="4392" xr:uid="{00000000-0005-0000-0000-000062040000}"/>
    <cellStyle name="20% - 輔色6 12 3" xfId="2785" xr:uid="{00000000-0005-0000-0000-000063040000}"/>
    <cellStyle name="20% - 輔色6 12 3 2" xfId="4515" xr:uid="{00000000-0005-0000-0000-000064040000}"/>
    <cellStyle name="20% - 輔色6 12 4" xfId="3331" xr:uid="{00000000-0005-0000-0000-000065040000}"/>
    <cellStyle name="20% - 輔色6 12 4 2" xfId="4765" xr:uid="{00000000-0005-0000-0000-000066040000}"/>
    <cellStyle name="20% - 輔色6 12 5" xfId="2993" xr:uid="{00000000-0005-0000-0000-000067040000}"/>
    <cellStyle name="20% - 輔色6 12 5 2" xfId="4610" xr:uid="{00000000-0005-0000-0000-000068040000}"/>
    <cellStyle name="20% - 輔色6 12 6" xfId="4072" xr:uid="{00000000-0005-0000-0000-000069040000}"/>
    <cellStyle name="20% - 輔色6 12 7" xfId="5137" xr:uid="{00000000-0005-0000-0000-00006A040000}"/>
    <cellStyle name="20% - 輔色6 12 8" xfId="5296" xr:uid="{00000000-0005-0000-0000-00006B040000}"/>
    <cellStyle name="20% - 輔色6 13" xfId="569" xr:uid="{00000000-0005-0000-0000-00006C040000}"/>
    <cellStyle name="20% - 輔色6 13 2" xfId="2270" xr:uid="{00000000-0005-0000-0000-00006D040000}"/>
    <cellStyle name="20% - 輔色6 13 2 2" xfId="4411" xr:uid="{00000000-0005-0000-0000-00006E040000}"/>
    <cellStyle name="20% - 輔色6 13 3" xfId="2843" xr:uid="{00000000-0005-0000-0000-00006F040000}"/>
    <cellStyle name="20% - 輔色6 13 3 2" xfId="4553" xr:uid="{00000000-0005-0000-0000-000070040000}"/>
    <cellStyle name="20% - 輔色6 13 4" xfId="3341" xr:uid="{00000000-0005-0000-0000-000071040000}"/>
    <cellStyle name="20% - 輔色6 13 4 2" xfId="4769" xr:uid="{00000000-0005-0000-0000-000072040000}"/>
    <cellStyle name="20% - 輔色6 13 5" xfId="1785" xr:uid="{00000000-0005-0000-0000-000073040000}"/>
    <cellStyle name="20% - 輔色6 13 5 2" xfId="4207" xr:uid="{00000000-0005-0000-0000-000074040000}"/>
    <cellStyle name="20% - 輔色6 13 6" xfId="4085" xr:uid="{00000000-0005-0000-0000-000075040000}"/>
    <cellStyle name="20% - 輔色6 13 7" xfId="5150" xr:uid="{00000000-0005-0000-0000-000076040000}"/>
    <cellStyle name="20% - 輔色6 13 8" xfId="5309" xr:uid="{00000000-0005-0000-0000-000077040000}"/>
    <cellStyle name="20% - 輔色6 14" xfId="610" xr:uid="{00000000-0005-0000-0000-000078040000}"/>
    <cellStyle name="20% - 輔色6 14 2" xfId="2317" xr:uid="{00000000-0005-0000-0000-000079040000}"/>
    <cellStyle name="20% - 輔色6 14 2 2" xfId="2668" xr:uid="{00000000-0005-0000-0000-00007A040000}"/>
    <cellStyle name="20% - 輔色6 14 2 2 2" xfId="4441" xr:uid="{00000000-0005-0000-0000-00007B040000}"/>
    <cellStyle name="20% - 輔色6 14 2 3" xfId="1738" xr:uid="{00000000-0005-0000-0000-00007C040000}"/>
    <cellStyle name="20% - 輔色6 14 2 3 2" xfId="4189" xr:uid="{00000000-0005-0000-0000-00007D040000}"/>
    <cellStyle name="20% - 輔色6 14 2 4" xfId="3209" xr:uid="{00000000-0005-0000-0000-00007E040000}"/>
    <cellStyle name="20% - 輔色6 14 2 4 2" xfId="4718" xr:uid="{00000000-0005-0000-0000-00007F040000}"/>
    <cellStyle name="20% - 輔色6 14 3" xfId="2065" xr:uid="{00000000-0005-0000-0000-000080040000}"/>
    <cellStyle name="20% - 輔色6 14 4" xfId="2102" xr:uid="{00000000-0005-0000-0000-000081040000}"/>
    <cellStyle name="20% - 輔色6 14 5" xfId="3487" xr:uid="{00000000-0005-0000-0000-000082040000}"/>
    <cellStyle name="20% - 輔色6 14 5 2" xfId="4832" xr:uid="{00000000-0005-0000-0000-000083040000}"/>
    <cellStyle name="20% - 輔色6 14 6" xfId="4098" xr:uid="{00000000-0005-0000-0000-000084040000}"/>
    <cellStyle name="20% - 輔色6 15" xfId="651" xr:uid="{00000000-0005-0000-0000-000085040000}"/>
    <cellStyle name="20% - 輔色6 15 2" xfId="2695" xr:uid="{00000000-0005-0000-0000-000086040000}"/>
    <cellStyle name="20% - 輔色6 15 2 2" xfId="4460" xr:uid="{00000000-0005-0000-0000-000087040000}"/>
    <cellStyle name="20% - 輔色6 15 3" xfId="2864" xr:uid="{00000000-0005-0000-0000-000088040000}"/>
    <cellStyle name="20% - 輔色6 15 3 2" xfId="4560" xr:uid="{00000000-0005-0000-0000-000089040000}"/>
    <cellStyle name="20% - 輔色6 15 4" xfId="3049" xr:uid="{00000000-0005-0000-0000-00008A040000}"/>
    <cellStyle name="20% - 輔色6 15 4 2" xfId="4631" xr:uid="{00000000-0005-0000-0000-00008B040000}"/>
    <cellStyle name="20% - 輔色6 15 5" xfId="3556" xr:uid="{00000000-0005-0000-0000-00008C040000}"/>
    <cellStyle name="20% - 輔色6 15 5 2" xfId="4867" xr:uid="{00000000-0005-0000-0000-00008D040000}"/>
    <cellStyle name="20% - 輔色6 15 6" xfId="4111" xr:uid="{00000000-0005-0000-0000-00008E040000}"/>
    <cellStyle name="20% - 輔色6 16" xfId="693" xr:uid="{00000000-0005-0000-0000-00008F040000}"/>
    <cellStyle name="20% - 輔色6 16 2" xfId="2725" xr:uid="{00000000-0005-0000-0000-000090040000}"/>
    <cellStyle name="20% - 輔色6 16 2 2" xfId="4476" xr:uid="{00000000-0005-0000-0000-000091040000}"/>
    <cellStyle name="20% - 輔色6 16 3" xfId="1729" xr:uid="{00000000-0005-0000-0000-000092040000}"/>
    <cellStyle name="20% - 輔色6 16 3 2" xfId="4180" xr:uid="{00000000-0005-0000-0000-000093040000}"/>
    <cellStyle name="20% - 輔色6 16 4" xfId="3468" xr:uid="{00000000-0005-0000-0000-000094040000}"/>
    <cellStyle name="20% - 輔色6 16 4 2" xfId="4822" xr:uid="{00000000-0005-0000-0000-000095040000}"/>
    <cellStyle name="20% - 輔色6 16 5" xfId="3566" xr:uid="{00000000-0005-0000-0000-000096040000}"/>
    <cellStyle name="20% - 輔色6 16 5 2" xfId="4871" xr:uid="{00000000-0005-0000-0000-000097040000}"/>
    <cellStyle name="20% - 輔色6 16 6" xfId="4124" xr:uid="{00000000-0005-0000-0000-000098040000}"/>
    <cellStyle name="20% - 輔色6 17" xfId="734" xr:uid="{00000000-0005-0000-0000-000099040000}"/>
    <cellStyle name="20% - 輔色6 17 2" xfId="2750" xr:uid="{00000000-0005-0000-0000-00009A040000}"/>
    <cellStyle name="20% - 輔色6 17 2 2" xfId="4494" xr:uid="{00000000-0005-0000-0000-00009B040000}"/>
    <cellStyle name="20% - 輔色6 17 3" xfId="2821" xr:uid="{00000000-0005-0000-0000-00009C040000}"/>
    <cellStyle name="20% - 輔色6 17 3 2" xfId="4541" xr:uid="{00000000-0005-0000-0000-00009D040000}"/>
    <cellStyle name="20% - 輔色6 17 4" xfId="2220" xr:uid="{00000000-0005-0000-0000-00009E040000}"/>
    <cellStyle name="20% - 輔色6 17 4 2" xfId="4378" xr:uid="{00000000-0005-0000-0000-00009F040000}"/>
    <cellStyle name="20% - 輔色6 17 5" xfId="2178" xr:uid="{00000000-0005-0000-0000-0000A0040000}"/>
    <cellStyle name="20% - 輔色6 17 5 2" xfId="4349" xr:uid="{00000000-0005-0000-0000-0000A1040000}"/>
    <cellStyle name="20% - 輔色6 17 6" xfId="4137" xr:uid="{00000000-0005-0000-0000-0000A2040000}"/>
    <cellStyle name="20% - 輔色6 18" xfId="775" xr:uid="{00000000-0005-0000-0000-0000A3040000}"/>
    <cellStyle name="20% - 輔色6 18 2" xfId="2777" xr:uid="{00000000-0005-0000-0000-0000A4040000}"/>
    <cellStyle name="20% - 輔色6 18 2 2" xfId="4511" xr:uid="{00000000-0005-0000-0000-0000A5040000}"/>
    <cellStyle name="20% - 輔色6 18 3" xfId="1720" xr:uid="{00000000-0005-0000-0000-0000A6040000}"/>
    <cellStyle name="20% - 輔色6 18 3 2" xfId="4172" xr:uid="{00000000-0005-0000-0000-0000A7040000}"/>
    <cellStyle name="20% - 輔色6 18 4" xfId="3231" xr:uid="{00000000-0005-0000-0000-0000A8040000}"/>
    <cellStyle name="20% - 輔色6 18 4 2" xfId="4730" xr:uid="{00000000-0005-0000-0000-0000A9040000}"/>
    <cellStyle name="20% - 輔色6 18 5" xfId="3603" xr:uid="{00000000-0005-0000-0000-0000AA040000}"/>
    <cellStyle name="20% - 輔色6 18 5 2" xfId="4903" xr:uid="{00000000-0005-0000-0000-0000AB040000}"/>
    <cellStyle name="20% - 輔色6 18 6" xfId="4150" xr:uid="{00000000-0005-0000-0000-0000AC040000}"/>
    <cellStyle name="20% - 輔色6 19" xfId="816" xr:uid="{00000000-0005-0000-0000-0000AD040000}"/>
    <cellStyle name="20% - 輔色6 19 2" xfId="2804" xr:uid="{00000000-0005-0000-0000-0000AE040000}"/>
    <cellStyle name="20% - 輔色6 19 2 2" xfId="4530" xr:uid="{00000000-0005-0000-0000-0000AF040000}"/>
    <cellStyle name="20% - 輔色6 19 3" xfId="3063" xr:uid="{00000000-0005-0000-0000-0000B0040000}"/>
    <cellStyle name="20% - 輔色6 19 3 2" xfId="4639" xr:uid="{00000000-0005-0000-0000-0000B1040000}"/>
    <cellStyle name="20% - 輔色6 19 4" xfId="2848" xr:uid="{00000000-0005-0000-0000-0000B2040000}"/>
    <cellStyle name="20% - 輔色6 19 4 2" xfId="4555" xr:uid="{00000000-0005-0000-0000-0000B3040000}"/>
    <cellStyle name="20% - 輔色6 19 5" xfId="2210" xr:uid="{00000000-0005-0000-0000-0000B4040000}"/>
    <cellStyle name="20% - 輔色6 19 5 2" xfId="4370" xr:uid="{00000000-0005-0000-0000-0000B5040000}"/>
    <cellStyle name="20% - 輔色6 19 6" xfId="4163" xr:uid="{00000000-0005-0000-0000-0000B6040000}"/>
    <cellStyle name="20% - 輔色6 2" xfId="62" xr:uid="{00000000-0005-0000-0000-0000B7040000}"/>
    <cellStyle name="20% - 輔色6 2 10" xfId="1537" xr:uid="{00000000-0005-0000-0000-0000B8040000}"/>
    <cellStyle name="20% - 輔色6 2 11" xfId="1551" xr:uid="{00000000-0005-0000-0000-0000B9040000}"/>
    <cellStyle name="20% - 輔色6 2 12" xfId="1349" xr:uid="{00000000-0005-0000-0000-0000BA040000}"/>
    <cellStyle name="20% - 輔色6 2 13" xfId="3702" xr:uid="{00000000-0005-0000-0000-0000BB040000}"/>
    <cellStyle name="20% - 輔色6 2 13 2" xfId="4949" xr:uid="{00000000-0005-0000-0000-0000BC040000}"/>
    <cellStyle name="20% - 輔色6 2 14" xfId="3677" xr:uid="{00000000-0005-0000-0000-0000BD040000}"/>
    <cellStyle name="20% - 輔色6 2 14 2" xfId="4927" xr:uid="{00000000-0005-0000-0000-0000BE040000}"/>
    <cellStyle name="20% - 輔色6 2 2" xfId="63" xr:uid="{00000000-0005-0000-0000-0000BF040000}"/>
    <cellStyle name="20% - 輔色6 2 2 2" xfId="1977" xr:uid="{00000000-0005-0000-0000-0000C0040000}"/>
    <cellStyle name="20% - 輔色6 2 2 2 2" xfId="1978" xr:uid="{00000000-0005-0000-0000-0000C1040000}"/>
    <cellStyle name="20% - 輔色6 2 2 2 3" xfId="2467" xr:uid="{00000000-0005-0000-0000-0000C2040000}"/>
    <cellStyle name="20% - 輔色6 2 2 3" xfId="2466" xr:uid="{00000000-0005-0000-0000-0000C3040000}"/>
    <cellStyle name="20% - 輔色6 2 3" xfId="845" xr:uid="{00000000-0005-0000-0000-0000C4040000}"/>
    <cellStyle name="20% - 輔色6 2 4" xfId="1147" xr:uid="{00000000-0005-0000-0000-0000C5040000}"/>
    <cellStyle name="20% - 輔色6 2 4 2" xfId="2443" xr:uid="{00000000-0005-0000-0000-0000C6040000}"/>
    <cellStyle name="20% - 輔色6 2 4 2 2" xfId="2966" xr:uid="{00000000-0005-0000-0000-0000C7040000}"/>
    <cellStyle name="20% - 輔色6 2 4 2 3" xfId="3353" xr:uid="{00000000-0005-0000-0000-0000C8040000}"/>
    <cellStyle name="20% - 輔色6 2 4 2 4" xfId="3405" xr:uid="{00000000-0005-0000-0000-0000C9040000}"/>
    <cellStyle name="20% - 輔色6 2 4 3" xfId="1751" xr:uid="{00000000-0005-0000-0000-0000CA040000}"/>
    <cellStyle name="20% - 輔色6 2 4 4" xfId="3155" xr:uid="{00000000-0005-0000-0000-0000CB040000}"/>
    <cellStyle name="20% - 輔色6 2 5" xfId="1175" xr:uid="{00000000-0005-0000-0000-0000CC040000}"/>
    <cellStyle name="20% - 輔色6 2 6" xfId="1052" xr:uid="{00000000-0005-0000-0000-0000CD040000}"/>
    <cellStyle name="20% - 輔色6 2 7" xfId="977" xr:uid="{00000000-0005-0000-0000-0000CE040000}"/>
    <cellStyle name="20% - 輔色6 2 8" xfId="1369" xr:uid="{00000000-0005-0000-0000-0000CF040000}"/>
    <cellStyle name="20% - 輔色6 2 9" xfId="1482" xr:uid="{00000000-0005-0000-0000-0000D0040000}"/>
    <cellStyle name="20% - 輔色6 20" xfId="844" xr:uid="{00000000-0005-0000-0000-0000D1040000}"/>
    <cellStyle name="20% - 輔色6 21" xfId="1165" xr:uid="{00000000-0005-0000-0000-0000D2040000}"/>
    <cellStyle name="20% - 輔色6 22" xfId="850" xr:uid="{00000000-0005-0000-0000-0000D3040000}"/>
    <cellStyle name="20% - 輔色6 23" xfId="1040" xr:uid="{00000000-0005-0000-0000-0000D4040000}"/>
    <cellStyle name="20% - 輔色6 24" xfId="972" xr:uid="{00000000-0005-0000-0000-0000D5040000}"/>
    <cellStyle name="20% - 輔色6 25" xfId="1411" xr:uid="{00000000-0005-0000-0000-0000D6040000}"/>
    <cellStyle name="20% - 輔色6 26" xfId="1504" xr:uid="{00000000-0005-0000-0000-0000D7040000}"/>
    <cellStyle name="20% - 輔色6 27" xfId="1560" xr:uid="{00000000-0005-0000-0000-0000D8040000}"/>
    <cellStyle name="20% - 輔色6 28" xfId="1594" xr:uid="{00000000-0005-0000-0000-0000D9040000}"/>
    <cellStyle name="20% - 輔色6 29" xfId="1630" xr:uid="{00000000-0005-0000-0000-0000DA040000}"/>
    <cellStyle name="20% - 輔色6 3" xfId="64" xr:uid="{00000000-0005-0000-0000-0000DB040000}"/>
    <cellStyle name="20% - 輔色6 3 2" xfId="3703" xr:uid="{00000000-0005-0000-0000-0000DC040000}"/>
    <cellStyle name="20% - 輔色6 3 2 2" xfId="4950" xr:uid="{00000000-0005-0000-0000-0000DD040000}"/>
    <cellStyle name="20% - 輔色6 3 3" xfId="3674" xr:uid="{00000000-0005-0000-0000-0000DE040000}"/>
    <cellStyle name="20% - 輔色6 3 3 2" xfId="4924" xr:uid="{00000000-0005-0000-0000-0000DF040000}"/>
    <cellStyle name="20% - 輔色6 30" xfId="4002" xr:uid="{00000000-0005-0000-0000-0000E0040000}"/>
    <cellStyle name="20% - 輔色6 4" xfId="65" xr:uid="{00000000-0005-0000-0000-0000E1040000}"/>
    <cellStyle name="20% - 輔色6 4 2" xfId="3704" xr:uid="{00000000-0005-0000-0000-0000E2040000}"/>
    <cellStyle name="20% - 輔色6 4 2 2" xfId="4951" xr:uid="{00000000-0005-0000-0000-0000E3040000}"/>
    <cellStyle name="20% - 輔色6 4 3" xfId="3671" xr:uid="{00000000-0005-0000-0000-0000E4040000}"/>
    <cellStyle name="20% - 輔色6 4 3 2" xfId="4921" xr:uid="{00000000-0005-0000-0000-0000E5040000}"/>
    <cellStyle name="20% - 輔色6 5" xfId="66" xr:uid="{00000000-0005-0000-0000-0000E6040000}"/>
    <cellStyle name="20% - 輔色6 5 2" xfId="1849" xr:uid="{00000000-0005-0000-0000-0000E7040000}"/>
    <cellStyle name="20% - 輔色6 5 2 2" xfId="4230" xr:uid="{00000000-0005-0000-0000-0000E8040000}"/>
    <cellStyle name="20% - 輔色6 5 2 3" xfId="5072" xr:uid="{00000000-0005-0000-0000-0000E9040000}"/>
    <cellStyle name="20% - 輔色6 5 2 4" xfId="5231" xr:uid="{00000000-0005-0000-0000-0000EA040000}"/>
    <cellStyle name="20% - 輔色6 5 3" xfId="2423" xr:uid="{00000000-0005-0000-0000-0000EB040000}"/>
    <cellStyle name="20% - 輔色6 5 4" xfId="3107" xr:uid="{00000000-0005-0000-0000-0000EC040000}"/>
    <cellStyle name="20% - 輔色6 5 4 2" xfId="4664" xr:uid="{00000000-0005-0000-0000-0000ED040000}"/>
    <cellStyle name="20% - 輔色6 5 5" xfId="3077" xr:uid="{00000000-0005-0000-0000-0000EE040000}"/>
    <cellStyle name="20% - 輔色6 5 5 2" xfId="4648" xr:uid="{00000000-0005-0000-0000-0000EF040000}"/>
    <cellStyle name="20% - 輔色6 5 6" xfId="5006" xr:uid="{00000000-0005-0000-0000-0000F0040000}"/>
    <cellStyle name="20% - 輔色6 5 7" xfId="5165" xr:uid="{00000000-0005-0000-0000-0000F1040000}"/>
    <cellStyle name="20% - 輔色6 6" xfId="67" xr:uid="{00000000-0005-0000-0000-0000F2040000}"/>
    <cellStyle name="20% - 輔色6 6 2" xfId="1891" xr:uid="{00000000-0005-0000-0000-0000F3040000}"/>
    <cellStyle name="20% - 輔色6 6 2 2" xfId="4243" xr:uid="{00000000-0005-0000-0000-0000F4040000}"/>
    <cellStyle name="20% - 輔色6 6 2 3" xfId="5085" xr:uid="{00000000-0005-0000-0000-0000F5040000}"/>
    <cellStyle name="20% - 輔色6 6 2 4" xfId="5244" xr:uid="{00000000-0005-0000-0000-0000F6040000}"/>
    <cellStyle name="20% - 輔色6 6 3" xfId="2558" xr:uid="{00000000-0005-0000-0000-0000F7040000}"/>
    <cellStyle name="20% - 輔色6 6 4" xfId="2809" xr:uid="{00000000-0005-0000-0000-0000F8040000}"/>
    <cellStyle name="20% - 輔色6 6 4 2" xfId="4533" xr:uid="{00000000-0005-0000-0000-0000F9040000}"/>
    <cellStyle name="20% - 輔色6 6 5" xfId="3471" xr:uid="{00000000-0005-0000-0000-0000FA040000}"/>
    <cellStyle name="20% - 輔色6 6 5 2" xfId="4825" xr:uid="{00000000-0005-0000-0000-0000FB040000}"/>
    <cellStyle name="20% - 輔色6 6 6" xfId="5019" xr:uid="{00000000-0005-0000-0000-0000FC040000}"/>
    <cellStyle name="20% - 輔色6 6 7" xfId="5178" xr:uid="{00000000-0005-0000-0000-0000FD040000}"/>
    <cellStyle name="20% - 輔色6 7" xfId="68" xr:uid="{00000000-0005-0000-0000-0000FE040000}"/>
    <cellStyle name="20% - 輔色6 7 2" xfId="1932" xr:uid="{00000000-0005-0000-0000-0000FF040000}"/>
    <cellStyle name="20% - 輔色6 7 2 2" xfId="4256" xr:uid="{00000000-0005-0000-0000-000000050000}"/>
    <cellStyle name="20% - 輔色6 7 2 3" xfId="5098" xr:uid="{00000000-0005-0000-0000-000001050000}"/>
    <cellStyle name="20% - 輔色6 7 2 4" xfId="5257" xr:uid="{00000000-0005-0000-0000-000002050000}"/>
    <cellStyle name="20% - 輔色6 7 3" xfId="2403" xr:uid="{00000000-0005-0000-0000-000003050000}"/>
    <cellStyle name="20% - 輔色6 7 4" xfId="3074" xr:uid="{00000000-0005-0000-0000-000004050000}"/>
    <cellStyle name="20% - 輔色6 7 4 2" xfId="4646" xr:uid="{00000000-0005-0000-0000-000005050000}"/>
    <cellStyle name="20% - 輔色6 7 5" xfId="2249" xr:uid="{00000000-0005-0000-0000-000006050000}"/>
    <cellStyle name="20% - 輔色6 7 5 2" xfId="4396" xr:uid="{00000000-0005-0000-0000-000007050000}"/>
    <cellStyle name="20% - 輔色6 7 6" xfId="5032" xr:uid="{00000000-0005-0000-0000-000008050000}"/>
    <cellStyle name="20% - 輔色6 7 7" xfId="5191" xr:uid="{00000000-0005-0000-0000-000009050000}"/>
    <cellStyle name="20% - 輔色6 8" xfId="361" xr:uid="{00000000-0005-0000-0000-00000A050000}"/>
    <cellStyle name="20% - 輔色6 8 2" xfId="1964" xr:uid="{00000000-0005-0000-0000-00000B050000}"/>
    <cellStyle name="20% - 輔色6 8 2 2" xfId="4278" xr:uid="{00000000-0005-0000-0000-00000C050000}"/>
    <cellStyle name="20% - 輔色6 8 3" xfId="1788" xr:uid="{00000000-0005-0000-0000-00000D050000}"/>
    <cellStyle name="20% - 輔色6 8 3 2" xfId="4209" xr:uid="{00000000-0005-0000-0000-00000E050000}"/>
    <cellStyle name="20% - 輔色6 8 4" xfId="3225" xr:uid="{00000000-0005-0000-0000-00000F050000}"/>
    <cellStyle name="20% - 輔色6 8 4 2" xfId="4727" xr:uid="{00000000-0005-0000-0000-000010050000}"/>
    <cellStyle name="20% - 輔色6 8 5" xfId="3490" xr:uid="{00000000-0005-0000-0000-000011050000}"/>
    <cellStyle name="20% - 輔色6 8 5 2" xfId="4834" xr:uid="{00000000-0005-0000-0000-000012050000}"/>
    <cellStyle name="20% - 輔色6 8 6" xfId="4020" xr:uid="{00000000-0005-0000-0000-000013050000}"/>
    <cellStyle name="20% - 輔色6 8 7" xfId="5046" xr:uid="{00000000-0005-0000-0000-000014050000}"/>
    <cellStyle name="20% - 輔色6 8 8" xfId="5205" xr:uid="{00000000-0005-0000-0000-000015050000}"/>
    <cellStyle name="20% - 輔色6 9" xfId="403" xr:uid="{00000000-0005-0000-0000-000016050000}"/>
    <cellStyle name="20% - 輔色6 9 2" xfId="2012" xr:uid="{00000000-0005-0000-0000-000017050000}"/>
    <cellStyle name="20% - 輔色6 9 2 2" xfId="4281" xr:uid="{00000000-0005-0000-0000-000018050000}"/>
    <cellStyle name="20% - 輔色6 9 3" xfId="2871" xr:uid="{00000000-0005-0000-0000-000019050000}"/>
    <cellStyle name="20% - 輔色6 9 3 2" xfId="4563" xr:uid="{00000000-0005-0000-0000-00001A050000}"/>
    <cellStyle name="20% - 輔色6 9 4" xfId="3085" xr:uid="{00000000-0005-0000-0000-00001B050000}"/>
    <cellStyle name="20% - 輔色6 9 4 2" xfId="4652" xr:uid="{00000000-0005-0000-0000-00001C050000}"/>
    <cellStyle name="20% - 輔色6 9 5" xfId="3376" xr:uid="{00000000-0005-0000-0000-00001D050000}"/>
    <cellStyle name="20% - 輔色6 9 5 2" xfId="4789" xr:uid="{00000000-0005-0000-0000-00001E050000}"/>
    <cellStyle name="20% - 輔色6 9 6" xfId="4033" xr:uid="{00000000-0005-0000-0000-00001F050000}"/>
    <cellStyle name="20% - 輔色6 9 7" xfId="5049" xr:uid="{00000000-0005-0000-0000-000020050000}"/>
    <cellStyle name="20% - 輔色6 9 8" xfId="5208" xr:uid="{00000000-0005-0000-0000-000021050000}"/>
    <cellStyle name="40% - 輔色1" xfId="3642" builtinId="31" customBuiltin="1"/>
    <cellStyle name="40% - 輔色1 10" xfId="425" xr:uid="{00000000-0005-0000-0000-000023050000}"/>
    <cellStyle name="40% - 輔色1 10 2" xfId="2170" xr:uid="{00000000-0005-0000-0000-000024050000}"/>
    <cellStyle name="40% - 輔色1 10 2 2" xfId="4344" xr:uid="{00000000-0005-0000-0000-000025050000}"/>
    <cellStyle name="40% - 輔色1 10 3" xfId="2364" xr:uid="{00000000-0005-0000-0000-000026050000}"/>
    <cellStyle name="40% - 輔色1 10 3 2" xfId="4426" xr:uid="{00000000-0005-0000-0000-000027050000}"/>
    <cellStyle name="40% - 輔色1 10 4" xfId="2788" xr:uid="{00000000-0005-0000-0000-000028050000}"/>
    <cellStyle name="40% - 輔色1 10 4 2" xfId="4517" xr:uid="{00000000-0005-0000-0000-000029050000}"/>
    <cellStyle name="40% - 輔色1 10 5" xfId="3589" xr:uid="{00000000-0005-0000-0000-00002A050000}"/>
    <cellStyle name="40% - 輔色1 10 5 2" xfId="4891" xr:uid="{00000000-0005-0000-0000-00002B050000}"/>
    <cellStyle name="40% - 輔色1 10 6" xfId="4037" xr:uid="{00000000-0005-0000-0000-00002C050000}"/>
    <cellStyle name="40% - 輔色1 10 7" xfId="5102" xr:uid="{00000000-0005-0000-0000-00002D050000}"/>
    <cellStyle name="40% - 輔色1 10 8" xfId="5261" xr:uid="{00000000-0005-0000-0000-00002E050000}"/>
    <cellStyle name="40% - 輔色1 11" xfId="467" xr:uid="{00000000-0005-0000-0000-00002F050000}"/>
    <cellStyle name="40% - 輔色1 11 2" xfId="2203" xr:uid="{00000000-0005-0000-0000-000030050000}"/>
    <cellStyle name="40% - 輔色1 11 2 2" xfId="4363" xr:uid="{00000000-0005-0000-0000-000031050000}"/>
    <cellStyle name="40% - 輔色1 11 3" xfId="2091" xr:uid="{00000000-0005-0000-0000-000032050000}"/>
    <cellStyle name="40% - 輔色1 11 3 2" xfId="4305" xr:uid="{00000000-0005-0000-0000-000033050000}"/>
    <cellStyle name="40% - 輔色1 11 4" xfId="3062" xr:uid="{00000000-0005-0000-0000-000034050000}"/>
    <cellStyle name="40% - 輔色1 11 4 2" xfId="4638" xr:uid="{00000000-0005-0000-0000-000035050000}"/>
    <cellStyle name="40% - 輔色1 11 5" xfId="2209" xr:uid="{00000000-0005-0000-0000-000036050000}"/>
    <cellStyle name="40% - 輔色1 11 5 2" xfId="4369" xr:uid="{00000000-0005-0000-0000-000037050000}"/>
    <cellStyle name="40% - 輔色1 11 6" xfId="4050" xr:uid="{00000000-0005-0000-0000-000038050000}"/>
    <cellStyle name="40% - 輔色1 11 7" xfId="5115" xr:uid="{00000000-0005-0000-0000-000039050000}"/>
    <cellStyle name="40% - 輔色1 11 8" xfId="5274" xr:uid="{00000000-0005-0000-0000-00003A050000}"/>
    <cellStyle name="40% - 輔色1 12" xfId="508" xr:uid="{00000000-0005-0000-0000-00003B050000}"/>
    <cellStyle name="40% - 輔色1 12 2" xfId="2229" xr:uid="{00000000-0005-0000-0000-00003C050000}"/>
    <cellStyle name="40% - 輔色1 12 2 2" xfId="4383" xr:uid="{00000000-0005-0000-0000-00003D050000}"/>
    <cellStyle name="40% - 輔色1 12 3" xfId="2950" xr:uid="{00000000-0005-0000-0000-00003E050000}"/>
    <cellStyle name="40% - 輔色1 12 3 2" xfId="4592" xr:uid="{00000000-0005-0000-0000-00003F050000}"/>
    <cellStyle name="40% - 輔色1 12 4" xfId="3132" xr:uid="{00000000-0005-0000-0000-000040050000}"/>
    <cellStyle name="40% - 輔色1 12 4 2" xfId="4678" xr:uid="{00000000-0005-0000-0000-000041050000}"/>
    <cellStyle name="40% - 輔色1 12 5" xfId="3578" xr:uid="{00000000-0005-0000-0000-000042050000}"/>
    <cellStyle name="40% - 輔色1 12 5 2" xfId="4883" xr:uid="{00000000-0005-0000-0000-000043050000}"/>
    <cellStyle name="40% - 輔色1 12 6" xfId="4063" xr:uid="{00000000-0005-0000-0000-000044050000}"/>
    <cellStyle name="40% - 輔色1 12 7" xfId="5128" xr:uid="{00000000-0005-0000-0000-000045050000}"/>
    <cellStyle name="40% - 輔色1 12 8" xfId="5287" xr:uid="{00000000-0005-0000-0000-000046050000}"/>
    <cellStyle name="40% - 輔色1 13" xfId="550" xr:uid="{00000000-0005-0000-0000-000047050000}"/>
    <cellStyle name="40% - 輔色1 13 2" xfId="2256" xr:uid="{00000000-0005-0000-0000-000048050000}"/>
    <cellStyle name="40% - 輔色1 13 2 2" xfId="4401" xr:uid="{00000000-0005-0000-0000-000049050000}"/>
    <cellStyle name="40% - 輔色1 13 3" xfId="2136" xr:uid="{00000000-0005-0000-0000-00004A050000}"/>
    <cellStyle name="40% - 輔色1 13 3 2" xfId="4325" xr:uid="{00000000-0005-0000-0000-00004B050000}"/>
    <cellStyle name="40% - 輔色1 13 4" xfId="2820" xr:uid="{00000000-0005-0000-0000-00004C050000}"/>
    <cellStyle name="40% - 輔色1 13 4 2" xfId="4540" xr:uid="{00000000-0005-0000-0000-00004D050000}"/>
    <cellStyle name="40% - 輔色1 13 5" xfId="3597" xr:uid="{00000000-0005-0000-0000-00004E050000}"/>
    <cellStyle name="40% - 輔色1 13 5 2" xfId="4898" xr:uid="{00000000-0005-0000-0000-00004F050000}"/>
    <cellStyle name="40% - 輔色1 13 6" xfId="4076" xr:uid="{00000000-0005-0000-0000-000050050000}"/>
    <cellStyle name="40% - 輔色1 13 7" xfId="5141" xr:uid="{00000000-0005-0000-0000-000051050000}"/>
    <cellStyle name="40% - 輔色1 13 8" xfId="5300" xr:uid="{00000000-0005-0000-0000-000052050000}"/>
    <cellStyle name="40% - 輔色1 14" xfId="591" xr:uid="{00000000-0005-0000-0000-000053050000}"/>
    <cellStyle name="40% - 輔色1 14 2" xfId="2319" xr:uid="{00000000-0005-0000-0000-000054050000}"/>
    <cellStyle name="40% - 輔色1 14 2 2" xfId="2308" xr:uid="{00000000-0005-0000-0000-000055050000}"/>
    <cellStyle name="40% - 輔色1 14 2 2 2" xfId="4415" xr:uid="{00000000-0005-0000-0000-000056050000}"/>
    <cellStyle name="40% - 輔色1 14 2 3" xfId="3136" xr:uid="{00000000-0005-0000-0000-000057050000}"/>
    <cellStyle name="40% - 輔色1 14 2 3 2" xfId="4681" xr:uid="{00000000-0005-0000-0000-000058050000}"/>
    <cellStyle name="40% - 輔色1 14 2 4" xfId="3260" xr:uid="{00000000-0005-0000-0000-000059050000}"/>
    <cellStyle name="40% - 輔色1 14 2 4 2" xfId="4742" xr:uid="{00000000-0005-0000-0000-00005A050000}"/>
    <cellStyle name="40% - 輔色1 14 3" xfId="2137" xr:uid="{00000000-0005-0000-0000-00005B050000}"/>
    <cellStyle name="40% - 輔色1 14 4" xfId="3091" xr:uid="{00000000-0005-0000-0000-00005C050000}"/>
    <cellStyle name="40% - 輔色1 14 5" xfId="3611" xr:uid="{00000000-0005-0000-0000-00005D050000}"/>
    <cellStyle name="40% - 輔色1 14 5 2" xfId="4910" xr:uid="{00000000-0005-0000-0000-00005E050000}"/>
    <cellStyle name="40% - 輔色1 14 6" xfId="4089" xr:uid="{00000000-0005-0000-0000-00005F050000}"/>
    <cellStyle name="40% - 輔色1 15" xfId="632" xr:uid="{00000000-0005-0000-0000-000060050000}"/>
    <cellStyle name="40% - 輔色1 15 2" xfId="2681" xr:uid="{00000000-0005-0000-0000-000061050000}"/>
    <cellStyle name="40% - 輔色1 15 2 2" xfId="4449" xr:uid="{00000000-0005-0000-0000-000062050000}"/>
    <cellStyle name="40% - 輔色1 15 3" xfId="3059" xr:uid="{00000000-0005-0000-0000-000063050000}"/>
    <cellStyle name="40% - 輔色1 15 3 2" xfId="4636" xr:uid="{00000000-0005-0000-0000-000064050000}"/>
    <cellStyle name="40% - 輔色1 15 4" xfId="3365" xr:uid="{00000000-0005-0000-0000-000065050000}"/>
    <cellStyle name="40% - 輔色1 15 4 2" xfId="4779" xr:uid="{00000000-0005-0000-0000-000066050000}"/>
    <cellStyle name="40% - 輔色1 15 5" xfId="2075" xr:uid="{00000000-0005-0000-0000-000067050000}"/>
    <cellStyle name="40% - 輔色1 15 5 2" xfId="4300" xr:uid="{00000000-0005-0000-0000-000068050000}"/>
    <cellStyle name="40% - 輔色1 15 6" xfId="4102" xr:uid="{00000000-0005-0000-0000-000069050000}"/>
    <cellStyle name="40% - 輔色1 16" xfId="674" xr:uid="{00000000-0005-0000-0000-00006A050000}"/>
    <cellStyle name="40% - 輔色1 16 2" xfId="2710" xr:uid="{00000000-0005-0000-0000-00006B050000}"/>
    <cellStyle name="40% - 輔色1 16 2 2" xfId="4466" xr:uid="{00000000-0005-0000-0000-00006C050000}"/>
    <cellStyle name="40% - 輔色1 16 3" xfId="3222" xr:uid="{00000000-0005-0000-0000-00006D050000}"/>
    <cellStyle name="40% - 輔色1 16 3 2" xfId="4725" xr:uid="{00000000-0005-0000-0000-00006E050000}"/>
    <cellStyle name="40% - 輔色1 16 4" xfId="2118" xr:uid="{00000000-0005-0000-0000-00006F050000}"/>
    <cellStyle name="40% - 輔色1 16 4 2" xfId="4317" xr:uid="{00000000-0005-0000-0000-000070050000}"/>
    <cellStyle name="40% - 輔色1 16 5" xfId="1767" xr:uid="{00000000-0005-0000-0000-000071050000}"/>
    <cellStyle name="40% - 輔色1 16 5 2" xfId="4196" xr:uid="{00000000-0005-0000-0000-000072050000}"/>
    <cellStyle name="40% - 輔色1 16 6" xfId="4115" xr:uid="{00000000-0005-0000-0000-000073050000}"/>
    <cellStyle name="40% - 輔色1 17" xfId="715" xr:uid="{00000000-0005-0000-0000-000074050000}"/>
    <cellStyle name="40% - 輔色1 17 2" xfId="2738" xr:uid="{00000000-0005-0000-0000-000075050000}"/>
    <cellStyle name="40% - 輔色1 17 2 2" xfId="4483" xr:uid="{00000000-0005-0000-0000-000076050000}"/>
    <cellStyle name="40% - 輔色1 17 3" xfId="1727" xr:uid="{00000000-0005-0000-0000-000077050000}"/>
    <cellStyle name="40% - 輔色1 17 3 2" xfId="4178" xr:uid="{00000000-0005-0000-0000-000078050000}"/>
    <cellStyle name="40% - 輔色1 17 4" xfId="3330" xr:uid="{00000000-0005-0000-0000-000079050000}"/>
    <cellStyle name="40% - 輔色1 17 4 2" xfId="4764" xr:uid="{00000000-0005-0000-0000-00007A050000}"/>
    <cellStyle name="40% - 輔色1 17 5" xfId="3028" xr:uid="{00000000-0005-0000-0000-00007B050000}"/>
    <cellStyle name="40% - 輔色1 17 5 2" xfId="4622" xr:uid="{00000000-0005-0000-0000-00007C050000}"/>
    <cellStyle name="40% - 輔色1 17 6" xfId="4128" xr:uid="{00000000-0005-0000-0000-00007D050000}"/>
    <cellStyle name="40% - 輔色1 18" xfId="756" xr:uid="{00000000-0005-0000-0000-00007E050000}"/>
    <cellStyle name="40% - 輔色1 18 2" xfId="2763" xr:uid="{00000000-0005-0000-0000-00007F050000}"/>
    <cellStyle name="40% - 輔色1 18 2 2" xfId="4501" xr:uid="{00000000-0005-0000-0000-000080050000}"/>
    <cellStyle name="40% - 輔色1 18 3" xfId="2967" xr:uid="{00000000-0005-0000-0000-000081050000}"/>
    <cellStyle name="40% - 輔色1 18 3 2" xfId="4599" xr:uid="{00000000-0005-0000-0000-000082050000}"/>
    <cellStyle name="40% - 輔色1 18 4" xfId="1777" xr:uid="{00000000-0005-0000-0000-000083050000}"/>
    <cellStyle name="40% - 輔色1 18 4 2" xfId="4204" xr:uid="{00000000-0005-0000-0000-000084050000}"/>
    <cellStyle name="40% - 輔色1 18 5" xfId="3586" xr:uid="{00000000-0005-0000-0000-000085050000}"/>
    <cellStyle name="40% - 輔色1 18 5 2" xfId="4889" xr:uid="{00000000-0005-0000-0000-000086050000}"/>
    <cellStyle name="40% - 輔色1 18 6" xfId="4141" xr:uid="{00000000-0005-0000-0000-000087050000}"/>
    <cellStyle name="40% - 輔色1 19" xfId="797" xr:uid="{00000000-0005-0000-0000-000088050000}"/>
    <cellStyle name="40% - 輔色1 19 2" xfId="2790" xr:uid="{00000000-0005-0000-0000-000089050000}"/>
    <cellStyle name="40% - 輔色1 19 2 2" xfId="4519" xr:uid="{00000000-0005-0000-0000-00008A050000}"/>
    <cellStyle name="40% - 輔色1 19 3" xfId="1718" xr:uid="{00000000-0005-0000-0000-00008B050000}"/>
    <cellStyle name="40% - 輔色1 19 3 2" xfId="4170" xr:uid="{00000000-0005-0000-0000-00008C050000}"/>
    <cellStyle name="40% - 輔色1 19 4" xfId="2827" xr:uid="{00000000-0005-0000-0000-00008D050000}"/>
    <cellStyle name="40% - 輔色1 19 4 2" xfId="4544" xr:uid="{00000000-0005-0000-0000-00008E050000}"/>
    <cellStyle name="40% - 輔色1 19 5" xfId="3606" xr:uid="{00000000-0005-0000-0000-00008F050000}"/>
    <cellStyle name="40% - 輔色1 19 5 2" xfId="4905" xr:uid="{00000000-0005-0000-0000-000090050000}"/>
    <cellStyle name="40% - 輔色1 19 6" xfId="4154" xr:uid="{00000000-0005-0000-0000-000091050000}"/>
    <cellStyle name="40% - 輔色1 2" xfId="69" xr:uid="{00000000-0005-0000-0000-000092050000}"/>
    <cellStyle name="40% - 輔色1 2 10" xfId="1536" xr:uid="{00000000-0005-0000-0000-000093050000}"/>
    <cellStyle name="40% - 輔色1 2 11" xfId="1593" xr:uid="{00000000-0005-0000-0000-000094050000}"/>
    <cellStyle name="40% - 輔色1 2 12" xfId="1651" xr:uid="{00000000-0005-0000-0000-000095050000}"/>
    <cellStyle name="40% - 輔色1 2 13" xfId="3705" xr:uid="{00000000-0005-0000-0000-000096050000}"/>
    <cellStyle name="40% - 輔色1 2 13 2" xfId="4952" xr:uid="{00000000-0005-0000-0000-000097050000}"/>
    <cellStyle name="40% - 輔色1 2 14" xfId="3668" xr:uid="{00000000-0005-0000-0000-000098050000}"/>
    <cellStyle name="40% - 輔色1 2 14 2" xfId="4918" xr:uid="{00000000-0005-0000-0000-000099050000}"/>
    <cellStyle name="40% - 輔色1 2 2" xfId="70" xr:uid="{00000000-0005-0000-0000-00009A050000}"/>
    <cellStyle name="40% - 輔色1 2 2 2" xfId="1979" xr:uid="{00000000-0005-0000-0000-00009B050000}"/>
    <cellStyle name="40% - 輔色1 2 2 2 2" xfId="1980" xr:uid="{00000000-0005-0000-0000-00009C050000}"/>
    <cellStyle name="40% - 輔色1 2 2 2 3" xfId="2469" xr:uid="{00000000-0005-0000-0000-00009D050000}"/>
    <cellStyle name="40% - 輔色1 2 2 3" xfId="2468" xr:uid="{00000000-0005-0000-0000-00009E050000}"/>
    <cellStyle name="40% - 輔色1 2 3" xfId="852" xr:uid="{00000000-0005-0000-0000-00009F050000}"/>
    <cellStyle name="40% - 輔色1 2 4" xfId="1000" xr:uid="{00000000-0005-0000-0000-0000A0050000}"/>
    <cellStyle name="40% - 輔色1 2 4 2" xfId="2385" xr:uid="{00000000-0005-0000-0000-0000A1050000}"/>
    <cellStyle name="40% - 輔色1 2 4 2 2" xfId="2889" xr:uid="{00000000-0005-0000-0000-0000A2050000}"/>
    <cellStyle name="40% - 輔色1 2 4 2 3" xfId="3297" xr:uid="{00000000-0005-0000-0000-0000A3050000}"/>
    <cellStyle name="40% - 輔色1 2 4 2 4" xfId="2230" xr:uid="{00000000-0005-0000-0000-0000A4050000}"/>
    <cellStyle name="40% - 輔色1 2 4 3" xfId="3251" xr:uid="{00000000-0005-0000-0000-0000A5050000}"/>
    <cellStyle name="40% - 輔色1 2 4 4" xfId="3385" xr:uid="{00000000-0005-0000-0000-0000A6050000}"/>
    <cellStyle name="40% - 輔色1 2 5" xfId="932" xr:uid="{00000000-0005-0000-0000-0000A7050000}"/>
    <cellStyle name="40% - 輔色1 2 6" xfId="961" xr:uid="{00000000-0005-0000-0000-0000A8050000}"/>
    <cellStyle name="40% - 輔色1 2 7" xfId="843" xr:uid="{00000000-0005-0000-0000-0000A9050000}"/>
    <cellStyle name="40% - 輔色1 2 8" xfId="1410" xr:uid="{00000000-0005-0000-0000-0000AA050000}"/>
    <cellStyle name="40% - 輔色1 2 9" xfId="1481" xr:uid="{00000000-0005-0000-0000-0000AB050000}"/>
    <cellStyle name="40% - 輔色1 20" xfId="851" xr:uid="{00000000-0005-0000-0000-0000AC050000}"/>
    <cellStyle name="40% - 輔色1 21" xfId="1017" xr:uid="{00000000-0005-0000-0000-0000AD050000}"/>
    <cellStyle name="40% - 輔色1 22" xfId="924" xr:uid="{00000000-0005-0000-0000-0000AE050000}"/>
    <cellStyle name="40% - 輔色1 23" xfId="1182" xr:uid="{00000000-0005-0000-0000-0000AF050000}"/>
    <cellStyle name="40% - 輔色1 24" xfId="1330" xr:uid="{00000000-0005-0000-0000-0000B0050000}"/>
    <cellStyle name="40% - 輔色1 25" xfId="1364" xr:uid="{00000000-0005-0000-0000-0000B1050000}"/>
    <cellStyle name="40% - 輔色1 26" xfId="1503" xr:uid="{00000000-0005-0000-0000-0000B2050000}"/>
    <cellStyle name="40% - 輔色1 27" xfId="1559" xr:uid="{00000000-0005-0000-0000-0000B3050000}"/>
    <cellStyle name="40% - 輔色1 28" xfId="1616" xr:uid="{00000000-0005-0000-0000-0000B4050000}"/>
    <cellStyle name="40% - 輔色1 29" xfId="1660" xr:uid="{00000000-0005-0000-0000-0000B5050000}"/>
    <cellStyle name="40% - 輔色1 3" xfId="71" xr:uid="{00000000-0005-0000-0000-0000B6050000}"/>
    <cellStyle name="40% - 輔色1 3 2" xfId="3706" xr:uid="{00000000-0005-0000-0000-0000B7050000}"/>
    <cellStyle name="40% - 輔色1 3 2 2" xfId="4953" xr:uid="{00000000-0005-0000-0000-0000B8050000}"/>
    <cellStyle name="40% - 輔色1 3 3" xfId="3682" xr:uid="{00000000-0005-0000-0000-0000B9050000}"/>
    <cellStyle name="40% - 輔色1 3 3 2" xfId="4932" xr:uid="{00000000-0005-0000-0000-0000BA050000}"/>
    <cellStyle name="40% - 輔色1 30" xfId="3993" xr:uid="{00000000-0005-0000-0000-0000BB050000}"/>
    <cellStyle name="40% - 輔色1 4" xfId="72" xr:uid="{00000000-0005-0000-0000-0000BC050000}"/>
    <cellStyle name="40% - 輔色1 4 2" xfId="3707" xr:uid="{00000000-0005-0000-0000-0000BD050000}"/>
    <cellStyle name="40% - 輔色1 4 2 2" xfId="4954" xr:uid="{00000000-0005-0000-0000-0000BE050000}"/>
    <cellStyle name="40% - 輔色1 4 3" xfId="3679" xr:uid="{00000000-0005-0000-0000-0000BF050000}"/>
    <cellStyle name="40% - 輔色1 4 3 2" xfId="4929" xr:uid="{00000000-0005-0000-0000-0000C0050000}"/>
    <cellStyle name="40% - 輔色1 5" xfId="73" xr:uid="{00000000-0005-0000-0000-0000C1050000}"/>
    <cellStyle name="40% - 輔色1 5 2" xfId="1830" xr:uid="{00000000-0005-0000-0000-0000C2050000}"/>
    <cellStyle name="40% - 輔色1 5 2 2" xfId="4221" xr:uid="{00000000-0005-0000-0000-0000C3050000}"/>
    <cellStyle name="40% - 輔色1 5 2 3" xfId="5063" xr:uid="{00000000-0005-0000-0000-0000C4050000}"/>
    <cellStyle name="40% - 輔色1 5 2 4" xfId="5222" xr:uid="{00000000-0005-0000-0000-0000C5050000}"/>
    <cellStyle name="40% - 輔色1 5 3" xfId="2618" xr:uid="{00000000-0005-0000-0000-0000C6050000}"/>
    <cellStyle name="40% - 輔色1 5 4" xfId="2949" xr:uid="{00000000-0005-0000-0000-0000C7050000}"/>
    <cellStyle name="40% - 輔色1 5 4 2" xfId="4591" xr:uid="{00000000-0005-0000-0000-0000C8050000}"/>
    <cellStyle name="40% - 輔色1 5 5" xfId="3364" xr:uid="{00000000-0005-0000-0000-0000C9050000}"/>
    <cellStyle name="40% - 輔色1 5 5 2" xfId="4778" xr:uid="{00000000-0005-0000-0000-0000CA050000}"/>
    <cellStyle name="40% - 輔色1 5 6" xfId="4997" xr:uid="{00000000-0005-0000-0000-0000CB050000}"/>
    <cellStyle name="40% - 輔色1 5 7" xfId="5156" xr:uid="{00000000-0005-0000-0000-0000CC050000}"/>
    <cellStyle name="40% - 輔色1 6" xfId="74" xr:uid="{00000000-0005-0000-0000-0000CD050000}"/>
    <cellStyle name="40% - 輔色1 6 2" xfId="1872" xr:uid="{00000000-0005-0000-0000-0000CE050000}"/>
    <cellStyle name="40% - 輔色1 6 2 2" xfId="4234" xr:uid="{00000000-0005-0000-0000-0000CF050000}"/>
    <cellStyle name="40% - 輔色1 6 2 3" xfId="5076" xr:uid="{00000000-0005-0000-0000-0000D0050000}"/>
    <cellStyle name="40% - 輔色1 6 2 4" xfId="5235" xr:uid="{00000000-0005-0000-0000-0000D1050000}"/>
    <cellStyle name="40% - 輔色1 6 3" xfId="2599" xr:uid="{00000000-0005-0000-0000-0000D2050000}"/>
    <cellStyle name="40% - 輔色1 6 4" xfId="2191" xr:uid="{00000000-0005-0000-0000-0000D3050000}"/>
    <cellStyle name="40% - 輔色1 6 4 2" xfId="4358" xr:uid="{00000000-0005-0000-0000-0000D4050000}"/>
    <cellStyle name="40% - 輔色1 6 5" xfId="2138" xr:uid="{00000000-0005-0000-0000-0000D5050000}"/>
    <cellStyle name="40% - 輔色1 6 5 2" xfId="4326" xr:uid="{00000000-0005-0000-0000-0000D6050000}"/>
    <cellStyle name="40% - 輔色1 6 6" xfId="5010" xr:uid="{00000000-0005-0000-0000-0000D7050000}"/>
    <cellStyle name="40% - 輔色1 6 7" xfId="5169" xr:uid="{00000000-0005-0000-0000-0000D8050000}"/>
    <cellStyle name="40% - 輔色1 7" xfId="75" xr:uid="{00000000-0005-0000-0000-0000D9050000}"/>
    <cellStyle name="40% - 輔色1 7 2" xfId="1913" xr:uid="{00000000-0005-0000-0000-0000DA050000}"/>
    <cellStyle name="40% - 輔色1 7 2 2" xfId="4247" xr:uid="{00000000-0005-0000-0000-0000DB050000}"/>
    <cellStyle name="40% - 輔色1 7 2 3" xfId="5089" xr:uid="{00000000-0005-0000-0000-0000DC050000}"/>
    <cellStyle name="40% - 輔色1 7 2 4" xfId="5248" xr:uid="{00000000-0005-0000-0000-0000DD050000}"/>
    <cellStyle name="40% - 輔色1 7 3" xfId="2549" xr:uid="{00000000-0005-0000-0000-0000DE050000}"/>
    <cellStyle name="40% - 輔色1 7 4" xfId="3171" xr:uid="{00000000-0005-0000-0000-0000DF050000}"/>
    <cellStyle name="40% - 輔色1 7 4 2" xfId="4700" xr:uid="{00000000-0005-0000-0000-0000E0050000}"/>
    <cellStyle name="40% - 輔色1 7 5" xfId="3210" xr:uid="{00000000-0005-0000-0000-0000E1050000}"/>
    <cellStyle name="40% - 輔色1 7 5 2" xfId="4719" xr:uid="{00000000-0005-0000-0000-0000E2050000}"/>
    <cellStyle name="40% - 輔色1 7 6" xfId="5023" xr:uid="{00000000-0005-0000-0000-0000E3050000}"/>
    <cellStyle name="40% - 輔色1 7 7" xfId="5182" xr:uid="{00000000-0005-0000-0000-0000E4050000}"/>
    <cellStyle name="40% - 輔色1 8" xfId="342" xr:uid="{00000000-0005-0000-0000-0000E5050000}"/>
    <cellStyle name="40% - 輔色1 8 2" xfId="1952" xr:uid="{00000000-0005-0000-0000-0000E6050000}"/>
    <cellStyle name="40% - 輔色1 8 2 2" xfId="4267" xr:uid="{00000000-0005-0000-0000-0000E7050000}"/>
    <cellStyle name="40% - 輔色1 8 3" xfId="2671" xr:uid="{00000000-0005-0000-0000-0000E8050000}"/>
    <cellStyle name="40% - 輔色1 8 3 2" xfId="4443" xr:uid="{00000000-0005-0000-0000-0000E9050000}"/>
    <cellStyle name="40% - 輔色1 8 4" xfId="3436" xr:uid="{00000000-0005-0000-0000-0000EA050000}"/>
    <cellStyle name="40% - 輔色1 8 4 2" xfId="4812" xr:uid="{00000000-0005-0000-0000-0000EB050000}"/>
    <cellStyle name="40% - 輔色1 8 5" xfId="3547" xr:uid="{00000000-0005-0000-0000-0000EC050000}"/>
    <cellStyle name="40% - 輔色1 8 5 2" xfId="4862" xr:uid="{00000000-0005-0000-0000-0000ED050000}"/>
    <cellStyle name="40% - 輔色1 8 6" xfId="4011" xr:uid="{00000000-0005-0000-0000-0000EE050000}"/>
    <cellStyle name="40% - 輔色1 8 7" xfId="5037" xr:uid="{00000000-0005-0000-0000-0000EF050000}"/>
    <cellStyle name="40% - 輔色1 8 8" xfId="5196" xr:uid="{00000000-0005-0000-0000-0000F0050000}"/>
    <cellStyle name="40% - 輔色1 9" xfId="384" xr:uid="{00000000-0005-0000-0000-0000F1050000}"/>
    <cellStyle name="40% - 輔色1 9 2" xfId="2044" xr:uid="{00000000-0005-0000-0000-0000F2050000}"/>
    <cellStyle name="40% - 輔色1 9 2 2" xfId="4294" xr:uid="{00000000-0005-0000-0000-0000F3050000}"/>
    <cellStyle name="40% - 輔色1 9 3" xfId="2868" xr:uid="{00000000-0005-0000-0000-0000F4050000}"/>
    <cellStyle name="40% - 輔色1 9 3 2" xfId="4562" xr:uid="{00000000-0005-0000-0000-0000F5050000}"/>
    <cellStyle name="40% - 輔色1 9 4" xfId="1781" xr:uid="{00000000-0005-0000-0000-0000F6050000}"/>
    <cellStyle name="40% - 輔色1 9 4 2" xfId="4206" xr:uid="{00000000-0005-0000-0000-0000F7050000}"/>
    <cellStyle name="40% - 輔色1 9 5" xfId="3458" xr:uid="{00000000-0005-0000-0000-0000F8050000}"/>
    <cellStyle name="40% - 輔色1 9 5 2" xfId="4817" xr:uid="{00000000-0005-0000-0000-0000F9050000}"/>
    <cellStyle name="40% - 輔色1 9 6" xfId="4024" xr:uid="{00000000-0005-0000-0000-0000FA050000}"/>
    <cellStyle name="40% - 輔色1 9 7" xfId="5058" xr:uid="{00000000-0005-0000-0000-0000FB050000}"/>
    <cellStyle name="40% - 輔色1 9 8" xfId="5217" xr:uid="{00000000-0005-0000-0000-0000FC050000}"/>
    <cellStyle name="40% - 輔色2" xfId="3646" builtinId="35" customBuiltin="1"/>
    <cellStyle name="40% - 輔色2 10" xfId="429" xr:uid="{00000000-0005-0000-0000-0000FE050000}"/>
    <cellStyle name="40% - 輔色2 10 2" xfId="2174" xr:uid="{00000000-0005-0000-0000-0000FF050000}"/>
    <cellStyle name="40% - 輔色2 10 2 2" xfId="4346" xr:uid="{00000000-0005-0000-0000-000000060000}"/>
    <cellStyle name="40% - 輔色2 10 3" xfId="3182" xr:uid="{00000000-0005-0000-0000-000001060000}"/>
    <cellStyle name="40% - 輔色2 10 3 2" xfId="4705" xr:uid="{00000000-0005-0000-0000-000002060000}"/>
    <cellStyle name="40% - 輔色2 10 4" xfId="3164" xr:uid="{00000000-0005-0000-0000-000003060000}"/>
    <cellStyle name="40% - 輔色2 10 4 2" xfId="4695" xr:uid="{00000000-0005-0000-0000-000004060000}"/>
    <cellStyle name="40% - 輔色2 10 5" xfId="3235" xr:uid="{00000000-0005-0000-0000-000005060000}"/>
    <cellStyle name="40% - 輔色2 10 5 2" xfId="4733" xr:uid="{00000000-0005-0000-0000-000006060000}"/>
    <cellStyle name="40% - 輔色2 10 6" xfId="4039" xr:uid="{00000000-0005-0000-0000-000007060000}"/>
    <cellStyle name="40% - 輔色2 10 7" xfId="5104" xr:uid="{00000000-0005-0000-0000-000008060000}"/>
    <cellStyle name="40% - 輔色2 10 8" xfId="5263" xr:uid="{00000000-0005-0000-0000-000009060000}"/>
    <cellStyle name="40% - 輔色2 11" xfId="471" xr:uid="{00000000-0005-0000-0000-00000A060000}"/>
    <cellStyle name="40% - 輔色2 11 2" xfId="2206" xr:uid="{00000000-0005-0000-0000-00000B060000}"/>
    <cellStyle name="40% - 輔色2 11 2 2" xfId="4366" xr:uid="{00000000-0005-0000-0000-00000C060000}"/>
    <cellStyle name="40% - 輔色2 11 3" xfId="3189" xr:uid="{00000000-0005-0000-0000-00000D060000}"/>
    <cellStyle name="40% - 輔色2 11 3 2" xfId="4709" xr:uid="{00000000-0005-0000-0000-00000E060000}"/>
    <cellStyle name="40% - 輔色2 11 4" xfId="2729" xr:uid="{00000000-0005-0000-0000-00000F060000}"/>
    <cellStyle name="40% - 輔色2 11 4 2" xfId="4478" xr:uid="{00000000-0005-0000-0000-000010060000}"/>
    <cellStyle name="40% - 輔色2 11 5" xfId="3580" xr:uid="{00000000-0005-0000-0000-000011060000}"/>
    <cellStyle name="40% - 輔色2 11 5 2" xfId="4885" xr:uid="{00000000-0005-0000-0000-000012060000}"/>
    <cellStyle name="40% - 輔色2 11 6" xfId="4052" xr:uid="{00000000-0005-0000-0000-000013060000}"/>
    <cellStyle name="40% - 輔色2 11 7" xfId="5117" xr:uid="{00000000-0005-0000-0000-000014060000}"/>
    <cellStyle name="40% - 輔色2 11 8" xfId="5276" xr:uid="{00000000-0005-0000-0000-000015060000}"/>
    <cellStyle name="40% - 輔色2 12" xfId="512" xr:uid="{00000000-0005-0000-0000-000016060000}"/>
    <cellStyle name="40% - 輔色2 12 2" xfId="2232" xr:uid="{00000000-0005-0000-0000-000017060000}"/>
    <cellStyle name="40% - 輔色2 12 2 2" xfId="4385" xr:uid="{00000000-0005-0000-0000-000018060000}"/>
    <cellStyle name="40% - 輔色2 12 3" xfId="3069" xr:uid="{00000000-0005-0000-0000-000019060000}"/>
    <cellStyle name="40% - 輔色2 12 3 2" xfId="4641" xr:uid="{00000000-0005-0000-0000-00001A060000}"/>
    <cellStyle name="40% - 輔色2 12 4" xfId="2841" xr:uid="{00000000-0005-0000-0000-00001B060000}"/>
    <cellStyle name="40% - 輔色2 12 4 2" xfId="4552" xr:uid="{00000000-0005-0000-0000-00001C060000}"/>
    <cellStyle name="40% - 輔色2 12 5" xfId="2902" xr:uid="{00000000-0005-0000-0000-00001D060000}"/>
    <cellStyle name="40% - 輔色2 12 5 2" xfId="4573" xr:uid="{00000000-0005-0000-0000-00001E060000}"/>
    <cellStyle name="40% - 輔色2 12 6" xfId="4065" xr:uid="{00000000-0005-0000-0000-00001F060000}"/>
    <cellStyle name="40% - 輔色2 12 7" xfId="5130" xr:uid="{00000000-0005-0000-0000-000020060000}"/>
    <cellStyle name="40% - 輔色2 12 8" xfId="5289" xr:uid="{00000000-0005-0000-0000-000021060000}"/>
    <cellStyle name="40% - 輔色2 13" xfId="554" xr:uid="{00000000-0005-0000-0000-000022060000}"/>
    <cellStyle name="40% - 輔色2 13 2" xfId="2259" xr:uid="{00000000-0005-0000-0000-000023060000}"/>
    <cellStyle name="40% - 輔色2 13 2 2" xfId="4404" xr:uid="{00000000-0005-0000-0000-000024060000}"/>
    <cellStyle name="40% - 輔色2 13 3" xfId="1765" xr:uid="{00000000-0005-0000-0000-000025060000}"/>
    <cellStyle name="40% - 輔色2 13 3 2" xfId="4194" xr:uid="{00000000-0005-0000-0000-000026060000}"/>
    <cellStyle name="40% - 輔色2 13 4" xfId="1768" xr:uid="{00000000-0005-0000-0000-000027060000}"/>
    <cellStyle name="40% - 輔色2 13 4 2" xfId="4197" xr:uid="{00000000-0005-0000-0000-000028060000}"/>
    <cellStyle name="40% - 輔色2 13 5" xfId="2895" xr:uid="{00000000-0005-0000-0000-000029060000}"/>
    <cellStyle name="40% - 輔色2 13 5 2" xfId="4570" xr:uid="{00000000-0005-0000-0000-00002A060000}"/>
    <cellStyle name="40% - 輔色2 13 6" xfId="4078" xr:uid="{00000000-0005-0000-0000-00002B060000}"/>
    <cellStyle name="40% - 輔色2 13 7" xfId="5143" xr:uid="{00000000-0005-0000-0000-00002C060000}"/>
    <cellStyle name="40% - 輔色2 13 8" xfId="5302" xr:uid="{00000000-0005-0000-0000-00002D060000}"/>
    <cellStyle name="40% - 輔色2 14" xfId="595" xr:uid="{00000000-0005-0000-0000-00002E060000}"/>
    <cellStyle name="40% - 輔色2 14 2" xfId="2321" xr:uid="{00000000-0005-0000-0000-00002F060000}"/>
    <cellStyle name="40% - 輔色2 14 2 2" xfId="2621" xr:uid="{00000000-0005-0000-0000-000030060000}"/>
    <cellStyle name="40% - 輔色2 14 2 2 2" xfId="4433" xr:uid="{00000000-0005-0000-0000-000031060000}"/>
    <cellStyle name="40% - 輔色2 14 2 3" xfId="2154" xr:uid="{00000000-0005-0000-0000-000032060000}"/>
    <cellStyle name="40% - 輔色2 14 2 3 2" xfId="4335" xr:uid="{00000000-0005-0000-0000-000033060000}"/>
    <cellStyle name="40% - 輔色2 14 2 4" xfId="2313" xr:uid="{00000000-0005-0000-0000-000034060000}"/>
    <cellStyle name="40% - 輔色2 14 2 4 2" xfId="4416" xr:uid="{00000000-0005-0000-0000-000035060000}"/>
    <cellStyle name="40% - 輔色2 14 3" xfId="2088" xr:uid="{00000000-0005-0000-0000-000036060000}"/>
    <cellStyle name="40% - 輔色2 14 4" xfId="2850" xr:uid="{00000000-0005-0000-0000-000037060000}"/>
    <cellStyle name="40% - 輔色2 14 5" xfId="2155" xr:uid="{00000000-0005-0000-0000-000038060000}"/>
    <cellStyle name="40% - 輔色2 14 5 2" xfId="4336" xr:uid="{00000000-0005-0000-0000-000039060000}"/>
    <cellStyle name="40% - 輔色2 14 6" xfId="4091" xr:uid="{00000000-0005-0000-0000-00003A060000}"/>
    <cellStyle name="40% - 輔色2 15" xfId="636" xr:uid="{00000000-0005-0000-0000-00003B060000}"/>
    <cellStyle name="40% - 輔色2 15 2" xfId="2683" xr:uid="{00000000-0005-0000-0000-00003C060000}"/>
    <cellStyle name="40% - 輔色2 15 2 2" xfId="4451" xr:uid="{00000000-0005-0000-0000-00003D060000}"/>
    <cellStyle name="40% - 輔色2 15 3" xfId="1737" xr:uid="{00000000-0005-0000-0000-00003E060000}"/>
    <cellStyle name="40% - 輔色2 15 3 2" xfId="4188" xr:uid="{00000000-0005-0000-0000-00003F060000}"/>
    <cellStyle name="40% - 輔色2 15 4" xfId="3464" xr:uid="{00000000-0005-0000-0000-000040060000}"/>
    <cellStyle name="40% - 輔色2 15 4 2" xfId="4820" xr:uid="{00000000-0005-0000-0000-000041060000}"/>
    <cellStyle name="40% - 輔色2 15 5" xfId="3599" xr:uid="{00000000-0005-0000-0000-000042060000}"/>
    <cellStyle name="40% - 輔色2 15 5 2" xfId="4899" xr:uid="{00000000-0005-0000-0000-000043060000}"/>
    <cellStyle name="40% - 輔色2 15 6" xfId="4104" xr:uid="{00000000-0005-0000-0000-000044060000}"/>
    <cellStyle name="40% - 輔色2 16" xfId="678" xr:uid="{00000000-0005-0000-0000-000045060000}"/>
    <cellStyle name="40% - 輔色2 16 2" xfId="2713" xr:uid="{00000000-0005-0000-0000-000046060000}"/>
    <cellStyle name="40% - 輔色2 16 2 2" xfId="4468" xr:uid="{00000000-0005-0000-0000-000047060000}"/>
    <cellStyle name="40% - 輔色2 16 3" xfId="2838" xr:uid="{00000000-0005-0000-0000-000048060000}"/>
    <cellStyle name="40% - 輔色2 16 3 2" xfId="4551" xr:uid="{00000000-0005-0000-0000-000049060000}"/>
    <cellStyle name="40% - 輔色2 16 4" xfId="3329" xr:uid="{00000000-0005-0000-0000-00004A060000}"/>
    <cellStyle name="40% - 輔色2 16 4 2" xfId="4763" xr:uid="{00000000-0005-0000-0000-00004B060000}"/>
    <cellStyle name="40% - 輔色2 16 5" xfId="3485" xr:uid="{00000000-0005-0000-0000-00004C060000}"/>
    <cellStyle name="40% - 輔色2 16 5 2" xfId="4830" xr:uid="{00000000-0005-0000-0000-00004D060000}"/>
    <cellStyle name="40% - 輔色2 16 6" xfId="4117" xr:uid="{00000000-0005-0000-0000-00004E060000}"/>
    <cellStyle name="40% - 輔色2 17" xfId="719" xr:uid="{00000000-0005-0000-0000-00004F060000}"/>
    <cellStyle name="40% - 輔色2 17 2" xfId="2741" xr:uid="{00000000-0005-0000-0000-000050060000}"/>
    <cellStyle name="40% - 輔色2 17 2 2" xfId="4486" xr:uid="{00000000-0005-0000-0000-000051060000}"/>
    <cellStyle name="40% - 輔色2 17 3" xfId="1726" xr:uid="{00000000-0005-0000-0000-000052060000}"/>
    <cellStyle name="40% - 輔色2 17 3 2" xfId="4177" xr:uid="{00000000-0005-0000-0000-000053060000}"/>
    <cellStyle name="40% - 輔色2 17 4" xfId="2146" xr:uid="{00000000-0005-0000-0000-000054060000}"/>
    <cellStyle name="40% - 輔色2 17 4 2" xfId="4330" xr:uid="{00000000-0005-0000-0000-000055060000}"/>
    <cellStyle name="40% - 輔色2 17 5" xfId="3421" xr:uid="{00000000-0005-0000-0000-000056060000}"/>
    <cellStyle name="40% - 輔色2 17 5 2" xfId="4808" xr:uid="{00000000-0005-0000-0000-000057060000}"/>
    <cellStyle name="40% - 輔色2 17 6" xfId="4130" xr:uid="{00000000-0005-0000-0000-000058060000}"/>
    <cellStyle name="40% - 輔色2 18" xfId="760" xr:uid="{00000000-0005-0000-0000-000059060000}"/>
    <cellStyle name="40% - 輔色2 18 2" xfId="2766" xr:uid="{00000000-0005-0000-0000-00005A060000}"/>
    <cellStyle name="40% - 輔色2 18 2 2" xfId="4503" xr:uid="{00000000-0005-0000-0000-00005B060000}"/>
    <cellStyle name="40% - 輔色2 18 3" xfId="2817" xr:uid="{00000000-0005-0000-0000-00005C060000}"/>
    <cellStyle name="40% - 輔色2 18 3 2" xfId="4537" xr:uid="{00000000-0005-0000-0000-00005D060000}"/>
    <cellStyle name="40% - 輔色2 18 4" xfId="3372" xr:uid="{00000000-0005-0000-0000-00005E060000}"/>
    <cellStyle name="40% - 輔色2 18 4 2" xfId="4786" xr:uid="{00000000-0005-0000-0000-00005F060000}"/>
    <cellStyle name="40% - 輔色2 18 5" xfId="3404" xr:uid="{00000000-0005-0000-0000-000060060000}"/>
    <cellStyle name="40% - 輔色2 18 5 2" xfId="4801" xr:uid="{00000000-0005-0000-0000-000061060000}"/>
    <cellStyle name="40% - 輔色2 18 6" xfId="4143" xr:uid="{00000000-0005-0000-0000-000062060000}"/>
    <cellStyle name="40% - 輔色2 19" xfId="801" xr:uid="{00000000-0005-0000-0000-000063060000}"/>
    <cellStyle name="40% - 輔色2 19 2" xfId="2792" xr:uid="{00000000-0005-0000-0000-000064060000}"/>
    <cellStyle name="40% - 輔色2 19 2 2" xfId="4521" xr:uid="{00000000-0005-0000-0000-000065060000}"/>
    <cellStyle name="40% - 輔色2 19 3" xfId="1717" xr:uid="{00000000-0005-0000-0000-000066060000}"/>
    <cellStyle name="40% - 輔色2 19 3 2" xfId="4169" xr:uid="{00000000-0005-0000-0000-000067060000}"/>
    <cellStyle name="40% - 輔色2 19 4" xfId="3548" xr:uid="{00000000-0005-0000-0000-000068060000}"/>
    <cellStyle name="40% - 輔色2 19 4 2" xfId="4863" xr:uid="{00000000-0005-0000-0000-000069060000}"/>
    <cellStyle name="40% - 輔色2 19 5" xfId="2906" xr:uid="{00000000-0005-0000-0000-00006A060000}"/>
    <cellStyle name="40% - 輔色2 19 5 2" xfId="4574" xr:uid="{00000000-0005-0000-0000-00006B060000}"/>
    <cellStyle name="40% - 輔色2 19 6" xfId="4156" xr:uid="{00000000-0005-0000-0000-00006C060000}"/>
    <cellStyle name="40% - 輔色2 2" xfId="76" xr:uid="{00000000-0005-0000-0000-00006D060000}"/>
    <cellStyle name="40% - 輔色2 2 10" xfId="1535" xr:uid="{00000000-0005-0000-0000-00006E060000}"/>
    <cellStyle name="40% - 輔色2 2 11" xfId="1615" xr:uid="{00000000-0005-0000-0000-00006F060000}"/>
    <cellStyle name="40% - 輔色2 2 12" xfId="1659" xr:uid="{00000000-0005-0000-0000-000070060000}"/>
    <cellStyle name="40% - 輔色2 2 13" xfId="3708" xr:uid="{00000000-0005-0000-0000-000071060000}"/>
    <cellStyle name="40% - 輔色2 2 13 2" xfId="4955" xr:uid="{00000000-0005-0000-0000-000072060000}"/>
    <cellStyle name="40% - 輔色2 2 14" xfId="3676" xr:uid="{00000000-0005-0000-0000-000073060000}"/>
    <cellStyle name="40% - 輔色2 2 14 2" xfId="4926" xr:uid="{00000000-0005-0000-0000-000074060000}"/>
    <cellStyle name="40% - 輔色2 2 2" xfId="77" xr:uid="{00000000-0005-0000-0000-000075060000}"/>
    <cellStyle name="40% - 輔色2 2 2 2" xfId="1981" xr:uid="{00000000-0005-0000-0000-000076060000}"/>
    <cellStyle name="40% - 輔色2 2 2 2 2" xfId="1982" xr:uid="{00000000-0005-0000-0000-000077060000}"/>
    <cellStyle name="40% - 輔色2 2 2 2 3" xfId="2471" xr:uid="{00000000-0005-0000-0000-000078060000}"/>
    <cellStyle name="40% - 輔色2 2 2 3" xfId="2470" xr:uid="{00000000-0005-0000-0000-000079060000}"/>
    <cellStyle name="40% - 輔色2 2 3" xfId="855" xr:uid="{00000000-0005-0000-0000-00007A060000}"/>
    <cellStyle name="40% - 輔色2 2 4" xfId="1209" xr:uid="{00000000-0005-0000-0000-00007B060000}"/>
    <cellStyle name="40% - 輔色2 2 4 2" xfId="2442" xr:uid="{00000000-0005-0000-0000-00007C060000}"/>
    <cellStyle name="40% - 輔色2 2 4 2 2" xfId="3002" xr:uid="{00000000-0005-0000-0000-00007D060000}"/>
    <cellStyle name="40% - 輔色2 2 4 2 3" xfId="3387" xr:uid="{00000000-0005-0000-0000-00007E060000}"/>
    <cellStyle name="40% - 輔色2 2 4 2 4" xfId="3454" xr:uid="{00000000-0005-0000-0000-00007F060000}"/>
    <cellStyle name="40% - 輔色2 2 4 3" xfId="1752" xr:uid="{00000000-0005-0000-0000-000080060000}"/>
    <cellStyle name="40% - 輔色2 2 4 4" xfId="3465" xr:uid="{00000000-0005-0000-0000-000081060000}"/>
    <cellStyle name="40% - 輔色2 2 5" xfId="1081" xr:uid="{00000000-0005-0000-0000-000082060000}"/>
    <cellStyle name="40% - 輔色2 2 6" xfId="1115" xr:uid="{00000000-0005-0000-0000-000083060000}"/>
    <cellStyle name="40% - 輔色2 2 7" xfId="1294" xr:uid="{00000000-0005-0000-0000-000084060000}"/>
    <cellStyle name="40% - 輔色2 2 8" xfId="1358" xr:uid="{00000000-0005-0000-0000-000085060000}"/>
    <cellStyle name="40% - 輔色2 2 9" xfId="1479" xr:uid="{00000000-0005-0000-0000-000086060000}"/>
    <cellStyle name="40% - 輔色2 20" xfId="854" xr:uid="{00000000-0005-0000-0000-000087060000}"/>
    <cellStyle name="40% - 輔色2 21" xfId="1229" xr:uid="{00000000-0005-0000-0000-000088060000}"/>
    <cellStyle name="40% - 輔色2 22" xfId="1268" xr:uid="{00000000-0005-0000-0000-000089060000}"/>
    <cellStyle name="40% - 輔色2 23" xfId="1311" xr:uid="{00000000-0005-0000-0000-00008A060000}"/>
    <cellStyle name="40% - 輔色2 24" xfId="893" xr:uid="{00000000-0005-0000-0000-00008B060000}"/>
    <cellStyle name="40% - 輔色2 25" xfId="1440" xr:uid="{00000000-0005-0000-0000-00008C060000}"/>
    <cellStyle name="40% - 輔色2 26" xfId="1502" xr:uid="{00000000-0005-0000-0000-00008D060000}"/>
    <cellStyle name="40% - 輔色2 27" xfId="1558" xr:uid="{00000000-0005-0000-0000-00008E060000}"/>
    <cellStyle name="40% - 輔色2 28" xfId="1639" xr:uid="{00000000-0005-0000-0000-00008F060000}"/>
    <cellStyle name="40% - 輔色2 29" xfId="1673" xr:uid="{00000000-0005-0000-0000-000090060000}"/>
    <cellStyle name="40% - 輔色2 3" xfId="78" xr:uid="{00000000-0005-0000-0000-000091060000}"/>
    <cellStyle name="40% - 輔色2 3 2" xfId="3709" xr:uid="{00000000-0005-0000-0000-000092060000}"/>
    <cellStyle name="40% - 輔色2 3 2 2" xfId="4956" xr:uid="{00000000-0005-0000-0000-000093060000}"/>
    <cellStyle name="40% - 輔色2 3 3" xfId="3673" xr:uid="{00000000-0005-0000-0000-000094060000}"/>
    <cellStyle name="40% - 輔色2 3 3 2" xfId="4923" xr:uid="{00000000-0005-0000-0000-000095060000}"/>
    <cellStyle name="40% - 輔色2 30" xfId="3995" xr:uid="{00000000-0005-0000-0000-000096060000}"/>
    <cellStyle name="40% - 輔色2 4" xfId="79" xr:uid="{00000000-0005-0000-0000-000097060000}"/>
    <cellStyle name="40% - 輔色2 4 2" xfId="3710" xr:uid="{00000000-0005-0000-0000-000098060000}"/>
    <cellStyle name="40% - 輔色2 4 2 2" xfId="4957" xr:uid="{00000000-0005-0000-0000-000099060000}"/>
    <cellStyle name="40% - 輔色2 4 3" xfId="3670" xr:uid="{00000000-0005-0000-0000-00009A060000}"/>
    <cellStyle name="40% - 輔色2 4 3 2" xfId="4920" xr:uid="{00000000-0005-0000-0000-00009B060000}"/>
    <cellStyle name="40% - 輔色2 5" xfId="80" xr:uid="{00000000-0005-0000-0000-00009C060000}"/>
    <cellStyle name="40% - 輔色2 5 2" xfId="1834" xr:uid="{00000000-0005-0000-0000-00009D060000}"/>
    <cellStyle name="40% - 輔色2 5 2 2" xfId="4223" xr:uid="{00000000-0005-0000-0000-00009E060000}"/>
    <cellStyle name="40% - 輔色2 5 2 3" xfId="5065" xr:uid="{00000000-0005-0000-0000-00009F060000}"/>
    <cellStyle name="40% - 輔色2 5 2 4" xfId="5224" xr:uid="{00000000-0005-0000-0000-0000A0060000}"/>
    <cellStyle name="40% - 輔色2 5 3" xfId="2422" xr:uid="{00000000-0005-0000-0000-0000A1060000}"/>
    <cellStyle name="40% - 輔色2 5 4" xfId="3089" xr:uid="{00000000-0005-0000-0000-0000A2060000}"/>
    <cellStyle name="40% - 輔色2 5 4 2" xfId="4655" xr:uid="{00000000-0005-0000-0000-0000A3060000}"/>
    <cellStyle name="40% - 輔色2 5 5" xfId="3449" xr:uid="{00000000-0005-0000-0000-0000A4060000}"/>
    <cellStyle name="40% - 輔色2 5 5 2" xfId="4815" xr:uid="{00000000-0005-0000-0000-0000A5060000}"/>
    <cellStyle name="40% - 輔色2 5 6" xfId="4999" xr:uid="{00000000-0005-0000-0000-0000A6060000}"/>
    <cellStyle name="40% - 輔色2 5 7" xfId="5158" xr:uid="{00000000-0005-0000-0000-0000A7060000}"/>
    <cellStyle name="40% - 輔色2 6" xfId="81" xr:uid="{00000000-0005-0000-0000-0000A8060000}"/>
    <cellStyle name="40% - 輔色2 6 2" xfId="1876" xr:uid="{00000000-0005-0000-0000-0000A9060000}"/>
    <cellStyle name="40% - 輔色2 6 2 2" xfId="4236" xr:uid="{00000000-0005-0000-0000-0000AA060000}"/>
    <cellStyle name="40% - 輔色2 6 2 3" xfId="5078" xr:uid="{00000000-0005-0000-0000-0000AB060000}"/>
    <cellStyle name="40% - 輔色2 6 2 4" xfId="5237" xr:uid="{00000000-0005-0000-0000-0000AC060000}"/>
    <cellStyle name="40% - 輔色2 6 3" xfId="2557" xr:uid="{00000000-0005-0000-0000-0000AD060000}"/>
    <cellStyle name="40% - 輔色2 6 4" xfId="3192" xr:uid="{00000000-0005-0000-0000-0000AE060000}"/>
    <cellStyle name="40% - 輔色2 6 4 2" xfId="4712" xr:uid="{00000000-0005-0000-0000-0000AF060000}"/>
    <cellStyle name="40% - 輔色2 6 5" xfId="2394" xr:uid="{00000000-0005-0000-0000-0000B0060000}"/>
    <cellStyle name="40% - 輔色2 6 5 2" xfId="4428" xr:uid="{00000000-0005-0000-0000-0000B1060000}"/>
    <cellStyle name="40% - 輔色2 6 6" xfId="5012" xr:uid="{00000000-0005-0000-0000-0000B2060000}"/>
    <cellStyle name="40% - 輔色2 6 7" xfId="5171" xr:uid="{00000000-0005-0000-0000-0000B3060000}"/>
    <cellStyle name="40% - 輔色2 7" xfId="82" xr:uid="{00000000-0005-0000-0000-0000B4060000}"/>
    <cellStyle name="40% - 輔色2 7 2" xfId="1917" xr:uid="{00000000-0005-0000-0000-0000B5060000}"/>
    <cellStyle name="40% - 輔色2 7 2 2" xfId="4249" xr:uid="{00000000-0005-0000-0000-0000B6060000}"/>
    <cellStyle name="40% - 輔色2 7 2 3" xfId="5091" xr:uid="{00000000-0005-0000-0000-0000B7060000}"/>
    <cellStyle name="40% - 輔色2 7 2 4" xfId="5250" xr:uid="{00000000-0005-0000-0000-0000B8060000}"/>
    <cellStyle name="40% - 輔色2 7 3" xfId="2402" xr:uid="{00000000-0005-0000-0000-0000B9060000}"/>
    <cellStyle name="40% - 輔色2 7 4" xfId="2815" xr:uid="{00000000-0005-0000-0000-0000BA060000}"/>
    <cellStyle name="40% - 輔色2 7 4 2" xfId="4536" xr:uid="{00000000-0005-0000-0000-0000BB060000}"/>
    <cellStyle name="40% - 輔色2 7 5" xfId="2705" xr:uid="{00000000-0005-0000-0000-0000BC060000}"/>
    <cellStyle name="40% - 輔色2 7 5 2" xfId="4463" xr:uid="{00000000-0005-0000-0000-0000BD060000}"/>
    <cellStyle name="40% - 輔色2 7 6" xfId="5025" xr:uid="{00000000-0005-0000-0000-0000BE060000}"/>
    <cellStyle name="40% - 輔色2 7 7" xfId="5184" xr:uid="{00000000-0005-0000-0000-0000BF060000}"/>
    <cellStyle name="40% - 輔色2 8" xfId="346" xr:uid="{00000000-0005-0000-0000-0000C0060000}"/>
    <cellStyle name="40% - 輔色2 8 2" xfId="1954" xr:uid="{00000000-0005-0000-0000-0000C1060000}"/>
    <cellStyle name="40% - 輔色2 8 2 2" xfId="4269" xr:uid="{00000000-0005-0000-0000-0000C2060000}"/>
    <cellStyle name="40% - 輔色2 8 3" xfId="2159" xr:uid="{00000000-0005-0000-0000-0000C3060000}"/>
    <cellStyle name="40% - 輔色2 8 3 2" xfId="4338" xr:uid="{00000000-0005-0000-0000-0000C4060000}"/>
    <cellStyle name="40% - 輔色2 8 4" xfId="2318" xr:uid="{00000000-0005-0000-0000-0000C5060000}"/>
    <cellStyle name="40% - 輔色2 8 4 2" xfId="4418" xr:uid="{00000000-0005-0000-0000-0000C6060000}"/>
    <cellStyle name="40% - 輔色2 8 5" xfId="2094" xr:uid="{00000000-0005-0000-0000-0000C7060000}"/>
    <cellStyle name="40% - 輔色2 8 5 2" xfId="4306" xr:uid="{00000000-0005-0000-0000-0000C8060000}"/>
    <cellStyle name="40% - 輔色2 8 6" xfId="4013" xr:uid="{00000000-0005-0000-0000-0000C9060000}"/>
    <cellStyle name="40% - 輔色2 8 7" xfId="5039" xr:uid="{00000000-0005-0000-0000-0000CA060000}"/>
    <cellStyle name="40% - 輔色2 8 8" xfId="5198" xr:uid="{00000000-0005-0000-0000-0000CB060000}"/>
    <cellStyle name="40% - 輔色2 9" xfId="388" xr:uid="{00000000-0005-0000-0000-0000CC060000}"/>
    <cellStyle name="40% - 輔色2 9 2" xfId="2037" xr:uid="{00000000-0005-0000-0000-0000CD060000}"/>
    <cellStyle name="40% - 輔色2 9 2 2" xfId="4291" xr:uid="{00000000-0005-0000-0000-0000CE060000}"/>
    <cellStyle name="40% - 輔色2 9 3" xfId="3228" xr:uid="{00000000-0005-0000-0000-0000CF060000}"/>
    <cellStyle name="40% - 輔色2 9 3 2" xfId="4728" xr:uid="{00000000-0005-0000-0000-0000D0060000}"/>
    <cellStyle name="40% - 輔色2 9 4" xfId="3466" xr:uid="{00000000-0005-0000-0000-0000D1060000}"/>
    <cellStyle name="40% - 輔色2 9 4 2" xfId="4821" xr:uid="{00000000-0005-0000-0000-0000D2060000}"/>
    <cellStyle name="40% - 輔色2 9 5" xfId="1776" xr:uid="{00000000-0005-0000-0000-0000D3060000}"/>
    <cellStyle name="40% - 輔色2 9 5 2" xfId="4203" xr:uid="{00000000-0005-0000-0000-0000D4060000}"/>
    <cellStyle name="40% - 輔色2 9 6" xfId="4026" xr:uid="{00000000-0005-0000-0000-0000D5060000}"/>
    <cellStyle name="40% - 輔色2 9 7" xfId="5056" xr:uid="{00000000-0005-0000-0000-0000D6060000}"/>
    <cellStyle name="40% - 輔色2 9 8" xfId="5215" xr:uid="{00000000-0005-0000-0000-0000D7060000}"/>
    <cellStyle name="40% - 輔色3" xfId="3650" builtinId="39" customBuiltin="1"/>
    <cellStyle name="40% - 輔色3 10" xfId="433" xr:uid="{00000000-0005-0000-0000-0000D9060000}"/>
    <cellStyle name="40% - 輔色3 10 2" xfId="2177" xr:uid="{00000000-0005-0000-0000-0000DA060000}"/>
    <cellStyle name="40% - 輔色3 10 2 2" xfId="4348" xr:uid="{00000000-0005-0000-0000-0000DB060000}"/>
    <cellStyle name="40% - 輔色3 10 3" xfId="2735" xr:uid="{00000000-0005-0000-0000-0000DC060000}"/>
    <cellStyle name="40% - 輔色3 10 3 2" xfId="4481" xr:uid="{00000000-0005-0000-0000-0000DD060000}"/>
    <cellStyle name="40% - 輔色3 10 4" xfId="3238" xr:uid="{00000000-0005-0000-0000-0000DE060000}"/>
    <cellStyle name="40% - 輔色3 10 4 2" xfId="4736" xr:uid="{00000000-0005-0000-0000-0000DF060000}"/>
    <cellStyle name="40% - 輔色3 10 5" xfId="3244" xr:uid="{00000000-0005-0000-0000-0000E0060000}"/>
    <cellStyle name="40% - 輔色3 10 5 2" xfId="4741" xr:uid="{00000000-0005-0000-0000-0000E1060000}"/>
    <cellStyle name="40% - 輔色3 10 6" xfId="4041" xr:uid="{00000000-0005-0000-0000-0000E2060000}"/>
    <cellStyle name="40% - 輔色3 10 7" xfId="5106" xr:uid="{00000000-0005-0000-0000-0000E3060000}"/>
    <cellStyle name="40% - 輔色3 10 8" xfId="5265" xr:uid="{00000000-0005-0000-0000-0000E4060000}"/>
    <cellStyle name="40% - 輔色3 11" xfId="475" xr:uid="{00000000-0005-0000-0000-0000E5060000}"/>
    <cellStyle name="40% - 輔色3 11 2" xfId="2208" xr:uid="{00000000-0005-0000-0000-0000E6060000}"/>
    <cellStyle name="40% - 輔色3 11 2 2" xfId="4368" xr:uid="{00000000-0005-0000-0000-0000E7060000}"/>
    <cellStyle name="40% - 輔色3 11 3" xfId="3073" xr:uid="{00000000-0005-0000-0000-0000E8060000}"/>
    <cellStyle name="40% - 輔色3 11 3 2" xfId="4645" xr:uid="{00000000-0005-0000-0000-0000E9060000}"/>
    <cellStyle name="40% - 輔色3 11 4" xfId="2920" xr:uid="{00000000-0005-0000-0000-0000EA060000}"/>
    <cellStyle name="40% - 輔色3 11 4 2" xfId="4578" xr:uid="{00000000-0005-0000-0000-0000EB060000}"/>
    <cellStyle name="40% - 輔色3 11 5" xfId="3530" xr:uid="{00000000-0005-0000-0000-0000EC060000}"/>
    <cellStyle name="40% - 輔色3 11 5 2" xfId="4856" xr:uid="{00000000-0005-0000-0000-0000ED060000}"/>
    <cellStyle name="40% - 輔色3 11 6" xfId="4054" xr:uid="{00000000-0005-0000-0000-0000EE060000}"/>
    <cellStyle name="40% - 輔色3 11 7" xfId="5119" xr:uid="{00000000-0005-0000-0000-0000EF060000}"/>
    <cellStyle name="40% - 輔色3 11 8" xfId="5278" xr:uid="{00000000-0005-0000-0000-0000F0060000}"/>
    <cellStyle name="40% - 輔色3 12" xfId="516" xr:uid="{00000000-0005-0000-0000-0000F1060000}"/>
    <cellStyle name="40% - 輔色3 12 2" xfId="2234" xr:uid="{00000000-0005-0000-0000-0000F2060000}"/>
    <cellStyle name="40% - 輔色3 12 2 2" xfId="4387" xr:uid="{00000000-0005-0000-0000-0000F3060000}"/>
    <cellStyle name="40% - 輔色3 12 3" xfId="3175" xr:uid="{00000000-0005-0000-0000-0000F4060000}"/>
    <cellStyle name="40% - 輔色3 12 3 2" xfId="4702" xr:uid="{00000000-0005-0000-0000-0000F5060000}"/>
    <cellStyle name="40% - 輔色3 12 4" xfId="3079" xr:uid="{00000000-0005-0000-0000-0000F6060000}"/>
    <cellStyle name="40% - 輔色3 12 4 2" xfId="4650" xr:uid="{00000000-0005-0000-0000-0000F7060000}"/>
    <cellStyle name="40% - 輔色3 12 5" xfId="3576" xr:uid="{00000000-0005-0000-0000-0000F8060000}"/>
    <cellStyle name="40% - 輔色3 12 5 2" xfId="4881" xr:uid="{00000000-0005-0000-0000-0000F9060000}"/>
    <cellStyle name="40% - 輔色3 12 6" xfId="4067" xr:uid="{00000000-0005-0000-0000-0000FA060000}"/>
    <cellStyle name="40% - 輔色3 12 7" xfId="5132" xr:uid="{00000000-0005-0000-0000-0000FB060000}"/>
    <cellStyle name="40% - 輔色3 12 8" xfId="5291" xr:uid="{00000000-0005-0000-0000-0000FC060000}"/>
    <cellStyle name="40% - 輔色3 13" xfId="558" xr:uid="{00000000-0005-0000-0000-0000FD060000}"/>
    <cellStyle name="40% - 輔色3 13 2" xfId="2263" xr:uid="{00000000-0005-0000-0000-0000FE060000}"/>
    <cellStyle name="40% - 輔色3 13 2 2" xfId="4406" xr:uid="{00000000-0005-0000-0000-0000FF060000}"/>
    <cellStyle name="40% - 輔色3 13 3" xfId="3070" xr:uid="{00000000-0005-0000-0000-000000070000}"/>
    <cellStyle name="40% - 輔色3 13 3 2" xfId="4642" xr:uid="{00000000-0005-0000-0000-000001070000}"/>
    <cellStyle name="40% - 輔色3 13 4" xfId="3172" xr:uid="{00000000-0005-0000-0000-000002070000}"/>
    <cellStyle name="40% - 輔色3 13 4 2" xfId="4701" xr:uid="{00000000-0005-0000-0000-000003070000}"/>
    <cellStyle name="40% - 輔色3 13 5" xfId="3569" xr:uid="{00000000-0005-0000-0000-000004070000}"/>
    <cellStyle name="40% - 輔色3 13 5 2" xfId="4874" xr:uid="{00000000-0005-0000-0000-000005070000}"/>
    <cellStyle name="40% - 輔色3 13 6" xfId="4080" xr:uid="{00000000-0005-0000-0000-000006070000}"/>
    <cellStyle name="40% - 輔色3 13 7" xfId="5145" xr:uid="{00000000-0005-0000-0000-000007070000}"/>
    <cellStyle name="40% - 輔色3 13 8" xfId="5304" xr:uid="{00000000-0005-0000-0000-000008070000}"/>
    <cellStyle name="40% - 輔色3 14" xfId="599" xr:uid="{00000000-0005-0000-0000-000009070000}"/>
    <cellStyle name="40% - 輔色3 14 2" xfId="2322" xr:uid="{00000000-0005-0000-0000-00000A070000}"/>
    <cellStyle name="40% - 輔色3 14 2 2" xfId="2657" xr:uid="{00000000-0005-0000-0000-00000B070000}"/>
    <cellStyle name="40% - 輔色3 14 2 2 2" xfId="4436" xr:uid="{00000000-0005-0000-0000-00000C070000}"/>
    <cellStyle name="40% - 輔色3 14 2 3" xfId="3048" xr:uid="{00000000-0005-0000-0000-00000D070000}"/>
    <cellStyle name="40% - 輔色3 14 2 3 2" xfId="4630" xr:uid="{00000000-0005-0000-0000-00000E070000}"/>
    <cellStyle name="40% - 輔色3 14 2 4" xfId="2834" xr:uid="{00000000-0005-0000-0000-00000F070000}"/>
    <cellStyle name="40% - 輔色3 14 2 4 2" xfId="4548" xr:uid="{00000000-0005-0000-0000-000010070000}"/>
    <cellStyle name="40% - 輔色3 14 3" xfId="1759" xr:uid="{00000000-0005-0000-0000-000011070000}"/>
    <cellStyle name="40% - 輔色3 14 4" xfId="3215" xr:uid="{00000000-0005-0000-0000-000012070000}"/>
    <cellStyle name="40% - 輔色3 14 5" xfId="2901" xr:uid="{00000000-0005-0000-0000-000013070000}"/>
    <cellStyle name="40% - 輔色3 14 5 2" xfId="4572" xr:uid="{00000000-0005-0000-0000-000014070000}"/>
    <cellStyle name="40% - 輔色3 14 6" xfId="4093" xr:uid="{00000000-0005-0000-0000-000015070000}"/>
    <cellStyle name="40% - 輔色3 15" xfId="640" xr:uid="{00000000-0005-0000-0000-000016070000}"/>
    <cellStyle name="40% - 輔色3 15 2" xfId="2687" xr:uid="{00000000-0005-0000-0000-000017070000}"/>
    <cellStyle name="40% - 輔色3 15 2 2" xfId="4453" xr:uid="{00000000-0005-0000-0000-000018070000}"/>
    <cellStyle name="40% - 輔色3 15 3" xfId="1736" xr:uid="{00000000-0005-0000-0000-000019070000}"/>
    <cellStyle name="40% - 輔色3 15 3 2" xfId="4187" xr:uid="{00000000-0005-0000-0000-00001A070000}"/>
    <cellStyle name="40% - 輔色3 15 4" xfId="3309" xr:uid="{00000000-0005-0000-0000-00001B070000}"/>
    <cellStyle name="40% - 輔色3 15 4 2" xfId="4757" xr:uid="{00000000-0005-0000-0000-00001C070000}"/>
    <cellStyle name="40% - 輔色3 15 5" xfId="3152" xr:uid="{00000000-0005-0000-0000-00001D070000}"/>
    <cellStyle name="40% - 輔色3 15 5 2" xfId="4688" xr:uid="{00000000-0005-0000-0000-00001E070000}"/>
    <cellStyle name="40% - 輔色3 15 6" xfId="4106" xr:uid="{00000000-0005-0000-0000-00001F070000}"/>
    <cellStyle name="40% - 輔色3 16" xfId="682" xr:uid="{00000000-0005-0000-0000-000020070000}"/>
    <cellStyle name="40% - 輔色3 16 2" xfId="2717" xr:uid="{00000000-0005-0000-0000-000021070000}"/>
    <cellStyle name="40% - 輔色3 16 2 2" xfId="4471" xr:uid="{00000000-0005-0000-0000-000022070000}"/>
    <cellStyle name="40% - 輔色3 16 3" xfId="2824" xr:uid="{00000000-0005-0000-0000-000023070000}"/>
    <cellStyle name="40% - 輔色3 16 3 2" xfId="4543" xr:uid="{00000000-0005-0000-0000-000024070000}"/>
    <cellStyle name="40% - 輔色3 16 4" xfId="3401" xr:uid="{00000000-0005-0000-0000-000025070000}"/>
    <cellStyle name="40% - 輔色3 16 4 2" xfId="4800" xr:uid="{00000000-0005-0000-0000-000026070000}"/>
    <cellStyle name="40% - 輔色3 16 5" xfId="3594" xr:uid="{00000000-0005-0000-0000-000027070000}"/>
    <cellStyle name="40% - 輔色3 16 5 2" xfId="4895" xr:uid="{00000000-0005-0000-0000-000028070000}"/>
    <cellStyle name="40% - 輔色3 16 6" xfId="4119" xr:uid="{00000000-0005-0000-0000-000029070000}"/>
    <cellStyle name="40% - 輔色3 17" xfId="723" xr:uid="{00000000-0005-0000-0000-00002A070000}"/>
    <cellStyle name="40% - 輔色3 17 2" xfId="2744" xr:uid="{00000000-0005-0000-0000-00002B070000}"/>
    <cellStyle name="40% - 輔色3 17 2 2" xfId="4488" xr:uid="{00000000-0005-0000-0000-00002C070000}"/>
    <cellStyle name="40% - 輔色3 17 3" xfId="1725" xr:uid="{00000000-0005-0000-0000-00002D070000}"/>
    <cellStyle name="40% - 輔色3 17 3 2" xfId="4176" xr:uid="{00000000-0005-0000-0000-00002E070000}"/>
    <cellStyle name="40% - 輔色3 17 4" xfId="3352" xr:uid="{00000000-0005-0000-0000-00002F070000}"/>
    <cellStyle name="40% - 輔色3 17 4 2" xfId="4773" xr:uid="{00000000-0005-0000-0000-000030070000}"/>
    <cellStyle name="40% - 輔色3 17 5" xfId="3149" xr:uid="{00000000-0005-0000-0000-000031070000}"/>
    <cellStyle name="40% - 輔色3 17 5 2" xfId="4687" xr:uid="{00000000-0005-0000-0000-000032070000}"/>
    <cellStyle name="40% - 輔色3 17 6" xfId="4132" xr:uid="{00000000-0005-0000-0000-000033070000}"/>
    <cellStyle name="40% - 輔色3 18" xfId="764" xr:uid="{00000000-0005-0000-0000-000034070000}"/>
    <cellStyle name="40% - 輔色3 18 2" xfId="2769" xr:uid="{00000000-0005-0000-0000-000035070000}"/>
    <cellStyle name="40% - 輔色3 18 2 2" xfId="4505" xr:uid="{00000000-0005-0000-0000-000036070000}"/>
    <cellStyle name="40% - 輔色3 18 3" xfId="2971" xr:uid="{00000000-0005-0000-0000-000037070000}"/>
    <cellStyle name="40% - 輔色3 18 3 2" xfId="4601" xr:uid="{00000000-0005-0000-0000-000038070000}"/>
    <cellStyle name="40% - 輔色3 18 4" xfId="3316" xr:uid="{00000000-0005-0000-0000-000039070000}"/>
    <cellStyle name="40% - 輔色3 18 4 2" xfId="4760" xr:uid="{00000000-0005-0000-0000-00003A070000}"/>
    <cellStyle name="40% - 輔色3 18 5" xfId="3106" xr:uid="{00000000-0005-0000-0000-00003B070000}"/>
    <cellStyle name="40% - 輔色3 18 5 2" xfId="4663" xr:uid="{00000000-0005-0000-0000-00003C070000}"/>
    <cellStyle name="40% - 輔色3 18 6" xfId="4145" xr:uid="{00000000-0005-0000-0000-00003D070000}"/>
    <cellStyle name="40% - 輔色3 19" xfId="805" xr:uid="{00000000-0005-0000-0000-00003E070000}"/>
    <cellStyle name="40% - 輔色3 19 2" xfId="2796" xr:uid="{00000000-0005-0000-0000-00003F070000}"/>
    <cellStyle name="40% - 輔色3 19 2 2" xfId="4524" xr:uid="{00000000-0005-0000-0000-000040070000}"/>
    <cellStyle name="40% - 輔色3 19 3" xfId="3119" xr:uid="{00000000-0005-0000-0000-000041070000}"/>
    <cellStyle name="40% - 輔色3 19 3 2" xfId="4671" xr:uid="{00000000-0005-0000-0000-000042070000}"/>
    <cellStyle name="40% - 輔色3 19 4" xfId="3332" xr:uid="{00000000-0005-0000-0000-000043070000}"/>
    <cellStyle name="40% - 輔色3 19 4 2" xfId="4766" xr:uid="{00000000-0005-0000-0000-000044070000}"/>
    <cellStyle name="40% - 輔色3 19 5" xfId="2112" xr:uid="{00000000-0005-0000-0000-000045070000}"/>
    <cellStyle name="40% - 輔色3 19 5 2" xfId="4314" xr:uid="{00000000-0005-0000-0000-000046070000}"/>
    <cellStyle name="40% - 輔色3 19 6" xfId="4158" xr:uid="{00000000-0005-0000-0000-000047070000}"/>
    <cellStyle name="40% - 輔色3 2" xfId="83" xr:uid="{00000000-0005-0000-0000-000048070000}"/>
    <cellStyle name="40% - 輔色3 2 10" xfId="1355" xr:uid="{00000000-0005-0000-0000-000049070000}"/>
    <cellStyle name="40% - 輔色3 2 11" xfId="1638" xr:uid="{00000000-0005-0000-0000-00004A070000}"/>
    <cellStyle name="40% - 輔色3 2 12" xfId="1672" xr:uid="{00000000-0005-0000-0000-00004B070000}"/>
    <cellStyle name="40% - 輔色3 2 13" xfId="3711" xr:uid="{00000000-0005-0000-0000-00004C070000}"/>
    <cellStyle name="40% - 輔色3 2 13 2" xfId="4958" xr:uid="{00000000-0005-0000-0000-00004D070000}"/>
    <cellStyle name="40% - 輔色3 2 14" xfId="3667" xr:uid="{00000000-0005-0000-0000-00004E070000}"/>
    <cellStyle name="40% - 輔色3 2 14 2" xfId="4917" xr:uid="{00000000-0005-0000-0000-00004F070000}"/>
    <cellStyle name="40% - 輔色3 2 2" xfId="84" xr:uid="{00000000-0005-0000-0000-000050070000}"/>
    <cellStyle name="40% - 輔色3 2 2 2" xfId="1983" xr:uid="{00000000-0005-0000-0000-000051070000}"/>
    <cellStyle name="40% - 輔色3 2 2 2 2" xfId="1984" xr:uid="{00000000-0005-0000-0000-000052070000}"/>
    <cellStyle name="40% - 輔色3 2 2 2 3" xfId="2473" xr:uid="{00000000-0005-0000-0000-000053070000}"/>
    <cellStyle name="40% - 輔色3 2 2 3" xfId="2472" xr:uid="{00000000-0005-0000-0000-000054070000}"/>
    <cellStyle name="40% - 輔色3 2 3" xfId="861" xr:uid="{00000000-0005-0000-0000-000055070000}"/>
    <cellStyle name="40% - 輔色3 2 4" xfId="1060" xr:uid="{00000000-0005-0000-0000-000056070000}"/>
    <cellStyle name="40% - 輔色3 2 4 2" xfId="2382" xr:uid="{00000000-0005-0000-0000-000057070000}"/>
    <cellStyle name="40% - 輔色3 2 4 2 2" xfId="2923" xr:uid="{00000000-0005-0000-0000-000058070000}"/>
    <cellStyle name="40% - 輔色3 2 4 2 3" xfId="3320" xr:uid="{00000000-0005-0000-0000-000059070000}"/>
    <cellStyle name="40% - 輔色3 2 4 2 4" xfId="3196" xr:uid="{00000000-0005-0000-0000-00005A070000}"/>
    <cellStyle name="40% - 輔色3 2 4 3" xfId="3262" xr:uid="{00000000-0005-0000-0000-00005B070000}"/>
    <cellStyle name="40% - 輔色3 2 4 4" xfId="3419" xr:uid="{00000000-0005-0000-0000-00005C070000}"/>
    <cellStyle name="40% - 輔色3 2 5" xfId="1138" xr:uid="{00000000-0005-0000-0000-00005D070000}"/>
    <cellStyle name="40% - 輔色3 2 6" xfId="1089" xr:uid="{00000000-0005-0000-0000-00005E070000}"/>
    <cellStyle name="40% - 輔色3 2 7" xfId="952" xr:uid="{00000000-0005-0000-0000-00005F070000}"/>
    <cellStyle name="40% - 輔色3 2 8" xfId="1351" xr:uid="{00000000-0005-0000-0000-000060070000}"/>
    <cellStyle name="40% - 輔色3 2 9" xfId="1300" xr:uid="{00000000-0005-0000-0000-000061070000}"/>
    <cellStyle name="40% - 輔色3 20" xfId="860" xr:uid="{00000000-0005-0000-0000-000062070000}"/>
    <cellStyle name="40% - 輔色3 21" xfId="1076" xr:uid="{00000000-0005-0000-0000-000063070000}"/>
    <cellStyle name="40% - 輔色3 22" xfId="1030" xr:uid="{00000000-0005-0000-0000-000064070000}"/>
    <cellStyle name="40% - 輔色3 23" xfId="1187" xr:uid="{00000000-0005-0000-0000-000065070000}"/>
    <cellStyle name="40% - 輔色3 24" xfId="951" xr:uid="{00000000-0005-0000-0000-000066070000}"/>
    <cellStyle name="40% - 輔色3 25" xfId="1352" xr:uid="{00000000-0005-0000-0000-000067070000}"/>
    <cellStyle name="40% - 輔色3 26" xfId="1185" xr:uid="{00000000-0005-0000-0000-000068070000}"/>
    <cellStyle name="40% - 輔色3 27" xfId="1356" xr:uid="{00000000-0005-0000-0000-000069070000}"/>
    <cellStyle name="40% - 輔色3 28" xfId="1077" xr:uid="{00000000-0005-0000-0000-00006A070000}"/>
    <cellStyle name="40% - 輔色3 29" xfId="1634" xr:uid="{00000000-0005-0000-0000-00006B070000}"/>
    <cellStyle name="40% - 輔色3 3" xfId="85" xr:uid="{00000000-0005-0000-0000-00006C070000}"/>
    <cellStyle name="40% - 輔色3 3 2" xfId="3712" xr:uid="{00000000-0005-0000-0000-00006D070000}"/>
    <cellStyle name="40% - 輔色3 3 2 2" xfId="4959" xr:uid="{00000000-0005-0000-0000-00006E070000}"/>
    <cellStyle name="40% - 輔色3 3 3" xfId="3681" xr:uid="{00000000-0005-0000-0000-00006F070000}"/>
    <cellStyle name="40% - 輔色3 3 3 2" xfId="4931" xr:uid="{00000000-0005-0000-0000-000070070000}"/>
    <cellStyle name="40% - 輔色3 30" xfId="3997" xr:uid="{00000000-0005-0000-0000-000071070000}"/>
    <cellStyle name="40% - 輔色3 4" xfId="86" xr:uid="{00000000-0005-0000-0000-000072070000}"/>
    <cellStyle name="40% - 輔色3 4 2" xfId="3713" xr:uid="{00000000-0005-0000-0000-000073070000}"/>
    <cellStyle name="40% - 輔色3 4 2 2" xfId="4960" xr:uid="{00000000-0005-0000-0000-000074070000}"/>
    <cellStyle name="40% - 輔色3 4 3" xfId="3678" xr:uid="{00000000-0005-0000-0000-000075070000}"/>
    <cellStyle name="40% - 輔色3 4 3 2" xfId="4928" xr:uid="{00000000-0005-0000-0000-000076070000}"/>
    <cellStyle name="40% - 輔色3 5" xfId="87" xr:uid="{00000000-0005-0000-0000-000077070000}"/>
    <cellStyle name="40% - 輔色3 5 2" xfId="1838" xr:uid="{00000000-0005-0000-0000-000078070000}"/>
    <cellStyle name="40% - 輔色3 5 2 2" xfId="4225" xr:uid="{00000000-0005-0000-0000-000079070000}"/>
    <cellStyle name="40% - 輔色3 5 2 3" xfId="5067" xr:uid="{00000000-0005-0000-0000-00007A070000}"/>
    <cellStyle name="40% - 輔色3 5 2 4" xfId="5226" xr:uid="{00000000-0005-0000-0000-00007B070000}"/>
    <cellStyle name="40% - 輔色3 5 3" xfId="2617" xr:uid="{00000000-0005-0000-0000-00007C070000}"/>
    <cellStyle name="40% - 輔色3 5 4" xfId="1940" xr:uid="{00000000-0005-0000-0000-00007D070000}"/>
    <cellStyle name="40% - 輔色3 5 4 2" xfId="4262" xr:uid="{00000000-0005-0000-0000-00007E070000}"/>
    <cellStyle name="40% - 輔色3 5 5" xfId="2745" xr:uid="{00000000-0005-0000-0000-00007F070000}"/>
    <cellStyle name="40% - 輔色3 5 5 2" xfId="4489" xr:uid="{00000000-0005-0000-0000-000080070000}"/>
    <cellStyle name="40% - 輔色3 5 6" xfId="5001" xr:uid="{00000000-0005-0000-0000-000081070000}"/>
    <cellStyle name="40% - 輔色3 5 7" xfId="5160" xr:uid="{00000000-0005-0000-0000-000082070000}"/>
    <cellStyle name="40% - 輔色3 6" xfId="88" xr:uid="{00000000-0005-0000-0000-000083070000}"/>
    <cellStyle name="40% - 輔色3 6 2" xfId="1880" xr:uid="{00000000-0005-0000-0000-000084070000}"/>
    <cellStyle name="40% - 輔色3 6 2 2" xfId="4238" xr:uid="{00000000-0005-0000-0000-000085070000}"/>
    <cellStyle name="40% - 輔色3 6 2 3" xfId="5080" xr:uid="{00000000-0005-0000-0000-000086070000}"/>
    <cellStyle name="40% - 輔色3 6 2 4" xfId="5239" xr:uid="{00000000-0005-0000-0000-000087070000}"/>
    <cellStyle name="40% - 輔色3 6 3" xfId="2598" xr:uid="{00000000-0005-0000-0000-000088070000}"/>
    <cellStyle name="40% - 輔色3 6 4" xfId="2110" xr:uid="{00000000-0005-0000-0000-000089070000}"/>
    <cellStyle name="40% - 輔色3 6 4 2" xfId="4313" xr:uid="{00000000-0005-0000-0000-00008A070000}"/>
    <cellStyle name="40% - 輔色3 6 5" xfId="2048" xr:uid="{00000000-0005-0000-0000-00008B070000}"/>
    <cellStyle name="40% - 輔色3 6 5 2" xfId="4296" xr:uid="{00000000-0005-0000-0000-00008C070000}"/>
    <cellStyle name="40% - 輔色3 6 6" xfId="5014" xr:uid="{00000000-0005-0000-0000-00008D070000}"/>
    <cellStyle name="40% - 輔色3 6 7" xfId="5173" xr:uid="{00000000-0005-0000-0000-00008E070000}"/>
    <cellStyle name="40% - 輔色3 7" xfId="89" xr:uid="{00000000-0005-0000-0000-00008F070000}"/>
    <cellStyle name="40% - 輔色3 7 2" xfId="1921" xr:uid="{00000000-0005-0000-0000-000090070000}"/>
    <cellStyle name="40% - 輔色3 7 2 2" xfId="4251" xr:uid="{00000000-0005-0000-0000-000091070000}"/>
    <cellStyle name="40% - 輔色3 7 2 3" xfId="5093" xr:uid="{00000000-0005-0000-0000-000092070000}"/>
    <cellStyle name="40% - 輔色3 7 2 4" xfId="5252" xr:uid="{00000000-0005-0000-0000-000093070000}"/>
    <cellStyle name="40% - 輔色3 7 3" xfId="2638" xr:uid="{00000000-0005-0000-0000-000094070000}"/>
    <cellStyle name="40% - 輔色3 7 4" xfId="2752" xr:uid="{00000000-0005-0000-0000-000095070000}"/>
    <cellStyle name="40% - 輔色3 7 4 2" xfId="4496" xr:uid="{00000000-0005-0000-0000-000096070000}"/>
    <cellStyle name="40% - 輔色3 7 5" xfId="3513" xr:uid="{00000000-0005-0000-0000-000097070000}"/>
    <cellStyle name="40% - 輔色3 7 5 2" xfId="4851" xr:uid="{00000000-0005-0000-0000-000098070000}"/>
    <cellStyle name="40% - 輔色3 7 6" xfId="5027" xr:uid="{00000000-0005-0000-0000-000099070000}"/>
    <cellStyle name="40% - 輔色3 7 7" xfId="5186" xr:uid="{00000000-0005-0000-0000-00009A070000}"/>
    <cellStyle name="40% - 輔色3 8" xfId="350" xr:uid="{00000000-0005-0000-0000-00009B070000}"/>
    <cellStyle name="40% - 輔色3 8 2" xfId="1958" xr:uid="{00000000-0005-0000-0000-00009C070000}"/>
    <cellStyle name="40% - 輔色3 8 2 2" xfId="4273" xr:uid="{00000000-0005-0000-0000-00009D070000}"/>
    <cellStyle name="40% - 輔色3 8 3" xfId="2219" xr:uid="{00000000-0005-0000-0000-00009E070000}"/>
    <cellStyle name="40% - 輔色3 8 3 2" xfId="4377" xr:uid="{00000000-0005-0000-0000-00009F070000}"/>
    <cellStyle name="40% - 輔色3 8 4" xfId="2196" xr:uid="{00000000-0005-0000-0000-0000A0070000}"/>
    <cellStyle name="40% - 輔色3 8 4 2" xfId="4359" xr:uid="{00000000-0005-0000-0000-0000A1070000}"/>
    <cellStyle name="40% - 輔色3 8 5" xfId="2099" xr:uid="{00000000-0005-0000-0000-0000A2070000}"/>
    <cellStyle name="40% - 輔色3 8 5 2" xfId="4309" xr:uid="{00000000-0005-0000-0000-0000A3070000}"/>
    <cellStyle name="40% - 輔色3 8 6" xfId="4015" xr:uid="{00000000-0005-0000-0000-0000A4070000}"/>
    <cellStyle name="40% - 輔色3 8 7" xfId="5041" xr:uid="{00000000-0005-0000-0000-0000A5070000}"/>
    <cellStyle name="40% - 輔色3 8 8" xfId="5200" xr:uid="{00000000-0005-0000-0000-0000A6070000}"/>
    <cellStyle name="40% - 輔色3 9" xfId="392" xr:uid="{00000000-0005-0000-0000-0000A7070000}"/>
    <cellStyle name="40% - 輔色3 9 2" xfId="2030" xr:uid="{00000000-0005-0000-0000-0000A8070000}"/>
    <cellStyle name="40% - 輔色3 9 2 2" xfId="4288" xr:uid="{00000000-0005-0000-0000-0000A9070000}"/>
    <cellStyle name="40% - 輔色3 9 3" xfId="2021" xr:uid="{00000000-0005-0000-0000-0000AA070000}"/>
    <cellStyle name="40% - 輔色3 9 3 2" xfId="4285" xr:uid="{00000000-0005-0000-0000-0000AB070000}"/>
    <cellStyle name="40% - 輔色3 9 4" xfId="3504" xr:uid="{00000000-0005-0000-0000-0000AC070000}"/>
    <cellStyle name="40% - 輔色3 9 4 2" xfId="4844" xr:uid="{00000000-0005-0000-0000-0000AD070000}"/>
    <cellStyle name="40% - 輔色3 9 5" xfId="3607" xr:uid="{00000000-0005-0000-0000-0000AE070000}"/>
    <cellStyle name="40% - 輔色3 9 5 2" xfId="4906" xr:uid="{00000000-0005-0000-0000-0000AF070000}"/>
    <cellStyle name="40% - 輔色3 9 6" xfId="4028" xr:uid="{00000000-0005-0000-0000-0000B0070000}"/>
    <cellStyle name="40% - 輔色3 9 7" xfId="5054" xr:uid="{00000000-0005-0000-0000-0000B1070000}"/>
    <cellStyle name="40% - 輔色3 9 8" xfId="5213" xr:uid="{00000000-0005-0000-0000-0000B2070000}"/>
    <cellStyle name="40% - 輔色4" xfId="3654" builtinId="43" customBuiltin="1"/>
    <cellStyle name="40% - 輔色4 10" xfId="437" xr:uid="{00000000-0005-0000-0000-0000B4070000}"/>
    <cellStyle name="40% - 輔色4 10 2" xfId="2180" xr:uid="{00000000-0005-0000-0000-0000B5070000}"/>
    <cellStyle name="40% - 輔色4 10 2 2" xfId="4351" xr:uid="{00000000-0005-0000-0000-0000B6070000}"/>
    <cellStyle name="40% - 輔色4 10 3" xfId="2227" xr:uid="{00000000-0005-0000-0000-0000B7070000}"/>
    <cellStyle name="40% - 輔色4 10 3 2" xfId="4381" xr:uid="{00000000-0005-0000-0000-0000B8070000}"/>
    <cellStyle name="40% - 輔色4 10 4" xfId="3319" xr:uid="{00000000-0005-0000-0000-0000B9070000}"/>
    <cellStyle name="40% - 輔色4 10 4 2" xfId="4761" xr:uid="{00000000-0005-0000-0000-0000BA070000}"/>
    <cellStyle name="40% - 輔色4 10 5" xfId="3609" xr:uid="{00000000-0005-0000-0000-0000BB070000}"/>
    <cellStyle name="40% - 輔色4 10 5 2" xfId="4908" xr:uid="{00000000-0005-0000-0000-0000BC070000}"/>
    <cellStyle name="40% - 輔色4 10 6" xfId="4043" xr:uid="{00000000-0005-0000-0000-0000BD070000}"/>
    <cellStyle name="40% - 輔色4 10 7" xfId="5108" xr:uid="{00000000-0005-0000-0000-0000BE070000}"/>
    <cellStyle name="40% - 輔色4 10 8" xfId="5267" xr:uid="{00000000-0005-0000-0000-0000BF070000}"/>
    <cellStyle name="40% - 輔色4 11" xfId="479" xr:uid="{00000000-0005-0000-0000-0000C0070000}"/>
    <cellStyle name="40% - 輔色4 11 2" xfId="2212" xr:uid="{00000000-0005-0000-0000-0000C1070000}"/>
    <cellStyle name="40% - 輔色4 11 2 2" xfId="4372" xr:uid="{00000000-0005-0000-0000-0000C2070000}"/>
    <cellStyle name="40% - 輔色4 11 3" xfId="2856" xr:uid="{00000000-0005-0000-0000-0000C3070000}"/>
    <cellStyle name="40% - 輔色4 11 3 2" xfId="4559" xr:uid="{00000000-0005-0000-0000-0000C4070000}"/>
    <cellStyle name="40% - 輔色4 11 4" xfId="2062" xr:uid="{00000000-0005-0000-0000-0000C5070000}"/>
    <cellStyle name="40% - 輔色4 11 4 2" xfId="4298" xr:uid="{00000000-0005-0000-0000-0000C6070000}"/>
    <cellStyle name="40% - 輔色4 11 5" xfId="2961" xr:uid="{00000000-0005-0000-0000-0000C7070000}"/>
    <cellStyle name="40% - 輔色4 11 5 2" xfId="4596" xr:uid="{00000000-0005-0000-0000-0000C8070000}"/>
    <cellStyle name="40% - 輔色4 11 6" xfId="4056" xr:uid="{00000000-0005-0000-0000-0000C9070000}"/>
    <cellStyle name="40% - 輔色4 11 7" xfId="5121" xr:uid="{00000000-0005-0000-0000-0000CA070000}"/>
    <cellStyle name="40% - 輔色4 11 8" xfId="5280" xr:uid="{00000000-0005-0000-0000-0000CB070000}"/>
    <cellStyle name="40% - 輔色4 12" xfId="520" xr:uid="{00000000-0005-0000-0000-0000CC070000}"/>
    <cellStyle name="40% - 輔色4 12 2" xfId="2236" xr:uid="{00000000-0005-0000-0000-0000CD070000}"/>
    <cellStyle name="40% - 輔色4 12 2 2" xfId="4389" xr:uid="{00000000-0005-0000-0000-0000CE070000}"/>
    <cellStyle name="40% - 輔色4 12 3" xfId="3047" xr:uid="{00000000-0005-0000-0000-0000CF070000}"/>
    <cellStyle name="40% - 輔色4 12 3 2" xfId="4629" xr:uid="{00000000-0005-0000-0000-0000D0070000}"/>
    <cellStyle name="40% - 輔色4 12 4" xfId="1956" xr:uid="{00000000-0005-0000-0000-0000D1070000}"/>
    <cellStyle name="40% - 輔色4 12 4 2" xfId="4271" xr:uid="{00000000-0005-0000-0000-0000D2070000}"/>
    <cellStyle name="40% - 輔色4 12 5" xfId="3550" xr:uid="{00000000-0005-0000-0000-0000D3070000}"/>
    <cellStyle name="40% - 輔色4 12 5 2" xfId="4864" xr:uid="{00000000-0005-0000-0000-0000D4070000}"/>
    <cellStyle name="40% - 輔色4 12 6" xfId="4069" xr:uid="{00000000-0005-0000-0000-0000D5070000}"/>
    <cellStyle name="40% - 輔色4 12 7" xfId="5134" xr:uid="{00000000-0005-0000-0000-0000D6070000}"/>
    <cellStyle name="40% - 輔色4 12 8" xfId="5293" xr:uid="{00000000-0005-0000-0000-0000D7070000}"/>
    <cellStyle name="40% - 輔色4 13" xfId="562" xr:uid="{00000000-0005-0000-0000-0000D8070000}"/>
    <cellStyle name="40% - 輔色4 13 2" xfId="2265" xr:uid="{00000000-0005-0000-0000-0000D9070000}"/>
    <cellStyle name="40% - 輔色4 13 2 2" xfId="4408" xr:uid="{00000000-0005-0000-0000-0000DA070000}"/>
    <cellStyle name="40% - 輔色4 13 3" xfId="2999" xr:uid="{00000000-0005-0000-0000-0000DB070000}"/>
    <cellStyle name="40% - 輔色4 13 3 2" xfId="4612" xr:uid="{00000000-0005-0000-0000-0000DC070000}"/>
    <cellStyle name="40% - 輔色4 13 4" xfId="2034" xr:uid="{00000000-0005-0000-0000-0000DD070000}"/>
    <cellStyle name="40% - 輔色4 13 4 2" xfId="4290" xr:uid="{00000000-0005-0000-0000-0000DE070000}"/>
    <cellStyle name="40% - 輔色4 13 5" xfId="2936" xr:uid="{00000000-0005-0000-0000-0000DF070000}"/>
    <cellStyle name="40% - 輔色4 13 5 2" xfId="4584" xr:uid="{00000000-0005-0000-0000-0000E0070000}"/>
    <cellStyle name="40% - 輔色4 13 6" xfId="4082" xr:uid="{00000000-0005-0000-0000-0000E1070000}"/>
    <cellStyle name="40% - 輔色4 13 7" xfId="5147" xr:uid="{00000000-0005-0000-0000-0000E2070000}"/>
    <cellStyle name="40% - 輔色4 13 8" xfId="5306" xr:uid="{00000000-0005-0000-0000-0000E3070000}"/>
    <cellStyle name="40% - 輔色4 14" xfId="603" xr:uid="{00000000-0005-0000-0000-0000E4070000}"/>
    <cellStyle name="40% - 輔色4 14 2" xfId="2323" xr:uid="{00000000-0005-0000-0000-0000E5070000}"/>
    <cellStyle name="40% - 輔色4 14 2 2" xfId="2661" xr:uid="{00000000-0005-0000-0000-0000E6070000}"/>
    <cellStyle name="40% - 輔色4 14 2 2 2" xfId="4438" xr:uid="{00000000-0005-0000-0000-0000E7070000}"/>
    <cellStyle name="40% - 輔色4 14 2 3" xfId="2829" xr:uid="{00000000-0005-0000-0000-0000E8070000}"/>
    <cellStyle name="40% - 輔色4 14 2 3 2" xfId="4546" xr:uid="{00000000-0005-0000-0000-0000E9070000}"/>
    <cellStyle name="40% - 輔色4 14 2 4" xfId="3535" xr:uid="{00000000-0005-0000-0000-0000EA070000}"/>
    <cellStyle name="40% - 輔色4 14 2 4 2" xfId="4858" xr:uid="{00000000-0005-0000-0000-0000EB070000}"/>
    <cellStyle name="40% - 輔色4 14 3" xfId="2910" xr:uid="{00000000-0005-0000-0000-0000EC070000}"/>
    <cellStyle name="40% - 輔色4 14 4" xfId="2182" xr:uid="{00000000-0005-0000-0000-0000ED070000}"/>
    <cellStyle name="40% - 輔色4 14 5" xfId="2150" xr:uid="{00000000-0005-0000-0000-0000EE070000}"/>
    <cellStyle name="40% - 輔色4 14 5 2" xfId="4332" xr:uid="{00000000-0005-0000-0000-0000EF070000}"/>
    <cellStyle name="40% - 輔色4 14 6" xfId="4095" xr:uid="{00000000-0005-0000-0000-0000F0070000}"/>
    <cellStyle name="40% - 輔色4 15" xfId="644" xr:uid="{00000000-0005-0000-0000-0000F1070000}"/>
    <cellStyle name="40% - 輔色4 15 2" xfId="2690" xr:uid="{00000000-0005-0000-0000-0000F2070000}"/>
    <cellStyle name="40% - 輔色4 15 2 2" xfId="4456" xr:uid="{00000000-0005-0000-0000-0000F3070000}"/>
    <cellStyle name="40% - 輔色4 15 3" xfId="1735" xr:uid="{00000000-0005-0000-0000-0000F4070000}"/>
    <cellStyle name="40% - 輔色4 15 3 2" xfId="4186" xr:uid="{00000000-0005-0000-0000-0000F5070000}"/>
    <cellStyle name="40% - 輔色4 15 4" xfId="2153" xr:uid="{00000000-0005-0000-0000-0000F6070000}"/>
    <cellStyle name="40% - 輔色4 15 4 2" xfId="4334" xr:uid="{00000000-0005-0000-0000-0000F7070000}"/>
    <cellStyle name="40% - 輔色4 15 5" xfId="3276" xr:uid="{00000000-0005-0000-0000-0000F8070000}"/>
    <cellStyle name="40% - 輔色4 15 5 2" xfId="4745" xr:uid="{00000000-0005-0000-0000-0000F9070000}"/>
    <cellStyle name="40% - 輔色4 15 6" xfId="4108" xr:uid="{00000000-0005-0000-0000-0000FA070000}"/>
    <cellStyle name="40% - 輔色4 16" xfId="686" xr:uid="{00000000-0005-0000-0000-0000FB070000}"/>
    <cellStyle name="40% - 輔色4 16 2" xfId="2721" xr:uid="{00000000-0005-0000-0000-0000FC070000}"/>
    <cellStyle name="40% - 輔色4 16 2 2" xfId="4473" xr:uid="{00000000-0005-0000-0000-0000FD070000}"/>
    <cellStyle name="40% - 輔色4 16 3" xfId="2948" xr:uid="{00000000-0005-0000-0000-0000FE070000}"/>
    <cellStyle name="40% - 輔色4 16 3 2" xfId="4590" xr:uid="{00000000-0005-0000-0000-0000FF070000}"/>
    <cellStyle name="40% - 輔色4 16 4" xfId="2893" xr:uid="{00000000-0005-0000-0000-000000080000}"/>
    <cellStyle name="40% - 輔色4 16 4 2" xfId="4568" xr:uid="{00000000-0005-0000-0000-000001080000}"/>
    <cellStyle name="40% - 輔色4 16 5" xfId="3046" xr:uid="{00000000-0005-0000-0000-000002080000}"/>
    <cellStyle name="40% - 輔色4 16 5 2" xfId="4628" xr:uid="{00000000-0005-0000-0000-000003080000}"/>
    <cellStyle name="40% - 輔色4 16 6" xfId="4121" xr:uid="{00000000-0005-0000-0000-000004080000}"/>
    <cellStyle name="40% - 輔色4 17" xfId="727" xr:uid="{00000000-0005-0000-0000-000005080000}"/>
    <cellStyle name="40% - 輔色4 17 2" xfId="2747" xr:uid="{00000000-0005-0000-0000-000006080000}"/>
    <cellStyle name="40% - 輔色4 17 2 2" xfId="4491" xr:uid="{00000000-0005-0000-0000-000007080000}"/>
    <cellStyle name="40% - 輔色4 17 3" xfId="3188" xr:uid="{00000000-0005-0000-0000-000008080000}"/>
    <cellStyle name="40% - 輔色4 17 3 2" xfId="4708" xr:uid="{00000000-0005-0000-0000-000009080000}"/>
    <cellStyle name="40% - 輔色4 17 4" xfId="3416" xr:uid="{00000000-0005-0000-0000-00000A080000}"/>
    <cellStyle name="40% - 輔色4 17 4 2" xfId="4806" xr:uid="{00000000-0005-0000-0000-00000B080000}"/>
    <cellStyle name="40% - 輔色4 17 5" xfId="3312" xr:uid="{00000000-0005-0000-0000-00000C080000}"/>
    <cellStyle name="40% - 輔色4 17 5 2" xfId="4758" xr:uid="{00000000-0005-0000-0000-00000D080000}"/>
    <cellStyle name="40% - 輔色4 17 6" xfId="4134" xr:uid="{00000000-0005-0000-0000-00000E080000}"/>
    <cellStyle name="40% - 輔色4 18" xfId="768" xr:uid="{00000000-0005-0000-0000-00000F080000}"/>
    <cellStyle name="40% - 輔色4 18 2" xfId="2772" xr:uid="{00000000-0005-0000-0000-000010080000}"/>
    <cellStyle name="40% - 輔色4 18 2 2" xfId="4507" xr:uid="{00000000-0005-0000-0000-000011080000}"/>
    <cellStyle name="40% - 輔色4 18 3" xfId="3242" xr:uid="{00000000-0005-0000-0000-000012080000}"/>
    <cellStyle name="40% - 輔色4 18 3 2" xfId="4739" xr:uid="{00000000-0005-0000-0000-000013080000}"/>
    <cellStyle name="40% - 輔色4 18 4" xfId="2808" xr:uid="{00000000-0005-0000-0000-000014080000}"/>
    <cellStyle name="40% - 輔色4 18 4 2" xfId="4532" xr:uid="{00000000-0005-0000-0000-000015080000}"/>
    <cellStyle name="40% - 輔色4 18 5" xfId="3300" xr:uid="{00000000-0005-0000-0000-000016080000}"/>
    <cellStyle name="40% - 輔色4 18 5 2" xfId="4754" xr:uid="{00000000-0005-0000-0000-000017080000}"/>
    <cellStyle name="40% - 輔色4 18 6" xfId="4147" xr:uid="{00000000-0005-0000-0000-000018080000}"/>
    <cellStyle name="40% - 輔色4 19" xfId="809" xr:uid="{00000000-0005-0000-0000-000019080000}"/>
    <cellStyle name="40% - 輔色4 19 2" xfId="2800" xr:uid="{00000000-0005-0000-0000-00001A080000}"/>
    <cellStyle name="40% - 輔色4 19 2 2" xfId="4526" xr:uid="{00000000-0005-0000-0000-00001B080000}"/>
    <cellStyle name="40% - 輔色4 19 3" xfId="3071" xr:uid="{00000000-0005-0000-0000-00001C080000}"/>
    <cellStyle name="40% - 輔色4 19 3 2" xfId="4643" xr:uid="{00000000-0005-0000-0000-00001D080000}"/>
    <cellStyle name="40% - 輔色4 19 4" xfId="3293" xr:uid="{00000000-0005-0000-0000-00001E080000}"/>
    <cellStyle name="40% - 輔色4 19 4 2" xfId="4751" xr:uid="{00000000-0005-0000-0000-00001F080000}"/>
    <cellStyle name="40% - 輔色4 19 5" xfId="3573" xr:uid="{00000000-0005-0000-0000-000020080000}"/>
    <cellStyle name="40% - 輔色4 19 5 2" xfId="4878" xr:uid="{00000000-0005-0000-0000-000021080000}"/>
    <cellStyle name="40% - 輔色4 19 6" xfId="4160" xr:uid="{00000000-0005-0000-0000-000022080000}"/>
    <cellStyle name="40% - 輔色4 2" xfId="90" xr:uid="{00000000-0005-0000-0000-000023080000}"/>
    <cellStyle name="40% - 輔色4 2 10" xfId="1432" xr:uid="{00000000-0005-0000-0000-000024080000}"/>
    <cellStyle name="40% - 輔色4 2 11" xfId="1567" xr:uid="{00000000-0005-0000-0000-000025080000}"/>
    <cellStyle name="40% - 輔色4 2 12" xfId="1547" xr:uid="{00000000-0005-0000-0000-000026080000}"/>
    <cellStyle name="40% - 輔色4 2 13" xfId="3714" xr:uid="{00000000-0005-0000-0000-000027080000}"/>
    <cellStyle name="40% - 輔色4 2 13 2" xfId="4961" xr:uid="{00000000-0005-0000-0000-000028080000}"/>
    <cellStyle name="40% - 輔色4 2 14" xfId="3675" xr:uid="{00000000-0005-0000-0000-000029080000}"/>
    <cellStyle name="40% - 輔色4 2 14 2" xfId="4925" xr:uid="{00000000-0005-0000-0000-00002A080000}"/>
    <cellStyle name="40% - 輔色4 2 2" xfId="91" xr:uid="{00000000-0005-0000-0000-00002B080000}"/>
    <cellStyle name="40% - 輔色4 2 2 2" xfId="1985" xr:uid="{00000000-0005-0000-0000-00002C080000}"/>
    <cellStyle name="40% - 輔色4 2 2 2 2" xfId="1986" xr:uid="{00000000-0005-0000-0000-00002D080000}"/>
    <cellStyle name="40% - 輔色4 2 2 2 3" xfId="2475" xr:uid="{00000000-0005-0000-0000-00002E080000}"/>
    <cellStyle name="40% - 輔色4 2 2 3" xfId="2474" xr:uid="{00000000-0005-0000-0000-00002F080000}"/>
    <cellStyle name="40% - 輔色4 2 3" xfId="864" xr:uid="{00000000-0005-0000-0000-000030080000}"/>
    <cellStyle name="40% - 輔色4 2 4" xfId="994" xr:uid="{00000000-0005-0000-0000-000031080000}"/>
    <cellStyle name="40% - 輔色4 2 4 2" xfId="2628" xr:uid="{00000000-0005-0000-0000-000032080000}"/>
    <cellStyle name="40% - 輔色4 2 4 2 2" xfId="2887" xr:uid="{00000000-0005-0000-0000-000033080000}"/>
    <cellStyle name="40% - 輔色4 2 4 2 3" xfId="3295" xr:uid="{00000000-0005-0000-0000-000034080000}"/>
    <cellStyle name="40% - 輔色4 2 4 2 4" xfId="2251" xr:uid="{00000000-0005-0000-0000-000035080000}"/>
    <cellStyle name="40% - 輔色4 2 4 3" xfId="3081" xr:uid="{00000000-0005-0000-0000-000036080000}"/>
    <cellStyle name="40% - 輔色4 2 4 4" xfId="3125" xr:uid="{00000000-0005-0000-0000-000037080000}"/>
    <cellStyle name="40% - 輔色4 2 5" xfId="1129" xr:uid="{00000000-0005-0000-0000-000038080000}"/>
    <cellStyle name="40% - 輔色4 2 6" xfId="870" xr:uid="{00000000-0005-0000-0000-000039080000}"/>
    <cellStyle name="40% - 輔色4 2 7" xfId="1304" xr:uid="{00000000-0005-0000-0000-00003A080000}"/>
    <cellStyle name="40% - 輔色4 2 8" xfId="1344" xr:uid="{00000000-0005-0000-0000-00003B080000}"/>
    <cellStyle name="40% - 輔色4 2 9" xfId="1429" xr:uid="{00000000-0005-0000-0000-00003C080000}"/>
    <cellStyle name="40% - 輔色4 20" xfId="863" xr:uid="{00000000-0005-0000-0000-00003D080000}"/>
    <cellStyle name="40% - 輔色4 21" xfId="995" xr:uid="{00000000-0005-0000-0000-00003E080000}"/>
    <cellStyle name="40% - 輔色4 22" xfId="1105" xr:uid="{00000000-0005-0000-0000-00003F080000}"/>
    <cellStyle name="40% - 輔色4 23" xfId="1083" xr:uid="{00000000-0005-0000-0000-000040080000}"/>
    <cellStyle name="40% - 輔色4 24" xfId="1136" xr:uid="{00000000-0005-0000-0000-000041080000}"/>
    <cellStyle name="40% - 輔色4 25" xfId="1345" xr:uid="{00000000-0005-0000-0000-000042080000}"/>
    <cellStyle name="40% - 輔色4 26" xfId="1053" xr:uid="{00000000-0005-0000-0000-000043080000}"/>
    <cellStyle name="40% - 輔色4 27" xfId="1348" xr:uid="{00000000-0005-0000-0000-000044080000}"/>
    <cellStyle name="40% - 輔色4 28" xfId="1591" xr:uid="{00000000-0005-0000-0000-000045080000}"/>
    <cellStyle name="40% - 輔色4 29" xfId="1413" xr:uid="{00000000-0005-0000-0000-000046080000}"/>
    <cellStyle name="40% - 輔色4 3" xfId="92" xr:uid="{00000000-0005-0000-0000-000047080000}"/>
    <cellStyle name="40% - 輔色4 3 2" xfId="3715" xr:uid="{00000000-0005-0000-0000-000048080000}"/>
    <cellStyle name="40% - 輔色4 3 2 2" xfId="4962" xr:uid="{00000000-0005-0000-0000-000049080000}"/>
    <cellStyle name="40% - 輔色4 3 3" xfId="3672" xr:uid="{00000000-0005-0000-0000-00004A080000}"/>
    <cellStyle name="40% - 輔色4 3 3 2" xfId="4922" xr:uid="{00000000-0005-0000-0000-00004B080000}"/>
    <cellStyle name="40% - 輔色4 30" xfId="3999" xr:uid="{00000000-0005-0000-0000-00004C080000}"/>
    <cellStyle name="40% - 輔色4 4" xfId="93" xr:uid="{00000000-0005-0000-0000-00004D080000}"/>
    <cellStyle name="40% - 輔色4 4 2" xfId="3716" xr:uid="{00000000-0005-0000-0000-00004E080000}"/>
    <cellStyle name="40% - 輔色4 4 2 2" xfId="4963" xr:uid="{00000000-0005-0000-0000-00004F080000}"/>
    <cellStyle name="40% - 輔色4 4 3" xfId="3669" xr:uid="{00000000-0005-0000-0000-000050080000}"/>
    <cellStyle name="40% - 輔色4 4 3 2" xfId="4919" xr:uid="{00000000-0005-0000-0000-000051080000}"/>
    <cellStyle name="40% - 輔色4 5" xfId="94" xr:uid="{00000000-0005-0000-0000-000052080000}"/>
    <cellStyle name="40% - 輔色4 5 2" xfId="1842" xr:uid="{00000000-0005-0000-0000-000053080000}"/>
    <cellStyle name="40% - 輔色4 5 2 2" xfId="4227" xr:uid="{00000000-0005-0000-0000-000054080000}"/>
    <cellStyle name="40% - 輔色4 5 2 3" xfId="5069" xr:uid="{00000000-0005-0000-0000-000055080000}"/>
    <cellStyle name="40% - 輔色4 5 2 4" xfId="5228" xr:uid="{00000000-0005-0000-0000-000056080000}"/>
    <cellStyle name="40% - 輔色4 5 3" xfId="2441" xr:uid="{00000000-0005-0000-0000-000057080000}"/>
    <cellStyle name="40% - 輔色4 5 4" xfId="1799" xr:uid="{00000000-0005-0000-0000-000058080000}"/>
    <cellStyle name="40% - 輔色4 5 4 2" xfId="4214" xr:uid="{00000000-0005-0000-0000-000059080000}"/>
    <cellStyle name="40% - 輔色4 5 5" xfId="1804" xr:uid="{00000000-0005-0000-0000-00005A080000}"/>
    <cellStyle name="40% - 輔色4 5 5 2" xfId="4216" xr:uid="{00000000-0005-0000-0000-00005B080000}"/>
    <cellStyle name="40% - 輔色4 5 6" xfId="5003" xr:uid="{00000000-0005-0000-0000-00005C080000}"/>
    <cellStyle name="40% - 輔色4 5 7" xfId="5162" xr:uid="{00000000-0005-0000-0000-00005D080000}"/>
    <cellStyle name="40% - 輔色4 6" xfId="95" xr:uid="{00000000-0005-0000-0000-00005E080000}"/>
    <cellStyle name="40% - 輔色4 6 2" xfId="1884" xr:uid="{00000000-0005-0000-0000-00005F080000}"/>
    <cellStyle name="40% - 輔色4 6 2 2" xfId="4240" xr:uid="{00000000-0005-0000-0000-000060080000}"/>
    <cellStyle name="40% - 輔色4 6 2 3" xfId="5082" xr:uid="{00000000-0005-0000-0000-000061080000}"/>
    <cellStyle name="40% - 輔色4 6 2 4" xfId="5241" xr:uid="{00000000-0005-0000-0000-000062080000}"/>
    <cellStyle name="40% - 輔色4 6 3" xfId="2585" xr:uid="{00000000-0005-0000-0000-000063080000}"/>
    <cellStyle name="40% - 輔色4 6 4" xfId="3167" xr:uid="{00000000-0005-0000-0000-000064080000}"/>
    <cellStyle name="40% - 輔色4 6 4 2" xfId="4697" xr:uid="{00000000-0005-0000-0000-000065080000}"/>
    <cellStyle name="40% - 輔色4 6 5" xfId="1778" xr:uid="{00000000-0005-0000-0000-000066080000}"/>
    <cellStyle name="40% - 輔色4 6 5 2" xfId="4205" xr:uid="{00000000-0005-0000-0000-000067080000}"/>
    <cellStyle name="40% - 輔色4 6 6" xfId="5016" xr:uid="{00000000-0005-0000-0000-000068080000}"/>
    <cellStyle name="40% - 輔色4 6 7" xfId="5175" xr:uid="{00000000-0005-0000-0000-000069080000}"/>
    <cellStyle name="40% - 輔色4 7" xfId="96" xr:uid="{00000000-0005-0000-0000-00006A080000}"/>
    <cellStyle name="40% - 輔色4 7 2" xfId="1925" xr:uid="{00000000-0005-0000-0000-00006B080000}"/>
    <cellStyle name="40% - 輔色4 7 2 2" xfId="4253" xr:uid="{00000000-0005-0000-0000-00006C080000}"/>
    <cellStyle name="40% - 輔色4 7 2 3" xfId="5095" xr:uid="{00000000-0005-0000-0000-00006D080000}"/>
    <cellStyle name="40% - 輔色4 7 2 4" xfId="5254" xr:uid="{00000000-0005-0000-0000-00006E080000}"/>
    <cellStyle name="40% - 輔色4 7 3" xfId="2434" xr:uid="{00000000-0005-0000-0000-00006F080000}"/>
    <cellStyle name="40% - 輔色4 7 4" xfId="2133" xr:uid="{00000000-0005-0000-0000-000070080000}"/>
    <cellStyle name="40% - 輔色4 7 4 2" xfId="4323" xr:uid="{00000000-0005-0000-0000-000071080000}"/>
    <cellStyle name="40% - 輔色4 7 5" xfId="2328" xr:uid="{00000000-0005-0000-0000-000072080000}"/>
    <cellStyle name="40% - 輔色4 7 5 2" xfId="4421" xr:uid="{00000000-0005-0000-0000-000073080000}"/>
    <cellStyle name="40% - 輔色4 7 6" xfId="5029" xr:uid="{00000000-0005-0000-0000-000074080000}"/>
    <cellStyle name="40% - 輔色4 7 7" xfId="5188" xr:uid="{00000000-0005-0000-0000-000075080000}"/>
    <cellStyle name="40% - 輔色4 8" xfId="354" xr:uid="{00000000-0005-0000-0000-000076080000}"/>
    <cellStyle name="40% - 輔色4 8 2" xfId="1961" xr:uid="{00000000-0005-0000-0000-000077080000}"/>
    <cellStyle name="40% - 輔色4 8 2 2" xfId="4275" xr:uid="{00000000-0005-0000-0000-000078080000}"/>
    <cellStyle name="40% - 輔色4 8 3" xfId="1936" xr:uid="{00000000-0005-0000-0000-000079080000}"/>
    <cellStyle name="40% - 輔色4 8 3 2" xfId="4259" xr:uid="{00000000-0005-0000-0000-00007A080000}"/>
    <cellStyle name="40% - 輔色4 8 4" xfId="3496" xr:uid="{00000000-0005-0000-0000-00007B080000}"/>
    <cellStyle name="40% - 輔色4 8 4 2" xfId="4839" xr:uid="{00000000-0005-0000-0000-00007C080000}"/>
    <cellStyle name="40% - 輔色4 8 5" xfId="3488" xr:uid="{00000000-0005-0000-0000-00007D080000}"/>
    <cellStyle name="40% - 輔色4 8 5 2" xfId="4833" xr:uid="{00000000-0005-0000-0000-00007E080000}"/>
    <cellStyle name="40% - 輔色4 8 6" xfId="4017" xr:uid="{00000000-0005-0000-0000-00007F080000}"/>
    <cellStyle name="40% - 輔色4 8 7" xfId="5043" xr:uid="{00000000-0005-0000-0000-000080080000}"/>
    <cellStyle name="40% - 輔色4 8 8" xfId="5202" xr:uid="{00000000-0005-0000-0000-000081080000}"/>
    <cellStyle name="40% - 輔色4 9" xfId="396" xr:uid="{00000000-0005-0000-0000-000082080000}"/>
    <cellStyle name="40% - 輔色4 9 2" xfId="2024" xr:uid="{00000000-0005-0000-0000-000083080000}"/>
    <cellStyle name="40% - 輔色4 9 2 2" xfId="4286" xr:uid="{00000000-0005-0000-0000-000084080000}"/>
    <cellStyle name="40% - 輔色4 9 3" xfId="2776" xr:uid="{00000000-0005-0000-0000-000085080000}"/>
    <cellStyle name="40% - 輔色4 9 3 2" xfId="4510" xr:uid="{00000000-0005-0000-0000-000086080000}"/>
    <cellStyle name="40% - 輔色4 9 4" xfId="2894" xr:uid="{00000000-0005-0000-0000-000087080000}"/>
    <cellStyle name="40% - 輔色4 9 4 2" xfId="4569" xr:uid="{00000000-0005-0000-0000-000088080000}"/>
    <cellStyle name="40% - 輔色4 9 5" xfId="3176" xr:uid="{00000000-0005-0000-0000-000089080000}"/>
    <cellStyle name="40% - 輔色4 9 5 2" xfId="4703" xr:uid="{00000000-0005-0000-0000-00008A080000}"/>
    <cellStyle name="40% - 輔色4 9 6" xfId="4030" xr:uid="{00000000-0005-0000-0000-00008B080000}"/>
    <cellStyle name="40% - 輔色4 9 7" xfId="5052" xr:uid="{00000000-0005-0000-0000-00008C080000}"/>
    <cellStyle name="40% - 輔色4 9 8" xfId="5211" xr:uid="{00000000-0005-0000-0000-00008D080000}"/>
    <cellStyle name="40% - 輔色5" xfId="3658" builtinId="47" customBuiltin="1"/>
    <cellStyle name="40% - 輔色5 10" xfId="441" xr:uid="{00000000-0005-0000-0000-00008F080000}"/>
    <cellStyle name="40% - 輔色5 10 2" xfId="2184" xr:uid="{00000000-0005-0000-0000-000090080000}"/>
    <cellStyle name="40% - 輔色5 10 2 2" xfId="4353" xr:uid="{00000000-0005-0000-0000-000091080000}"/>
    <cellStyle name="40% - 輔色5 10 3" xfId="2116" xr:uid="{00000000-0005-0000-0000-000092080000}"/>
    <cellStyle name="40% - 輔色5 10 3 2" xfId="4316" xr:uid="{00000000-0005-0000-0000-000093080000}"/>
    <cellStyle name="40% - 輔色5 10 4" xfId="3283" xr:uid="{00000000-0005-0000-0000-000094080000}"/>
    <cellStyle name="40% - 輔色5 10 4 2" xfId="4748" xr:uid="{00000000-0005-0000-0000-000095080000}"/>
    <cellStyle name="40% - 輔色5 10 5" xfId="2897" xr:uid="{00000000-0005-0000-0000-000096080000}"/>
    <cellStyle name="40% - 輔色5 10 5 2" xfId="4571" xr:uid="{00000000-0005-0000-0000-000097080000}"/>
    <cellStyle name="40% - 輔色5 10 6" xfId="4045" xr:uid="{00000000-0005-0000-0000-000098080000}"/>
    <cellStyle name="40% - 輔色5 10 7" xfId="5110" xr:uid="{00000000-0005-0000-0000-000099080000}"/>
    <cellStyle name="40% - 輔色5 10 8" xfId="5269" xr:uid="{00000000-0005-0000-0000-00009A080000}"/>
    <cellStyle name="40% - 輔色5 11" xfId="483" xr:uid="{00000000-0005-0000-0000-00009B080000}"/>
    <cellStyle name="40% - 輔色5 11 2" xfId="2215" xr:uid="{00000000-0005-0000-0000-00009C080000}"/>
    <cellStyle name="40% - 輔色5 11 2 2" xfId="4374" xr:uid="{00000000-0005-0000-0000-00009D080000}"/>
    <cellStyle name="40% - 輔色5 11 3" xfId="2909" xr:uid="{00000000-0005-0000-0000-00009E080000}"/>
    <cellStyle name="40% - 輔色5 11 3 2" xfId="4576" xr:uid="{00000000-0005-0000-0000-00009F080000}"/>
    <cellStyle name="40% - 輔色5 11 4" xfId="3497" xr:uid="{00000000-0005-0000-0000-0000A0080000}"/>
    <cellStyle name="40% - 輔色5 11 4 2" xfId="4840" xr:uid="{00000000-0005-0000-0000-0000A1080000}"/>
    <cellStyle name="40% - 輔色5 11 5" xfId="1732" xr:uid="{00000000-0005-0000-0000-0000A2080000}"/>
    <cellStyle name="40% - 輔色5 11 5 2" xfId="4183" xr:uid="{00000000-0005-0000-0000-0000A3080000}"/>
    <cellStyle name="40% - 輔色5 11 6" xfId="4058" xr:uid="{00000000-0005-0000-0000-0000A4080000}"/>
    <cellStyle name="40% - 輔色5 11 7" xfId="5123" xr:uid="{00000000-0005-0000-0000-0000A5080000}"/>
    <cellStyle name="40% - 輔色5 11 8" xfId="5282" xr:uid="{00000000-0005-0000-0000-0000A6080000}"/>
    <cellStyle name="40% - 輔色5 12" xfId="524" xr:uid="{00000000-0005-0000-0000-0000A7080000}"/>
    <cellStyle name="40% - 輔色5 12 2" xfId="2239" xr:uid="{00000000-0005-0000-0000-0000A8080000}"/>
    <cellStyle name="40% - 輔色5 12 2 2" xfId="4391" xr:uid="{00000000-0005-0000-0000-0000A9080000}"/>
    <cellStyle name="40% - 輔色5 12 3" xfId="3168" xr:uid="{00000000-0005-0000-0000-0000AA080000}"/>
    <cellStyle name="40% - 輔色5 12 3 2" xfId="4698" xr:uid="{00000000-0005-0000-0000-0000AB080000}"/>
    <cellStyle name="40% - 輔色5 12 4" xfId="3432" xr:uid="{00000000-0005-0000-0000-0000AC080000}"/>
    <cellStyle name="40% - 輔色5 12 4 2" xfId="4811" xr:uid="{00000000-0005-0000-0000-0000AD080000}"/>
    <cellStyle name="40% - 輔色5 12 5" xfId="3613" xr:uid="{00000000-0005-0000-0000-0000AE080000}"/>
    <cellStyle name="40% - 輔色5 12 5 2" xfId="4912" xr:uid="{00000000-0005-0000-0000-0000AF080000}"/>
    <cellStyle name="40% - 輔色5 12 6" xfId="4071" xr:uid="{00000000-0005-0000-0000-0000B0080000}"/>
    <cellStyle name="40% - 輔色5 12 7" xfId="5136" xr:uid="{00000000-0005-0000-0000-0000B1080000}"/>
    <cellStyle name="40% - 輔色5 12 8" xfId="5295" xr:uid="{00000000-0005-0000-0000-0000B2080000}"/>
    <cellStyle name="40% - 輔色5 13" xfId="566" xr:uid="{00000000-0005-0000-0000-0000B3080000}"/>
    <cellStyle name="40% - 輔色5 13 2" xfId="2269" xr:uid="{00000000-0005-0000-0000-0000B4080000}"/>
    <cellStyle name="40% - 輔色5 13 2 2" xfId="4410" xr:uid="{00000000-0005-0000-0000-0000B5080000}"/>
    <cellStyle name="40% - 輔色5 13 3" xfId="2990" xr:uid="{00000000-0005-0000-0000-0000B6080000}"/>
    <cellStyle name="40% - 輔色5 13 3 2" xfId="4609" xr:uid="{00000000-0005-0000-0000-0000B7080000}"/>
    <cellStyle name="40% - 輔色5 13 4" xfId="3406" xr:uid="{00000000-0005-0000-0000-0000B8080000}"/>
    <cellStyle name="40% - 輔色5 13 4 2" xfId="4802" xr:uid="{00000000-0005-0000-0000-0000B9080000}"/>
    <cellStyle name="40% - 輔色5 13 5" xfId="3371" xr:uid="{00000000-0005-0000-0000-0000BA080000}"/>
    <cellStyle name="40% - 輔色5 13 5 2" xfId="4785" xr:uid="{00000000-0005-0000-0000-0000BB080000}"/>
    <cellStyle name="40% - 輔色5 13 6" xfId="4084" xr:uid="{00000000-0005-0000-0000-0000BC080000}"/>
    <cellStyle name="40% - 輔色5 13 7" xfId="5149" xr:uid="{00000000-0005-0000-0000-0000BD080000}"/>
    <cellStyle name="40% - 輔色5 13 8" xfId="5308" xr:uid="{00000000-0005-0000-0000-0000BE080000}"/>
    <cellStyle name="40% - 輔色5 14" xfId="607" xr:uid="{00000000-0005-0000-0000-0000BF080000}"/>
    <cellStyle name="40% - 輔色5 14 2" xfId="2325" xr:uid="{00000000-0005-0000-0000-0000C0080000}"/>
    <cellStyle name="40% - 輔色5 14 2 2" xfId="2665" xr:uid="{00000000-0005-0000-0000-0000C1080000}"/>
    <cellStyle name="40% - 輔色5 14 2 2 2" xfId="4440" xr:uid="{00000000-0005-0000-0000-0000C2080000}"/>
    <cellStyle name="40% - 輔色5 14 2 3" xfId="2837" xr:uid="{00000000-0005-0000-0000-0000C3080000}"/>
    <cellStyle name="40% - 輔色5 14 2 3 2" xfId="4550" xr:uid="{00000000-0005-0000-0000-0000C4080000}"/>
    <cellStyle name="40% - 輔色5 14 2 4" xfId="3118" xr:uid="{00000000-0005-0000-0000-0000C5080000}"/>
    <cellStyle name="40% - 輔色5 14 2 4 2" xfId="4670" xr:uid="{00000000-0005-0000-0000-0000C6080000}"/>
    <cellStyle name="40% - 輔色5 14 3" xfId="3162" xr:uid="{00000000-0005-0000-0000-0000C7080000}"/>
    <cellStyle name="40% - 輔色5 14 4" xfId="2888" xr:uid="{00000000-0005-0000-0000-0000C8080000}"/>
    <cellStyle name="40% - 輔色5 14 5" xfId="3551" xr:uid="{00000000-0005-0000-0000-0000C9080000}"/>
    <cellStyle name="40% - 輔色5 14 5 2" xfId="4865" xr:uid="{00000000-0005-0000-0000-0000CA080000}"/>
    <cellStyle name="40% - 輔色5 14 6" xfId="4097" xr:uid="{00000000-0005-0000-0000-0000CB080000}"/>
    <cellStyle name="40% - 輔色5 15" xfId="648" xr:uid="{00000000-0005-0000-0000-0000CC080000}"/>
    <cellStyle name="40% - 輔色5 15 2" xfId="2693" xr:uid="{00000000-0005-0000-0000-0000CD080000}"/>
    <cellStyle name="40% - 輔色5 15 2 2" xfId="4458" xr:uid="{00000000-0005-0000-0000-0000CE080000}"/>
    <cellStyle name="40% - 輔色5 15 3" xfId="3092" xr:uid="{00000000-0005-0000-0000-0000CF080000}"/>
    <cellStyle name="40% - 輔色5 15 3 2" xfId="4656" xr:uid="{00000000-0005-0000-0000-0000D0080000}"/>
    <cellStyle name="40% - 輔色5 15 4" xfId="3486" xr:uid="{00000000-0005-0000-0000-0000D1080000}"/>
    <cellStyle name="40% - 輔色5 15 4 2" xfId="4831" xr:uid="{00000000-0005-0000-0000-0000D2080000}"/>
    <cellStyle name="40% - 輔色5 15 5" xfId="2793" xr:uid="{00000000-0005-0000-0000-0000D3080000}"/>
    <cellStyle name="40% - 輔色5 15 5 2" xfId="4522" xr:uid="{00000000-0005-0000-0000-0000D4080000}"/>
    <cellStyle name="40% - 輔色5 15 6" xfId="4110" xr:uid="{00000000-0005-0000-0000-0000D5080000}"/>
    <cellStyle name="40% - 輔色5 16" xfId="690" xr:uid="{00000000-0005-0000-0000-0000D6080000}"/>
    <cellStyle name="40% - 輔色5 16 2" xfId="2724" xr:uid="{00000000-0005-0000-0000-0000D7080000}"/>
    <cellStyle name="40% - 輔色5 16 2 2" xfId="4475" xr:uid="{00000000-0005-0000-0000-0000D8080000}"/>
    <cellStyle name="40% - 輔色5 16 3" xfId="3233" xr:uid="{00000000-0005-0000-0000-0000D9080000}"/>
    <cellStyle name="40% - 輔色5 16 3 2" xfId="4732" xr:uid="{00000000-0005-0000-0000-0000DA080000}"/>
    <cellStyle name="40% - 輔色5 16 4" xfId="2158" xr:uid="{00000000-0005-0000-0000-0000DB080000}"/>
    <cellStyle name="40% - 輔色5 16 4 2" xfId="4337" xr:uid="{00000000-0005-0000-0000-0000DC080000}"/>
    <cellStyle name="40% - 輔色5 16 5" xfId="3570" xr:uid="{00000000-0005-0000-0000-0000DD080000}"/>
    <cellStyle name="40% - 輔色5 16 5 2" xfId="4875" xr:uid="{00000000-0005-0000-0000-0000DE080000}"/>
    <cellStyle name="40% - 輔色5 16 6" xfId="4123" xr:uid="{00000000-0005-0000-0000-0000DF080000}"/>
    <cellStyle name="40% - 輔色5 17" xfId="731" xr:uid="{00000000-0005-0000-0000-0000E0080000}"/>
    <cellStyle name="40% - 輔色5 17 2" xfId="2749" xr:uid="{00000000-0005-0000-0000-0000E1080000}"/>
    <cellStyle name="40% - 輔色5 17 2 2" xfId="4493" xr:uid="{00000000-0005-0000-0000-0000E2080000}"/>
    <cellStyle name="40% - 輔色5 17 3" xfId="2912" xr:uid="{00000000-0005-0000-0000-0000E3080000}"/>
    <cellStyle name="40% - 輔色5 17 3 2" xfId="4577" xr:uid="{00000000-0005-0000-0000-0000E4080000}"/>
    <cellStyle name="40% - 輔色5 17 4" xfId="3024" xr:uid="{00000000-0005-0000-0000-0000E5080000}"/>
    <cellStyle name="40% - 輔色5 17 4 2" xfId="4621" xr:uid="{00000000-0005-0000-0000-0000E6080000}"/>
    <cellStyle name="40% - 輔色5 17 5" xfId="3377" xr:uid="{00000000-0005-0000-0000-0000E7080000}"/>
    <cellStyle name="40% - 輔色5 17 5 2" xfId="4790" xr:uid="{00000000-0005-0000-0000-0000E8080000}"/>
    <cellStyle name="40% - 輔色5 17 6" xfId="4136" xr:uid="{00000000-0005-0000-0000-0000E9080000}"/>
    <cellStyle name="40% - 輔色5 18" xfId="772" xr:uid="{00000000-0005-0000-0000-0000EA080000}"/>
    <cellStyle name="40% - 輔色5 18 2" xfId="2775" xr:uid="{00000000-0005-0000-0000-0000EB080000}"/>
    <cellStyle name="40% - 輔色5 18 2 2" xfId="4509" xr:uid="{00000000-0005-0000-0000-0000EC080000}"/>
    <cellStyle name="40% - 輔色5 18 3" xfId="2149" xr:uid="{00000000-0005-0000-0000-0000ED080000}"/>
    <cellStyle name="40% - 輔色5 18 3 2" xfId="4331" xr:uid="{00000000-0005-0000-0000-0000EE080000}"/>
    <cellStyle name="40% - 輔色5 18 4" xfId="3375" xr:uid="{00000000-0005-0000-0000-0000EF080000}"/>
    <cellStyle name="40% - 輔色5 18 4 2" xfId="4788" xr:uid="{00000000-0005-0000-0000-0000F0080000}"/>
    <cellStyle name="40% - 輔色5 18 5" xfId="3492" xr:uid="{00000000-0005-0000-0000-0000F1080000}"/>
    <cellStyle name="40% - 輔色5 18 5 2" xfId="4836" xr:uid="{00000000-0005-0000-0000-0000F2080000}"/>
    <cellStyle name="40% - 輔色5 18 6" xfId="4149" xr:uid="{00000000-0005-0000-0000-0000F3080000}"/>
    <cellStyle name="40% - 輔色5 19" xfId="813" xr:uid="{00000000-0005-0000-0000-0000F4080000}"/>
    <cellStyle name="40% - 輔色5 19 2" xfId="2803" xr:uid="{00000000-0005-0000-0000-0000F5080000}"/>
    <cellStyle name="40% - 輔色5 19 2 2" xfId="4529" xr:uid="{00000000-0005-0000-0000-0000F6080000}"/>
    <cellStyle name="40% - 輔色5 19 3" xfId="3154" xr:uid="{00000000-0005-0000-0000-0000F7080000}"/>
    <cellStyle name="40% - 輔色5 19 3 2" xfId="4690" xr:uid="{00000000-0005-0000-0000-0000F8080000}"/>
    <cellStyle name="40% - 輔色5 19 4" xfId="3429" xr:uid="{00000000-0005-0000-0000-0000F9080000}"/>
    <cellStyle name="40% - 輔色5 19 4 2" xfId="4810" xr:uid="{00000000-0005-0000-0000-0000FA080000}"/>
    <cellStyle name="40% - 輔色5 19 5" xfId="3302" xr:uid="{00000000-0005-0000-0000-0000FB080000}"/>
    <cellStyle name="40% - 輔色5 19 5 2" xfId="4755" xr:uid="{00000000-0005-0000-0000-0000FC080000}"/>
    <cellStyle name="40% - 輔色5 19 6" xfId="4162" xr:uid="{00000000-0005-0000-0000-0000FD080000}"/>
    <cellStyle name="40% - 輔色5 2" xfId="97" xr:uid="{00000000-0005-0000-0000-0000FE080000}"/>
    <cellStyle name="40% - 輔色5 2 10" xfId="1341" xr:uid="{00000000-0005-0000-0000-0000FF080000}"/>
    <cellStyle name="40% - 輔色5 2 11" xfId="1613" xr:uid="{00000000-0005-0000-0000-000000090000}"/>
    <cellStyle name="40% - 輔色5 2 12" xfId="1658" xr:uid="{00000000-0005-0000-0000-000001090000}"/>
    <cellStyle name="40% - 輔色5 2 13" xfId="3717" xr:uid="{00000000-0005-0000-0000-000002090000}"/>
    <cellStyle name="40% - 輔色5 2 13 2" xfId="4964" xr:uid="{00000000-0005-0000-0000-000003090000}"/>
    <cellStyle name="40% - 輔色5 2 14" xfId="3666" xr:uid="{00000000-0005-0000-0000-000004090000}"/>
    <cellStyle name="40% - 輔色5 2 14 2" xfId="4916" xr:uid="{00000000-0005-0000-0000-000005090000}"/>
    <cellStyle name="40% - 輔色5 2 2" xfId="98" xr:uid="{00000000-0005-0000-0000-000006090000}"/>
    <cellStyle name="40% - 輔色5 2 2 2" xfId="1987" xr:uid="{00000000-0005-0000-0000-000007090000}"/>
    <cellStyle name="40% - 輔色5 2 2 2 2" xfId="1988" xr:uid="{00000000-0005-0000-0000-000008090000}"/>
    <cellStyle name="40% - 輔色5 2 2 2 3" xfId="2477" xr:uid="{00000000-0005-0000-0000-000009090000}"/>
    <cellStyle name="40% - 輔色5 2 2 3" xfId="2476" xr:uid="{00000000-0005-0000-0000-00000A090000}"/>
    <cellStyle name="40% - 輔色5 2 3" xfId="869" xr:uid="{00000000-0005-0000-0000-00000B090000}"/>
    <cellStyle name="40% - 輔色5 2 4" xfId="1125" xr:uid="{00000000-0005-0000-0000-00000C090000}"/>
    <cellStyle name="40% - 輔色5 2 4 2" xfId="2550" xr:uid="{00000000-0005-0000-0000-00000D090000}"/>
    <cellStyle name="40% - 輔色5 2 4 2 2" xfId="2955" xr:uid="{00000000-0005-0000-0000-00000E090000}"/>
    <cellStyle name="40% - 輔色5 2 4 2 3" xfId="3343" xr:uid="{00000000-0005-0000-0000-00000F090000}"/>
    <cellStyle name="40% - 輔色5 2 4 2 4" xfId="2986" xr:uid="{00000000-0005-0000-0000-000010090000}"/>
    <cellStyle name="40% - 輔色5 2 4 3" xfId="2122" xr:uid="{00000000-0005-0000-0000-000011090000}"/>
    <cellStyle name="40% - 輔色5 2 4 4" xfId="1763" xr:uid="{00000000-0005-0000-0000-000012090000}"/>
    <cellStyle name="40% - 輔色5 2 5" xfId="1071" xr:uid="{00000000-0005-0000-0000-000013090000}"/>
    <cellStyle name="40% - 輔色5 2 6" xfId="891" xr:uid="{00000000-0005-0000-0000-000014090000}"/>
    <cellStyle name="40% - 輔色5 2 7" xfId="1070" xr:uid="{00000000-0005-0000-0000-000015090000}"/>
    <cellStyle name="40% - 輔色5 2 8" xfId="1338" xr:uid="{00000000-0005-0000-0000-000016090000}"/>
    <cellStyle name="40% - 輔色5 2 9" xfId="1329" xr:uid="{00000000-0005-0000-0000-000017090000}"/>
    <cellStyle name="40% - 輔色5 20" xfId="868" xr:uid="{00000000-0005-0000-0000-000018090000}"/>
    <cellStyle name="40% - 輔色5 21" xfId="1144" xr:uid="{00000000-0005-0000-0000-000019090000}"/>
    <cellStyle name="40% - 輔色5 22" xfId="1255" xr:uid="{00000000-0005-0000-0000-00001A090000}"/>
    <cellStyle name="40% - 輔色5 23" xfId="1296" xr:uid="{00000000-0005-0000-0000-00001B090000}"/>
    <cellStyle name="40% - 輔色5 24" xfId="1284" xr:uid="{00000000-0005-0000-0000-00001C090000}"/>
    <cellStyle name="40% - 輔色5 25" xfId="1339" xr:uid="{00000000-0005-0000-0000-00001D090000}"/>
    <cellStyle name="40% - 輔色5 26" xfId="1433" xr:uid="{00000000-0005-0000-0000-00001E090000}"/>
    <cellStyle name="40% - 輔色5 27" xfId="1428" xr:uid="{00000000-0005-0000-0000-00001F090000}"/>
    <cellStyle name="40% - 輔色5 28" xfId="1636" xr:uid="{00000000-0005-0000-0000-000020090000}"/>
    <cellStyle name="40% - 輔色5 29" xfId="1671" xr:uid="{00000000-0005-0000-0000-000021090000}"/>
    <cellStyle name="40% - 輔色5 3" xfId="99" xr:uid="{00000000-0005-0000-0000-000022090000}"/>
    <cellStyle name="40% - 輔色5 3 2" xfId="3718" xr:uid="{00000000-0005-0000-0000-000023090000}"/>
    <cellStyle name="40% - 輔色5 3 2 2" xfId="4965" xr:uid="{00000000-0005-0000-0000-000024090000}"/>
    <cellStyle name="40% - 輔色5 3 3" xfId="3963" xr:uid="{00000000-0005-0000-0000-000025090000}"/>
    <cellStyle name="40% - 輔色5 3 3 2" xfId="4986" xr:uid="{00000000-0005-0000-0000-000026090000}"/>
    <cellStyle name="40% - 輔色5 30" xfId="4001" xr:uid="{00000000-0005-0000-0000-000027090000}"/>
    <cellStyle name="40% - 輔色5 4" xfId="100" xr:uid="{00000000-0005-0000-0000-000028090000}"/>
    <cellStyle name="40% - 輔色5 4 2" xfId="3719" xr:uid="{00000000-0005-0000-0000-000029090000}"/>
    <cellStyle name="40% - 輔色5 4 2 2" xfId="4966" xr:uid="{00000000-0005-0000-0000-00002A090000}"/>
    <cellStyle name="40% - 輔色5 4 3" xfId="3964" xr:uid="{00000000-0005-0000-0000-00002B090000}"/>
    <cellStyle name="40% - 輔色5 4 3 2" xfId="4987" xr:uid="{00000000-0005-0000-0000-00002C090000}"/>
    <cellStyle name="40% - 輔色5 5" xfId="101" xr:uid="{00000000-0005-0000-0000-00002D090000}"/>
    <cellStyle name="40% - 輔色5 5 2" xfId="1846" xr:uid="{00000000-0005-0000-0000-00002E090000}"/>
    <cellStyle name="40% - 輔色5 5 2 2" xfId="4229" xr:uid="{00000000-0005-0000-0000-00002F090000}"/>
    <cellStyle name="40% - 輔色5 5 2 3" xfId="5071" xr:uid="{00000000-0005-0000-0000-000030090000}"/>
    <cellStyle name="40% - 輔色5 5 2 4" xfId="5230" xr:uid="{00000000-0005-0000-0000-000031090000}"/>
    <cellStyle name="40% - 輔色5 5 3" xfId="2575" xr:uid="{00000000-0005-0000-0000-000032090000}"/>
    <cellStyle name="40% - 輔色5 5 4" xfId="3147" xr:uid="{00000000-0005-0000-0000-000033090000}"/>
    <cellStyle name="40% - 輔色5 5 4 2" xfId="4686" xr:uid="{00000000-0005-0000-0000-000034090000}"/>
    <cellStyle name="40% - 輔色5 5 5" xfId="1805" xr:uid="{00000000-0005-0000-0000-000035090000}"/>
    <cellStyle name="40% - 輔色5 5 5 2" xfId="4217" xr:uid="{00000000-0005-0000-0000-000036090000}"/>
    <cellStyle name="40% - 輔色5 5 6" xfId="5005" xr:uid="{00000000-0005-0000-0000-000037090000}"/>
    <cellStyle name="40% - 輔色5 5 7" xfId="5164" xr:uid="{00000000-0005-0000-0000-000038090000}"/>
    <cellStyle name="40% - 輔色5 6" xfId="102" xr:uid="{00000000-0005-0000-0000-000039090000}"/>
    <cellStyle name="40% - 輔色5 6 2" xfId="1888" xr:uid="{00000000-0005-0000-0000-00003A090000}"/>
    <cellStyle name="40% - 輔色5 6 2 2" xfId="4242" xr:uid="{00000000-0005-0000-0000-00003B090000}"/>
    <cellStyle name="40% - 輔色5 6 2 3" xfId="5084" xr:uid="{00000000-0005-0000-0000-00003C090000}"/>
    <cellStyle name="40% - 輔色5 6 2 4" xfId="5243" xr:uid="{00000000-0005-0000-0000-00003D090000}"/>
    <cellStyle name="40% - 輔色5 6 3" xfId="2421" xr:uid="{00000000-0005-0000-0000-00003E090000}"/>
    <cellStyle name="40% - 輔色5 6 4" xfId="3141" xr:uid="{00000000-0005-0000-0000-00003F090000}"/>
    <cellStyle name="40% - 輔色5 6 4 2" xfId="4685" xr:uid="{00000000-0005-0000-0000-000040090000}"/>
    <cellStyle name="40% - 輔色5 6 5" xfId="3508" xr:uid="{00000000-0005-0000-0000-000041090000}"/>
    <cellStyle name="40% - 輔色5 6 5 2" xfId="4847" xr:uid="{00000000-0005-0000-0000-000042090000}"/>
    <cellStyle name="40% - 輔色5 6 6" xfId="5018" xr:uid="{00000000-0005-0000-0000-000043090000}"/>
    <cellStyle name="40% - 輔色5 6 7" xfId="5177" xr:uid="{00000000-0005-0000-0000-000044090000}"/>
    <cellStyle name="40% - 輔色5 7" xfId="103" xr:uid="{00000000-0005-0000-0000-000045090000}"/>
    <cellStyle name="40% - 輔色5 7 2" xfId="1929" xr:uid="{00000000-0005-0000-0000-000046090000}"/>
    <cellStyle name="40% - 輔色5 7 2 2" xfId="4255" xr:uid="{00000000-0005-0000-0000-000047090000}"/>
    <cellStyle name="40% - 輔色5 7 2 3" xfId="5097" xr:uid="{00000000-0005-0000-0000-000048090000}"/>
    <cellStyle name="40% - 輔色5 7 2 4" xfId="5256" xr:uid="{00000000-0005-0000-0000-000049090000}"/>
    <cellStyle name="40% - 輔色5 7 3" xfId="2556" xr:uid="{00000000-0005-0000-0000-00004A090000}"/>
    <cellStyle name="40% - 輔色5 7 4" xfId="1790" xr:uid="{00000000-0005-0000-0000-00004B090000}"/>
    <cellStyle name="40% - 輔色5 7 4 2" xfId="4211" xr:uid="{00000000-0005-0000-0000-00004C090000}"/>
    <cellStyle name="40% - 輔色5 7 5" xfId="2163" xr:uid="{00000000-0005-0000-0000-00004D090000}"/>
    <cellStyle name="40% - 輔色5 7 5 2" xfId="4340" xr:uid="{00000000-0005-0000-0000-00004E090000}"/>
    <cellStyle name="40% - 輔色5 7 6" xfId="5031" xr:uid="{00000000-0005-0000-0000-00004F090000}"/>
    <cellStyle name="40% - 輔色5 7 7" xfId="5190" xr:uid="{00000000-0005-0000-0000-000050090000}"/>
    <cellStyle name="40% - 輔色5 8" xfId="358" xr:uid="{00000000-0005-0000-0000-000051090000}"/>
    <cellStyle name="40% - 輔色5 8 2" xfId="1963" xr:uid="{00000000-0005-0000-0000-000052090000}"/>
    <cellStyle name="40% - 輔色5 8 2 2" xfId="4277" xr:uid="{00000000-0005-0000-0000-000053090000}"/>
    <cellStyle name="40% - 輔色5 8 3" xfId="2132" xr:uid="{00000000-0005-0000-0000-000054090000}"/>
    <cellStyle name="40% - 輔色5 8 3 2" xfId="4322" xr:uid="{00000000-0005-0000-0000-000055090000}"/>
    <cellStyle name="40% - 輔色5 8 4" xfId="3156" xr:uid="{00000000-0005-0000-0000-000056090000}"/>
    <cellStyle name="40% - 輔色5 8 4 2" xfId="4691" xr:uid="{00000000-0005-0000-0000-000057090000}"/>
    <cellStyle name="40% - 輔色5 8 5" xfId="3457" xr:uid="{00000000-0005-0000-0000-000058090000}"/>
    <cellStyle name="40% - 輔色5 8 5 2" xfId="4816" xr:uid="{00000000-0005-0000-0000-000059090000}"/>
    <cellStyle name="40% - 輔色5 8 6" xfId="4019" xr:uid="{00000000-0005-0000-0000-00005A090000}"/>
    <cellStyle name="40% - 輔色5 8 7" xfId="5045" xr:uid="{00000000-0005-0000-0000-00005B090000}"/>
    <cellStyle name="40% - 輔色5 8 8" xfId="5204" xr:uid="{00000000-0005-0000-0000-00005C090000}"/>
    <cellStyle name="40% - 輔色5 9" xfId="400" xr:uid="{00000000-0005-0000-0000-00005D090000}"/>
    <cellStyle name="40% - 輔色5 9 2" xfId="2017" xr:uid="{00000000-0005-0000-0000-00005E090000}"/>
    <cellStyle name="40% - 輔色5 9 2 2" xfId="4283" xr:uid="{00000000-0005-0000-0000-00005F090000}"/>
    <cellStyle name="40% - 輔色5 9 3" xfId="2959" xr:uid="{00000000-0005-0000-0000-000060090000}"/>
    <cellStyle name="40% - 輔色5 9 3 2" xfId="4595" xr:uid="{00000000-0005-0000-0000-000061090000}"/>
    <cellStyle name="40% - 輔色5 9 4" xfId="2927" xr:uid="{00000000-0005-0000-0000-000062090000}"/>
    <cellStyle name="40% - 輔色5 9 4 2" xfId="4580" xr:uid="{00000000-0005-0000-0000-000063090000}"/>
    <cellStyle name="40% - 輔色5 9 5" xfId="2970" xr:uid="{00000000-0005-0000-0000-000064090000}"/>
    <cellStyle name="40% - 輔色5 9 5 2" xfId="4600" xr:uid="{00000000-0005-0000-0000-000065090000}"/>
    <cellStyle name="40% - 輔色5 9 6" xfId="4032" xr:uid="{00000000-0005-0000-0000-000066090000}"/>
    <cellStyle name="40% - 輔色5 9 7" xfId="5050" xr:uid="{00000000-0005-0000-0000-000067090000}"/>
    <cellStyle name="40% - 輔色5 9 8" xfId="5209" xr:uid="{00000000-0005-0000-0000-000068090000}"/>
    <cellStyle name="40% - 輔色6" xfId="3662" builtinId="51" customBuiltin="1"/>
    <cellStyle name="40% - 輔色6 10" xfId="445" xr:uid="{00000000-0005-0000-0000-00006A090000}"/>
    <cellStyle name="40% - 輔色6 10 2" xfId="2186" xr:uid="{00000000-0005-0000-0000-00006B090000}"/>
    <cellStyle name="40% - 輔色6 10 2 2" xfId="4355" xr:uid="{00000000-0005-0000-0000-00006C090000}"/>
    <cellStyle name="40% - 輔色6 10 3" xfId="2926" xr:uid="{00000000-0005-0000-0000-00006D090000}"/>
    <cellStyle name="40% - 輔色6 10 3 2" xfId="4579" xr:uid="{00000000-0005-0000-0000-00006E090000}"/>
    <cellStyle name="40% - 輔色6 10 4" xfId="3274" xr:uid="{00000000-0005-0000-0000-00006F090000}"/>
    <cellStyle name="40% - 輔色6 10 4 2" xfId="4744" xr:uid="{00000000-0005-0000-0000-000070090000}"/>
    <cellStyle name="40% - 輔色6 10 5" xfId="3355" xr:uid="{00000000-0005-0000-0000-000071090000}"/>
    <cellStyle name="40% - 輔色6 10 5 2" xfId="4774" xr:uid="{00000000-0005-0000-0000-000072090000}"/>
    <cellStyle name="40% - 輔色6 10 6" xfId="4047" xr:uid="{00000000-0005-0000-0000-000073090000}"/>
    <cellStyle name="40% - 輔色6 10 7" xfId="5112" xr:uid="{00000000-0005-0000-0000-000074090000}"/>
    <cellStyle name="40% - 輔色6 10 8" xfId="5271" xr:uid="{00000000-0005-0000-0000-000075090000}"/>
    <cellStyle name="40% - 輔色6 11" xfId="487" xr:uid="{00000000-0005-0000-0000-000076090000}"/>
    <cellStyle name="40% - 輔色6 11 2" xfId="2217" xr:uid="{00000000-0005-0000-0000-000077090000}"/>
    <cellStyle name="40% - 輔色6 11 2 2" xfId="4376" xr:uid="{00000000-0005-0000-0000-000078090000}"/>
    <cellStyle name="40% - 輔色6 11 3" xfId="3201" xr:uid="{00000000-0005-0000-0000-000079090000}"/>
    <cellStyle name="40% - 輔色6 11 3 2" xfId="4715" xr:uid="{00000000-0005-0000-0000-00007A090000}"/>
    <cellStyle name="40% - 輔色6 11 4" xfId="3357" xr:uid="{00000000-0005-0000-0000-00007B090000}"/>
    <cellStyle name="40% - 輔色6 11 4 2" xfId="4775" xr:uid="{00000000-0005-0000-0000-00007C090000}"/>
    <cellStyle name="40% - 輔色6 11 5" xfId="2830" xr:uid="{00000000-0005-0000-0000-00007D090000}"/>
    <cellStyle name="40% - 輔色6 11 5 2" xfId="4547" xr:uid="{00000000-0005-0000-0000-00007E090000}"/>
    <cellStyle name="40% - 輔色6 11 6" xfId="4060" xr:uid="{00000000-0005-0000-0000-00007F090000}"/>
    <cellStyle name="40% - 輔色6 11 7" xfId="5125" xr:uid="{00000000-0005-0000-0000-000080090000}"/>
    <cellStyle name="40% - 輔色6 11 8" xfId="5284" xr:uid="{00000000-0005-0000-0000-000081090000}"/>
    <cellStyle name="40% - 輔色6 12" xfId="528" xr:uid="{00000000-0005-0000-0000-000082090000}"/>
    <cellStyle name="40% - 輔色6 12 2" xfId="2241" xr:uid="{00000000-0005-0000-0000-000083090000}"/>
    <cellStyle name="40% - 輔色6 12 2 2" xfId="4393" xr:uid="{00000000-0005-0000-0000-000084090000}"/>
    <cellStyle name="40% - 輔色6 12 3" xfId="2757" xr:uid="{00000000-0005-0000-0000-000085090000}"/>
    <cellStyle name="40% - 輔色6 12 3 2" xfId="4497" xr:uid="{00000000-0005-0000-0000-000086090000}"/>
    <cellStyle name="40% - 輔色6 12 4" xfId="3347" xr:uid="{00000000-0005-0000-0000-000087090000}"/>
    <cellStyle name="40% - 輔色6 12 4 2" xfId="4771" xr:uid="{00000000-0005-0000-0000-000088090000}"/>
    <cellStyle name="40% - 輔色6 12 5" xfId="3415" xr:uid="{00000000-0005-0000-0000-000089090000}"/>
    <cellStyle name="40% - 輔色6 12 5 2" xfId="4805" xr:uid="{00000000-0005-0000-0000-00008A090000}"/>
    <cellStyle name="40% - 輔色6 12 6" xfId="4073" xr:uid="{00000000-0005-0000-0000-00008B090000}"/>
    <cellStyle name="40% - 輔色6 12 7" xfId="5138" xr:uid="{00000000-0005-0000-0000-00008C090000}"/>
    <cellStyle name="40% - 輔色6 12 8" xfId="5297" xr:uid="{00000000-0005-0000-0000-00008D090000}"/>
    <cellStyle name="40% - 輔色6 13" xfId="570" xr:uid="{00000000-0005-0000-0000-00008E090000}"/>
    <cellStyle name="40% - 輔色6 13 2" xfId="2271" xr:uid="{00000000-0005-0000-0000-00008F090000}"/>
    <cellStyle name="40% - 輔色6 13 2 2" xfId="4412" xr:uid="{00000000-0005-0000-0000-000090090000}"/>
    <cellStyle name="40% - 輔色6 13 3" xfId="2349" xr:uid="{00000000-0005-0000-0000-000091090000}"/>
    <cellStyle name="40% - 輔色6 13 3 2" xfId="4424" xr:uid="{00000000-0005-0000-0000-000092090000}"/>
    <cellStyle name="40% - 輔色6 13 4" xfId="3391" xr:uid="{00000000-0005-0000-0000-000093090000}"/>
    <cellStyle name="40% - 輔色6 13 4 2" xfId="4796" xr:uid="{00000000-0005-0000-0000-000094090000}"/>
    <cellStyle name="40% - 輔色6 13 5" xfId="3601" xr:uid="{00000000-0005-0000-0000-000095090000}"/>
    <cellStyle name="40% - 輔色6 13 5 2" xfId="4901" xr:uid="{00000000-0005-0000-0000-000096090000}"/>
    <cellStyle name="40% - 輔色6 13 6" xfId="4086" xr:uid="{00000000-0005-0000-0000-000097090000}"/>
    <cellStyle name="40% - 輔色6 13 7" xfId="5151" xr:uid="{00000000-0005-0000-0000-000098090000}"/>
    <cellStyle name="40% - 輔色6 13 8" xfId="5310" xr:uid="{00000000-0005-0000-0000-000099090000}"/>
    <cellStyle name="40% - 輔色6 14" xfId="611" xr:uid="{00000000-0005-0000-0000-00009A090000}"/>
    <cellStyle name="40% - 輔色6 14 2" xfId="2327" xr:uid="{00000000-0005-0000-0000-00009B090000}"/>
    <cellStyle name="40% - 輔色6 14 2 2" xfId="2669" xr:uid="{00000000-0005-0000-0000-00009C090000}"/>
    <cellStyle name="40% - 輔色6 14 2 2 2" xfId="4442" xr:uid="{00000000-0005-0000-0000-00009D090000}"/>
    <cellStyle name="40% - 輔色6 14 2 3" xfId="3232" xr:uid="{00000000-0005-0000-0000-00009E090000}"/>
    <cellStyle name="40% - 輔色6 14 2 3 2" xfId="4731" xr:uid="{00000000-0005-0000-0000-00009F090000}"/>
    <cellStyle name="40% - 輔色6 14 2 4" xfId="2987" xr:uid="{00000000-0005-0000-0000-0000A0090000}"/>
    <cellStyle name="40% - 輔色6 14 2 4 2" xfId="4607" xr:uid="{00000000-0005-0000-0000-0000A1090000}"/>
    <cellStyle name="40% - 輔色6 14 3" xfId="3012" xr:uid="{00000000-0005-0000-0000-0000A2090000}"/>
    <cellStyle name="40% - 輔色6 14 4" xfId="2921" xr:uid="{00000000-0005-0000-0000-0000A3090000}"/>
    <cellStyle name="40% - 輔色6 14 5" xfId="1955" xr:uid="{00000000-0005-0000-0000-0000A4090000}"/>
    <cellStyle name="40% - 輔色6 14 5 2" xfId="4270" xr:uid="{00000000-0005-0000-0000-0000A5090000}"/>
    <cellStyle name="40% - 輔色6 14 6" xfId="4099" xr:uid="{00000000-0005-0000-0000-0000A6090000}"/>
    <cellStyle name="40% - 輔色6 15" xfId="652" xr:uid="{00000000-0005-0000-0000-0000A7090000}"/>
    <cellStyle name="40% - 輔色6 15 2" xfId="2696" xr:uid="{00000000-0005-0000-0000-0000A8090000}"/>
    <cellStyle name="40% - 輔色6 15 2 2" xfId="4461" xr:uid="{00000000-0005-0000-0000-0000A9090000}"/>
    <cellStyle name="40% - 輔色6 15 3" xfId="2989" xr:uid="{00000000-0005-0000-0000-0000AA090000}"/>
    <cellStyle name="40% - 輔色6 15 3 2" xfId="4608" xr:uid="{00000000-0005-0000-0000-0000AB090000}"/>
    <cellStyle name="40% - 輔色6 15 4" xfId="3224" xr:uid="{00000000-0005-0000-0000-0000AC090000}"/>
    <cellStyle name="40% - 輔色6 15 4 2" xfId="4726" xr:uid="{00000000-0005-0000-0000-0000AD090000}"/>
    <cellStyle name="40% - 輔色6 15 5" xfId="3555" xr:uid="{00000000-0005-0000-0000-0000AE090000}"/>
    <cellStyle name="40% - 輔色6 15 5 2" xfId="4866" xr:uid="{00000000-0005-0000-0000-0000AF090000}"/>
    <cellStyle name="40% - 輔色6 15 6" xfId="4112" xr:uid="{00000000-0005-0000-0000-0000B0090000}"/>
    <cellStyle name="40% - 輔色6 16" xfId="694" xr:uid="{00000000-0005-0000-0000-0000B1090000}"/>
    <cellStyle name="40% - 輔色6 16 2" xfId="2726" xr:uid="{00000000-0005-0000-0000-0000B2090000}"/>
    <cellStyle name="40% - 輔色6 16 2 2" xfId="4477" xr:uid="{00000000-0005-0000-0000-0000B3090000}"/>
    <cellStyle name="40% - 輔色6 16 3" xfId="2144" xr:uid="{00000000-0005-0000-0000-0000B4090000}"/>
    <cellStyle name="40% - 輔色6 16 3 2" xfId="4329" xr:uid="{00000000-0005-0000-0000-0000B5090000}"/>
    <cellStyle name="40% - 輔色6 16 4" xfId="3368" xr:uid="{00000000-0005-0000-0000-0000B6090000}"/>
    <cellStyle name="40% - 輔色6 16 4 2" xfId="4782" xr:uid="{00000000-0005-0000-0000-0000B7090000}"/>
    <cellStyle name="40% - 輔色6 16 5" xfId="3369" xr:uid="{00000000-0005-0000-0000-0000B8090000}"/>
    <cellStyle name="40% - 輔色6 16 5 2" xfId="4783" xr:uid="{00000000-0005-0000-0000-0000B9090000}"/>
    <cellStyle name="40% - 輔色6 16 6" xfId="4125" xr:uid="{00000000-0005-0000-0000-0000BA090000}"/>
    <cellStyle name="40% - 輔色6 17" xfId="735" xr:uid="{00000000-0005-0000-0000-0000BB090000}"/>
    <cellStyle name="40% - 輔色6 17 2" xfId="2751" xr:uid="{00000000-0005-0000-0000-0000BC090000}"/>
    <cellStyle name="40% - 輔色6 17 2 2" xfId="4495" xr:uid="{00000000-0005-0000-0000-0000BD090000}"/>
    <cellStyle name="40% - 輔色6 17 3" xfId="3161" xr:uid="{00000000-0005-0000-0000-0000BE090000}"/>
    <cellStyle name="40% - 輔色6 17 3 2" xfId="4694" xr:uid="{00000000-0005-0000-0000-0000BF090000}"/>
    <cellStyle name="40% - 輔色6 17 4" xfId="2835" xr:uid="{00000000-0005-0000-0000-0000C0090000}"/>
    <cellStyle name="40% - 輔色6 17 4 2" xfId="4549" xr:uid="{00000000-0005-0000-0000-0000C1090000}"/>
    <cellStyle name="40% - 輔色6 17 5" xfId="2847" xr:uid="{00000000-0005-0000-0000-0000C2090000}"/>
    <cellStyle name="40% - 輔色6 17 5 2" xfId="4554" xr:uid="{00000000-0005-0000-0000-0000C3090000}"/>
    <cellStyle name="40% - 輔色6 17 6" xfId="4138" xr:uid="{00000000-0005-0000-0000-0000C4090000}"/>
    <cellStyle name="40% - 輔色6 18" xfId="776" xr:uid="{00000000-0005-0000-0000-0000C5090000}"/>
    <cellStyle name="40% - 輔色6 18 2" xfId="2778" xr:uid="{00000000-0005-0000-0000-0000C6090000}"/>
    <cellStyle name="40% - 輔色6 18 2 2" xfId="4512" xr:uid="{00000000-0005-0000-0000-0000C7090000}"/>
    <cellStyle name="40% - 輔色6 18 3" xfId="1719" xr:uid="{00000000-0005-0000-0000-0000C8090000}"/>
    <cellStyle name="40% - 輔色6 18 3 2" xfId="4171" xr:uid="{00000000-0005-0000-0000-0000C9090000}"/>
    <cellStyle name="40% - 輔色6 18 4" xfId="3170" xr:uid="{00000000-0005-0000-0000-0000CA090000}"/>
    <cellStyle name="40% - 輔色6 18 4 2" xfId="4699" xr:uid="{00000000-0005-0000-0000-0000CB090000}"/>
    <cellStyle name="40% - 輔色6 18 5" xfId="3520" xr:uid="{00000000-0005-0000-0000-0000CC090000}"/>
    <cellStyle name="40% - 輔色6 18 5 2" xfId="4854" xr:uid="{00000000-0005-0000-0000-0000CD090000}"/>
    <cellStyle name="40% - 輔色6 18 6" xfId="4151" xr:uid="{00000000-0005-0000-0000-0000CE090000}"/>
    <cellStyle name="40% - 輔色6 19" xfId="817" xr:uid="{00000000-0005-0000-0000-0000CF090000}"/>
    <cellStyle name="40% - 輔色6 19 2" xfId="2805" xr:uid="{00000000-0005-0000-0000-0000D0090000}"/>
    <cellStyle name="40% - 輔色6 19 2 2" xfId="4531" xr:uid="{00000000-0005-0000-0000-0000D1090000}"/>
    <cellStyle name="40% - 輔色6 19 3" xfId="3039" xr:uid="{00000000-0005-0000-0000-0000D2090000}"/>
    <cellStyle name="40% - 輔色6 19 3 2" xfId="4625" xr:uid="{00000000-0005-0000-0000-0000D3090000}"/>
    <cellStyle name="40% - 輔色6 19 4" xfId="1749" xr:uid="{00000000-0005-0000-0000-0000D4090000}"/>
    <cellStyle name="40% - 輔色6 19 4 2" xfId="4192" xr:uid="{00000000-0005-0000-0000-0000D5090000}"/>
    <cellStyle name="40% - 輔色6 19 5" xfId="3584" xr:uid="{00000000-0005-0000-0000-0000D6090000}"/>
    <cellStyle name="40% - 輔色6 19 5 2" xfId="4888" xr:uid="{00000000-0005-0000-0000-0000D7090000}"/>
    <cellStyle name="40% - 輔色6 19 6" xfId="4164" xr:uid="{00000000-0005-0000-0000-0000D8090000}"/>
    <cellStyle name="40% - 輔色6 2" xfId="104" xr:uid="{00000000-0005-0000-0000-0000D9090000}"/>
    <cellStyle name="40% - 輔色6 2 10" xfId="1216" xr:uid="{00000000-0005-0000-0000-0000DA090000}"/>
    <cellStyle name="40% - 輔色6 2 11" xfId="1633" xr:uid="{00000000-0005-0000-0000-0000DB090000}"/>
    <cellStyle name="40% - 輔色6 2 12" xfId="1670" xr:uid="{00000000-0005-0000-0000-0000DC090000}"/>
    <cellStyle name="40% - 輔色6 2 13" xfId="3720" xr:uid="{00000000-0005-0000-0000-0000DD090000}"/>
    <cellStyle name="40% - 輔色6 2 13 2" xfId="4967" xr:uid="{00000000-0005-0000-0000-0000DE090000}"/>
    <cellStyle name="40% - 輔色6 2 14" xfId="3965" xr:uid="{00000000-0005-0000-0000-0000DF090000}"/>
    <cellStyle name="40% - 輔色6 2 14 2" xfId="4988" xr:uid="{00000000-0005-0000-0000-0000E0090000}"/>
    <cellStyle name="40% - 輔色6 2 2" xfId="105" xr:uid="{00000000-0005-0000-0000-0000E1090000}"/>
    <cellStyle name="40% - 輔色6 2 2 2" xfId="1989" xr:uid="{00000000-0005-0000-0000-0000E2090000}"/>
    <cellStyle name="40% - 輔色6 2 2 2 2" xfId="1990" xr:uid="{00000000-0005-0000-0000-0000E3090000}"/>
    <cellStyle name="40% - 輔色6 2 2 2 3" xfId="2479" xr:uid="{00000000-0005-0000-0000-0000E4090000}"/>
    <cellStyle name="40% - 輔色6 2 2 3" xfId="2478" xr:uid="{00000000-0005-0000-0000-0000E5090000}"/>
    <cellStyle name="40% - 輔色6 2 3" xfId="874" xr:uid="{00000000-0005-0000-0000-0000E6090000}"/>
    <cellStyle name="40% - 輔色6 2 4" xfId="990" xr:uid="{00000000-0005-0000-0000-0000E7090000}"/>
    <cellStyle name="40% - 輔色6 2 4 2" xfId="2401" xr:uid="{00000000-0005-0000-0000-0000E8090000}"/>
    <cellStyle name="40% - 輔色6 2 4 2 2" xfId="2885" xr:uid="{00000000-0005-0000-0000-0000E9090000}"/>
    <cellStyle name="40% - 輔色6 2 4 2 3" xfId="3292" xr:uid="{00000000-0005-0000-0000-0000EA090000}"/>
    <cellStyle name="40% - 輔色6 2 4 2 4" xfId="3538" xr:uid="{00000000-0005-0000-0000-0000EB090000}"/>
    <cellStyle name="40% - 輔色6 2 4 3" xfId="1966" xr:uid="{00000000-0005-0000-0000-0000EC090000}"/>
    <cellStyle name="40% - 輔色6 2 4 4" xfId="3088" xr:uid="{00000000-0005-0000-0000-0000ED090000}"/>
    <cellStyle name="40% - 輔色6 2 5" xfId="1248" xr:uid="{00000000-0005-0000-0000-0000EE090000}"/>
    <cellStyle name="40% - 輔色6 2 6" xfId="1288" xr:uid="{00000000-0005-0000-0000-0000EF090000}"/>
    <cellStyle name="40% - 輔色6 2 7" xfId="1318" xr:uid="{00000000-0005-0000-0000-0000F0090000}"/>
    <cellStyle name="40% - 輔色6 2 8" xfId="1142" xr:uid="{00000000-0005-0000-0000-0000F1090000}"/>
    <cellStyle name="40% - 輔色6 2 9" xfId="1208" xr:uid="{00000000-0005-0000-0000-0000F2090000}"/>
    <cellStyle name="40% - 輔色6 20" xfId="873" xr:uid="{00000000-0005-0000-0000-0000F3090000}"/>
    <cellStyle name="40% - 輔色6 21" xfId="991" xr:uid="{00000000-0005-0000-0000-0000F4090000}"/>
    <cellStyle name="40% - 輔色6 22" xfId="1231" xr:uid="{00000000-0005-0000-0000-0000F5090000}"/>
    <cellStyle name="40% - 輔色6 23" xfId="1270" xr:uid="{00000000-0005-0000-0000-0000F6090000}"/>
    <cellStyle name="40% - 輔色6 24" xfId="1305" xr:uid="{00000000-0005-0000-0000-0000F7090000}"/>
    <cellStyle name="40% - 輔色6 25" xfId="1092" xr:uid="{00000000-0005-0000-0000-0000F8090000}"/>
    <cellStyle name="40% - 輔色6 26" xfId="865" xr:uid="{00000000-0005-0000-0000-0000F9090000}"/>
    <cellStyle name="40% - 輔色6 27" xfId="1335" xr:uid="{00000000-0005-0000-0000-0000FA090000}"/>
    <cellStyle name="40% - 輔色6 28" xfId="1654" xr:uid="{00000000-0005-0000-0000-0000FB090000}"/>
    <cellStyle name="40% - 輔色6 29" xfId="1685" xr:uid="{00000000-0005-0000-0000-0000FC090000}"/>
    <cellStyle name="40% - 輔色6 3" xfId="106" xr:uid="{00000000-0005-0000-0000-0000FD090000}"/>
    <cellStyle name="40% - 輔色6 3 2" xfId="3721" xr:uid="{00000000-0005-0000-0000-0000FE090000}"/>
    <cellStyle name="40% - 輔色6 3 2 2" xfId="4968" xr:uid="{00000000-0005-0000-0000-0000FF090000}"/>
    <cellStyle name="40% - 輔色6 3 3" xfId="3966" xr:uid="{00000000-0005-0000-0000-0000000A0000}"/>
    <cellStyle name="40% - 輔色6 3 3 2" xfId="4989" xr:uid="{00000000-0005-0000-0000-0000010A0000}"/>
    <cellStyle name="40% - 輔色6 30" xfId="4003" xr:uid="{00000000-0005-0000-0000-0000020A0000}"/>
    <cellStyle name="40% - 輔色6 4" xfId="107" xr:uid="{00000000-0005-0000-0000-0000030A0000}"/>
    <cellStyle name="40% - 輔色6 4 2" xfId="3722" xr:uid="{00000000-0005-0000-0000-0000040A0000}"/>
    <cellStyle name="40% - 輔色6 4 2 2" xfId="4969" xr:uid="{00000000-0005-0000-0000-0000050A0000}"/>
    <cellStyle name="40% - 輔色6 4 3" xfId="3967" xr:uid="{00000000-0005-0000-0000-0000060A0000}"/>
    <cellStyle name="40% - 輔色6 4 3 2" xfId="4990" xr:uid="{00000000-0005-0000-0000-0000070A0000}"/>
    <cellStyle name="40% - 輔色6 5" xfId="108" xr:uid="{00000000-0005-0000-0000-0000080A0000}"/>
    <cellStyle name="40% - 輔色6 5 2" xfId="1850" xr:uid="{00000000-0005-0000-0000-0000090A0000}"/>
    <cellStyle name="40% - 輔色6 5 2 2" xfId="4231" xr:uid="{00000000-0005-0000-0000-00000A0A0000}"/>
    <cellStyle name="40% - 輔色6 5 2 3" xfId="5073" xr:uid="{00000000-0005-0000-0000-00000B0A0000}"/>
    <cellStyle name="40% - 輔色6 5 2 4" xfId="5232" xr:uid="{00000000-0005-0000-0000-00000C0A0000}"/>
    <cellStyle name="40% - 輔色6 5 3" xfId="2629" xr:uid="{00000000-0005-0000-0000-00000D0A0000}"/>
    <cellStyle name="40% - 輔色6 5 4" xfId="2855" xr:uid="{00000000-0005-0000-0000-00000E0A0000}"/>
    <cellStyle name="40% - 輔色6 5 4 2" xfId="4558" xr:uid="{00000000-0005-0000-0000-00000F0A0000}"/>
    <cellStyle name="40% - 輔色6 5 5" xfId="1733" xr:uid="{00000000-0005-0000-0000-0000100A0000}"/>
    <cellStyle name="40% - 輔色6 5 5 2" xfId="4184" xr:uid="{00000000-0005-0000-0000-0000110A0000}"/>
    <cellStyle name="40% - 輔色6 5 6" xfId="5007" xr:uid="{00000000-0005-0000-0000-0000120A0000}"/>
    <cellStyle name="40% - 輔色6 5 7" xfId="5166" xr:uid="{00000000-0005-0000-0000-0000130A0000}"/>
    <cellStyle name="40% - 輔色6 6" xfId="109" xr:uid="{00000000-0005-0000-0000-0000140A0000}"/>
    <cellStyle name="40% - 輔色6 6 2" xfId="1892" xr:uid="{00000000-0005-0000-0000-0000150A0000}"/>
    <cellStyle name="40% - 輔色6 6 2 2" xfId="4244" xr:uid="{00000000-0005-0000-0000-0000160A0000}"/>
    <cellStyle name="40% - 輔色6 6 2 3" xfId="5086" xr:uid="{00000000-0005-0000-0000-0000170A0000}"/>
    <cellStyle name="40% - 輔色6 6 2 4" xfId="5245" xr:uid="{00000000-0005-0000-0000-0000180A0000}"/>
    <cellStyle name="40% - 輔色6 6 3" xfId="2616" xr:uid="{00000000-0005-0000-0000-0000190A0000}"/>
    <cellStyle name="40% - 輔色6 6 4" xfId="3004" xr:uid="{00000000-0005-0000-0000-00001A0A0000}"/>
    <cellStyle name="40% - 輔色6 6 4 2" xfId="4614" xr:uid="{00000000-0005-0000-0000-00001B0A0000}"/>
    <cellStyle name="40% - 輔色6 6 5" xfId="3443" xr:uid="{00000000-0005-0000-0000-00001C0A0000}"/>
    <cellStyle name="40% - 輔色6 6 5 2" xfId="4814" xr:uid="{00000000-0005-0000-0000-00001D0A0000}"/>
    <cellStyle name="40% - 輔色6 6 6" xfId="5020" xr:uid="{00000000-0005-0000-0000-00001E0A0000}"/>
    <cellStyle name="40% - 輔色6 6 7" xfId="5179" xr:uid="{00000000-0005-0000-0000-00001F0A0000}"/>
    <cellStyle name="40% - 輔色6 7" xfId="110" xr:uid="{00000000-0005-0000-0000-0000200A0000}"/>
    <cellStyle name="40% - 輔色6 7 2" xfId="1933" xr:uid="{00000000-0005-0000-0000-0000210A0000}"/>
    <cellStyle name="40% - 輔色6 7 2 2" xfId="4257" xr:uid="{00000000-0005-0000-0000-0000220A0000}"/>
    <cellStyle name="40% - 輔色6 7 2 3" xfId="5099" xr:uid="{00000000-0005-0000-0000-0000230A0000}"/>
    <cellStyle name="40% - 輔色6 7 2 4" xfId="5258" xr:uid="{00000000-0005-0000-0000-0000240A0000}"/>
    <cellStyle name="40% - 輔色6 7 3" xfId="2597" xr:uid="{00000000-0005-0000-0000-0000250A0000}"/>
    <cellStyle name="40% - 輔色6 7 4" xfId="3096" xr:uid="{00000000-0005-0000-0000-0000260A0000}"/>
    <cellStyle name="40% - 輔色6 7 4 2" xfId="4659" xr:uid="{00000000-0005-0000-0000-0000270A0000}"/>
    <cellStyle name="40% - 輔色6 7 5" xfId="3491" xr:uid="{00000000-0005-0000-0000-0000280A0000}"/>
    <cellStyle name="40% - 輔色6 7 5 2" xfId="4835" xr:uid="{00000000-0005-0000-0000-0000290A0000}"/>
    <cellStyle name="40% - 輔色6 7 6" xfId="5033" xr:uid="{00000000-0005-0000-0000-00002A0A0000}"/>
    <cellStyle name="40% - 輔色6 7 7" xfId="5192" xr:uid="{00000000-0005-0000-0000-00002B0A0000}"/>
    <cellStyle name="40% - 輔色6 8" xfId="362" xr:uid="{00000000-0005-0000-0000-00002C0A0000}"/>
    <cellStyle name="40% - 輔色6 8 2" xfId="1965" xr:uid="{00000000-0005-0000-0000-00002D0A0000}"/>
    <cellStyle name="40% - 輔色6 8 2 2" xfId="4279" xr:uid="{00000000-0005-0000-0000-00002E0A0000}"/>
    <cellStyle name="40% - 輔色6 8 3" xfId="1787" xr:uid="{00000000-0005-0000-0000-00002F0A0000}"/>
    <cellStyle name="40% - 輔色6 8 3 2" xfId="4208" xr:uid="{00000000-0005-0000-0000-0000300A0000}"/>
    <cellStyle name="40% - 輔色6 8 4" xfId="2876" xr:uid="{00000000-0005-0000-0000-0000310A0000}"/>
    <cellStyle name="40% - 輔色6 8 4 2" xfId="4566" xr:uid="{00000000-0005-0000-0000-0000320A0000}"/>
    <cellStyle name="40% - 輔色6 8 5" xfId="3469" xr:uid="{00000000-0005-0000-0000-0000330A0000}"/>
    <cellStyle name="40% - 輔色6 8 5 2" xfId="4823" xr:uid="{00000000-0005-0000-0000-0000340A0000}"/>
    <cellStyle name="40% - 輔色6 8 6" xfId="4021" xr:uid="{00000000-0005-0000-0000-0000350A0000}"/>
    <cellStyle name="40% - 輔色6 8 7" xfId="5047" xr:uid="{00000000-0005-0000-0000-0000360A0000}"/>
    <cellStyle name="40% - 輔色6 8 8" xfId="5206" xr:uid="{00000000-0005-0000-0000-0000370A0000}"/>
    <cellStyle name="40% - 輔色6 9" xfId="404" xr:uid="{00000000-0005-0000-0000-0000380A0000}"/>
    <cellStyle name="40% - 輔色6 9 2" xfId="2009" xr:uid="{00000000-0005-0000-0000-0000390A0000}"/>
    <cellStyle name="40% - 輔色6 9 2 2" xfId="4280" xr:uid="{00000000-0005-0000-0000-00003A0A0000}"/>
    <cellStyle name="40% - 輔色6 9 3" xfId="2828" xr:uid="{00000000-0005-0000-0000-00003B0A0000}"/>
    <cellStyle name="40% - 輔色6 9 3 2" xfId="4545" xr:uid="{00000000-0005-0000-0000-00003C0A0000}"/>
    <cellStyle name="40% - 輔色6 9 4" xfId="3013" xr:uid="{00000000-0005-0000-0000-00003D0A0000}"/>
    <cellStyle name="40% - 輔色6 9 4 2" xfId="4617" xr:uid="{00000000-0005-0000-0000-00003E0A0000}"/>
    <cellStyle name="40% - 輔色6 9 5" xfId="1757" xr:uid="{00000000-0005-0000-0000-00003F0A0000}"/>
    <cellStyle name="40% - 輔色6 9 5 2" xfId="4193" xr:uid="{00000000-0005-0000-0000-0000400A0000}"/>
    <cellStyle name="40% - 輔色6 9 6" xfId="4034" xr:uid="{00000000-0005-0000-0000-0000410A0000}"/>
    <cellStyle name="40% - 輔色6 9 7" xfId="5048" xr:uid="{00000000-0005-0000-0000-0000420A0000}"/>
    <cellStyle name="40% - 輔色6 9 8" xfId="5207" xr:uid="{00000000-0005-0000-0000-0000430A0000}"/>
    <cellStyle name="60% - 輔色1" xfId="3643" builtinId="32" customBuiltin="1"/>
    <cellStyle name="60% - 輔色1 10" xfId="426" xr:uid="{00000000-0005-0000-0000-0000450A0000}"/>
    <cellStyle name="60% - 輔色1 11" xfId="468" xr:uid="{00000000-0005-0000-0000-0000460A0000}"/>
    <cellStyle name="60% - 輔色1 12" xfId="509" xr:uid="{00000000-0005-0000-0000-0000470A0000}"/>
    <cellStyle name="60% - 輔色1 13" xfId="551" xr:uid="{00000000-0005-0000-0000-0000480A0000}"/>
    <cellStyle name="60% - 輔色1 14" xfId="592" xr:uid="{00000000-0005-0000-0000-0000490A0000}"/>
    <cellStyle name="60% - 輔色1 14 2" xfId="2329" xr:uid="{00000000-0005-0000-0000-00004A0A0000}"/>
    <cellStyle name="60% - 輔色1 14 2 2" xfId="2307" xr:uid="{00000000-0005-0000-0000-00004B0A0000}"/>
    <cellStyle name="60% - 輔色1 14 2 3" xfId="3038" xr:uid="{00000000-0005-0000-0000-00004C0A0000}"/>
    <cellStyle name="60% - 輔色1 14 2 4" xfId="3358" xr:uid="{00000000-0005-0000-0000-00004D0A0000}"/>
    <cellStyle name="60% - 輔色1 14 3" xfId="2956" xr:uid="{00000000-0005-0000-0000-00004E0A0000}"/>
    <cellStyle name="60% - 輔色1 14 4" xfId="3128" xr:uid="{00000000-0005-0000-0000-00004F0A0000}"/>
    <cellStyle name="60% - 輔色1 15" xfId="633" xr:uid="{00000000-0005-0000-0000-0000500A0000}"/>
    <cellStyle name="60% - 輔色1 16" xfId="675" xr:uid="{00000000-0005-0000-0000-0000510A0000}"/>
    <cellStyle name="60% - 輔色1 17" xfId="716" xr:uid="{00000000-0005-0000-0000-0000520A0000}"/>
    <cellStyle name="60% - 輔色1 18" xfId="757" xr:uid="{00000000-0005-0000-0000-0000530A0000}"/>
    <cellStyle name="60% - 輔色1 19" xfId="798" xr:uid="{00000000-0005-0000-0000-0000540A0000}"/>
    <cellStyle name="60% - 輔色1 2" xfId="111" xr:uid="{00000000-0005-0000-0000-0000550A0000}"/>
    <cellStyle name="60% - 輔色1 2 10" xfId="1106" xr:uid="{00000000-0005-0000-0000-0000560A0000}"/>
    <cellStyle name="60% - 輔色1 2 11" xfId="1652" xr:uid="{00000000-0005-0000-0000-0000570A0000}"/>
    <cellStyle name="60% - 輔色1 2 12" xfId="1684" xr:uid="{00000000-0005-0000-0000-0000580A0000}"/>
    <cellStyle name="60% - 輔色1 2 2" xfId="112" xr:uid="{00000000-0005-0000-0000-0000590A0000}"/>
    <cellStyle name="60% - 輔色1 2 2 2" xfId="1991" xr:uid="{00000000-0005-0000-0000-00005A0A0000}"/>
    <cellStyle name="60% - 輔色1 2 2 2 2" xfId="1992" xr:uid="{00000000-0005-0000-0000-00005B0A0000}"/>
    <cellStyle name="60% - 輔色1 2 2 2 3" xfId="2481" xr:uid="{00000000-0005-0000-0000-00005C0A0000}"/>
    <cellStyle name="60% - 輔色1 2 2 3" xfId="2480" xr:uid="{00000000-0005-0000-0000-00005D0A0000}"/>
    <cellStyle name="60% - 輔色1 2 3" xfId="877" xr:uid="{00000000-0005-0000-0000-00005E0A0000}"/>
    <cellStyle name="60% - 輔色1 2 4" xfId="986" xr:uid="{00000000-0005-0000-0000-00005F0A0000}"/>
    <cellStyle name="60% - 輔色1 2 4 2" xfId="2499" xr:uid="{00000000-0005-0000-0000-0000600A0000}"/>
    <cellStyle name="60% - 輔色1 2 4 2 2" xfId="2883" xr:uid="{00000000-0005-0000-0000-0000610A0000}"/>
    <cellStyle name="60% - 輔色1 2 4 2 3" xfId="3289" xr:uid="{00000000-0005-0000-0000-0000620A0000}"/>
    <cellStyle name="60% - 輔色1 2 4 2 4" xfId="1786" xr:uid="{00000000-0005-0000-0000-0000630A0000}"/>
    <cellStyle name="60% - 輔色1 2 4 3" xfId="3010" xr:uid="{00000000-0005-0000-0000-0000640A0000}"/>
    <cellStyle name="60% - 輔色1 2 4 4" xfId="3301" xr:uid="{00000000-0005-0000-0000-0000650A0000}"/>
    <cellStyle name="60% - 輔色1 2 5" xfId="1021" xr:uid="{00000000-0005-0000-0000-0000660A0000}"/>
    <cellStyle name="60% - 輔色1 2 6" xfId="1190" xr:uid="{00000000-0005-0000-0000-0000670A0000}"/>
    <cellStyle name="60% - 輔色1 2 7" xfId="988" xr:uid="{00000000-0005-0000-0000-0000680A0000}"/>
    <cellStyle name="60% - 輔色1 2 8" xfId="1421" xr:uid="{00000000-0005-0000-0000-0000690A0000}"/>
    <cellStyle name="60% - 輔色1 2 9" xfId="1119" xr:uid="{00000000-0005-0000-0000-00006A0A0000}"/>
    <cellStyle name="60% - 輔色1 20" xfId="876" xr:uid="{00000000-0005-0000-0000-00006B0A0000}"/>
    <cellStyle name="60% - 輔色1 21" xfId="987" xr:uid="{00000000-0005-0000-0000-00006C0A0000}"/>
    <cellStyle name="60% - 輔色1 22" xfId="936" xr:uid="{00000000-0005-0000-0000-00006D0A0000}"/>
    <cellStyle name="60% - 輔色1 23" xfId="1027" xr:uid="{00000000-0005-0000-0000-00006E0A0000}"/>
    <cellStyle name="60% - 輔色1 24" xfId="1054" xr:uid="{00000000-0005-0000-0000-00006F0A0000}"/>
    <cellStyle name="60% - 輔色1 25" xfId="857" xr:uid="{00000000-0005-0000-0000-0000700A0000}"/>
    <cellStyle name="60% - 輔色1 26" xfId="885" xr:uid="{00000000-0005-0000-0000-0000710A0000}"/>
    <cellStyle name="60% - 輔色1 27" xfId="922" xr:uid="{00000000-0005-0000-0000-0000720A0000}"/>
    <cellStyle name="60% - 輔色1 28" xfId="1184" xr:uid="{00000000-0005-0000-0000-0000730A0000}"/>
    <cellStyle name="60% - 輔色1 29" xfId="1606" xr:uid="{00000000-0005-0000-0000-0000740A0000}"/>
    <cellStyle name="60% - 輔色1 3" xfId="113" xr:uid="{00000000-0005-0000-0000-0000750A0000}"/>
    <cellStyle name="60% - 輔色1 4" xfId="114" xr:uid="{00000000-0005-0000-0000-0000760A0000}"/>
    <cellStyle name="60% - 輔色1 5" xfId="115" xr:uid="{00000000-0005-0000-0000-0000770A0000}"/>
    <cellStyle name="60% - 輔色1 5 2" xfId="1831" xr:uid="{00000000-0005-0000-0000-0000780A0000}"/>
    <cellStyle name="60% - 輔色1 5 3" xfId="2584" xr:uid="{00000000-0005-0000-0000-0000790A0000}"/>
    <cellStyle name="60% - 輔色1 5 4" xfId="2389" xr:uid="{00000000-0005-0000-0000-00007A0A0000}"/>
    <cellStyle name="60% - 輔色1 5 5" xfId="3294" xr:uid="{00000000-0005-0000-0000-00007B0A0000}"/>
    <cellStyle name="60% - 輔色1 6" xfId="116" xr:uid="{00000000-0005-0000-0000-00007C0A0000}"/>
    <cellStyle name="60% - 輔色1 6 2" xfId="1873" xr:uid="{00000000-0005-0000-0000-00007D0A0000}"/>
    <cellStyle name="60% - 輔色1 6 3" xfId="2433" xr:uid="{00000000-0005-0000-0000-00007E0A0000}"/>
    <cellStyle name="60% - 輔色1 6 4" xfId="2161" xr:uid="{00000000-0005-0000-0000-00007F0A0000}"/>
    <cellStyle name="60% - 輔色1 6 5" xfId="3528" xr:uid="{00000000-0005-0000-0000-0000800A0000}"/>
    <cellStyle name="60% - 輔色1 7" xfId="117" xr:uid="{00000000-0005-0000-0000-0000810A0000}"/>
    <cellStyle name="60% - 輔色1 7 2" xfId="1914" xr:uid="{00000000-0005-0000-0000-0000820A0000}"/>
    <cellStyle name="60% - 輔色1 7 3" xfId="2572" xr:uid="{00000000-0005-0000-0000-0000830A0000}"/>
    <cellStyle name="60% - 輔色1 7 4" xfId="3066" xr:uid="{00000000-0005-0000-0000-0000840A0000}"/>
    <cellStyle name="60% - 輔色1 7 5" xfId="2865" xr:uid="{00000000-0005-0000-0000-0000850A0000}"/>
    <cellStyle name="60% - 輔色1 8" xfId="343" xr:uid="{00000000-0005-0000-0000-0000860A0000}"/>
    <cellStyle name="60% - 輔色1 9" xfId="385" xr:uid="{00000000-0005-0000-0000-0000870A0000}"/>
    <cellStyle name="60% - 輔色2" xfId="3647" builtinId="36" customBuiltin="1"/>
    <cellStyle name="60% - 輔色2 10" xfId="430" xr:uid="{00000000-0005-0000-0000-0000890A0000}"/>
    <cellStyle name="60% - 輔色2 11" xfId="472" xr:uid="{00000000-0005-0000-0000-00008A0A0000}"/>
    <cellStyle name="60% - 輔色2 12" xfId="513" xr:uid="{00000000-0005-0000-0000-00008B0A0000}"/>
    <cellStyle name="60% - 輔色2 13" xfId="555" xr:uid="{00000000-0005-0000-0000-00008C0A0000}"/>
    <cellStyle name="60% - 輔色2 14" xfId="596" xr:uid="{00000000-0005-0000-0000-00008D0A0000}"/>
    <cellStyle name="60% - 輔色2 14 2" xfId="2331" xr:uid="{00000000-0005-0000-0000-00008E0A0000}"/>
    <cellStyle name="60% - 輔色2 14 2 2" xfId="2609" xr:uid="{00000000-0005-0000-0000-00008F0A0000}"/>
    <cellStyle name="60% - 輔色2 14 2 3" xfId="3230" xr:uid="{00000000-0005-0000-0000-0000900A0000}"/>
    <cellStyle name="60% - 輔色2 14 2 4" xfId="3278" xr:uid="{00000000-0005-0000-0000-0000910A0000}"/>
    <cellStyle name="60% - 輔色2 14 3" xfId="2846" xr:uid="{00000000-0005-0000-0000-0000920A0000}"/>
    <cellStyle name="60% - 輔色2 14 4" xfId="2396" xr:uid="{00000000-0005-0000-0000-0000930A0000}"/>
    <cellStyle name="60% - 輔色2 15" xfId="637" xr:uid="{00000000-0005-0000-0000-0000940A0000}"/>
    <cellStyle name="60% - 輔色2 16" xfId="679" xr:uid="{00000000-0005-0000-0000-0000950A0000}"/>
    <cellStyle name="60% - 輔色2 17" xfId="720" xr:uid="{00000000-0005-0000-0000-0000960A0000}"/>
    <cellStyle name="60% - 輔色2 18" xfId="761" xr:uid="{00000000-0005-0000-0000-0000970A0000}"/>
    <cellStyle name="60% - 輔色2 19" xfId="802" xr:uid="{00000000-0005-0000-0000-0000980A0000}"/>
    <cellStyle name="60% - 輔色2 2" xfId="118" xr:uid="{00000000-0005-0000-0000-0000990A0000}"/>
    <cellStyle name="60% - 輔色2 2 10" xfId="1237" xr:uid="{00000000-0005-0000-0000-00009A0A0000}"/>
    <cellStyle name="60% - 輔色2 2 11" xfId="1437" xr:uid="{00000000-0005-0000-0000-00009B0A0000}"/>
    <cellStyle name="60% - 輔色2 2 12" xfId="1259" xr:uid="{00000000-0005-0000-0000-00009C0A0000}"/>
    <cellStyle name="60% - 輔色2 2 2" xfId="119" xr:uid="{00000000-0005-0000-0000-00009D0A0000}"/>
    <cellStyle name="60% - 輔色2 2 2 2" xfId="1993" xr:uid="{00000000-0005-0000-0000-00009E0A0000}"/>
    <cellStyle name="60% - 輔色2 2 2 2 2" xfId="1994" xr:uid="{00000000-0005-0000-0000-00009F0A0000}"/>
    <cellStyle name="60% - 輔色2 2 2 2 3" xfId="2483" xr:uid="{00000000-0005-0000-0000-0000A00A0000}"/>
    <cellStyle name="60% - 輔色2 2 2 3" xfId="2482" xr:uid="{00000000-0005-0000-0000-0000A10A0000}"/>
    <cellStyle name="60% - 輔色2 2 3" xfId="880" xr:uid="{00000000-0005-0000-0000-0000A20A0000}"/>
    <cellStyle name="60% - 輔色2 2 4" xfId="1123" xr:uid="{00000000-0005-0000-0000-0000A30A0000}"/>
    <cellStyle name="60% - 輔色2 2 4 2" xfId="2419" xr:uid="{00000000-0005-0000-0000-0000A40A0000}"/>
    <cellStyle name="60% - 輔色2 2 4 2 2" xfId="2954" xr:uid="{00000000-0005-0000-0000-0000A50A0000}"/>
    <cellStyle name="60% - 輔色2 2 4 2 3" xfId="3342" xr:uid="{00000000-0005-0000-0000-0000A60A0000}"/>
    <cellStyle name="60% - 輔色2 2 4 2 4" xfId="1750" xr:uid="{00000000-0005-0000-0000-0000A70A0000}"/>
    <cellStyle name="60% - 輔色2 2 4 3" xfId="3044" xr:uid="{00000000-0005-0000-0000-0000A80A0000}"/>
    <cellStyle name="60% - 輔色2 2 4 4" xfId="3539" xr:uid="{00000000-0005-0000-0000-0000A90A0000}"/>
    <cellStyle name="60% - 輔色2 2 5" xfId="1160" xr:uid="{00000000-0005-0000-0000-0000AA0A0000}"/>
    <cellStyle name="60% - 輔色2 2 6" xfId="853" xr:uid="{00000000-0005-0000-0000-0000AB0A0000}"/>
    <cellStyle name="60% - 輔色2 2 7" xfId="1274" xr:uid="{00000000-0005-0000-0000-0000AC0A0000}"/>
    <cellStyle name="60% - 輔色2 2 8" xfId="1420" xr:uid="{00000000-0005-0000-0000-0000AD0A0000}"/>
    <cellStyle name="60% - 輔色2 2 9" xfId="918" xr:uid="{00000000-0005-0000-0000-0000AE0A0000}"/>
    <cellStyle name="60% - 輔色2 20" xfId="879" xr:uid="{00000000-0005-0000-0000-0000AF0A0000}"/>
    <cellStyle name="60% - 輔色2 21" xfId="1143" xr:uid="{00000000-0005-0000-0000-0000B00A0000}"/>
    <cellStyle name="60% - 輔色2 22" xfId="862" xr:uid="{00000000-0005-0000-0000-0000B10A0000}"/>
    <cellStyle name="60% - 輔色2 23" xfId="997" xr:uid="{00000000-0005-0000-0000-0000B20A0000}"/>
    <cellStyle name="60% - 輔色2 24" xfId="1292" xr:uid="{00000000-0005-0000-0000-0000B30A0000}"/>
    <cellStyle name="60% - 輔色2 25" xfId="825" xr:uid="{00000000-0005-0000-0000-0000B40A0000}"/>
    <cellStyle name="60% - 輔色2 26" xfId="1025" xr:uid="{00000000-0005-0000-0000-0000B50A0000}"/>
    <cellStyle name="60% - 輔色2 27" xfId="829" xr:uid="{00000000-0005-0000-0000-0000B60A0000}"/>
    <cellStyle name="60% - 輔色2 28" xfId="1218" xr:uid="{00000000-0005-0000-0000-0000B70A0000}"/>
    <cellStyle name="60% - 輔色2 29" xfId="1086" xr:uid="{00000000-0005-0000-0000-0000B80A0000}"/>
    <cellStyle name="60% - 輔色2 3" xfId="120" xr:uid="{00000000-0005-0000-0000-0000B90A0000}"/>
    <cellStyle name="60% - 輔色2 4" xfId="121" xr:uid="{00000000-0005-0000-0000-0000BA0A0000}"/>
    <cellStyle name="60% - 輔色2 5" xfId="122" xr:uid="{00000000-0005-0000-0000-0000BB0A0000}"/>
    <cellStyle name="60% - 輔色2 5 2" xfId="1835" xr:uid="{00000000-0005-0000-0000-0000BC0A0000}"/>
    <cellStyle name="60% - 輔色2 5 3" xfId="2637" xr:uid="{00000000-0005-0000-0000-0000BD0A0000}"/>
    <cellStyle name="60% - 輔色2 5 4" xfId="3151" xr:uid="{00000000-0005-0000-0000-0000BE0A0000}"/>
    <cellStyle name="60% - 輔色2 5 5" xfId="3335" xr:uid="{00000000-0005-0000-0000-0000BF0A0000}"/>
    <cellStyle name="60% - 輔色2 6" xfId="123" xr:uid="{00000000-0005-0000-0000-0000C00A0000}"/>
    <cellStyle name="60% - 輔色2 6 2" xfId="1877" xr:uid="{00000000-0005-0000-0000-0000C10A0000}"/>
    <cellStyle name="60% - 輔色2 6 3" xfId="2627" xr:uid="{00000000-0005-0000-0000-0000C20A0000}"/>
    <cellStyle name="60% - 輔色2 6 4" xfId="2071" xr:uid="{00000000-0005-0000-0000-0000C30A0000}"/>
    <cellStyle name="60% - 輔色2 6 5" xfId="3173" xr:uid="{00000000-0005-0000-0000-0000C40A0000}"/>
    <cellStyle name="60% - 輔色2 7" xfId="124" xr:uid="{00000000-0005-0000-0000-0000C50A0000}"/>
    <cellStyle name="60% - 輔色2 7 2" xfId="1918" xr:uid="{00000000-0005-0000-0000-0000C60A0000}"/>
    <cellStyle name="60% - 輔色2 7 3" xfId="2615" xr:uid="{00000000-0005-0000-0000-0000C70A0000}"/>
    <cellStyle name="60% - 輔色2 7 4" xfId="2994" xr:uid="{00000000-0005-0000-0000-0000C80A0000}"/>
    <cellStyle name="60% - 輔色2 7 5" xfId="2870" xr:uid="{00000000-0005-0000-0000-0000C90A0000}"/>
    <cellStyle name="60% - 輔色2 8" xfId="347" xr:uid="{00000000-0005-0000-0000-0000CA0A0000}"/>
    <cellStyle name="60% - 輔色2 9" xfId="389" xr:uid="{00000000-0005-0000-0000-0000CB0A0000}"/>
    <cellStyle name="60% - 輔色3" xfId="3651" builtinId="40" customBuiltin="1"/>
    <cellStyle name="60% - 輔色3 10" xfId="434" xr:uid="{00000000-0005-0000-0000-0000CD0A0000}"/>
    <cellStyle name="60% - 輔色3 11" xfId="476" xr:uid="{00000000-0005-0000-0000-0000CE0A0000}"/>
    <cellStyle name="60% - 輔色3 12" xfId="517" xr:uid="{00000000-0005-0000-0000-0000CF0A0000}"/>
    <cellStyle name="60% - 輔色3 13" xfId="559" xr:uid="{00000000-0005-0000-0000-0000D00A0000}"/>
    <cellStyle name="60% - 輔色3 14" xfId="600" xr:uid="{00000000-0005-0000-0000-0000D10A0000}"/>
    <cellStyle name="60% - 輔色3 14 2" xfId="2333" xr:uid="{00000000-0005-0000-0000-0000D20A0000}"/>
    <cellStyle name="60% - 輔色3 14 2 2" xfId="2658" xr:uid="{00000000-0005-0000-0000-0000D30A0000}"/>
    <cellStyle name="60% - 輔色3 14 2 3" xfId="3054" xr:uid="{00000000-0005-0000-0000-0000D40A0000}"/>
    <cellStyle name="60% - 輔色3 14 2 4" xfId="2104" xr:uid="{00000000-0005-0000-0000-0000D50A0000}"/>
    <cellStyle name="60% - 輔色3 14 3" xfId="3042" xr:uid="{00000000-0005-0000-0000-0000D60A0000}"/>
    <cellStyle name="60% - 輔色3 14 4" xfId="3540" xr:uid="{00000000-0005-0000-0000-0000D70A0000}"/>
    <cellStyle name="60% - 輔色3 15" xfId="641" xr:uid="{00000000-0005-0000-0000-0000D80A0000}"/>
    <cellStyle name="60% - 輔色3 16" xfId="683" xr:uid="{00000000-0005-0000-0000-0000D90A0000}"/>
    <cellStyle name="60% - 輔色3 17" xfId="724" xr:uid="{00000000-0005-0000-0000-0000DA0A0000}"/>
    <cellStyle name="60% - 輔色3 18" xfId="765" xr:uid="{00000000-0005-0000-0000-0000DB0A0000}"/>
    <cellStyle name="60% - 輔色3 19" xfId="806" xr:uid="{00000000-0005-0000-0000-0000DC0A0000}"/>
    <cellStyle name="60% - 輔色3 2" xfId="125" xr:uid="{00000000-0005-0000-0000-0000DD0A0000}"/>
    <cellStyle name="60% - 輔色3 2 10" xfId="1174" xr:uid="{00000000-0005-0000-0000-0000DE0A0000}"/>
    <cellStyle name="60% - 輔色3 2 11" xfId="1441" xr:uid="{00000000-0005-0000-0000-0000DF0A0000}"/>
    <cellStyle name="60% - 輔色3 2 12" xfId="1565" xr:uid="{00000000-0005-0000-0000-0000E00A0000}"/>
    <cellStyle name="60% - 輔色3 2 2" xfId="126" xr:uid="{00000000-0005-0000-0000-0000E10A0000}"/>
    <cellStyle name="60% - 輔色3 2 2 2" xfId="1995" xr:uid="{00000000-0005-0000-0000-0000E20A0000}"/>
    <cellStyle name="60% - 輔色3 2 2 2 2" xfId="1996" xr:uid="{00000000-0005-0000-0000-0000E30A0000}"/>
    <cellStyle name="60% - 輔色3 2 2 2 3" xfId="2485" xr:uid="{00000000-0005-0000-0000-0000E40A0000}"/>
    <cellStyle name="60% - 輔色3 2 2 3" xfId="2484" xr:uid="{00000000-0005-0000-0000-0000E50A0000}"/>
    <cellStyle name="60% - 輔色3 2 3" xfId="883" xr:uid="{00000000-0005-0000-0000-0000E60A0000}"/>
    <cellStyle name="60% - 輔色3 2 4" xfId="982" xr:uid="{00000000-0005-0000-0000-0000E70A0000}"/>
    <cellStyle name="60% - 輔色3 2 4 2" xfId="2504" xr:uid="{00000000-0005-0000-0000-0000E80A0000}"/>
    <cellStyle name="60% - 輔色3 2 4 2 2" xfId="2880" xr:uid="{00000000-0005-0000-0000-0000E90A0000}"/>
    <cellStyle name="60% - 輔色3 2 4 2 3" xfId="3287" xr:uid="{00000000-0005-0000-0000-0000EA0A0000}"/>
    <cellStyle name="60% - 輔色3 2 4 2 4" xfId="1760" xr:uid="{00000000-0005-0000-0000-0000EB0A0000}"/>
    <cellStyle name="60% - 輔色3 2 4 3" xfId="2722" xr:uid="{00000000-0005-0000-0000-0000EC0A0000}"/>
    <cellStyle name="60% - 輔色3 2 4 4" xfId="3350" xr:uid="{00000000-0005-0000-0000-0000ED0A0000}"/>
    <cellStyle name="60% - 輔色3 2 5" xfId="1107" xr:uid="{00000000-0005-0000-0000-0000EE0A0000}"/>
    <cellStyle name="60% - 輔色3 2 6" xfId="1045" xr:uid="{00000000-0005-0000-0000-0000EF0A0000}"/>
    <cellStyle name="60% - 輔色3 2 7" xfId="1272" xr:uid="{00000000-0005-0000-0000-0000F00A0000}"/>
    <cellStyle name="60% - 輔色3 2 8" xfId="1240" xr:uid="{00000000-0005-0000-0000-0000F10A0000}"/>
    <cellStyle name="60% - 輔色3 2 9" xfId="1189" xr:uid="{00000000-0005-0000-0000-0000F20A0000}"/>
    <cellStyle name="60% - 輔色3 20" xfId="882" xr:uid="{00000000-0005-0000-0000-0000F30A0000}"/>
    <cellStyle name="60% - 輔色3 21" xfId="983" xr:uid="{00000000-0005-0000-0000-0000F40A0000}"/>
    <cellStyle name="60% - 輔色3 22" xfId="1080" xr:uid="{00000000-0005-0000-0000-0000F50A0000}"/>
    <cellStyle name="60% - 輔色3 23" xfId="1221" xr:uid="{00000000-0005-0000-0000-0000F60A0000}"/>
    <cellStyle name="60% - 輔色3 24" xfId="1124" xr:uid="{00000000-0005-0000-0000-0000F70A0000}"/>
    <cellStyle name="60% - 輔色3 25" xfId="1418" xr:uid="{00000000-0005-0000-0000-0000F80A0000}"/>
    <cellStyle name="60% - 輔色3 26" xfId="859" xr:uid="{00000000-0005-0000-0000-0000F90A0000}"/>
    <cellStyle name="60% - 輔色3 27" xfId="1127" xr:uid="{00000000-0005-0000-0000-0000FA0A0000}"/>
    <cellStyle name="60% - 輔色3 28" xfId="1491" xr:uid="{00000000-0005-0000-0000-0000FB0A0000}"/>
    <cellStyle name="60% - 輔色3 29" xfId="1277" xr:uid="{00000000-0005-0000-0000-0000FC0A0000}"/>
    <cellStyle name="60% - 輔色3 3" xfId="127" xr:uid="{00000000-0005-0000-0000-0000FD0A0000}"/>
    <cellStyle name="60% - 輔色3 4" xfId="128" xr:uid="{00000000-0005-0000-0000-0000FE0A0000}"/>
    <cellStyle name="60% - 輔色3 5" xfId="129" xr:uid="{00000000-0005-0000-0000-0000FF0A0000}"/>
    <cellStyle name="60% - 輔色3 5 2" xfId="1839" xr:uid="{00000000-0005-0000-0000-0000000B0000}"/>
    <cellStyle name="60% - 輔色3 5 3" xfId="2583" xr:uid="{00000000-0005-0000-0000-0000010B0000}"/>
    <cellStyle name="60% - 輔色3 5 4" xfId="2135" xr:uid="{00000000-0005-0000-0000-0000020B0000}"/>
    <cellStyle name="60% - 輔色3 5 5" xfId="2718" xr:uid="{00000000-0005-0000-0000-0000030B0000}"/>
    <cellStyle name="60% - 輔色3 6" xfId="130" xr:uid="{00000000-0005-0000-0000-0000040B0000}"/>
    <cellStyle name="60% - 輔色3 6 2" xfId="1881" xr:uid="{00000000-0005-0000-0000-0000050B0000}"/>
    <cellStyle name="60% - 輔色3 6 3" xfId="2432" xr:uid="{00000000-0005-0000-0000-0000060B0000}"/>
    <cellStyle name="60% - 輔色3 6 4" xfId="2085" xr:uid="{00000000-0005-0000-0000-0000070B0000}"/>
    <cellStyle name="60% - 輔色3 6 5" xfId="2119" xr:uid="{00000000-0005-0000-0000-0000080B0000}"/>
    <cellStyle name="60% - 輔色3 7" xfId="131" xr:uid="{00000000-0005-0000-0000-0000090B0000}"/>
    <cellStyle name="60% - 輔色3 7 2" xfId="1922" xr:uid="{00000000-0005-0000-0000-00000A0B0000}"/>
    <cellStyle name="60% - 輔色3 7 3" xfId="2571" xr:uid="{00000000-0005-0000-0000-00000B0B0000}"/>
    <cellStyle name="60% - 輔色3 7 4" xfId="2728" xr:uid="{00000000-0005-0000-0000-00000C0B0000}"/>
    <cellStyle name="60% - 輔色3 7 5" xfId="3514" xr:uid="{00000000-0005-0000-0000-00000D0B0000}"/>
    <cellStyle name="60% - 輔色3 8" xfId="351" xr:uid="{00000000-0005-0000-0000-00000E0B0000}"/>
    <cellStyle name="60% - 輔色3 9" xfId="393" xr:uid="{00000000-0005-0000-0000-00000F0B0000}"/>
    <cellStyle name="60% - 輔色4" xfId="3655" builtinId="44" customBuiltin="1"/>
    <cellStyle name="60% - 輔色4 10" xfId="438" xr:uid="{00000000-0005-0000-0000-0000110B0000}"/>
    <cellStyle name="60% - 輔色4 11" xfId="480" xr:uid="{00000000-0005-0000-0000-0000120B0000}"/>
    <cellStyle name="60% - 輔色4 12" xfId="521" xr:uid="{00000000-0005-0000-0000-0000130B0000}"/>
    <cellStyle name="60% - 輔色4 13" xfId="563" xr:uid="{00000000-0005-0000-0000-0000140B0000}"/>
    <cellStyle name="60% - 輔色4 14" xfId="604" xr:uid="{00000000-0005-0000-0000-0000150B0000}"/>
    <cellStyle name="60% - 輔色4 14 2" xfId="2334" xr:uid="{00000000-0005-0000-0000-0000160B0000}"/>
    <cellStyle name="60% - 輔色4 14 2 2" xfId="2662" xr:uid="{00000000-0005-0000-0000-0000170B0000}"/>
    <cellStyle name="60% - 輔色4 14 2 3" xfId="3076" xr:uid="{00000000-0005-0000-0000-0000180B0000}"/>
    <cellStyle name="60% - 輔色4 14 2 4" xfId="3494" xr:uid="{00000000-0005-0000-0000-0000190B0000}"/>
    <cellStyle name="60% - 輔色4 14 3" xfId="2840" xr:uid="{00000000-0005-0000-0000-00001A0B0000}"/>
    <cellStyle name="60% - 輔色4 14 4" xfId="3340" xr:uid="{00000000-0005-0000-0000-00001B0B0000}"/>
    <cellStyle name="60% - 輔色4 15" xfId="645" xr:uid="{00000000-0005-0000-0000-00001C0B0000}"/>
    <cellStyle name="60% - 輔色4 16" xfId="687" xr:uid="{00000000-0005-0000-0000-00001D0B0000}"/>
    <cellStyle name="60% - 輔色4 17" xfId="728" xr:uid="{00000000-0005-0000-0000-00001E0B0000}"/>
    <cellStyle name="60% - 輔色4 18" xfId="769" xr:uid="{00000000-0005-0000-0000-00001F0B0000}"/>
    <cellStyle name="60% - 輔色4 19" xfId="810" xr:uid="{00000000-0005-0000-0000-0000200B0000}"/>
    <cellStyle name="60% - 輔色4 2" xfId="132" xr:uid="{00000000-0005-0000-0000-0000210B0000}"/>
    <cellStyle name="60% - 輔色4 2 10" xfId="1222" xr:uid="{00000000-0005-0000-0000-0000220B0000}"/>
    <cellStyle name="60% - 輔色4 2 11" xfId="1487" xr:uid="{00000000-0005-0000-0000-0000230B0000}"/>
    <cellStyle name="60% - 輔色4 2 12" xfId="1258" xr:uid="{00000000-0005-0000-0000-0000240B0000}"/>
    <cellStyle name="60% - 輔色4 2 2" xfId="133" xr:uid="{00000000-0005-0000-0000-0000250B0000}"/>
    <cellStyle name="60% - 輔色4 2 2 2" xfId="1997" xr:uid="{00000000-0005-0000-0000-0000260B0000}"/>
    <cellStyle name="60% - 輔色4 2 2 2 2" xfId="1998" xr:uid="{00000000-0005-0000-0000-0000270B0000}"/>
    <cellStyle name="60% - 輔色4 2 2 2 3" xfId="2487" xr:uid="{00000000-0005-0000-0000-0000280B0000}"/>
    <cellStyle name="60% - 輔色4 2 2 3" xfId="2486" xr:uid="{00000000-0005-0000-0000-0000290B0000}"/>
    <cellStyle name="60% - 輔色4 2 3" xfId="887" xr:uid="{00000000-0005-0000-0000-00002A0B0000}"/>
    <cellStyle name="60% - 輔色4 2 4" xfId="1186" xr:uid="{00000000-0005-0000-0000-00002B0B0000}"/>
    <cellStyle name="60% - 輔色4 2 4 2" xfId="2418" xr:uid="{00000000-0005-0000-0000-00002C0B0000}"/>
    <cellStyle name="60% - 輔色4 2 4 2 2" xfId="2988" xr:uid="{00000000-0005-0000-0000-00002D0B0000}"/>
    <cellStyle name="60% - 輔色4 2 4 2 3" xfId="3373" xr:uid="{00000000-0005-0000-0000-00002E0B0000}"/>
    <cellStyle name="60% - 輔色4 2 4 2 4" xfId="3306" xr:uid="{00000000-0005-0000-0000-00002F0B0000}"/>
    <cellStyle name="60% - 輔色4 2 4 3" xfId="2810" xr:uid="{00000000-0005-0000-0000-0000300B0000}"/>
    <cellStyle name="60% - 輔色4 2 4 4" xfId="3065" xr:uid="{00000000-0005-0000-0000-0000310B0000}"/>
    <cellStyle name="60% - 輔色4 2 5" xfId="1028" xr:uid="{00000000-0005-0000-0000-0000320B0000}"/>
    <cellStyle name="60% - 輔色4 2 6" xfId="1227" xr:uid="{00000000-0005-0000-0000-0000330B0000}"/>
    <cellStyle name="60% - 輔色4 2 7" xfId="1120" xr:uid="{00000000-0005-0000-0000-0000340B0000}"/>
    <cellStyle name="60% - 輔色4 2 8" xfId="898" xr:uid="{00000000-0005-0000-0000-0000350B0000}"/>
    <cellStyle name="60% - 輔色4 2 9" xfId="1434" xr:uid="{00000000-0005-0000-0000-0000360B0000}"/>
    <cellStyle name="60% - 輔色4 20" xfId="886" xr:uid="{00000000-0005-0000-0000-0000370B0000}"/>
    <cellStyle name="60% - 輔色4 21" xfId="1207" xr:uid="{00000000-0005-0000-0000-0000380B0000}"/>
    <cellStyle name="60% - 輔色4 22" xfId="1215" xr:uid="{00000000-0005-0000-0000-0000390B0000}"/>
    <cellStyle name="60% - 輔色4 23" xfId="1169" xr:uid="{00000000-0005-0000-0000-00003A0B0000}"/>
    <cellStyle name="60% - 輔色4 24" xfId="872" xr:uid="{00000000-0005-0000-0000-00003B0B0000}"/>
    <cellStyle name="60% - 輔色4 25" xfId="1298" xr:uid="{00000000-0005-0000-0000-00003C0B0000}"/>
    <cellStyle name="60% - 輔色4 26" xfId="1252" xr:uid="{00000000-0005-0000-0000-00003D0B0000}"/>
    <cellStyle name="60% - 輔色4 27" xfId="1238" xr:uid="{00000000-0005-0000-0000-00003E0B0000}"/>
    <cellStyle name="60% - 輔色4 28" xfId="1511" xr:uid="{00000000-0005-0000-0000-00003F0B0000}"/>
    <cellStyle name="60% - 輔色4 29" xfId="1653" xr:uid="{00000000-0005-0000-0000-0000400B0000}"/>
    <cellStyle name="60% - 輔色4 3" xfId="134" xr:uid="{00000000-0005-0000-0000-0000410B0000}"/>
    <cellStyle name="60% - 輔色4 4" xfId="135" xr:uid="{00000000-0005-0000-0000-0000420B0000}"/>
    <cellStyle name="60% - 輔色4 5" xfId="136" xr:uid="{00000000-0005-0000-0000-0000430B0000}"/>
    <cellStyle name="60% - 輔色4 5 2" xfId="1843" xr:uid="{00000000-0005-0000-0000-0000440B0000}"/>
    <cellStyle name="60% - 輔色4 5 3" xfId="2636" xr:uid="{00000000-0005-0000-0000-0000450B0000}"/>
    <cellStyle name="60% - 輔色4 5 4" xfId="1798" xr:uid="{00000000-0005-0000-0000-0000460B0000}"/>
    <cellStyle name="60% - 輔色4 5 5" xfId="3542" xr:uid="{00000000-0005-0000-0000-0000470B0000}"/>
    <cellStyle name="60% - 輔色4 6" xfId="137" xr:uid="{00000000-0005-0000-0000-0000480B0000}"/>
    <cellStyle name="60% - 輔色4 6 2" xfId="1885" xr:uid="{00000000-0005-0000-0000-0000490B0000}"/>
    <cellStyle name="60% - 輔色4 6 3" xfId="2626" xr:uid="{00000000-0005-0000-0000-00004A0B0000}"/>
    <cellStyle name="60% - 輔色4 6 4" xfId="3194" xr:uid="{00000000-0005-0000-0000-00004B0B0000}"/>
    <cellStyle name="60% - 輔色4 6 5" xfId="1943" xr:uid="{00000000-0005-0000-0000-00004C0B0000}"/>
    <cellStyle name="60% - 輔色4 7" xfId="138" xr:uid="{00000000-0005-0000-0000-00004D0B0000}"/>
    <cellStyle name="60% - 輔色4 7 2" xfId="1926" xr:uid="{00000000-0005-0000-0000-00004E0B0000}"/>
    <cellStyle name="60% - 輔色4 7 3" xfId="2614" xr:uid="{00000000-0005-0000-0000-00004F0B0000}"/>
    <cellStyle name="60% - 輔色4 7 4" xfId="2109" xr:uid="{00000000-0005-0000-0000-0000500B0000}"/>
    <cellStyle name="60% - 輔色4 7 5" xfId="2172" xr:uid="{00000000-0005-0000-0000-0000510B0000}"/>
    <cellStyle name="60% - 輔色4 8" xfId="355" xr:uid="{00000000-0005-0000-0000-0000520B0000}"/>
    <cellStyle name="60% - 輔色4 9" xfId="397" xr:uid="{00000000-0005-0000-0000-0000530B0000}"/>
    <cellStyle name="60% - 輔色5" xfId="3659" builtinId="48" customBuiltin="1"/>
    <cellStyle name="60% - 輔色5 10" xfId="442" xr:uid="{00000000-0005-0000-0000-0000550B0000}"/>
    <cellStyle name="60% - 輔色5 11" xfId="484" xr:uid="{00000000-0005-0000-0000-0000560B0000}"/>
    <cellStyle name="60% - 輔色5 12" xfId="525" xr:uid="{00000000-0005-0000-0000-0000570B0000}"/>
    <cellStyle name="60% - 輔色5 13" xfId="567" xr:uid="{00000000-0005-0000-0000-0000580B0000}"/>
    <cellStyle name="60% - 輔色5 14" xfId="608" xr:uid="{00000000-0005-0000-0000-0000590B0000}"/>
    <cellStyle name="60% - 輔色5 14 2" xfId="2336" xr:uid="{00000000-0005-0000-0000-00005A0B0000}"/>
    <cellStyle name="60% - 輔色5 14 2 2" xfId="2666" xr:uid="{00000000-0005-0000-0000-00005B0B0000}"/>
    <cellStyle name="60% - 輔色5 14 2 3" xfId="2929" xr:uid="{00000000-0005-0000-0000-00005C0B0000}"/>
    <cellStyle name="60% - 輔色5 14 2 4" xfId="2124" xr:uid="{00000000-0005-0000-0000-00005D0B0000}"/>
    <cellStyle name="60% - 輔色5 14 3" xfId="2342" xr:uid="{00000000-0005-0000-0000-00005E0B0000}"/>
    <cellStyle name="60% - 輔色5 14 4" xfId="3426" xr:uid="{00000000-0005-0000-0000-00005F0B0000}"/>
    <cellStyle name="60% - 輔色5 15" xfId="649" xr:uid="{00000000-0005-0000-0000-0000600B0000}"/>
    <cellStyle name="60% - 輔色5 16" xfId="691" xr:uid="{00000000-0005-0000-0000-0000610B0000}"/>
    <cellStyle name="60% - 輔色5 17" xfId="732" xr:uid="{00000000-0005-0000-0000-0000620B0000}"/>
    <cellStyle name="60% - 輔色5 18" xfId="773" xr:uid="{00000000-0005-0000-0000-0000630B0000}"/>
    <cellStyle name="60% - 輔色5 19" xfId="814" xr:uid="{00000000-0005-0000-0000-0000640B0000}"/>
    <cellStyle name="60% - 輔色5 2" xfId="139" xr:uid="{00000000-0005-0000-0000-0000650B0000}"/>
    <cellStyle name="60% - 輔色5 2 10" xfId="1414" xr:uid="{00000000-0005-0000-0000-0000660B0000}"/>
    <cellStyle name="60% - 輔色5 2 11" xfId="1508" xr:uid="{00000000-0005-0000-0000-0000670B0000}"/>
    <cellStyle name="60% - 輔色5 2 12" xfId="1635" xr:uid="{00000000-0005-0000-0000-0000680B0000}"/>
    <cellStyle name="60% - 輔色5 2 2" xfId="140" xr:uid="{00000000-0005-0000-0000-0000690B0000}"/>
    <cellStyle name="60% - 輔色5 2 2 2" xfId="1999" xr:uid="{00000000-0005-0000-0000-00006A0B0000}"/>
    <cellStyle name="60% - 輔色5 2 2 2 2" xfId="2000" xr:uid="{00000000-0005-0000-0000-00006B0B0000}"/>
    <cellStyle name="60% - 輔色5 2 2 2 3" xfId="2489" xr:uid="{00000000-0005-0000-0000-00006C0B0000}"/>
    <cellStyle name="60% - 輔色5 2 2 3" xfId="2488" xr:uid="{00000000-0005-0000-0000-00006D0B0000}"/>
    <cellStyle name="60% - 輔色5 2 3" xfId="890" xr:uid="{00000000-0005-0000-0000-00006E0B0000}"/>
    <cellStyle name="60% - 輔色5 2 4" xfId="1242" xr:uid="{00000000-0005-0000-0000-00006F0B0000}"/>
    <cellStyle name="60% - 輔色5 2 4 2" xfId="2509" xr:uid="{00000000-0005-0000-0000-0000700B0000}"/>
    <cellStyle name="60% - 輔色5 2 4 2 2" xfId="3026" xr:uid="{00000000-0005-0000-0000-0000710B0000}"/>
    <cellStyle name="60% - 輔色5 2 4 2 3" xfId="3403" xr:uid="{00000000-0005-0000-0000-0000720B0000}"/>
    <cellStyle name="60% - 輔色5 2 4 2 4" xfId="3562" xr:uid="{00000000-0005-0000-0000-0000730B0000}"/>
    <cellStyle name="60% - 輔色5 2 4 3" xfId="2181" xr:uid="{00000000-0005-0000-0000-0000740B0000}"/>
    <cellStyle name="60% - 輔色5 2 4 4" xfId="3553" xr:uid="{00000000-0005-0000-0000-0000750B0000}"/>
    <cellStyle name="60% - 輔色5 2 5" xfId="1283" xr:uid="{00000000-0005-0000-0000-0000760B0000}"/>
    <cellStyle name="60% - 輔色5 2 6" xfId="1320" xr:uid="{00000000-0005-0000-0000-0000770B0000}"/>
    <cellStyle name="60% - 輔色5 2 7" xfId="1219" xr:uid="{00000000-0005-0000-0000-0000780B0000}"/>
    <cellStyle name="60% - 輔色5 2 8" xfId="1310" xr:uid="{00000000-0005-0000-0000-0000790B0000}"/>
    <cellStyle name="60% - 輔色5 2 9" xfId="1333" xr:uid="{00000000-0005-0000-0000-00007A0B0000}"/>
    <cellStyle name="60% - 輔色5 20" xfId="889" xr:uid="{00000000-0005-0000-0000-00007B0B0000}"/>
    <cellStyle name="60% - 輔色5 21" xfId="1056" xr:uid="{00000000-0005-0000-0000-00007C0B0000}"/>
    <cellStyle name="60% - 輔色5 22" xfId="900" xr:uid="{00000000-0005-0000-0000-00007D0B0000}"/>
    <cellStyle name="60% - 輔色5 23" xfId="1141" xr:uid="{00000000-0005-0000-0000-00007E0B0000}"/>
    <cellStyle name="60% - 輔色5 24" xfId="1291" xr:uid="{00000000-0005-0000-0000-00007F0B0000}"/>
    <cellStyle name="60% - 輔色5 25" xfId="1325" xr:uid="{00000000-0005-0000-0000-0000800B0000}"/>
    <cellStyle name="60% - 輔色5 26" xfId="1438" xr:uid="{00000000-0005-0000-0000-0000810B0000}"/>
    <cellStyle name="60% - 輔色5 27" xfId="1130" xr:uid="{00000000-0005-0000-0000-0000820B0000}"/>
    <cellStyle name="60% - 輔色5 28" xfId="950" xr:uid="{00000000-0005-0000-0000-0000830B0000}"/>
    <cellStyle name="60% - 輔色5 29" xfId="1612" xr:uid="{00000000-0005-0000-0000-0000840B0000}"/>
    <cellStyle name="60% - 輔色5 3" xfId="141" xr:uid="{00000000-0005-0000-0000-0000850B0000}"/>
    <cellStyle name="60% - 輔色5 4" xfId="142" xr:uid="{00000000-0005-0000-0000-0000860B0000}"/>
    <cellStyle name="60% - 輔色5 5" xfId="143" xr:uid="{00000000-0005-0000-0000-0000870B0000}"/>
    <cellStyle name="60% - 輔色5 5 2" xfId="1847" xr:uid="{00000000-0005-0000-0000-0000880B0000}"/>
    <cellStyle name="60% - 輔色5 5 3" xfId="2582" xr:uid="{00000000-0005-0000-0000-0000890B0000}"/>
    <cellStyle name="60% - 輔色5 5 4" xfId="3103" xr:uid="{00000000-0005-0000-0000-00008A0B0000}"/>
    <cellStyle name="60% - 輔色5 5 5" xfId="2816" xr:uid="{00000000-0005-0000-0000-00008B0B0000}"/>
    <cellStyle name="60% - 輔色5 6" xfId="144" xr:uid="{00000000-0005-0000-0000-00008C0B0000}"/>
    <cellStyle name="60% - 輔色5 6 2" xfId="1889" xr:uid="{00000000-0005-0000-0000-00008D0B0000}"/>
    <cellStyle name="60% - 輔色5 6 3" xfId="2431" xr:uid="{00000000-0005-0000-0000-00008E0B0000}"/>
    <cellStyle name="60% - 輔色5 6 4" xfId="3101" xr:uid="{00000000-0005-0000-0000-00008F0B0000}"/>
    <cellStyle name="60% - 輔色5 6 5" xfId="3473" xr:uid="{00000000-0005-0000-0000-0000900B0000}"/>
    <cellStyle name="60% - 輔色5 7" xfId="145" xr:uid="{00000000-0005-0000-0000-0000910B0000}"/>
    <cellStyle name="60% - 輔色5 7 2" xfId="1930" xr:uid="{00000000-0005-0000-0000-0000920B0000}"/>
    <cellStyle name="60% - 輔色5 7 3" xfId="2570" xr:uid="{00000000-0005-0000-0000-0000930B0000}"/>
    <cellStyle name="60% - 輔色5 7 4" xfId="2904" xr:uid="{00000000-0005-0000-0000-0000940B0000}"/>
    <cellStyle name="60% - 輔色5 7 5" xfId="3185" xr:uid="{00000000-0005-0000-0000-0000950B0000}"/>
    <cellStyle name="60% - 輔色5 8" xfId="359" xr:uid="{00000000-0005-0000-0000-0000960B0000}"/>
    <cellStyle name="60% - 輔色5 9" xfId="401" xr:uid="{00000000-0005-0000-0000-0000970B0000}"/>
    <cellStyle name="60% - 輔色6" xfId="3663" builtinId="52" customBuiltin="1"/>
    <cellStyle name="60% - 輔色6 10" xfId="446" xr:uid="{00000000-0005-0000-0000-0000990B0000}"/>
    <cellStyle name="60% - 輔色6 11" xfId="488" xr:uid="{00000000-0005-0000-0000-00009A0B0000}"/>
    <cellStyle name="60% - 輔色6 12" xfId="529" xr:uid="{00000000-0005-0000-0000-00009B0B0000}"/>
    <cellStyle name="60% - 輔色6 13" xfId="571" xr:uid="{00000000-0005-0000-0000-00009C0B0000}"/>
    <cellStyle name="60% - 輔色6 14" xfId="612" xr:uid="{00000000-0005-0000-0000-00009D0B0000}"/>
    <cellStyle name="60% - 輔色6 14 2" xfId="2337" xr:uid="{00000000-0005-0000-0000-00009E0B0000}"/>
    <cellStyle name="60% - 輔色6 14 2 2" xfId="2670" xr:uid="{00000000-0005-0000-0000-00009F0B0000}"/>
    <cellStyle name="60% - 輔色6 14 2 3" xfId="3207" xr:uid="{00000000-0005-0000-0000-0000A00B0000}"/>
    <cellStyle name="60% - 輔色6 14 2 4" xfId="2983" xr:uid="{00000000-0005-0000-0000-0000A10B0000}"/>
    <cellStyle name="60% - 輔色6 14 3" xfId="3223" xr:uid="{00000000-0005-0000-0000-0000A20B0000}"/>
    <cellStyle name="60% - 輔色6 14 4" xfId="3430" xr:uid="{00000000-0005-0000-0000-0000A30B0000}"/>
    <cellStyle name="60% - 輔色6 15" xfId="653" xr:uid="{00000000-0005-0000-0000-0000A40B0000}"/>
    <cellStyle name="60% - 輔色6 16" xfId="695" xr:uid="{00000000-0005-0000-0000-0000A50B0000}"/>
    <cellStyle name="60% - 輔色6 17" xfId="736" xr:uid="{00000000-0005-0000-0000-0000A60B0000}"/>
    <cellStyle name="60% - 輔色6 18" xfId="777" xr:uid="{00000000-0005-0000-0000-0000A70B0000}"/>
    <cellStyle name="60% - 輔色6 19" xfId="818" xr:uid="{00000000-0005-0000-0000-0000A80B0000}"/>
    <cellStyle name="60% - 輔色6 2" xfId="146" xr:uid="{00000000-0005-0000-0000-0000A90B0000}"/>
    <cellStyle name="60% - 輔色6 2 10" xfId="905" xr:uid="{00000000-0005-0000-0000-0000AA0B0000}"/>
    <cellStyle name="60% - 輔色6 2 11" xfId="1430" xr:uid="{00000000-0005-0000-0000-0000AB0B0000}"/>
    <cellStyle name="60% - 輔色6 2 12" xfId="1415" xr:uid="{00000000-0005-0000-0000-0000AC0B0000}"/>
    <cellStyle name="60% - 輔色6 2 2" xfId="147" xr:uid="{00000000-0005-0000-0000-0000AD0B0000}"/>
    <cellStyle name="60% - 輔色6 2 2 2" xfId="2001" xr:uid="{00000000-0005-0000-0000-0000AE0B0000}"/>
    <cellStyle name="60% - 輔色6 2 2 2 2" xfId="2002" xr:uid="{00000000-0005-0000-0000-0000AF0B0000}"/>
    <cellStyle name="60% - 輔色6 2 2 2 3" xfId="2491" xr:uid="{00000000-0005-0000-0000-0000B00B0000}"/>
    <cellStyle name="60% - 輔色6 2 2 3" xfId="2490" xr:uid="{00000000-0005-0000-0000-0000B10B0000}"/>
    <cellStyle name="60% - 輔色6 2 3" xfId="895" xr:uid="{00000000-0005-0000-0000-0000B20B0000}"/>
    <cellStyle name="60% - 輔色6 2 4" xfId="978" xr:uid="{00000000-0005-0000-0000-0000B30B0000}"/>
    <cellStyle name="60% - 輔色6 2 4 2" xfId="2417" xr:uid="{00000000-0005-0000-0000-0000B40B0000}"/>
    <cellStyle name="60% - 輔色6 2 4 2 2" xfId="2877" xr:uid="{00000000-0005-0000-0000-0000B50B0000}"/>
    <cellStyle name="60% - 輔色6 2 4 2 3" xfId="3286" xr:uid="{00000000-0005-0000-0000-0000B60B0000}"/>
    <cellStyle name="60% - 輔色6 2 4 2 4" xfId="3422" xr:uid="{00000000-0005-0000-0000-0000B70B0000}"/>
    <cellStyle name="60% - 輔色6 2 4 3" xfId="3027" xr:uid="{00000000-0005-0000-0000-0000B80B0000}"/>
    <cellStyle name="60% - 輔色6 2 4 4" xfId="3050" xr:uid="{00000000-0005-0000-0000-0000B90B0000}"/>
    <cellStyle name="60% - 輔色6 2 5" xfId="939" xr:uid="{00000000-0005-0000-0000-0000BA0B0000}"/>
    <cellStyle name="60% - 輔色6 2 6" xfId="956" xr:uid="{00000000-0005-0000-0000-0000BB0B0000}"/>
    <cellStyle name="60% - 輔色6 2 7" xfId="1275" xr:uid="{00000000-0005-0000-0000-0000BC0B0000}"/>
    <cellStyle name="60% - 輔色6 2 8" xfId="824" xr:uid="{00000000-0005-0000-0000-0000BD0B0000}"/>
    <cellStyle name="60% - 輔色6 2 9" xfId="1246" xr:uid="{00000000-0005-0000-0000-0000BE0B0000}"/>
    <cellStyle name="60% - 輔色6 20" xfId="894" xr:uid="{00000000-0005-0000-0000-0000BF0B0000}"/>
    <cellStyle name="60% - 輔色6 21" xfId="979" xr:uid="{00000000-0005-0000-0000-0000C00B0000}"/>
    <cellStyle name="60% - 輔色6 22" xfId="1249" xr:uid="{00000000-0005-0000-0000-0000C10B0000}"/>
    <cellStyle name="60% - 輔色6 23" xfId="1290" xr:uid="{00000000-0005-0000-0000-0000C20B0000}"/>
    <cellStyle name="60% - 輔色6 24" xfId="1058" xr:uid="{00000000-0005-0000-0000-0000C30B0000}"/>
    <cellStyle name="60% - 輔色6 25" xfId="1134" xr:uid="{00000000-0005-0000-0000-0000C40B0000}"/>
    <cellStyle name="60% - 輔色6 26" xfId="841" xr:uid="{00000000-0005-0000-0000-0000C50B0000}"/>
    <cellStyle name="60% - 輔色6 27" xfId="1422" xr:uid="{00000000-0005-0000-0000-0000C60B0000}"/>
    <cellStyle name="60% - 輔色6 28" xfId="1603" xr:uid="{00000000-0005-0000-0000-0000C70B0000}"/>
    <cellStyle name="60% - 輔色6 29" xfId="1396" xr:uid="{00000000-0005-0000-0000-0000C80B0000}"/>
    <cellStyle name="60% - 輔色6 3" xfId="148" xr:uid="{00000000-0005-0000-0000-0000C90B0000}"/>
    <cellStyle name="60% - 輔色6 4" xfId="149" xr:uid="{00000000-0005-0000-0000-0000CA0B0000}"/>
    <cellStyle name="60% - 輔色6 5" xfId="150" xr:uid="{00000000-0005-0000-0000-0000CB0B0000}"/>
    <cellStyle name="60% - 輔色6 5 2" xfId="1851" xr:uid="{00000000-0005-0000-0000-0000CC0B0000}"/>
    <cellStyle name="60% - 輔色6 5 3" xfId="2635" xr:uid="{00000000-0005-0000-0000-0000CD0B0000}"/>
    <cellStyle name="60% - 輔色6 5 4" xfId="2907" xr:uid="{00000000-0005-0000-0000-0000CE0B0000}"/>
    <cellStyle name="60% - 輔色6 5 5" xfId="3197" xr:uid="{00000000-0005-0000-0000-0000CF0B0000}"/>
    <cellStyle name="60% - 輔色6 6" xfId="151" xr:uid="{00000000-0005-0000-0000-0000D00B0000}"/>
    <cellStyle name="60% - 輔色6 6 2" xfId="1893" xr:uid="{00000000-0005-0000-0000-0000D10B0000}"/>
    <cellStyle name="60% - 輔色6 6 3" xfId="2625" xr:uid="{00000000-0005-0000-0000-0000D20B0000}"/>
    <cellStyle name="60% - 輔色6 6 4" xfId="2879" xr:uid="{00000000-0005-0000-0000-0000D30B0000}"/>
    <cellStyle name="60% - 輔色6 6 5" xfId="3269" xr:uid="{00000000-0005-0000-0000-0000D40B0000}"/>
    <cellStyle name="60% - 輔色6 7" xfId="152" xr:uid="{00000000-0005-0000-0000-0000D50B0000}"/>
    <cellStyle name="60% - 輔色6 7 2" xfId="1934" xr:uid="{00000000-0005-0000-0000-0000D60B0000}"/>
    <cellStyle name="60% - 輔色6 7 3" xfId="2613" xr:uid="{00000000-0005-0000-0000-0000D70B0000}"/>
    <cellStyle name="60% - 輔色6 7 4" xfId="3057" xr:uid="{00000000-0005-0000-0000-0000D80B0000}"/>
    <cellStyle name="60% - 輔色6 7 5" xfId="3517" xr:uid="{00000000-0005-0000-0000-0000D90B0000}"/>
    <cellStyle name="60% - 輔色6 8" xfId="363" xr:uid="{00000000-0005-0000-0000-0000DA0B0000}"/>
    <cellStyle name="60% - 輔色6 9" xfId="405" xr:uid="{00000000-0005-0000-0000-0000DB0B0000}"/>
    <cellStyle name="Normal_Sheet1" xfId="153" xr:uid="{00000000-0005-0000-0000-0000DC0B0000}"/>
    <cellStyle name="一般" xfId="0" builtinId="0"/>
    <cellStyle name="一般 10" xfId="364" xr:uid="{00000000-0005-0000-0000-0000DE0B0000}"/>
    <cellStyle name="一般 100" xfId="3725" xr:uid="{00000000-0005-0000-0000-0000DF0B0000}"/>
    <cellStyle name="一般 101" xfId="3726" xr:uid="{00000000-0005-0000-0000-0000E00B0000}"/>
    <cellStyle name="一般 102" xfId="3727" xr:uid="{00000000-0005-0000-0000-0000E10B0000}"/>
    <cellStyle name="一般 103" xfId="3728" xr:uid="{00000000-0005-0000-0000-0000E20B0000}"/>
    <cellStyle name="一般 104" xfId="3729" xr:uid="{00000000-0005-0000-0000-0000E30B0000}"/>
    <cellStyle name="一般 105" xfId="3730" xr:uid="{00000000-0005-0000-0000-0000E40B0000}"/>
    <cellStyle name="一般 106" xfId="3731" xr:uid="{00000000-0005-0000-0000-0000E50B0000}"/>
    <cellStyle name="一般 107" xfId="3732" xr:uid="{00000000-0005-0000-0000-0000E60B0000}"/>
    <cellStyle name="一般 108" xfId="3733" xr:uid="{00000000-0005-0000-0000-0000E70B0000}"/>
    <cellStyle name="一般 109" xfId="3734" xr:uid="{00000000-0005-0000-0000-0000E80B0000}"/>
    <cellStyle name="一般 11" xfId="15" xr:uid="{00000000-0005-0000-0000-0000E90B0000}"/>
    <cellStyle name="一般 110" xfId="3736" xr:uid="{00000000-0005-0000-0000-0000EA0B0000}"/>
    <cellStyle name="一般 111" xfId="3737" xr:uid="{00000000-0005-0000-0000-0000EB0B0000}"/>
    <cellStyle name="一般 112" xfId="3738" xr:uid="{00000000-0005-0000-0000-0000EC0B0000}"/>
    <cellStyle name="一般 113" xfId="3739" xr:uid="{00000000-0005-0000-0000-0000ED0B0000}"/>
    <cellStyle name="一般 114" xfId="3740" xr:uid="{00000000-0005-0000-0000-0000EE0B0000}"/>
    <cellStyle name="一般 115" xfId="3741" xr:uid="{00000000-0005-0000-0000-0000EF0B0000}"/>
    <cellStyle name="一般 116" xfId="3742" xr:uid="{00000000-0005-0000-0000-0000F00B0000}"/>
    <cellStyle name="一般 117" xfId="3743" xr:uid="{00000000-0005-0000-0000-0000F10B0000}"/>
    <cellStyle name="一般 118" xfId="3744" xr:uid="{00000000-0005-0000-0000-0000F20B0000}"/>
    <cellStyle name="一般 119" xfId="3745" xr:uid="{00000000-0005-0000-0000-0000F30B0000}"/>
    <cellStyle name="一般 12" xfId="447" xr:uid="{00000000-0005-0000-0000-0000F40B0000}"/>
    <cellStyle name="一般 120" xfId="3747" xr:uid="{00000000-0005-0000-0000-0000F50B0000}"/>
    <cellStyle name="一般 121" xfId="3748" xr:uid="{00000000-0005-0000-0000-0000F60B0000}"/>
    <cellStyle name="一般 122" xfId="3749" xr:uid="{00000000-0005-0000-0000-0000F70B0000}"/>
    <cellStyle name="一般 123" xfId="3750" xr:uid="{00000000-0005-0000-0000-0000F80B0000}"/>
    <cellStyle name="一般 124" xfId="3751" xr:uid="{00000000-0005-0000-0000-0000F90B0000}"/>
    <cellStyle name="一般 125" xfId="3752" xr:uid="{00000000-0005-0000-0000-0000FA0B0000}"/>
    <cellStyle name="一般 126" xfId="3753" xr:uid="{00000000-0005-0000-0000-0000FB0B0000}"/>
    <cellStyle name="一般 127" xfId="3754" xr:uid="{00000000-0005-0000-0000-0000FC0B0000}"/>
    <cellStyle name="一般 128" xfId="3755" xr:uid="{00000000-0005-0000-0000-0000FD0B0000}"/>
    <cellStyle name="一般 129" xfId="3756" xr:uid="{00000000-0005-0000-0000-0000FE0B0000}"/>
    <cellStyle name="一般 13" xfId="23" xr:uid="{00000000-0005-0000-0000-0000FF0B0000}"/>
    <cellStyle name="一般 130" xfId="3758" xr:uid="{00000000-0005-0000-0000-0000000C0000}"/>
    <cellStyle name="一般 131" xfId="3759" xr:uid="{00000000-0005-0000-0000-0000010C0000}"/>
    <cellStyle name="一般 132" xfId="3760" xr:uid="{00000000-0005-0000-0000-0000020C0000}"/>
    <cellStyle name="一般 133" xfId="3761" xr:uid="{00000000-0005-0000-0000-0000030C0000}"/>
    <cellStyle name="一般 134" xfId="3762" xr:uid="{00000000-0005-0000-0000-0000040C0000}"/>
    <cellStyle name="一般 135" xfId="3763" xr:uid="{00000000-0005-0000-0000-0000050C0000}"/>
    <cellStyle name="一般 136" xfId="3764" xr:uid="{00000000-0005-0000-0000-0000060C0000}"/>
    <cellStyle name="一般 137" xfId="3765" xr:uid="{00000000-0005-0000-0000-0000070C0000}"/>
    <cellStyle name="一般 138" xfId="3766" xr:uid="{00000000-0005-0000-0000-0000080C0000}"/>
    <cellStyle name="一般 139" xfId="3767" xr:uid="{00000000-0005-0000-0000-0000090C0000}"/>
    <cellStyle name="一般 14" xfId="530" xr:uid="{00000000-0005-0000-0000-00000A0C0000}"/>
    <cellStyle name="一般 140" xfId="3769" xr:uid="{00000000-0005-0000-0000-00000B0C0000}"/>
    <cellStyle name="一般 141" xfId="3770" xr:uid="{00000000-0005-0000-0000-00000C0C0000}"/>
    <cellStyle name="一般 142" xfId="3771" xr:uid="{00000000-0005-0000-0000-00000D0C0000}"/>
    <cellStyle name="一般 143" xfId="3772" xr:uid="{00000000-0005-0000-0000-00000E0C0000}"/>
    <cellStyle name="一般 144" xfId="3773" xr:uid="{00000000-0005-0000-0000-00000F0C0000}"/>
    <cellStyle name="一般 145" xfId="3774" xr:uid="{00000000-0005-0000-0000-0000100C0000}"/>
    <cellStyle name="一般 146" xfId="3775" xr:uid="{00000000-0005-0000-0000-0000110C0000}"/>
    <cellStyle name="一般 147" xfId="3776" xr:uid="{00000000-0005-0000-0000-0000120C0000}"/>
    <cellStyle name="一般 148" xfId="3777" xr:uid="{00000000-0005-0000-0000-0000130C0000}"/>
    <cellStyle name="一般 149" xfId="3778" xr:uid="{00000000-0005-0000-0000-0000140C0000}"/>
    <cellStyle name="一般 15" xfId="18" xr:uid="{00000000-0005-0000-0000-0000150C0000}"/>
    <cellStyle name="一般 15 2" xfId="2272" xr:uid="{00000000-0005-0000-0000-0000160C0000}"/>
    <cellStyle name="一般 15 2 2" xfId="2426" xr:uid="{00000000-0005-0000-0000-0000170C0000}"/>
    <cellStyle name="一般 15 2 3" xfId="2844" xr:uid="{00000000-0005-0000-0000-0000180C0000}"/>
    <cellStyle name="一般 15 2 4" xfId="3414" xr:uid="{00000000-0005-0000-0000-0000190C0000}"/>
    <cellStyle name="一般 15 2 5" xfId="4413" xr:uid="{00000000-0005-0000-0000-00001A0C0000}"/>
    <cellStyle name="一般 15 3" xfId="3236" xr:uid="{00000000-0005-0000-0000-00001B0C0000}"/>
    <cellStyle name="一般 15 3 2" xfId="4734" xr:uid="{00000000-0005-0000-0000-00001C0C0000}"/>
    <cellStyle name="一般 15 4" xfId="3282" xr:uid="{00000000-0005-0000-0000-00001D0C0000}"/>
    <cellStyle name="一般 15 4 2" xfId="4747" xr:uid="{00000000-0005-0000-0000-00001E0C0000}"/>
    <cellStyle name="一般 15 5" xfId="5152" xr:uid="{00000000-0005-0000-0000-00001F0C0000}"/>
    <cellStyle name="一般 15 6" xfId="5311" xr:uid="{00000000-0005-0000-0000-0000200C0000}"/>
    <cellStyle name="一般 150" xfId="3780" xr:uid="{00000000-0005-0000-0000-0000210C0000}"/>
    <cellStyle name="一般 151" xfId="3781" xr:uid="{00000000-0005-0000-0000-0000220C0000}"/>
    <cellStyle name="一般 152" xfId="3782" xr:uid="{00000000-0005-0000-0000-0000230C0000}"/>
    <cellStyle name="一般 153" xfId="3783" xr:uid="{00000000-0005-0000-0000-0000240C0000}"/>
    <cellStyle name="一般 154" xfId="3784" xr:uid="{00000000-0005-0000-0000-0000250C0000}"/>
    <cellStyle name="一般 155" xfId="3785" xr:uid="{00000000-0005-0000-0000-0000260C0000}"/>
    <cellStyle name="一般 156" xfId="3786" xr:uid="{00000000-0005-0000-0000-0000270C0000}"/>
    <cellStyle name="一般 157" xfId="3787" xr:uid="{00000000-0005-0000-0000-0000280C0000}"/>
    <cellStyle name="一般 158" xfId="3788" xr:uid="{00000000-0005-0000-0000-0000290C0000}"/>
    <cellStyle name="一般 159" xfId="3789" xr:uid="{00000000-0005-0000-0000-00002A0C0000}"/>
    <cellStyle name="一般 16" xfId="16" xr:uid="{00000000-0005-0000-0000-00002B0C0000}"/>
    <cellStyle name="一般 160" xfId="3791" xr:uid="{00000000-0005-0000-0000-00002C0C0000}"/>
    <cellStyle name="一般 161" xfId="3792" xr:uid="{00000000-0005-0000-0000-00002D0C0000}"/>
    <cellStyle name="一般 162" xfId="3793" xr:uid="{00000000-0005-0000-0000-00002E0C0000}"/>
    <cellStyle name="一般 163" xfId="3794" xr:uid="{00000000-0005-0000-0000-00002F0C0000}"/>
    <cellStyle name="一般 164" xfId="3795" xr:uid="{00000000-0005-0000-0000-0000300C0000}"/>
    <cellStyle name="一般 165" xfId="3796" xr:uid="{00000000-0005-0000-0000-0000310C0000}"/>
    <cellStyle name="一般 166" xfId="3797" xr:uid="{00000000-0005-0000-0000-0000320C0000}"/>
    <cellStyle name="一般 167" xfId="3798" xr:uid="{00000000-0005-0000-0000-0000330C0000}"/>
    <cellStyle name="一般 168" xfId="3799" xr:uid="{00000000-0005-0000-0000-0000340C0000}"/>
    <cellStyle name="一般 169" xfId="3800" xr:uid="{00000000-0005-0000-0000-0000350C0000}"/>
    <cellStyle name="一般 17" xfId="654" xr:uid="{00000000-0005-0000-0000-0000360C0000}"/>
    <cellStyle name="一般 170" xfId="3802" xr:uid="{00000000-0005-0000-0000-0000370C0000}"/>
    <cellStyle name="一般 171" xfId="3803" xr:uid="{00000000-0005-0000-0000-0000380C0000}"/>
    <cellStyle name="一般 172" xfId="3804" xr:uid="{00000000-0005-0000-0000-0000390C0000}"/>
    <cellStyle name="一般 173" xfId="3805" xr:uid="{00000000-0005-0000-0000-00003A0C0000}"/>
    <cellStyle name="一般 174" xfId="3806" xr:uid="{00000000-0005-0000-0000-00003B0C0000}"/>
    <cellStyle name="一般 175" xfId="3807" xr:uid="{00000000-0005-0000-0000-00003C0C0000}"/>
    <cellStyle name="一般 176" xfId="3808" xr:uid="{00000000-0005-0000-0000-00003D0C0000}"/>
    <cellStyle name="一般 177" xfId="3809" xr:uid="{00000000-0005-0000-0000-00003E0C0000}"/>
    <cellStyle name="一般 178" xfId="3810" xr:uid="{00000000-0005-0000-0000-00003F0C0000}"/>
    <cellStyle name="一般 179" xfId="3811" xr:uid="{00000000-0005-0000-0000-0000400C0000}"/>
    <cellStyle name="一般 18" xfId="20" xr:uid="{00000000-0005-0000-0000-0000410C0000}"/>
    <cellStyle name="一般 180" xfId="3813" xr:uid="{00000000-0005-0000-0000-0000420C0000}"/>
    <cellStyle name="一般 181" xfId="3814" xr:uid="{00000000-0005-0000-0000-0000430C0000}"/>
    <cellStyle name="一般 182" xfId="3815" xr:uid="{00000000-0005-0000-0000-0000440C0000}"/>
    <cellStyle name="一般 183" xfId="3816" xr:uid="{00000000-0005-0000-0000-0000450C0000}"/>
    <cellStyle name="一般 184" xfId="3817" xr:uid="{00000000-0005-0000-0000-0000460C0000}"/>
    <cellStyle name="一般 185" xfId="3818" xr:uid="{00000000-0005-0000-0000-0000470C0000}"/>
    <cellStyle name="一般 186" xfId="3819" xr:uid="{00000000-0005-0000-0000-0000480C0000}"/>
    <cellStyle name="一般 187" xfId="3820" xr:uid="{00000000-0005-0000-0000-0000490C0000}"/>
    <cellStyle name="一般 188" xfId="3821" xr:uid="{00000000-0005-0000-0000-00004A0C0000}"/>
    <cellStyle name="一般 189" xfId="3822" xr:uid="{00000000-0005-0000-0000-00004B0C0000}"/>
    <cellStyle name="一般 19" xfId="24" xr:uid="{00000000-0005-0000-0000-00004C0C0000}"/>
    <cellStyle name="一般 190" xfId="3824" xr:uid="{00000000-0005-0000-0000-00004D0C0000}"/>
    <cellStyle name="一般 191" xfId="3825" xr:uid="{00000000-0005-0000-0000-00004E0C0000}"/>
    <cellStyle name="一般 192" xfId="3826" xr:uid="{00000000-0005-0000-0000-00004F0C0000}"/>
    <cellStyle name="一般 193" xfId="3827" xr:uid="{00000000-0005-0000-0000-0000500C0000}"/>
    <cellStyle name="一般 194" xfId="3828" xr:uid="{00000000-0005-0000-0000-0000510C0000}"/>
    <cellStyle name="一般 195" xfId="3829" xr:uid="{00000000-0005-0000-0000-0000520C0000}"/>
    <cellStyle name="一般 196" xfId="3830" xr:uid="{00000000-0005-0000-0000-0000530C0000}"/>
    <cellStyle name="一般 197" xfId="3831" xr:uid="{00000000-0005-0000-0000-0000540C0000}"/>
    <cellStyle name="一般 198" xfId="3832" xr:uid="{00000000-0005-0000-0000-0000550C0000}"/>
    <cellStyle name="一般 199" xfId="3833" xr:uid="{00000000-0005-0000-0000-0000560C0000}"/>
    <cellStyle name="一般 2" xfId="8" xr:uid="{00000000-0005-0000-0000-0000570C0000}"/>
    <cellStyle name="一般 2 10" xfId="1050" xr:uid="{00000000-0005-0000-0000-0000580C0000}"/>
    <cellStyle name="一般 2 11" xfId="1622" xr:uid="{00000000-0005-0000-0000-0000590C0000}"/>
    <cellStyle name="一般 2 12" xfId="1665" xr:uid="{00000000-0005-0000-0000-00005A0C0000}"/>
    <cellStyle name="一般 2 13" xfId="157" xr:uid="{00000000-0005-0000-0000-00005B0C0000}"/>
    <cellStyle name="一般 2 14" xfId="1690" xr:uid="{00000000-0005-0000-0000-00005C0C0000}"/>
    <cellStyle name="一般 2 15" xfId="1702" xr:uid="{00000000-0005-0000-0000-00005D0C0000}"/>
    <cellStyle name="一般 2 16" xfId="1707" xr:uid="{00000000-0005-0000-0000-00005E0C0000}"/>
    <cellStyle name="一般 2 17" xfId="1691" xr:uid="{00000000-0005-0000-0000-00005F0C0000}"/>
    <cellStyle name="一般 2 18" xfId="1710" xr:uid="{00000000-0005-0000-0000-0000600C0000}"/>
    <cellStyle name="一般 2 19" xfId="1946" xr:uid="{00000000-0005-0000-0000-0000610C0000}"/>
    <cellStyle name="一般 2 2" xfId="26" xr:uid="{00000000-0005-0000-0000-0000620C0000}"/>
    <cellStyle name="一般 2 2 10" xfId="3193" xr:uid="{00000000-0005-0000-0000-0000630C0000}"/>
    <cellStyle name="一般 2 2 11" xfId="2129" xr:uid="{00000000-0005-0000-0000-0000640C0000}"/>
    <cellStyle name="一般 2 2 12" xfId="3622" xr:uid="{00000000-0005-0000-0000-0000650C0000}"/>
    <cellStyle name="一般 2 2 13" xfId="3685" xr:uid="{00000000-0005-0000-0000-0000660C0000}"/>
    <cellStyle name="一般 2 2 14" xfId="3902" xr:uid="{00000000-0005-0000-0000-0000670C0000}"/>
    <cellStyle name="一般 2 2 2" xfId="154" xr:uid="{00000000-0005-0000-0000-0000680C0000}"/>
    <cellStyle name="一般 2 2 2 2" xfId="2003" xr:uid="{00000000-0005-0000-0000-0000690C0000}"/>
    <cellStyle name="一般 2 2 2 2 2" xfId="2455" xr:uid="{00000000-0005-0000-0000-00006A0C0000}"/>
    <cellStyle name="一般 2 2 2 2 2 2" xfId="3617" xr:uid="{00000000-0005-0000-0000-00006B0C0000}"/>
    <cellStyle name="一般 2 2 2 2 2 2 2" xfId="3619" xr:uid="{00000000-0005-0000-0000-00006C0C0000}"/>
    <cellStyle name="一般 2 2 2 2 3" xfId="3007" xr:uid="{00000000-0005-0000-0000-00006D0C0000}"/>
    <cellStyle name="一般 2 2 2 2 4" xfId="2117" xr:uid="{00000000-0005-0000-0000-00006E0C0000}"/>
    <cellStyle name="一般 2 2 2 2 5" xfId="3593" xr:uid="{00000000-0005-0000-0000-00006F0C0000}"/>
    <cellStyle name="一般 2 2 2 3" xfId="3218" xr:uid="{00000000-0005-0000-0000-0000700C0000}"/>
    <cellStyle name="一般 2 2 2 4" xfId="2981" xr:uid="{00000000-0005-0000-0000-0000710C0000}"/>
    <cellStyle name="一般 2 2 2 5" xfId="3447" xr:uid="{00000000-0005-0000-0000-0000720C0000}"/>
    <cellStyle name="一般 2 2 3" xfId="1686" xr:uid="{00000000-0005-0000-0000-0000730C0000}"/>
    <cellStyle name="一般 2 2 3 2" xfId="2492" xr:uid="{00000000-0005-0000-0000-0000740C0000}"/>
    <cellStyle name="一般 2 2 3 2 2" xfId="3247" xr:uid="{00000000-0005-0000-0000-0000750C0000}"/>
    <cellStyle name="一般 2 2 3 2 3" xfId="3549" xr:uid="{00000000-0005-0000-0000-0000760C0000}"/>
    <cellStyle name="一般 2 2 3 2 4" xfId="3615" xr:uid="{00000000-0005-0000-0000-0000770C0000}"/>
    <cellStyle name="一般 2 2 3 3" xfId="2953" xr:uid="{00000000-0005-0000-0000-0000780C0000}"/>
    <cellStyle name="一般 2 2 3 4" xfId="2984" xr:uid="{00000000-0005-0000-0000-0000790C0000}"/>
    <cellStyle name="一般 2 2 4" xfId="1704" xr:uid="{00000000-0005-0000-0000-00007A0C0000}"/>
    <cellStyle name="一般 2 2 4 2" xfId="2603" xr:uid="{00000000-0005-0000-0000-00007B0C0000}"/>
    <cellStyle name="一般 2 2 4 2 2" xfId="3261" xr:uid="{00000000-0005-0000-0000-00007C0C0000}"/>
    <cellStyle name="一般 2 2 4 2 3" xfId="3557" xr:uid="{00000000-0005-0000-0000-00007D0C0000}"/>
    <cellStyle name="一般 2 2 4 2 4" xfId="3616" xr:uid="{00000000-0005-0000-0000-00007E0C0000}"/>
    <cellStyle name="一般 2 2 4 3" xfId="2884" xr:uid="{00000000-0005-0000-0000-00007F0C0000}"/>
    <cellStyle name="一般 2 2 4 4" xfId="3408" xr:uid="{00000000-0005-0000-0000-0000800C0000}"/>
    <cellStyle name="一般 2 2 5" xfId="1709" xr:uid="{00000000-0005-0000-0000-0000810C0000}"/>
    <cellStyle name="一般 2 2 6" xfId="1694" xr:uid="{00000000-0005-0000-0000-0000820C0000}"/>
    <cellStyle name="一般 2 2 7" xfId="1706" xr:uid="{00000000-0005-0000-0000-0000830C0000}"/>
    <cellStyle name="一般 2 2 8" xfId="1711" xr:uid="{00000000-0005-0000-0000-0000840C0000}"/>
    <cellStyle name="一般 2 2 9" xfId="2141" xr:uid="{00000000-0005-0000-0000-0000850C0000}"/>
    <cellStyle name="一般 2 20" xfId="3219" xr:uid="{00000000-0005-0000-0000-0000860C0000}"/>
    <cellStyle name="一般 2 21" xfId="2123" xr:uid="{00000000-0005-0000-0000-0000870C0000}"/>
    <cellStyle name="一般 2 22" xfId="3621" xr:uid="{00000000-0005-0000-0000-0000880C0000}"/>
    <cellStyle name="一般 2 23" xfId="3684" xr:uid="{00000000-0005-0000-0000-0000890C0000}"/>
    <cellStyle name="一般 2 24" xfId="3903" xr:uid="{00000000-0005-0000-0000-00008A0C0000}"/>
    <cellStyle name="一般 2 3" xfId="899" xr:uid="{00000000-0005-0000-0000-00008B0C0000}"/>
    <cellStyle name="一般 2 3 2" xfId="1755" xr:uid="{00000000-0005-0000-0000-00008C0C0000}"/>
    <cellStyle name="一般 2 3 2 2" xfId="2842" xr:uid="{00000000-0005-0000-0000-00008D0C0000}"/>
    <cellStyle name="一般 2 3 2 3" xfId="3265" xr:uid="{00000000-0005-0000-0000-00008E0C0000}"/>
    <cellStyle name="一般 2 3 2 4" xfId="3345" xr:uid="{00000000-0005-0000-0000-00008F0C0000}"/>
    <cellStyle name="一般 2 3 3" xfId="2092" xr:uid="{00000000-0005-0000-0000-0000900C0000}"/>
    <cellStyle name="一般 2 3 4" xfId="2831" xr:uid="{00000000-0005-0000-0000-0000910C0000}"/>
    <cellStyle name="一般 2 3 5" xfId="3834" xr:uid="{00000000-0005-0000-0000-0000920C0000}"/>
    <cellStyle name="一般 2 3 6" xfId="3968" xr:uid="{00000000-0005-0000-0000-0000930C0000}"/>
    <cellStyle name="一般 2 4" xfId="1162" xr:uid="{00000000-0005-0000-0000-0000940C0000}"/>
    <cellStyle name="一般 2 4 2" xfId="2339" xr:uid="{00000000-0005-0000-0000-0000950C0000}"/>
    <cellStyle name="一般 2 4 2 2" xfId="2975" xr:uid="{00000000-0005-0000-0000-0000960C0000}"/>
    <cellStyle name="一般 2 4 2 3" xfId="3361" xr:uid="{00000000-0005-0000-0000-0000970C0000}"/>
    <cellStyle name="一般 2 4 2 4" xfId="3451" xr:uid="{00000000-0005-0000-0000-0000980C0000}"/>
    <cellStyle name="一般 2 4 3" xfId="2979" xr:uid="{00000000-0005-0000-0000-0000990C0000}"/>
    <cellStyle name="一般 2 4 4" xfId="3412" xr:uid="{00000000-0005-0000-0000-00009A0C0000}"/>
    <cellStyle name="一般 2 4 5" xfId="3960" xr:uid="{00000000-0005-0000-0000-00009B0C0000}"/>
    <cellStyle name="一般 2 4 6" xfId="3988" xr:uid="{00000000-0005-0000-0000-00009C0C0000}"/>
    <cellStyle name="一般 2 5" xfId="1214" xr:uid="{00000000-0005-0000-0000-00009D0C0000}"/>
    <cellStyle name="一般 2 5 2" xfId="3958" xr:uid="{00000000-0005-0000-0000-00009E0C0000}"/>
    <cellStyle name="一般 2 5 3" xfId="3986" xr:uid="{00000000-0005-0000-0000-00009F0C0000}"/>
    <cellStyle name="一般 2 6" xfId="1232" xr:uid="{00000000-0005-0000-0000-0000A00C0000}"/>
    <cellStyle name="一般 2 6 2" xfId="3961" xr:uid="{00000000-0005-0000-0000-0000A10C0000}"/>
    <cellStyle name="一般 2 6 3" xfId="3989" xr:uid="{00000000-0005-0000-0000-0000A20C0000}"/>
    <cellStyle name="一般 2 7" xfId="1161" xr:uid="{00000000-0005-0000-0000-0000A30C0000}"/>
    <cellStyle name="一般 2 7 2" xfId="3959" xr:uid="{00000000-0005-0000-0000-0000A40C0000}"/>
    <cellStyle name="一般 2 7 3" xfId="3987" xr:uid="{00000000-0005-0000-0000-0000A50C0000}"/>
    <cellStyle name="一般 2 8" xfId="834" xr:uid="{00000000-0005-0000-0000-0000A60C0000}"/>
    <cellStyle name="一般 2 8 2" xfId="3962" xr:uid="{00000000-0005-0000-0000-0000A70C0000}"/>
    <cellStyle name="一般 2 8 3" xfId="3990" xr:uid="{00000000-0005-0000-0000-0000A80C0000}"/>
    <cellStyle name="一般 2 9" xfId="1047" xr:uid="{00000000-0005-0000-0000-0000A90C0000}"/>
    <cellStyle name="一般 20" xfId="25" xr:uid="{00000000-0005-0000-0000-0000AA0C0000}"/>
    <cellStyle name="一般 200" xfId="3836" xr:uid="{00000000-0005-0000-0000-0000AB0C0000}"/>
    <cellStyle name="一般 201" xfId="3837" xr:uid="{00000000-0005-0000-0000-0000AC0C0000}"/>
    <cellStyle name="一般 202" xfId="3838" xr:uid="{00000000-0005-0000-0000-0000AD0C0000}"/>
    <cellStyle name="一般 203" xfId="3839" xr:uid="{00000000-0005-0000-0000-0000AE0C0000}"/>
    <cellStyle name="一般 204" xfId="3840" xr:uid="{00000000-0005-0000-0000-0000AF0C0000}"/>
    <cellStyle name="一般 205" xfId="3841" xr:uid="{00000000-0005-0000-0000-0000B00C0000}"/>
    <cellStyle name="一般 206" xfId="3842" xr:uid="{00000000-0005-0000-0000-0000B10C0000}"/>
    <cellStyle name="一般 207" xfId="3843" xr:uid="{00000000-0005-0000-0000-0000B20C0000}"/>
    <cellStyle name="一般 208" xfId="3844" xr:uid="{00000000-0005-0000-0000-0000B30C0000}"/>
    <cellStyle name="一般 209" xfId="3845" xr:uid="{00000000-0005-0000-0000-0000B40C0000}"/>
    <cellStyle name="一般 21" xfId="819" xr:uid="{00000000-0005-0000-0000-0000B50C0000}"/>
    <cellStyle name="一般 21 2" xfId="2276" xr:uid="{00000000-0005-0000-0000-0000B60C0000}"/>
    <cellStyle name="一般 21 2 2" xfId="2807" xr:uid="{00000000-0005-0000-0000-0000B70C0000}"/>
    <cellStyle name="一般 21 2 3" xfId="1716" xr:uid="{00000000-0005-0000-0000-0000B80C0000}"/>
    <cellStyle name="一般 21 2 4" xfId="2697" xr:uid="{00000000-0005-0000-0000-0000B90C0000}"/>
    <cellStyle name="一般 21 3" xfId="2732" xr:uid="{00000000-0005-0000-0000-0000BA0C0000}"/>
    <cellStyle name="一般 21 4" xfId="3323" xr:uid="{00000000-0005-0000-0000-0000BB0C0000}"/>
    <cellStyle name="一般 21 5" xfId="3846" xr:uid="{00000000-0005-0000-0000-0000BC0C0000}"/>
    <cellStyle name="一般 21 6" xfId="3969" xr:uid="{00000000-0005-0000-0000-0000BD0C0000}"/>
    <cellStyle name="一般 210" xfId="3847" xr:uid="{00000000-0005-0000-0000-0000BE0C0000}"/>
    <cellStyle name="一般 211" xfId="3848" xr:uid="{00000000-0005-0000-0000-0000BF0C0000}"/>
    <cellStyle name="一般 212" xfId="3849" xr:uid="{00000000-0005-0000-0000-0000C00C0000}"/>
    <cellStyle name="一般 213" xfId="3850" xr:uid="{00000000-0005-0000-0000-0000C10C0000}"/>
    <cellStyle name="一般 214" xfId="3851" xr:uid="{00000000-0005-0000-0000-0000C20C0000}"/>
    <cellStyle name="一般 215" xfId="3852" xr:uid="{00000000-0005-0000-0000-0000C30C0000}"/>
    <cellStyle name="一般 216" xfId="3853" xr:uid="{00000000-0005-0000-0000-0000C40C0000}"/>
    <cellStyle name="一般 217" xfId="3854" xr:uid="{00000000-0005-0000-0000-0000C50C0000}"/>
    <cellStyle name="一般 218" xfId="3855" xr:uid="{00000000-0005-0000-0000-0000C60C0000}"/>
    <cellStyle name="一般 219" xfId="3856" xr:uid="{00000000-0005-0000-0000-0000C70C0000}"/>
    <cellStyle name="一般 22" xfId="1211" xr:uid="{00000000-0005-0000-0000-0000C80C0000}"/>
    <cellStyle name="一般 22 2" xfId="2277" xr:uid="{00000000-0005-0000-0000-0000C90C0000}"/>
    <cellStyle name="一般 22 2 2" xfId="3003" xr:uid="{00000000-0005-0000-0000-0000CA0C0000}"/>
    <cellStyle name="一般 22 2 3" xfId="3388" xr:uid="{00000000-0005-0000-0000-0000CB0C0000}"/>
    <cellStyle name="一般 22 2 4" xfId="2911" xr:uid="{00000000-0005-0000-0000-0000CC0C0000}"/>
    <cellStyle name="一般 22 3" xfId="2701" xr:uid="{00000000-0005-0000-0000-0000CD0C0000}"/>
    <cellStyle name="一般 22 4" xfId="2016" xr:uid="{00000000-0005-0000-0000-0000CE0C0000}"/>
    <cellStyle name="一般 22 5" xfId="3857" xr:uid="{00000000-0005-0000-0000-0000CF0C0000}"/>
    <cellStyle name="一般 22 6" xfId="3970" xr:uid="{00000000-0005-0000-0000-0000D00C0000}"/>
    <cellStyle name="一般 220" xfId="3858" xr:uid="{00000000-0005-0000-0000-0000D10C0000}"/>
    <cellStyle name="一般 221" xfId="3859" xr:uid="{00000000-0005-0000-0000-0000D20C0000}"/>
    <cellStyle name="一般 222" xfId="3860" xr:uid="{00000000-0005-0000-0000-0000D30C0000}"/>
    <cellStyle name="一般 223" xfId="3861" xr:uid="{00000000-0005-0000-0000-0000D40C0000}"/>
    <cellStyle name="一般 224" xfId="3862" xr:uid="{00000000-0005-0000-0000-0000D50C0000}"/>
    <cellStyle name="一般 225" xfId="3863" xr:uid="{00000000-0005-0000-0000-0000D60C0000}"/>
    <cellStyle name="一般 226" xfId="3864" xr:uid="{00000000-0005-0000-0000-0000D70C0000}"/>
    <cellStyle name="一般 227" xfId="3865" xr:uid="{00000000-0005-0000-0000-0000D80C0000}"/>
    <cellStyle name="一般 228" xfId="3866" xr:uid="{00000000-0005-0000-0000-0000D90C0000}"/>
    <cellStyle name="一般 229" xfId="3867" xr:uid="{00000000-0005-0000-0000-0000DA0C0000}"/>
    <cellStyle name="一般 23" xfId="826" xr:uid="{00000000-0005-0000-0000-0000DB0C0000}"/>
    <cellStyle name="一般 23 2" xfId="2278" xr:uid="{00000000-0005-0000-0000-0000DC0C0000}"/>
    <cellStyle name="一般 23 2 2" xfId="2811" xr:uid="{00000000-0005-0000-0000-0000DD0C0000}"/>
    <cellStyle name="一般 23 2 3" xfId="2120" xr:uid="{00000000-0005-0000-0000-0000DE0C0000}"/>
    <cellStyle name="一般 23 2 4" xfId="3122" xr:uid="{00000000-0005-0000-0000-0000DF0C0000}"/>
    <cellStyle name="一般 23 3" xfId="2674" xr:uid="{00000000-0005-0000-0000-0000E00C0000}"/>
    <cellStyle name="一般 23 4" xfId="2691" xr:uid="{00000000-0005-0000-0000-0000E10C0000}"/>
    <cellStyle name="一般 23 5" xfId="3868" xr:uid="{00000000-0005-0000-0000-0000E20C0000}"/>
    <cellStyle name="一般 23 6" xfId="3971" xr:uid="{00000000-0005-0000-0000-0000E30C0000}"/>
    <cellStyle name="一般 230" xfId="3869" xr:uid="{00000000-0005-0000-0000-0000E40C0000}"/>
    <cellStyle name="一般 231" xfId="3870" xr:uid="{00000000-0005-0000-0000-0000E50C0000}"/>
    <cellStyle name="一般 232" xfId="3871" xr:uid="{00000000-0005-0000-0000-0000E60C0000}"/>
    <cellStyle name="一般 233" xfId="3872" xr:uid="{00000000-0005-0000-0000-0000E70C0000}"/>
    <cellStyle name="一般 234" xfId="3873" xr:uid="{00000000-0005-0000-0000-0000E80C0000}"/>
    <cellStyle name="一般 235" xfId="3874" xr:uid="{00000000-0005-0000-0000-0000E90C0000}"/>
    <cellStyle name="一般 236" xfId="3875" xr:uid="{00000000-0005-0000-0000-0000EA0C0000}"/>
    <cellStyle name="一般 237" xfId="3876" xr:uid="{00000000-0005-0000-0000-0000EB0C0000}"/>
    <cellStyle name="一般 238" xfId="3877" xr:uid="{00000000-0005-0000-0000-0000EC0C0000}"/>
    <cellStyle name="一般 239" xfId="3878" xr:uid="{00000000-0005-0000-0000-0000ED0C0000}"/>
    <cellStyle name="一般 24" xfId="1062" xr:uid="{00000000-0005-0000-0000-0000EE0C0000}"/>
    <cellStyle name="一般 24 2" xfId="2279" xr:uid="{00000000-0005-0000-0000-0000EF0C0000}"/>
    <cellStyle name="一般 24 2 2" xfId="2924" xr:uid="{00000000-0005-0000-0000-0000F00C0000}"/>
    <cellStyle name="一般 24 2 3" xfId="3321" xr:uid="{00000000-0005-0000-0000-0000F10C0000}"/>
    <cellStyle name="一般 24 2 4" xfId="3507" xr:uid="{00000000-0005-0000-0000-0000F20C0000}"/>
    <cellStyle name="一般 24 3" xfId="2245" xr:uid="{00000000-0005-0000-0000-0000F30C0000}"/>
    <cellStyle name="一般 24 4" xfId="2266" xr:uid="{00000000-0005-0000-0000-0000F40C0000}"/>
    <cellStyle name="一般 24 5" xfId="3879" xr:uid="{00000000-0005-0000-0000-0000F50C0000}"/>
    <cellStyle name="一般 24 6" xfId="3972" xr:uid="{00000000-0005-0000-0000-0000F60C0000}"/>
    <cellStyle name="一般 240" xfId="3880" xr:uid="{00000000-0005-0000-0000-0000F70C0000}"/>
    <cellStyle name="一般 241" xfId="3881" xr:uid="{00000000-0005-0000-0000-0000F80C0000}"/>
    <cellStyle name="一般 242" xfId="3882" xr:uid="{00000000-0005-0000-0000-0000F90C0000}"/>
    <cellStyle name="一般 243" xfId="3883" xr:uid="{00000000-0005-0000-0000-0000FA0C0000}"/>
    <cellStyle name="一般 244" xfId="3884" xr:uid="{00000000-0005-0000-0000-0000FB0C0000}"/>
    <cellStyle name="一般 245" xfId="3885" xr:uid="{00000000-0005-0000-0000-0000FC0C0000}"/>
    <cellStyle name="一般 246" xfId="3886" xr:uid="{00000000-0005-0000-0000-0000FD0C0000}"/>
    <cellStyle name="一般 247" xfId="3887" xr:uid="{00000000-0005-0000-0000-0000FE0C0000}"/>
    <cellStyle name="一般 248" xfId="3888" xr:uid="{00000000-0005-0000-0000-0000FF0C0000}"/>
    <cellStyle name="一般 249" xfId="3889" xr:uid="{00000000-0005-0000-0000-0000000D0000}"/>
    <cellStyle name="一般 25" xfId="1250" xr:uid="{00000000-0005-0000-0000-0000010D0000}"/>
    <cellStyle name="一般 25 2" xfId="2280" xr:uid="{00000000-0005-0000-0000-0000020D0000}"/>
    <cellStyle name="一般 25 2 2" xfId="3029" xr:uid="{00000000-0005-0000-0000-0000030D0000}"/>
    <cellStyle name="一般 25 2 3" xfId="3409" xr:uid="{00000000-0005-0000-0000-0000040D0000}"/>
    <cellStyle name="一般 25 2 4" xfId="3564" xr:uid="{00000000-0005-0000-0000-0000050D0000}"/>
    <cellStyle name="一般 25 3" xfId="2223" xr:uid="{00000000-0005-0000-0000-0000060D0000}"/>
    <cellStyle name="一般 25 4" xfId="3531" xr:uid="{00000000-0005-0000-0000-0000070D0000}"/>
    <cellStyle name="一般 25 5" xfId="3890" xr:uid="{00000000-0005-0000-0000-0000080D0000}"/>
    <cellStyle name="一般 25 6" xfId="3973" xr:uid="{00000000-0005-0000-0000-0000090D0000}"/>
    <cellStyle name="一般 250" xfId="3891" xr:uid="{00000000-0005-0000-0000-00000A0D0000}"/>
    <cellStyle name="一般 251" xfId="3892" xr:uid="{00000000-0005-0000-0000-00000B0D0000}"/>
    <cellStyle name="一般 252" xfId="3893" xr:uid="{00000000-0005-0000-0000-00000C0D0000}"/>
    <cellStyle name="一般 253" xfId="3957" xr:uid="{00000000-0005-0000-0000-00000D0D0000}"/>
    <cellStyle name="一般 254" xfId="4006" xr:uid="{00000000-0005-0000-0000-00000E0D0000}"/>
    <cellStyle name="一般 255" xfId="3991" xr:uid="{00000000-0005-0000-0000-00000F0D0000}"/>
    <cellStyle name="一般 256" xfId="4994" xr:uid="{00000000-0005-0000-0000-0000100D0000}"/>
    <cellStyle name="一般 257" xfId="5153" xr:uid="{00000000-0005-0000-0000-0000110D0000}"/>
    <cellStyle name="一般 258" xfId="5312" xr:uid="{00000000-0005-0000-0000-0000120D0000}"/>
    <cellStyle name="一般 259" xfId="5314" xr:uid="{00000000-0005-0000-0000-0000130D0000}"/>
    <cellStyle name="一般 26" xfId="1405" xr:uid="{00000000-0005-0000-0000-0000140D0000}"/>
    <cellStyle name="一般 26 2" xfId="2281" xr:uid="{00000000-0005-0000-0000-0000150D0000}"/>
    <cellStyle name="一般 26 2 2" xfId="3123" xr:uid="{00000000-0005-0000-0000-0000160D0000}"/>
    <cellStyle name="一般 26 2 3" xfId="3455" xr:uid="{00000000-0005-0000-0000-0000170D0000}"/>
    <cellStyle name="一般 26 2 4" xfId="3585" xr:uid="{00000000-0005-0000-0000-0000180D0000}"/>
    <cellStyle name="一般 26 3" xfId="2192" xr:uid="{00000000-0005-0000-0000-0000190D0000}"/>
    <cellStyle name="一般 26 4" xfId="3400" xr:uid="{00000000-0005-0000-0000-00001A0D0000}"/>
    <cellStyle name="一般 26 5" xfId="3894" xr:uid="{00000000-0005-0000-0000-00001B0D0000}"/>
    <cellStyle name="一般 26 6" xfId="3974" xr:uid="{00000000-0005-0000-0000-00001C0D0000}"/>
    <cellStyle name="一般 27" xfId="1475" xr:uid="{00000000-0005-0000-0000-00001D0D0000}"/>
    <cellStyle name="一般 27 2" xfId="2282" xr:uid="{00000000-0005-0000-0000-00001E0D0000}"/>
    <cellStyle name="一般 27 2 2" xfId="3157" xr:uid="{00000000-0005-0000-0000-00001F0D0000}"/>
    <cellStyle name="一般 27 2 3" xfId="3482" xr:uid="{00000000-0005-0000-0000-0000200D0000}"/>
    <cellStyle name="一般 27 2 4" xfId="3588" xr:uid="{00000000-0005-0000-0000-0000210D0000}"/>
    <cellStyle name="一般 27 3" xfId="2162" xr:uid="{00000000-0005-0000-0000-0000220D0000}"/>
    <cellStyle name="一般 27 4" xfId="3518" xr:uid="{00000000-0005-0000-0000-0000230D0000}"/>
    <cellStyle name="一般 27 5" xfId="3895" xr:uid="{00000000-0005-0000-0000-0000240D0000}"/>
    <cellStyle name="一般 27 6" xfId="3975" xr:uid="{00000000-0005-0000-0000-0000250D0000}"/>
    <cellStyle name="一般 28" xfId="1531" xr:uid="{00000000-0005-0000-0000-0000260D0000}"/>
    <cellStyle name="一般 28 2" xfId="2283" xr:uid="{00000000-0005-0000-0000-0000270D0000}"/>
    <cellStyle name="一般 28 2 2" xfId="3177" xr:uid="{00000000-0005-0000-0000-0000280D0000}"/>
    <cellStyle name="一般 28 2 3" xfId="3500" xr:uid="{00000000-0005-0000-0000-0000290D0000}"/>
    <cellStyle name="一般 28 2 4" xfId="3598" xr:uid="{00000000-0005-0000-0000-00002A0D0000}"/>
    <cellStyle name="一般 28 3" xfId="2052" xr:uid="{00000000-0005-0000-0000-00002B0D0000}"/>
    <cellStyle name="一般 28 4" xfId="1806" xr:uid="{00000000-0005-0000-0000-00002C0D0000}"/>
    <cellStyle name="一般 28 5" xfId="3896" xr:uid="{00000000-0005-0000-0000-00002D0D0000}"/>
    <cellStyle name="一般 28 6" xfId="3976" xr:uid="{00000000-0005-0000-0000-00002E0D0000}"/>
    <cellStyle name="一般 29" xfId="1596" xr:uid="{00000000-0005-0000-0000-00002F0D0000}"/>
    <cellStyle name="一般 29 2" xfId="2284" xr:uid="{00000000-0005-0000-0000-0000300D0000}"/>
    <cellStyle name="一般 29 2 2" xfId="3199" xr:uid="{00000000-0005-0000-0000-0000310D0000}"/>
    <cellStyle name="一般 29 2 3" xfId="3524" xr:uid="{00000000-0005-0000-0000-0000320D0000}"/>
    <cellStyle name="一般 29 2 4" xfId="3605" xr:uid="{00000000-0005-0000-0000-0000330D0000}"/>
    <cellStyle name="一般 29 3" xfId="1949" xr:uid="{00000000-0005-0000-0000-0000340D0000}"/>
    <cellStyle name="一般 29 4" xfId="2267" xr:uid="{00000000-0005-0000-0000-0000350D0000}"/>
    <cellStyle name="一般 29 5" xfId="3897" xr:uid="{00000000-0005-0000-0000-0000360D0000}"/>
    <cellStyle name="一般 29 6" xfId="3977" xr:uid="{00000000-0005-0000-0000-0000370D0000}"/>
    <cellStyle name="一般 3" xfId="4004" xr:uid="{00000000-0005-0000-0000-0000380D0000}"/>
    <cellStyle name="一般 3 10" xfId="3978" xr:uid="{00000000-0005-0000-0000-0000390D0000}"/>
    <cellStyle name="一般 3 2" xfId="155" xr:uid="{00000000-0005-0000-0000-00003A0D0000}"/>
    <cellStyle name="一般 3 3" xfId="1687" xr:uid="{00000000-0005-0000-0000-00003B0D0000}"/>
    <cellStyle name="一般 3 4" xfId="1696" xr:uid="{00000000-0005-0000-0000-00003C0D0000}"/>
    <cellStyle name="一般 3 5" xfId="1700" xr:uid="{00000000-0005-0000-0000-00003D0D0000}"/>
    <cellStyle name="一般 3 6" xfId="1699" xr:uid="{00000000-0005-0000-0000-00003E0D0000}"/>
    <cellStyle name="一般 3 7" xfId="1692" xr:uid="{00000000-0005-0000-0000-00003F0D0000}"/>
    <cellStyle name="一般 3 8" xfId="3318" xr:uid="{00000000-0005-0000-0000-0000400D0000}"/>
    <cellStyle name="一般 3 9" xfId="3898" xr:uid="{00000000-0005-0000-0000-0000410D0000}"/>
    <cellStyle name="一般 30" xfId="1388" xr:uid="{00000000-0005-0000-0000-0000420D0000}"/>
    <cellStyle name="一般 30 2" xfId="2285" xr:uid="{00000000-0005-0000-0000-0000430D0000}"/>
    <cellStyle name="一般 30 2 2" xfId="3116" xr:uid="{00000000-0005-0000-0000-0000440D0000}"/>
    <cellStyle name="一般 30 2 3" xfId="3450" xr:uid="{00000000-0005-0000-0000-0000450D0000}"/>
    <cellStyle name="一般 30 2 4" xfId="3583" xr:uid="{00000000-0005-0000-0000-0000460D0000}"/>
    <cellStyle name="一般 30 3" xfId="2143" xr:uid="{00000000-0005-0000-0000-0000470D0000}"/>
    <cellStyle name="一般 30 4" xfId="3205" xr:uid="{00000000-0005-0000-0000-0000480D0000}"/>
    <cellStyle name="一般 30 5" xfId="3899" xr:uid="{00000000-0005-0000-0000-0000490D0000}"/>
    <cellStyle name="一般 30 6" xfId="3979" xr:uid="{00000000-0005-0000-0000-00004A0D0000}"/>
    <cellStyle name="一般 31" xfId="2286" xr:uid="{00000000-0005-0000-0000-00004B0D0000}"/>
    <cellStyle name="一般 32" xfId="2287" xr:uid="{00000000-0005-0000-0000-00004C0D0000}"/>
    <cellStyle name="一般 33" xfId="2288" xr:uid="{00000000-0005-0000-0000-00004D0D0000}"/>
    <cellStyle name="一般 34" xfId="2289" xr:uid="{00000000-0005-0000-0000-00004E0D0000}"/>
    <cellStyle name="一般 35" xfId="2290" xr:uid="{00000000-0005-0000-0000-00004F0D0000}"/>
    <cellStyle name="一般 36" xfId="2291" xr:uid="{00000000-0005-0000-0000-0000500D0000}"/>
    <cellStyle name="一般 37" xfId="2292" xr:uid="{00000000-0005-0000-0000-0000510D0000}"/>
    <cellStyle name="一般 38" xfId="2293" xr:uid="{00000000-0005-0000-0000-0000520D0000}"/>
    <cellStyle name="一般 39" xfId="2294" xr:uid="{00000000-0005-0000-0000-0000530D0000}"/>
    <cellStyle name="一般 4" xfId="156" xr:uid="{00000000-0005-0000-0000-0000540D0000}"/>
    <cellStyle name="一般 40" xfId="2295" xr:uid="{00000000-0005-0000-0000-0000550D0000}"/>
    <cellStyle name="一般 41" xfId="2296" xr:uid="{00000000-0005-0000-0000-0000560D0000}"/>
    <cellStyle name="一般 42" xfId="2297" xr:uid="{00000000-0005-0000-0000-0000570D0000}"/>
    <cellStyle name="一般 43" xfId="2298" xr:uid="{00000000-0005-0000-0000-0000580D0000}"/>
    <cellStyle name="一般 44" xfId="2299" xr:uid="{00000000-0005-0000-0000-0000590D0000}"/>
    <cellStyle name="一般 45" xfId="2300" xr:uid="{00000000-0005-0000-0000-00005A0D0000}"/>
    <cellStyle name="一般 46" xfId="2301" xr:uid="{00000000-0005-0000-0000-00005B0D0000}"/>
    <cellStyle name="一般 47" xfId="2302" xr:uid="{00000000-0005-0000-0000-00005C0D0000}"/>
    <cellStyle name="一般 48" xfId="2303" xr:uid="{00000000-0005-0000-0000-00005D0D0000}"/>
    <cellStyle name="一般 49" xfId="2304" xr:uid="{00000000-0005-0000-0000-00005E0D0000}"/>
    <cellStyle name="一般 5" xfId="19" xr:uid="{00000000-0005-0000-0000-00005F0D0000}"/>
    <cellStyle name="一般 5 2" xfId="2082" xr:uid="{00000000-0005-0000-0000-0000600D0000}"/>
    <cellStyle name="一般 50" xfId="2305" xr:uid="{00000000-0005-0000-0000-0000610D0000}"/>
    <cellStyle name="一般 50 2" xfId="3904" xr:uid="{00000000-0005-0000-0000-0000620D0000}"/>
    <cellStyle name="一般 50 3" xfId="3980" xr:uid="{00000000-0005-0000-0000-0000630D0000}"/>
    <cellStyle name="一般 51" xfId="2449" xr:uid="{00000000-0005-0000-0000-0000640D0000}"/>
    <cellStyle name="一般 51 2" xfId="3905" xr:uid="{00000000-0005-0000-0000-0000650D0000}"/>
    <cellStyle name="一般 51 3" xfId="3981" xr:uid="{00000000-0005-0000-0000-0000660D0000}"/>
    <cellStyle name="一般 52" xfId="3906" xr:uid="{00000000-0005-0000-0000-0000670D0000}"/>
    <cellStyle name="一般 53" xfId="3907" xr:uid="{00000000-0005-0000-0000-0000680D0000}"/>
    <cellStyle name="一般 54" xfId="3505" xr:uid="{00000000-0005-0000-0000-0000690D0000}"/>
    <cellStyle name="一般 54 2" xfId="3908" xr:uid="{00000000-0005-0000-0000-00006A0D0000}"/>
    <cellStyle name="一般 54 3" xfId="3982" xr:uid="{00000000-0005-0000-0000-00006B0D0000}"/>
    <cellStyle name="一般 54 4" xfId="4845" xr:uid="{00000000-0005-0000-0000-00006C0D0000}"/>
    <cellStyle name="一般 55" xfId="3909" xr:uid="{00000000-0005-0000-0000-00006D0D0000}"/>
    <cellStyle name="一般 56" xfId="3910" xr:uid="{00000000-0005-0000-0000-00006E0D0000}"/>
    <cellStyle name="一般 57" xfId="3911" xr:uid="{00000000-0005-0000-0000-00006F0D0000}"/>
    <cellStyle name="一般 58" xfId="3912" xr:uid="{00000000-0005-0000-0000-0000700D0000}"/>
    <cellStyle name="一般 59" xfId="3913" xr:uid="{00000000-0005-0000-0000-0000710D0000}"/>
    <cellStyle name="一般 6" xfId="17" xr:uid="{00000000-0005-0000-0000-0000720D0000}"/>
    <cellStyle name="一般 6 2" xfId="2107" xr:uid="{00000000-0005-0000-0000-0000730D0000}"/>
    <cellStyle name="一般 60" xfId="3914" xr:uid="{00000000-0005-0000-0000-0000740D0000}"/>
    <cellStyle name="一般 61" xfId="3915" xr:uid="{00000000-0005-0000-0000-0000750D0000}"/>
    <cellStyle name="一般 62" xfId="3916" xr:uid="{00000000-0005-0000-0000-0000760D0000}"/>
    <cellStyle name="一般 63" xfId="3917" xr:uid="{00000000-0005-0000-0000-0000770D0000}"/>
    <cellStyle name="一般 64" xfId="3918" xr:uid="{00000000-0005-0000-0000-0000780D0000}"/>
    <cellStyle name="一般 65" xfId="3919" xr:uid="{00000000-0005-0000-0000-0000790D0000}"/>
    <cellStyle name="一般 66" xfId="3920" xr:uid="{00000000-0005-0000-0000-00007A0D0000}"/>
    <cellStyle name="一般 67" xfId="3921" xr:uid="{00000000-0005-0000-0000-00007B0D0000}"/>
    <cellStyle name="一般 68" xfId="3922" xr:uid="{00000000-0005-0000-0000-00007C0D0000}"/>
    <cellStyle name="一般 69" xfId="3923" xr:uid="{00000000-0005-0000-0000-00007D0D0000}"/>
    <cellStyle name="一般 7" xfId="21" xr:uid="{00000000-0005-0000-0000-00007E0D0000}"/>
    <cellStyle name="一般 7 2" xfId="2131" xr:uid="{00000000-0005-0000-0000-00007F0D0000}"/>
    <cellStyle name="一般 70" xfId="3924" xr:uid="{00000000-0005-0000-0000-0000800D0000}"/>
    <cellStyle name="一般 71" xfId="3925" xr:uid="{00000000-0005-0000-0000-0000810D0000}"/>
    <cellStyle name="一般 72" xfId="3926" xr:uid="{00000000-0005-0000-0000-0000820D0000}"/>
    <cellStyle name="一般 73" xfId="3927" xr:uid="{00000000-0005-0000-0000-0000830D0000}"/>
    <cellStyle name="一般 74" xfId="3928" xr:uid="{00000000-0005-0000-0000-0000840D0000}"/>
    <cellStyle name="一般 75" xfId="3929" xr:uid="{00000000-0005-0000-0000-0000850D0000}"/>
    <cellStyle name="一般 76" xfId="3930" xr:uid="{00000000-0005-0000-0000-0000860D0000}"/>
    <cellStyle name="一般 77" xfId="3931" xr:uid="{00000000-0005-0000-0000-0000870D0000}"/>
    <cellStyle name="一般 78" xfId="3932" xr:uid="{00000000-0005-0000-0000-0000880D0000}"/>
    <cellStyle name="一般 79" xfId="3933" xr:uid="{00000000-0005-0000-0000-0000890D0000}"/>
    <cellStyle name="一般 8" xfId="158" xr:uid="{00000000-0005-0000-0000-00008A0D0000}"/>
    <cellStyle name="一般 8 2" xfId="1935" xr:uid="{00000000-0005-0000-0000-00008B0D0000}"/>
    <cellStyle name="一般 8 2 2" xfId="2156" xr:uid="{00000000-0005-0000-0000-00008C0D0000}"/>
    <cellStyle name="一般 8 2 3" xfId="2053" xr:uid="{00000000-0005-0000-0000-00008D0D0000}"/>
    <cellStyle name="一般 8 2 4" xfId="3413" xr:uid="{00000000-0005-0000-0000-00008E0D0000}"/>
    <cellStyle name="一般 8 2 5" xfId="4258" xr:uid="{00000000-0005-0000-0000-00008F0D0000}"/>
    <cellStyle name="一般 8 3" xfId="2430" xr:uid="{00000000-0005-0000-0000-0000900D0000}"/>
    <cellStyle name="一般 8 4" xfId="3098" xr:uid="{00000000-0005-0000-0000-0000910D0000}"/>
    <cellStyle name="一般 8 4 2" xfId="4660" xr:uid="{00000000-0005-0000-0000-0000920D0000}"/>
    <cellStyle name="一般 8 5" xfId="3470" xr:uid="{00000000-0005-0000-0000-0000930D0000}"/>
    <cellStyle name="一般 8 5 2" xfId="4824" xr:uid="{00000000-0005-0000-0000-0000940D0000}"/>
    <cellStyle name="一般 8 6" xfId="5034" xr:uid="{00000000-0005-0000-0000-0000950D0000}"/>
    <cellStyle name="一般 8 7" xfId="5193" xr:uid="{00000000-0005-0000-0000-0000960D0000}"/>
    <cellStyle name="一般 80" xfId="3934" xr:uid="{00000000-0005-0000-0000-0000970D0000}"/>
    <cellStyle name="一般 81" xfId="3935" xr:uid="{00000000-0005-0000-0000-0000980D0000}"/>
    <cellStyle name="一般 82" xfId="3936" xr:uid="{00000000-0005-0000-0000-0000990D0000}"/>
    <cellStyle name="一般 83" xfId="3937" xr:uid="{00000000-0005-0000-0000-00009A0D0000}"/>
    <cellStyle name="一般 84" xfId="3938" xr:uid="{00000000-0005-0000-0000-00009B0D0000}"/>
    <cellStyle name="一般 85" xfId="3939" xr:uid="{00000000-0005-0000-0000-00009C0D0000}"/>
    <cellStyle name="一般 86" xfId="3940" xr:uid="{00000000-0005-0000-0000-00009D0D0000}"/>
    <cellStyle name="一般 87" xfId="3941" xr:uid="{00000000-0005-0000-0000-00009E0D0000}"/>
    <cellStyle name="一般 88" xfId="3942" xr:uid="{00000000-0005-0000-0000-00009F0D0000}"/>
    <cellStyle name="一般 89" xfId="3943" xr:uid="{00000000-0005-0000-0000-0000A00D0000}"/>
    <cellStyle name="一般 9" xfId="22" xr:uid="{00000000-0005-0000-0000-0000A10D0000}"/>
    <cellStyle name="一般 90" xfId="3944" xr:uid="{00000000-0005-0000-0000-0000A20D0000}"/>
    <cellStyle name="一般 91" xfId="3945" xr:uid="{00000000-0005-0000-0000-0000A30D0000}"/>
    <cellStyle name="一般 92" xfId="3946" xr:uid="{00000000-0005-0000-0000-0000A40D0000}"/>
    <cellStyle name="一般 93" xfId="3947" xr:uid="{00000000-0005-0000-0000-0000A50D0000}"/>
    <cellStyle name="一般 94" xfId="3948" xr:uid="{00000000-0005-0000-0000-0000A60D0000}"/>
    <cellStyle name="一般 95" xfId="3949" xr:uid="{00000000-0005-0000-0000-0000A70D0000}"/>
    <cellStyle name="一般 96" xfId="3950" xr:uid="{00000000-0005-0000-0000-0000A80D0000}"/>
    <cellStyle name="一般 97" xfId="3951" xr:uid="{00000000-0005-0000-0000-0000A90D0000}"/>
    <cellStyle name="一般 98" xfId="3952" xr:uid="{00000000-0005-0000-0000-0000AA0D0000}"/>
    <cellStyle name="一般 99" xfId="3953" xr:uid="{00000000-0005-0000-0000-0000AB0D0000}"/>
    <cellStyle name="一般_200909部門別利潤表" xfId="13" xr:uid="{00000000-0005-0000-0000-0000AC0D0000}"/>
    <cellStyle name="一般_2009Q4 forecast- 091204" xfId="4" xr:uid="{00000000-0005-0000-0000-0000AD0D0000}"/>
    <cellStyle name="一般_2010 sales forecast" xfId="5" xr:uid="{00000000-0005-0000-0000-0000AE0D0000}"/>
    <cellStyle name="一般_IS明細" xfId="14" xr:uid="{00000000-0005-0000-0000-0000AF0D0000}"/>
    <cellStyle name="一般_NEW-200810_monthly review_financial" xfId="6" xr:uid="{00000000-0005-0000-0000-0000B00D0000}"/>
    <cellStyle name="一般_Sheet5" xfId="12" xr:uid="{00000000-0005-0000-0000-0000B10D0000}"/>
    <cellStyle name="一般_TWN_前十大客戶毛利率" xfId="11" xr:uid="{00000000-0005-0000-0000-0000B20D0000}"/>
    <cellStyle name="千分位" xfId="2" builtinId="3"/>
    <cellStyle name="千分位 10" xfId="996" xr:uid="{00000000-0005-0000-0000-0000B40D0000}"/>
    <cellStyle name="千分位 11" xfId="1643" xr:uid="{00000000-0005-0000-0000-0000B50D0000}"/>
    <cellStyle name="千分位 12" xfId="5315" xr:uid="{00000000-0005-0000-0000-0000B60D0000}"/>
    <cellStyle name="千分位 2" xfId="9" xr:uid="{00000000-0005-0000-0000-0000B70D0000}"/>
    <cellStyle name="千分位 2 10" xfId="1158" xr:uid="{00000000-0005-0000-0000-0000B80D0000}"/>
    <cellStyle name="千分位 2 11" xfId="1620" xr:uid="{00000000-0005-0000-0000-0000B90D0000}"/>
    <cellStyle name="千分位 2 12" xfId="1678" xr:uid="{00000000-0005-0000-0000-0000BA0D0000}"/>
    <cellStyle name="千分位 2 13" xfId="1688" xr:uid="{00000000-0005-0000-0000-0000BB0D0000}"/>
    <cellStyle name="千分位 2 14" xfId="1705" xr:uid="{00000000-0005-0000-0000-0000BC0D0000}"/>
    <cellStyle name="千分位 2 15" xfId="1708" xr:uid="{00000000-0005-0000-0000-0000BD0D0000}"/>
    <cellStyle name="千分位 2 16" xfId="1698" xr:uid="{00000000-0005-0000-0000-0000BE0D0000}"/>
    <cellStyle name="千分位 2 17" xfId="1695" xr:uid="{00000000-0005-0000-0000-0000BF0D0000}"/>
    <cellStyle name="千分位 2 2" xfId="159" xr:uid="{00000000-0005-0000-0000-0000C00D0000}"/>
    <cellStyle name="千分位 2 2 10" xfId="3006" xr:uid="{00000000-0005-0000-0000-0000C10D0000}"/>
    <cellStyle name="千分位 2 2 11" xfId="3420" xr:uid="{00000000-0005-0000-0000-0000C20D0000}"/>
    <cellStyle name="千分位 2 2 12" xfId="3623" xr:uid="{00000000-0005-0000-0000-0000C30D0000}"/>
    <cellStyle name="千分位 2 2 13" xfId="3686" xr:uid="{00000000-0005-0000-0000-0000C40D0000}"/>
    <cellStyle name="千分位 2 2 14" xfId="3901" xr:uid="{00000000-0005-0000-0000-0000C50D0000}"/>
    <cellStyle name="千分位 2 2 2" xfId="160" xr:uid="{00000000-0005-0000-0000-0000C60D0000}"/>
    <cellStyle name="千分位 2 2 2 2" xfId="2569" xr:uid="{00000000-0005-0000-0000-0000C70D0000}"/>
    <cellStyle name="千分位 2 2 2 2 2" xfId="2416" xr:uid="{00000000-0005-0000-0000-0000C80D0000}"/>
    <cellStyle name="千分位 2 2 2 2 2 2" xfId="3620" xr:uid="{00000000-0005-0000-0000-0000C90D0000}"/>
    <cellStyle name="千分位 2 2 2 2 2 2 2" xfId="3618" xr:uid="{00000000-0005-0000-0000-0000CA0D0000}"/>
    <cellStyle name="千分位 2 2 2 2 3" xfId="2839" xr:uid="{00000000-0005-0000-0000-0000CB0D0000}"/>
    <cellStyle name="千分位 2 2 2 2 4" xfId="2147" xr:uid="{00000000-0005-0000-0000-0000CC0D0000}"/>
    <cellStyle name="千分位 2 2 2 2 5" xfId="3502" xr:uid="{00000000-0005-0000-0000-0000CD0D0000}"/>
    <cellStyle name="千分位 2 2 2 3" xfId="2332" xr:uid="{00000000-0005-0000-0000-0000CE0D0000}"/>
    <cellStyle name="千分位 2 2 2 4" xfId="3560" xr:uid="{00000000-0005-0000-0000-0000CF0D0000}"/>
    <cellStyle name="千分位 2 2 2 5" xfId="3060" xr:uid="{00000000-0005-0000-0000-0000D00D0000}"/>
    <cellStyle name="千分位 2 2 3" xfId="1689" xr:uid="{00000000-0005-0000-0000-0000D10D0000}"/>
    <cellStyle name="千分位 2 2 4" xfId="1697" xr:uid="{00000000-0005-0000-0000-0000D20D0000}"/>
    <cellStyle name="千分位 2 2 5" xfId="1701" xr:uid="{00000000-0005-0000-0000-0000D30D0000}"/>
    <cellStyle name="千分位 2 2 6" xfId="1693" xr:uid="{00000000-0005-0000-0000-0000D40D0000}"/>
    <cellStyle name="千分位 2 2 7" xfId="1703" xr:uid="{00000000-0005-0000-0000-0000D50D0000}"/>
    <cellStyle name="千分位 2 2 8" xfId="1712" xr:uid="{00000000-0005-0000-0000-0000D60D0000}"/>
    <cellStyle name="千分位 2 2 9" xfId="2115" xr:uid="{00000000-0005-0000-0000-0000D70D0000}"/>
    <cellStyle name="千分位 2 3" xfId="907" xr:uid="{00000000-0005-0000-0000-0000D80D0000}"/>
    <cellStyle name="千分位 2 4" xfId="974" xr:uid="{00000000-0005-0000-0000-0000D90D0000}"/>
    <cellStyle name="千分位 2 5" xfId="1023" xr:uid="{00000000-0005-0000-0000-0000DA0D0000}"/>
    <cellStyle name="千分位 2 6" xfId="1140" xr:uid="{00000000-0005-0000-0000-0000DB0D0000}"/>
    <cellStyle name="千分位 2 7" xfId="1202" xr:uid="{00000000-0005-0000-0000-0000DC0D0000}"/>
    <cellStyle name="千分位 2 8" xfId="1009" xr:uid="{00000000-0005-0000-0000-0000DD0D0000}"/>
    <cellStyle name="千分位 2 9" xfId="1014" xr:uid="{00000000-0005-0000-0000-0000DE0D0000}"/>
    <cellStyle name="千分位 3" xfId="906" xr:uid="{00000000-0005-0000-0000-0000DF0D0000}"/>
    <cellStyle name="千分位 3 2" xfId="2845" xr:uid="{00000000-0005-0000-0000-0000E00D0000}"/>
    <cellStyle name="千分位 3 3" xfId="4165" xr:uid="{00000000-0005-0000-0000-0000E10D0000}"/>
    <cellStyle name="千分位 3 4" xfId="4005" xr:uid="{00000000-0005-0000-0000-0000E20D0000}"/>
    <cellStyle name="千分位 4" xfId="1012" xr:uid="{00000000-0005-0000-0000-0000E30D0000}"/>
    <cellStyle name="千分位 4 2" xfId="2896" xr:uid="{00000000-0005-0000-0000-0000E40D0000}"/>
    <cellStyle name="千分位 5" xfId="1146" xr:uid="{00000000-0005-0000-0000-0000E50D0000}"/>
    <cellStyle name="千分位 5 2" xfId="2965" xr:uid="{00000000-0005-0000-0000-0000E60D0000}"/>
    <cellStyle name="千分位 6" xfId="1145" xr:uid="{00000000-0005-0000-0000-0000E70D0000}"/>
    <cellStyle name="千分位 7" xfId="4007" xr:uid="{00000000-0005-0000-0000-0000E80D0000}"/>
    <cellStyle name="千分位 8" xfId="5313" xr:uid="{00000000-0005-0000-0000-0000E90D0000}"/>
    <cellStyle name="千分位 9" xfId="1223" xr:uid="{00000000-0005-0000-0000-0000EA0D0000}"/>
    <cellStyle name="千分位_98年賀毅現流表" xfId="7" xr:uid="{00000000-0005-0000-0000-0000EB0D0000}"/>
    <cellStyle name="中等" xfId="3631" builtinId="28" customBuiltin="1"/>
    <cellStyle name="中等 10" xfId="413" xr:uid="{00000000-0005-0000-0000-0000ED0D0000}"/>
    <cellStyle name="中等 11" xfId="455" xr:uid="{00000000-0005-0000-0000-0000EE0D0000}"/>
    <cellStyle name="中等 12" xfId="496" xr:uid="{00000000-0005-0000-0000-0000EF0D0000}"/>
    <cellStyle name="中等 13" xfId="538" xr:uid="{00000000-0005-0000-0000-0000F00D0000}"/>
    <cellStyle name="中等 14" xfId="579" xr:uid="{00000000-0005-0000-0000-0000F10D0000}"/>
    <cellStyle name="中等 14 2" xfId="2341" xr:uid="{00000000-0005-0000-0000-0000F20D0000}"/>
    <cellStyle name="中等 14 2 2" xfId="2643" xr:uid="{00000000-0005-0000-0000-0000F30D0000}"/>
    <cellStyle name="中等 14 2 3" xfId="3239" xr:uid="{00000000-0005-0000-0000-0000F40D0000}"/>
    <cellStyle name="中等 14 2 4" xfId="3467" xr:uid="{00000000-0005-0000-0000-0000F50D0000}"/>
    <cellStyle name="中等 14 3" xfId="2755" xr:uid="{00000000-0005-0000-0000-0000F60D0000}"/>
    <cellStyle name="中等 14 4" xfId="3462" xr:uid="{00000000-0005-0000-0000-0000F70D0000}"/>
    <cellStyle name="中等 15" xfId="620" xr:uid="{00000000-0005-0000-0000-0000F80D0000}"/>
    <cellStyle name="中等 16" xfId="662" xr:uid="{00000000-0005-0000-0000-0000F90D0000}"/>
    <cellStyle name="中等 17" xfId="703" xr:uid="{00000000-0005-0000-0000-0000FA0D0000}"/>
    <cellStyle name="中等 18" xfId="744" xr:uid="{00000000-0005-0000-0000-0000FB0D0000}"/>
    <cellStyle name="中等 19" xfId="785" xr:uid="{00000000-0005-0000-0000-0000FC0D0000}"/>
    <cellStyle name="中等 2" xfId="161" xr:uid="{00000000-0005-0000-0000-0000FD0D0000}"/>
    <cellStyle name="中等 2 10" xfId="1172" xr:uid="{00000000-0005-0000-0000-0000FE0D0000}"/>
    <cellStyle name="中等 2 11" xfId="1507" xr:uid="{00000000-0005-0000-0000-0000FF0D0000}"/>
    <cellStyle name="中等 2 12" xfId="1640" xr:uid="{00000000-0005-0000-0000-0000000E0000}"/>
    <cellStyle name="中等 2 2" xfId="162" xr:uid="{00000000-0005-0000-0000-0000010E0000}"/>
    <cellStyle name="中等 2 2 2" xfId="2004" xr:uid="{00000000-0005-0000-0000-0000020E0000}"/>
    <cellStyle name="中等 2 2 2 2" xfId="2005" xr:uid="{00000000-0005-0000-0000-0000030E0000}"/>
    <cellStyle name="中等 2 2 2 3" xfId="2494" xr:uid="{00000000-0005-0000-0000-0000040E0000}"/>
    <cellStyle name="中等 2 2 3" xfId="2493" xr:uid="{00000000-0005-0000-0000-0000050E0000}"/>
    <cellStyle name="中等 2 3" xfId="909" xr:uid="{00000000-0005-0000-0000-0000060E0000}"/>
    <cellStyle name="中等 2 4" xfId="973" xr:uid="{00000000-0005-0000-0000-0000070E0000}"/>
    <cellStyle name="中等 2 4 2" xfId="2373" xr:uid="{00000000-0005-0000-0000-0000080E0000}"/>
    <cellStyle name="中等 2 4 2 2" xfId="2874" xr:uid="{00000000-0005-0000-0000-0000090E0000}"/>
    <cellStyle name="中等 2 4 2 3" xfId="3285" xr:uid="{00000000-0005-0000-0000-00000A0E0000}"/>
    <cellStyle name="中等 2 4 2 4" xfId="3395" xr:uid="{00000000-0005-0000-0000-00000B0E0000}"/>
    <cellStyle name="中等 2 4 3" xfId="3252" xr:uid="{00000000-0005-0000-0000-00000C0E0000}"/>
    <cellStyle name="中等 2 4 4" xfId="2935" xr:uid="{00000000-0005-0000-0000-00000D0E0000}"/>
    <cellStyle name="中等 2 5" xfId="1043" xr:uid="{00000000-0005-0000-0000-00000E0E0000}"/>
    <cellStyle name="中等 2 6" xfId="896" xr:uid="{00000000-0005-0000-0000-00000F0E0000}"/>
    <cellStyle name="中等 2 7" xfId="1006" xr:uid="{00000000-0005-0000-0000-0000100E0000}"/>
    <cellStyle name="中等 2 8" xfId="1271" xr:uid="{00000000-0005-0000-0000-0000110E0000}"/>
    <cellStyle name="中等 2 9" xfId="1439" xr:uid="{00000000-0005-0000-0000-0000120E0000}"/>
    <cellStyle name="中等 20" xfId="908" xr:uid="{00000000-0005-0000-0000-0000130E0000}"/>
    <cellStyle name="中等 21" xfId="1013" xr:uid="{00000000-0005-0000-0000-0000140E0000}"/>
    <cellStyle name="中等 22" xfId="1128" xr:uid="{00000000-0005-0000-0000-0000150E0000}"/>
    <cellStyle name="中等 23" xfId="911" xr:uid="{00000000-0005-0000-0000-0000160E0000}"/>
    <cellStyle name="中等 24" xfId="1224" xr:uid="{00000000-0005-0000-0000-0000170E0000}"/>
    <cellStyle name="中等 25" xfId="1442" xr:uid="{00000000-0005-0000-0000-0000180E0000}"/>
    <cellStyle name="中等 26" xfId="1484" xr:uid="{00000000-0005-0000-0000-0000190E0000}"/>
    <cellStyle name="中等 27" xfId="1539" xr:uid="{00000000-0005-0000-0000-00001A0E0000}"/>
    <cellStyle name="中等 28" xfId="1037" xr:uid="{00000000-0005-0000-0000-00001B0E0000}"/>
    <cellStyle name="中等 29" xfId="1416" xr:uid="{00000000-0005-0000-0000-00001C0E0000}"/>
    <cellStyle name="中等 3" xfId="163" xr:uid="{00000000-0005-0000-0000-00001D0E0000}"/>
    <cellStyle name="中等 4" xfId="164" xr:uid="{00000000-0005-0000-0000-00001E0E0000}"/>
    <cellStyle name="中等 5" xfId="165" xr:uid="{00000000-0005-0000-0000-00001F0E0000}"/>
    <cellStyle name="中等 5 2" xfId="1818" xr:uid="{00000000-0005-0000-0000-0000200E0000}"/>
    <cellStyle name="中等 5 3" xfId="2624" xr:uid="{00000000-0005-0000-0000-0000210E0000}"/>
    <cellStyle name="中等 5 4" xfId="2248" xr:uid="{00000000-0005-0000-0000-0000220E0000}"/>
    <cellStyle name="中等 5 5" xfId="2952" xr:uid="{00000000-0005-0000-0000-0000230E0000}"/>
    <cellStyle name="中等 6" xfId="166" xr:uid="{00000000-0005-0000-0000-0000240E0000}"/>
    <cellStyle name="中等 6 2" xfId="1860" xr:uid="{00000000-0005-0000-0000-0000250E0000}"/>
    <cellStyle name="中等 6 3" xfId="2612" xr:uid="{00000000-0005-0000-0000-0000260E0000}"/>
    <cellStyle name="中等 6 4" xfId="1797" xr:uid="{00000000-0005-0000-0000-0000270E0000}"/>
    <cellStyle name="中等 6 5" xfId="2089" xr:uid="{00000000-0005-0000-0000-0000280E0000}"/>
    <cellStyle name="中等 7" xfId="167" xr:uid="{00000000-0005-0000-0000-0000290E0000}"/>
    <cellStyle name="中等 7 2" xfId="1901" xr:uid="{00000000-0005-0000-0000-00002A0E0000}"/>
    <cellStyle name="中等 7 3" xfId="2518" xr:uid="{00000000-0005-0000-0000-00002B0E0000}"/>
    <cellStyle name="中等 7 4" xfId="3084" xr:uid="{00000000-0005-0000-0000-00002C0E0000}"/>
    <cellStyle name="中等 7 5" xfId="3259" xr:uid="{00000000-0005-0000-0000-00002D0E0000}"/>
    <cellStyle name="中等 8" xfId="330" xr:uid="{00000000-0005-0000-0000-00002E0E0000}"/>
    <cellStyle name="中等 9" xfId="372" xr:uid="{00000000-0005-0000-0000-00002F0E0000}"/>
    <cellStyle name="合計" xfId="3639" builtinId="25" customBuiltin="1"/>
    <cellStyle name="合計 10" xfId="422" xr:uid="{00000000-0005-0000-0000-0000310E0000}"/>
    <cellStyle name="合計 11" xfId="464" xr:uid="{00000000-0005-0000-0000-0000320E0000}"/>
    <cellStyle name="合計 12" xfId="505" xr:uid="{00000000-0005-0000-0000-0000330E0000}"/>
    <cellStyle name="合計 13" xfId="547" xr:uid="{00000000-0005-0000-0000-0000340E0000}"/>
    <cellStyle name="合計 14" xfId="588" xr:uid="{00000000-0005-0000-0000-0000350E0000}"/>
    <cellStyle name="合計 14 2" xfId="2345" xr:uid="{00000000-0005-0000-0000-0000360E0000}"/>
    <cellStyle name="合計 14 2 2" xfId="2427" xr:uid="{00000000-0005-0000-0000-0000370E0000}"/>
    <cellStyle name="合計 14 2 3" xfId="1753" xr:uid="{00000000-0005-0000-0000-0000380E0000}"/>
    <cellStyle name="合計 14 2 4" xfId="3392" xr:uid="{00000000-0005-0000-0000-0000390E0000}"/>
    <cellStyle name="合計 14 3" xfId="2247" xr:uid="{00000000-0005-0000-0000-00003A0E0000}"/>
    <cellStyle name="合計 14 4" xfId="2962" xr:uid="{00000000-0005-0000-0000-00003B0E0000}"/>
    <cellStyle name="合計 15" xfId="629" xr:uid="{00000000-0005-0000-0000-00003C0E0000}"/>
    <cellStyle name="合計 16" xfId="671" xr:uid="{00000000-0005-0000-0000-00003D0E0000}"/>
    <cellStyle name="合計 17" xfId="712" xr:uid="{00000000-0005-0000-0000-00003E0E0000}"/>
    <cellStyle name="合計 18" xfId="753" xr:uid="{00000000-0005-0000-0000-00003F0E0000}"/>
    <cellStyle name="合計 19" xfId="794" xr:uid="{00000000-0005-0000-0000-0000400E0000}"/>
    <cellStyle name="合計 2" xfId="168" xr:uid="{00000000-0005-0000-0000-0000410E0000}"/>
    <cellStyle name="合計 2 10" xfId="1435" xr:uid="{00000000-0005-0000-0000-0000420E0000}"/>
    <cellStyle name="合計 2 11" xfId="1264" xr:uid="{00000000-0005-0000-0000-0000430E0000}"/>
    <cellStyle name="合計 2 12" xfId="1607" xr:uid="{00000000-0005-0000-0000-0000440E0000}"/>
    <cellStyle name="合計 2 2" xfId="169" xr:uid="{00000000-0005-0000-0000-0000450E0000}"/>
    <cellStyle name="合計 2 2 2" xfId="2006" xr:uid="{00000000-0005-0000-0000-0000460E0000}"/>
    <cellStyle name="合計 2 2 2 2" xfId="2007" xr:uid="{00000000-0005-0000-0000-0000470E0000}"/>
    <cellStyle name="合計 2 2 2 3" xfId="2496" xr:uid="{00000000-0005-0000-0000-0000480E0000}"/>
    <cellStyle name="合計 2 2 3" xfId="2495" xr:uid="{00000000-0005-0000-0000-0000490E0000}"/>
    <cellStyle name="合計 2 3" xfId="913" xr:uid="{00000000-0005-0000-0000-00004A0E0000}"/>
    <cellStyle name="合計 2 4" xfId="1206" xr:uid="{00000000-0005-0000-0000-00004B0E0000}"/>
    <cellStyle name="合計 2 4 2" xfId="2454" xr:uid="{00000000-0005-0000-0000-00004C0E0000}"/>
    <cellStyle name="合計 2 4 2 2" xfId="3000" xr:uid="{00000000-0005-0000-0000-00004D0E0000}"/>
    <cellStyle name="合計 2 4 2 3" xfId="3386" xr:uid="{00000000-0005-0000-0000-00004E0E0000}"/>
    <cellStyle name="合計 2 4 2 4" xfId="3523" xr:uid="{00000000-0005-0000-0000-00004F0E0000}"/>
    <cellStyle name="合計 2 4 3" xfId="3064" xr:uid="{00000000-0005-0000-0000-0000500E0000}"/>
    <cellStyle name="合計 2 4 4" xfId="3165" xr:uid="{00000000-0005-0000-0000-0000510E0000}"/>
    <cellStyle name="合計 2 5" xfId="1251" xr:uid="{00000000-0005-0000-0000-0000520E0000}"/>
    <cellStyle name="合計 2 6" xfId="1032" xr:uid="{00000000-0005-0000-0000-0000530E0000}"/>
    <cellStyle name="合計 2 7" xfId="1096" xr:uid="{00000000-0005-0000-0000-0000540E0000}"/>
    <cellStyle name="合計 2 8" xfId="830" xr:uid="{00000000-0005-0000-0000-0000550E0000}"/>
    <cellStyle name="合計 2 9" xfId="1036" xr:uid="{00000000-0005-0000-0000-0000560E0000}"/>
    <cellStyle name="合計 20" xfId="912" xr:uid="{00000000-0005-0000-0000-0000570E0000}"/>
    <cellStyle name="合計 21" xfId="1226" xr:uid="{00000000-0005-0000-0000-0000580E0000}"/>
    <cellStyle name="合計 22" xfId="1266" xr:uid="{00000000-0005-0000-0000-0000590E0000}"/>
    <cellStyle name="合計 23" xfId="1293" xr:uid="{00000000-0005-0000-0000-00005A0E0000}"/>
    <cellStyle name="合計 24" xfId="1091" xr:uid="{00000000-0005-0000-0000-00005B0E0000}"/>
    <cellStyle name="合計 25" xfId="917" xr:uid="{00000000-0005-0000-0000-00005C0E0000}"/>
    <cellStyle name="合計 26" xfId="1024" xr:uid="{00000000-0005-0000-0000-00005D0E0000}"/>
    <cellStyle name="合計 27" xfId="1121" xr:uid="{00000000-0005-0000-0000-00005E0E0000}"/>
    <cellStyle name="合計 28" xfId="1595" xr:uid="{00000000-0005-0000-0000-00005F0E0000}"/>
    <cellStyle name="合計 29" xfId="1661" xr:uid="{00000000-0005-0000-0000-0000600E0000}"/>
    <cellStyle name="合計 3" xfId="170" xr:uid="{00000000-0005-0000-0000-0000610E0000}"/>
    <cellStyle name="合計 4" xfId="171" xr:uid="{00000000-0005-0000-0000-0000620E0000}"/>
    <cellStyle name="合計 5" xfId="172" xr:uid="{00000000-0005-0000-0000-0000630E0000}"/>
    <cellStyle name="合計 5 2" xfId="1827" xr:uid="{00000000-0005-0000-0000-0000640E0000}"/>
    <cellStyle name="合計 5 3" xfId="2428" xr:uid="{00000000-0005-0000-0000-0000650E0000}"/>
    <cellStyle name="合計 5 4" xfId="3150" xr:uid="{00000000-0005-0000-0000-0000660E0000}"/>
    <cellStyle name="合計 5 5" xfId="3448" xr:uid="{00000000-0005-0000-0000-0000670E0000}"/>
    <cellStyle name="合計 6" xfId="173" xr:uid="{00000000-0005-0000-0000-0000680E0000}"/>
    <cellStyle name="合計 6 2" xfId="1869" xr:uid="{00000000-0005-0000-0000-0000690E0000}"/>
    <cellStyle name="合計 6 3" xfId="2567" xr:uid="{00000000-0005-0000-0000-00006A0E0000}"/>
    <cellStyle name="合計 6 4" xfId="2673" xr:uid="{00000000-0005-0000-0000-00006B0E0000}"/>
    <cellStyle name="合計 6 5" xfId="2797" xr:uid="{00000000-0005-0000-0000-00006C0E0000}"/>
    <cellStyle name="合計 7" xfId="174" xr:uid="{00000000-0005-0000-0000-00006D0E0000}"/>
    <cellStyle name="合計 7 2" xfId="1910" xr:uid="{00000000-0005-0000-0000-00006E0E0000}"/>
    <cellStyle name="合計 7 3" xfId="2414" xr:uid="{00000000-0005-0000-0000-00006F0E0000}"/>
    <cellStyle name="合計 7 4" xfId="2221" xr:uid="{00000000-0005-0000-0000-0000700E0000}"/>
    <cellStyle name="合計 7 5" xfId="2195" xr:uid="{00000000-0005-0000-0000-0000710E0000}"/>
    <cellStyle name="合計 8" xfId="339" xr:uid="{00000000-0005-0000-0000-0000720E0000}"/>
    <cellStyle name="合計 9" xfId="381" xr:uid="{00000000-0005-0000-0000-0000730E0000}"/>
    <cellStyle name="好" xfId="3629" builtinId="26" customBuiltin="1"/>
    <cellStyle name="好 10" xfId="411" xr:uid="{00000000-0005-0000-0000-0000750E0000}"/>
    <cellStyle name="好 11" xfId="453" xr:uid="{00000000-0005-0000-0000-0000760E0000}"/>
    <cellStyle name="好 12" xfId="494" xr:uid="{00000000-0005-0000-0000-0000770E0000}"/>
    <cellStyle name="好 13" xfId="536" xr:uid="{00000000-0005-0000-0000-0000780E0000}"/>
    <cellStyle name="好 14" xfId="577" xr:uid="{00000000-0005-0000-0000-0000790E0000}"/>
    <cellStyle name="好 14 2" xfId="2348" xr:uid="{00000000-0005-0000-0000-00007A0E0000}"/>
    <cellStyle name="好 14 2 2" xfId="2311" xr:uid="{00000000-0005-0000-0000-00007B0E0000}"/>
    <cellStyle name="好 14 2 3" xfId="2736" xr:uid="{00000000-0005-0000-0000-00007C0E0000}"/>
    <cellStyle name="好 14 2 4" xfId="2378" xr:uid="{00000000-0005-0000-0000-00007D0E0000}"/>
    <cellStyle name="好 14 3" xfId="3011" xr:uid="{00000000-0005-0000-0000-00007E0E0000}"/>
    <cellStyle name="好 14 4" xfId="3036" xr:uid="{00000000-0005-0000-0000-00007F0E0000}"/>
    <cellStyle name="好 15" xfId="618" xr:uid="{00000000-0005-0000-0000-0000800E0000}"/>
    <cellStyle name="好 16" xfId="660" xr:uid="{00000000-0005-0000-0000-0000810E0000}"/>
    <cellStyle name="好 17" xfId="701" xr:uid="{00000000-0005-0000-0000-0000820E0000}"/>
    <cellStyle name="好 18" xfId="742" xr:uid="{00000000-0005-0000-0000-0000830E0000}"/>
    <cellStyle name="好 19" xfId="783" xr:uid="{00000000-0005-0000-0000-0000840E0000}"/>
    <cellStyle name="好 2" xfId="175" xr:uid="{00000000-0005-0000-0000-0000850E0000}"/>
    <cellStyle name="好 2 10" xfId="1534" xr:uid="{00000000-0005-0000-0000-0000860E0000}"/>
    <cellStyle name="好 2 11" xfId="1604" xr:uid="{00000000-0005-0000-0000-0000870E0000}"/>
    <cellStyle name="好 2 12" xfId="1666" xr:uid="{00000000-0005-0000-0000-0000880E0000}"/>
    <cellStyle name="好 2 2" xfId="176" xr:uid="{00000000-0005-0000-0000-0000890E0000}"/>
    <cellStyle name="好 2 2 2" xfId="2010" xr:uid="{00000000-0005-0000-0000-00008A0E0000}"/>
    <cellStyle name="好 2 2 2 2" xfId="2011" xr:uid="{00000000-0005-0000-0000-00008B0E0000}"/>
    <cellStyle name="好 2 2 2 3" xfId="2498" xr:uid="{00000000-0005-0000-0000-00008C0E0000}"/>
    <cellStyle name="好 2 2 3" xfId="2497" xr:uid="{00000000-0005-0000-0000-00008D0E0000}"/>
    <cellStyle name="好 2 3" xfId="916" xr:uid="{00000000-0005-0000-0000-00008E0E0000}"/>
    <cellStyle name="好 2 4" xfId="1055" xr:uid="{00000000-0005-0000-0000-00008F0E0000}"/>
    <cellStyle name="好 2 4 2" xfId="2371" xr:uid="{00000000-0005-0000-0000-0000900E0000}"/>
    <cellStyle name="好 2 4 2 2" xfId="2919" xr:uid="{00000000-0005-0000-0000-0000910E0000}"/>
    <cellStyle name="好 2 4 2 3" xfId="3317" xr:uid="{00000000-0005-0000-0000-0000920E0000}"/>
    <cellStyle name="好 2 4 2 4" xfId="1942" xr:uid="{00000000-0005-0000-0000-0000930E0000}"/>
    <cellStyle name="好 2 4 3" xfId="1852" xr:uid="{00000000-0005-0000-0000-0000940E0000}"/>
    <cellStyle name="好 2 4 4" xfId="2093" xr:uid="{00000000-0005-0000-0000-0000950E0000}"/>
    <cellStyle name="好 2 5" xfId="901" xr:uid="{00000000-0005-0000-0000-0000960E0000}"/>
    <cellStyle name="好 2 6" xfId="1139" xr:uid="{00000000-0005-0000-0000-0000970E0000}"/>
    <cellStyle name="好 2 7" xfId="1179" xr:uid="{00000000-0005-0000-0000-0000980E0000}"/>
    <cellStyle name="好 2 8" xfId="1188" xr:uid="{00000000-0005-0000-0000-0000990E0000}"/>
    <cellStyle name="好 2 9" xfId="1478" xr:uid="{00000000-0005-0000-0000-00009A0E0000}"/>
    <cellStyle name="好 20" xfId="915" xr:uid="{00000000-0005-0000-0000-00009B0E0000}"/>
    <cellStyle name="好 21" xfId="1072" xr:uid="{00000000-0005-0000-0000-00009C0E0000}"/>
    <cellStyle name="好 22" xfId="1205" xr:uid="{00000000-0005-0000-0000-00009D0E0000}"/>
    <cellStyle name="好 23" xfId="1097" xr:uid="{00000000-0005-0000-0000-00009E0E0000}"/>
    <cellStyle name="好 24" xfId="1276" xr:uid="{00000000-0005-0000-0000-00009F0E0000}"/>
    <cellStyle name="好 25" xfId="1282" xr:uid="{00000000-0005-0000-0000-0000A00E0000}"/>
    <cellStyle name="好 26" xfId="1322" xr:uid="{00000000-0005-0000-0000-0000A10E0000}"/>
    <cellStyle name="好 27" xfId="1431" xr:uid="{00000000-0005-0000-0000-0000A20E0000}"/>
    <cellStyle name="好 28" xfId="1624" xr:uid="{00000000-0005-0000-0000-0000A30E0000}"/>
    <cellStyle name="好 29" xfId="1674" xr:uid="{00000000-0005-0000-0000-0000A40E0000}"/>
    <cellStyle name="好 3" xfId="177" xr:uid="{00000000-0005-0000-0000-0000A50E0000}"/>
    <cellStyle name="好 4" xfId="178" xr:uid="{00000000-0005-0000-0000-0000A60E0000}"/>
    <cellStyle name="好 5" xfId="179" xr:uid="{00000000-0005-0000-0000-0000A70E0000}"/>
    <cellStyle name="好 5 2" xfId="1816" xr:uid="{00000000-0005-0000-0000-0000A80E0000}"/>
    <cellStyle name="好 5 3" xfId="2622" xr:uid="{00000000-0005-0000-0000-0000A90E0000}"/>
    <cellStyle name="好 5 4" xfId="2703" xr:uid="{00000000-0005-0000-0000-0000AA0E0000}"/>
    <cellStyle name="好 5 5" xfId="3131" xr:uid="{00000000-0005-0000-0000-0000AB0E0000}"/>
    <cellStyle name="好 6" xfId="180" xr:uid="{00000000-0005-0000-0000-0000AC0E0000}"/>
    <cellStyle name="好 6 2" xfId="1858" xr:uid="{00000000-0005-0000-0000-0000AD0E0000}"/>
    <cellStyle name="好 6 3" xfId="2610" xr:uid="{00000000-0005-0000-0000-0000AE0E0000}"/>
    <cellStyle name="好 6 4" xfId="2900" xr:uid="{00000000-0005-0000-0000-0000AF0E0000}"/>
    <cellStyle name="好 6 5" xfId="1754" xr:uid="{00000000-0005-0000-0000-0000B00E0000}"/>
    <cellStyle name="好 7" xfId="181" xr:uid="{00000000-0005-0000-0000-0000B10E0000}"/>
    <cellStyle name="好 7 2" xfId="1899" xr:uid="{00000000-0005-0000-0000-0000B20E0000}"/>
    <cellStyle name="好 7 3" xfId="2524" xr:uid="{00000000-0005-0000-0000-0000B30E0000}"/>
    <cellStyle name="好 7 4" xfId="1793" xr:uid="{00000000-0005-0000-0000-0000B40E0000}"/>
    <cellStyle name="好 7 5" xfId="3399" xr:uid="{00000000-0005-0000-0000-0000B50E0000}"/>
    <cellStyle name="好 8" xfId="328" xr:uid="{00000000-0005-0000-0000-0000B60E0000}"/>
    <cellStyle name="好 9" xfId="370" xr:uid="{00000000-0005-0000-0000-0000B70E0000}"/>
    <cellStyle name="百分比" xfId="3" builtinId="5"/>
    <cellStyle name="百分比 2" xfId="10" xr:uid="{00000000-0005-0000-0000-0000B90E0000}"/>
    <cellStyle name="百分比 2 10" xfId="1557" xr:uid="{00000000-0005-0000-0000-0000BA0E0000}"/>
    <cellStyle name="百分比 2 11" xfId="1617" xr:uid="{00000000-0005-0000-0000-0000BB0E0000}"/>
    <cellStyle name="百分比 2 12" xfId="1679" xr:uid="{00000000-0005-0000-0000-0000BC0E0000}"/>
    <cellStyle name="百分比 2 2" xfId="182" xr:uid="{00000000-0005-0000-0000-0000BD0E0000}"/>
    <cellStyle name="百分比 2 3" xfId="919" xr:uid="{00000000-0005-0000-0000-0000BE0E0000}"/>
    <cellStyle name="百分比 2 4" xfId="967" xr:uid="{00000000-0005-0000-0000-0000BF0E0000}"/>
    <cellStyle name="百分比 2 5" xfId="944" xr:uid="{00000000-0005-0000-0000-0000C00E0000}"/>
    <cellStyle name="百分比 2 6" xfId="1334" xr:uid="{00000000-0005-0000-0000-0000C10E0000}"/>
    <cellStyle name="百分比 2 7" xfId="1180" xr:uid="{00000000-0005-0000-0000-0000C20E0000}"/>
    <cellStyle name="百分比 2 8" xfId="1321" xr:uid="{00000000-0005-0000-0000-0000C30E0000}"/>
    <cellStyle name="百分比 2 9" xfId="1501" xr:uid="{00000000-0005-0000-0000-0000C40E0000}"/>
    <cellStyle name="百分比 3" xfId="4008" xr:uid="{00000000-0005-0000-0000-0000C50E0000}"/>
    <cellStyle name="計算方式" xfId="3634" builtinId="22" customBuiltin="1"/>
    <cellStyle name="計算方式 10" xfId="416" xr:uid="{00000000-0005-0000-0000-0000C70E0000}"/>
    <cellStyle name="計算方式 11" xfId="458" xr:uid="{00000000-0005-0000-0000-0000C80E0000}"/>
    <cellStyle name="計算方式 12" xfId="499" xr:uid="{00000000-0005-0000-0000-0000C90E0000}"/>
    <cellStyle name="計算方式 13" xfId="541" xr:uid="{00000000-0005-0000-0000-0000CA0E0000}"/>
    <cellStyle name="計算方式 14" xfId="582" xr:uid="{00000000-0005-0000-0000-0000CB0E0000}"/>
    <cellStyle name="計算方式 14 2" xfId="2352" xr:uid="{00000000-0005-0000-0000-0000CC0E0000}"/>
    <cellStyle name="計算方式 14 2 2" xfId="2611" xr:uid="{00000000-0005-0000-0000-0000CD0E0000}"/>
    <cellStyle name="計算方式 14 2 3" xfId="1742" xr:uid="{00000000-0005-0000-0000-0000CE0E0000}"/>
    <cellStyle name="計算方式 14 2 4" xfId="3169" xr:uid="{00000000-0005-0000-0000-0000CF0E0000}"/>
    <cellStyle name="計算方式 14 3" xfId="2997" xr:uid="{00000000-0005-0000-0000-0000D00E0000}"/>
    <cellStyle name="計算方式 14 4" xfId="3521" xr:uid="{00000000-0005-0000-0000-0000D10E0000}"/>
    <cellStyle name="計算方式 15" xfId="623" xr:uid="{00000000-0005-0000-0000-0000D20E0000}"/>
    <cellStyle name="計算方式 16" xfId="665" xr:uid="{00000000-0005-0000-0000-0000D30E0000}"/>
    <cellStyle name="計算方式 17" xfId="706" xr:uid="{00000000-0005-0000-0000-0000D40E0000}"/>
    <cellStyle name="計算方式 18" xfId="747" xr:uid="{00000000-0005-0000-0000-0000D50E0000}"/>
    <cellStyle name="計算方式 19" xfId="788" xr:uid="{00000000-0005-0000-0000-0000D60E0000}"/>
    <cellStyle name="計算方式 2" xfId="183" xr:uid="{00000000-0005-0000-0000-0000D70E0000}"/>
    <cellStyle name="計算方式 2 10" xfId="1584" xr:uid="{00000000-0005-0000-0000-0000D80E0000}"/>
    <cellStyle name="計算方式 2 11" xfId="1506" xr:uid="{00000000-0005-0000-0000-0000D90E0000}"/>
    <cellStyle name="計算方式 2 12" xfId="1389" xr:uid="{00000000-0005-0000-0000-0000DA0E0000}"/>
    <cellStyle name="計算方式 2 2" xfId="184" xr:uid="{00000000-0005-0000-0000-0000DB0E0000}"/>
    <cellStyle name="計算方式 2 2 2" xfId="2014" xr:uid="{00000000-0005-0000-0000-0000DC0E0000}"/>
    <cellStyle name="計算方式 2 2 2 2" xfId="2015" xr:uid="{00000000-0005-0000-0000-0000DD0E0000}"/>
    <cellStyle name="計算方式 2 2 2 3" xfId="2501" xr:uid="{00000000-0005-0000-0000-0000DE0E0000}"/>
    <cellStyle name="計算方式 2 2 3" xfId="2500" xr:uid="{00000000-0005-0000-0000-0000DF0E0000}"/>
    <cellStyle name="計算方式 2 3" xfId="921" xr:uid="{00000000-0005-0000-0000-0000E00E0000}"/>
    <cellStyle name="計算方式 2 4" xfId="1241" xr:uid="{00000000-0005-0000-0000-0000E10E0000}"/>
    <cellStyle name="計算方式 2 4 2" xfId="2593" xr:uid="{00000000-0005-0000-0000-0000E20E0000}"/>
    <cellStyle name="計算方式 2 4 2 2" xfId="3025" xr:uid="{00000000-0005-0000-0000-0000E30E0000}"/>
    <cellStyle name="計算方式 2 4 2 3" xfId="3402" xr:uid="{00000000-0005-0000-0000-0000E40E0000}"/>
    <cellStyle name="計算方式 2 4 2 4" xfId="3561" xr:uid="{00000000-0005-0000-0000-0000E50E0000}"/>
    <cellStyle name="計算方式 2 4 3" xfId="2852" xr:uid="{00000000-0005-0000-0000-0000E60E0000}"/>
    <cellStyle name="計算方式 2 4 4" xfId="3186" xr:uid="{00000000-0005-0000-0000-0000E70E0000}"/>
    <cellStyle name="計算方式 2 5" xfId="1281" xr:uid="{00000000-0005-0000-0000-0000E80E0000}"/>
    <cellStyle name="計算方式 2 6" xfId="1306" xr:uid="{00000000-0005-0000-0000-0000E90E0000}"/>
    <cellStyle name="計算方式 2 7" xfId="846" xr:uid="{00000000-0005-0000-0000-0000EA0E0000}"/>
    <cellStyle name="計算方式 2 8" xfId="1427" xr:uid="{00000000-0005-0000-0000-0000EB0E0000}"/>
    <cellStyle name="計算方式 2 9" xfId="1526" xr:uid="{00000000-0005-0000-0000-0000EC0E0000}"/>
    <cellStyle name="計算方式 20" xfId="920" xr:uid="{00000000-0005-0000-0000-0000ED0E0000}"/>
    <cellStyle name="計算方式 21" xfId="1260" xr:uid="{00000000-0005-0000-0000-0000EE0E0000}"/>
    <cellStyle name="計算方式 22" xfId="1302" xr:uid="{00000000-0005-0000-0000-0000EF0E0000}"/>
    <cellStyle name="計算方式 23" xfId="1319" xr:uid="{00000000-0005-0000-0000-0000F00E0000}"/>
    <cellStyle name="計算方式 24" xfId="1159" xr:uid="{00000000-0005-0000-0000-0000F10E0000}"/>
    <cellStyle name="計算方式 25" xfId="1307" xr:uid="{00000000-0005-0000-0000-0000F20E0000}"/>
    <cellStyle name="計算方式 26" xfId="1308" xr:uid="{00000000-0005-0000-0000-0000F30E0000}"/>
    <cellStyle name="計算方式 27" xfId="1117" xr:uid="{00000000-0005-0000-0000-0000F40E0000}"/>
    <cellStyle name="計算方式 28" xfId="1597" xr:uid="{00000000-0005-0000-0000-0000F50E0000}"/>
    <cellStyle name="計算方式 29" xfId="1662" xr:uid="{00000000-0005-0000-0000-0000F60E0000}"/>
    <cellStyle name="計算方式 3" xfId="185" xr:uid="{00000000-0005-0000-0000-0000F70E0000}"/>
    <cellStyle name="計算方式 4" xfId="186" xr:uid="{00000000-0005-0000-0000-0000F80E0000}"/>
    <cellStyle name="計算方式 5" xfId="187" xr:uid="{00000000-0005-0000-0000-0000F90E0000}"/>
    <cellStyle name="計算方式 5 2" xfId="1821" xr:uid="{00000000-0005-0000-0000-0000FA0E0000}"/>
    <cellStyle name="計算方式 5 3" xfId="2565" xr:uid="{00000000-0005-0000-0000-0000FB0E0000}"/>
    <cellStyle name="計算方式 5 4" xfId="2164" xr:uid="{00000000-0005-0000-0000-0000FC0E0000}"/>
    <cellStyle name="計算方式 5 5" xfId="3245" xr:uid="{00000000-0005-0000-0000-0000FD0E0000}"/>
    <cellStyle name="計算方式 6" xfId="188" xr:uid="{00000000-0005-0000-0000-0000FE0E0000}"/>
    <cellStyle name="計算方式 6 2" xfId="1863" xr:uid="{00000000-0005-0000-0000-0000FF0E0000}"/>
    <cellStyle name="計算方式 6 3" xfId="2412" xr:uid="{00000000-0005-0000-0000-0000000F0000}"/>
    <cellStyle name="計算方式 6 4" xfId="3148" xr:uid="{00000000-0005-0000-0000-0000010F0000}"/>
    <cellStyle name="計算方式 6 5" xfId="3475" xr:uid="{00000000-0005-0000-0000-0000020F0000}"/>
    <cellStyle name="計算方式 7" xfId="189" xr:uid="{00000000-0005-0000-0000-0000030F0000}"/>
    <cellStyle name="計算方式 7 2" xfId="1904" xr:uid="{00000000-0005-0000-0000-0000040F0000}"/>
    <cellStyle name="計算方式 7 3" xfId="2369" xr:uid="{00000000-0005-0000-0000-0000050F0000}"/>
    <cellStyle name="計算方式 7 4" xfId="2781" xr:uid="{00000000-0005-0000-0000-0000060F0000}"/>
    <cellStyle name="計算方式 7 5" xfId="2213" xr:uid="{00000000-0005-0000-0000-0000070F0000}"/>
    <cellStyle name="計算方式 8" xfId="333" xr:uid="{00000000-0005-0000-0000-0000080F0000}"/>
    <cellStyle name="計算方式 9" xfId="375" xr:uid="{00000000-0005-0000-0000-0000090F0000}"/>
    <cellStyle name="連結的儲存格" xfId="3635" builtinId="24" customBuiltin="1"/>
    <cellStyle name="連結的儲存格 10" xfId="417" xr:uid="{00000000-0005-0000-0000-00000B0F0000}"/>
    <cellStyle name="連結的儲存格 11" xfId="459" xr:uid="{00000000-0005-0000-0000-00000C0F0000}"/>
    <cellStyle name="連結的儲存格 12" xfId="500" xr:uid="{00000000-0005-0000-0000-00000D0F0000}"/>
    <cellStyle name="連結的儲存格 13" xfId="542" xr:uid="{00000000-0005-0000-0000-00000E0F0000}"/>
    <cellStyle name="連結的儲存格 14" xfId="583" xr:uid="{00000000-0005-0000-0000-00000F0F0000}"/>
    <cellStyle name="連結的儲存格 14 2" xfId="2355" xr:uid="{00000000-0005-0000-0000-0000100F0000}"/>
    <cellStyle name="連結的儲存格 14 2 2" xfId="2523" xr:uid="{00000000-0005-0000-0000-0000110F0000}"/>
    <cellStyle name="連結的儲存格 14 2 3" xfId="3009" xr:uid="{00000000-0005-0000-0000-0000120F0000}"/>
    <cellStyle name="連結的儲存格 14 2 4" xfId="1948" xr:uid="{00000000-0005-0000-0000-0000130F0000}"/>
    <cellStyle name="連結的儲存格 14 3" xfId="2640" xr:uid="{00000000-0005-0000-0000-0000140F0000}"/>
    <cellStyle name="連結的儲存格 14 4" xfId="2854" xr:uid="{00000000-0005-0000-0000-0000150F0000}"/>
    <cellStyle name="連結的儲存格 15" xfId="624" xr:uid="{00000000-0005-0000-0000-0000160F0000}"/>
    <cellStyle name="連結的儲存格 16" xfId="666" xr:uid="{00000000-0005-0000-0000-0000170F0000}"/>
    <cellStyle name="連結的儲存格 17" xfId="707" xr:uid="{00000000-0005-0000-0000-0000180F0000}"/>
    <cellStyle name="連結的儲存格 18" xfId="748" xr:uid="{00000000-0005-0000-0000-0000190F0000}"/>
    <cellStyle name="連結的儲存格 19" xfId="789" xr:uid="{00000000-0005-0000-0000-00001A0F0000}"/>
    <cellStyle name="連結的儲存格 2" xfId="190" xr:uid="{00000000-0005-0000-0000-00001B0F0000}"/>
    <cellStyle name="連結的儲存格 2 10" xfId="1582" xr:uid="{00000000-0005-0000-0000-00001C0F0000}"/>
    <cellStyle name="連結的儲存格 2 11" xfId="1408" xr:uid="{00000000-0005-0000-0000-00001D0F0000}"/>
    <cellStyle name="連結的儲存格 2 12" xfId="1599" xr:uid="{00000000-0005-0000-0000-00001E0F0000}"/>
    <cellStyle name="連結的儲存格 2 2" xfId="191" xr:uid="{00000000-0005-0000-0000-00001F0F0000}"/>
    <cellStyle name="連結的儲存格 2 2 2" xfId="2018" xr:uid="{00000000-0005-0000-0000-0000200F0000}"/>
    <cellStyle name="連結的儲存格 2 2 2 2" xfId="2019" xr:uid="{00000000-0005-0000-0000-0000210F0000}"/>
    <cellStyle name="連結的儲存格 2 2 2 3" xfId="2503" xr:uid="{00000000-0005-0000-0000-0000220F0000}"/>
    <cellStyle name="連結的儲存格 2 2 3" xfId="2502" xr:uid="{00000000-0005-0000-0000-0000230F0000}"/>
    <cellStyle name="連結的儲存格 2 3" xfId="927" xr:uid="{00000000-0005-0000-0000-0000240F0000}"/>
    <cellStyle name="連結的儲存格 2 4" xfId="1094" xr:uid="{00000000-0005-0000-0000-0000250F0000}"/>
    <cellStyle name="連結的儲存格 2 4 2" xfId="2368" xr:uid="{00000000-0005-0000-0000-0000260F0000}"/>
    <cellStyle name="連結的儲存格 2 4 2 2" xfId="2940" xr:uid="{00000000-0005-0000-0000-0000270F0000}"/>
    <cellStyle name="連結的儲存格 2 4 2 3" xfId="3333" xr:uid="{00000000-0005-0000-0000-0000280F0000}"/>
    <cellStyle name="連結的儲存格 2 4 2 4" xfId="3545" xr:uid="{00000000-0005-0000-0000-0000290F0000}"/>
    <cellStyle name="連結的儲存格 2 4 3" xfId="3226" xr:uid="{00000000-0005-0000-0000-00002A0F0000}"/>
    <cellStyle name="連結的儲存格 2 4 4" xfId="2836" xr:uid="{00000000-0005-0000-0000-00002B0F0000}"/>
    <cellStyle name="連結的儲存格 2 5" xfId="1155" xr:uid="{00000000-0005-0000-0000-00002C0F0000}"/>
    <cellStyle name="連結的儲存格 2 6" xfId="1035" xr:uid="{00000000-0005-0000-0000-00002D0F0000}"/>
    <cellStyle name="連結的儲存格 2 7" xfId="1203" xr:uid="{00000000-0005-0000-0000-00002E0F0000}"/>
    <cellStyle name="連結的儲存格 2 8" xfId="1177" xr:uid="{00000000-0005-0000-0000-00002F0F0000}"/>
    <cellStyle name="連結的儲存格 2 9" xfId="1523" xr:uid="{00000000-0005-0000-0000-0000300F0000}"/>
    <cellStyle name="連結的儲存格 20" xfId="926" xr:uid="{00000000-0005-0000-0000-0000310F0000}"/>
    <cellStyle name="連結的儲存格 21" xfId="1118" xr:uid="{00000000-0005-0000-0000-0000320F0000}"/>
    <cellStyle name="連結的儲存格 22" xfId="875" xr:uid="{00000000-0005-0000-0000-0000330F0000}"/>
    <cellStyle name="連結的儲存格 23" xfId="1198" xr:uid="{00000000-0005-0000-0000-0000340F0000}"/>
    <cellStyle name="連結的儲存格 24" xfId="1326" xr:uid="{00000000-0005-0000-0000-0000350F0000}"/>
    <cellStyle name="連結的儲存格 25" xfId="1424" xr:uid="{00000000-0005-0000-0000-0000360F0000}"/>
    <cellStyle name="連結的儲存格 26" xfId="1289" xr:uid="{00000000-0005-0000-0000-0000370F0000}"/>
    <cellStyle name="連結的儲存格 27" xfId="1085" xr:uid="{00000000-0005-0000-0000-0000380F0000}"/>
    <cellStyle name="連結的儲存格 28" xfId="1562" xr:uid="{00000000-0005-0000-0000-0000390F0000}"/>
    <cellStyle name="連結的儲存格 29" xfId="1675" xr:uid="{00000000-0005-0000-0000-00003A0F0000}"/>
    <cellStyle name="連結的儲存格 3" xfId="192" xr:uid="{00000000-0005-0000-0000-00003B0F0000}"/>
    <cellStyle name="連結的儲存格 4" xfId="193" xr:uid="{00000000-0005-0000-0000-00003C0F0000}"/>
    <cellStyle name="連結的儲存格 5" xfId="194" xr:uid="{00000000-0005-0000-0000-00003D0F0000}"/>
    <cellStyle name="連結的儲存格 5 2" xfId="1822" xr:uid="{00000000-0005-0000-0000-00003E0F0000}"/>
    <cellStyle name="連結的儲存格 5 3" xfId="2608" xr:uid="{00000000-0005-0000-0000-00003F0F0000}"/>
    <cellStyle name="連結的儲存格 5 4" xfId="2108" xr:uid="{00000000-0005-0000-0000-0000400F0000}"/>
    <cellStyle name="連結的儲存格 5 5" xfId="3546" xr:uid="{00000000-0005-0000-0000-0000410F0000}"/>
    <cellStyle name="連結的儲存格 6" xfId="195" xr:uid="{00000000-0005-0000-0000-0000420F0000}"/>
    <cellStyle name="連結的儲存格 6 2" xfId="1864" xr:uid="{00000000-0005-0000-0000-0000430F0000}"/>
    <cellStyle name="連結的儲存格 6 3" xfId="2528" xr:uid="{00000000-0005-0000-0000-0000440F0000}"/>
    <cellStyle name="連結的儲存格 6 4" xfId="1796" xr:uid="{00000000-0005-0000-0000-0000450F0000}"/>
    <cellStyle name="連結的儲存格 6 5" xfId="3446" xr:uid="{00000000-0005-0000-0000-0000460F0000}"/>
    <cellStyle name="連結的儲存格 7" xfId="196" xr:uid="{00000000-0005-0000-0000-0000470F0000}"/>
    <cellStyle name="連結的儲存格 7 2" xfId="1905" xr:uid="{00000000-0005-0000-0000-0000480F0000}"/>
    <cellStyle name="連結的儲存格 7 3" xfId="2451" xr:uid="{00000000-0005-0000-0000-0000490F0000}"/>
    <cellStyle name="連結的儲存格 7 4" xfId="2753" xr:uid="{00000000-0005-0000-0000-00004A0F0000}"/>
    <cellStyle name="連結的儲存格 7 5" xfId="2237" xr:uid="{00000000-0005-0000-0000-00004B0F0000}"/>
    <cellStyle name="連結的儲存格 8" xfId="334" xr:uid="{00000000-0005-0000-0000-00004C0F0000}"/>
    <cellStyle name="連結的儲存格 9" xfId="376" xr:uid="{00000000-0005-0000-0000-00004D0F0000}"/>
    <cellStyle name="備註 10" xfId="420" xr:uid="{00000000-0005-0000-0000-00004E0F0000}"/>
    <cellStyle name="備註 10 2" xfId="2167" xr:uid="{00000000-0005-0000-0000-00004F0F0000}"/>
    <cellStyle name="備註 10 2 2" xfId="4342" xr:uid="{00000000-0005-0000-0000-0000500F0000}"/>
    <cellStyle name="備註 10 3" xfId="3166" xr:uid="{00000000-0005-0000-0000-0000510F0000}"/>
    <cellStyle name="備註 10 3 2" xfId="4696" xr:uid="{00000000-0005-0000-0000-0000520F0000}"/>
    <cellStyle name="備註 10 4" xfId="3040" xr:uid="{00000000-0005-0000-0000-0000530F0000}"/>
    <cellStyle name="備註 10 4 2" xfId="4626" xr:uid="{00000000-0005-0000-0000-0000540F0000}"/>
    <cellStyle name="備註 10 5" xfId="3581" xr:uid="{00000000-0005-0000-0000-0000550F0000}"/>
    <cellStyle name="備註 10 5 2" xfId="4886" xr:uid="{00000000-0005-0000-0000-0000560F0000}"/>
    <cellStyle name="備註 10 6" xfId="4035" xr:uid="{00000000-0005-0000-0000-0000570F0000}"/>
    <cellStyle name="備註 10 7" xfId="5100" xr:uid="{00000000-0005-0000-0000-0000580F0000}"/>
    <cellStyle name="備註 10 8" xfId="5259" xr:uid="{00000000-0005-0000-0000-0000590F0000}"/>
    <cellStyle name="備註 11" xfId="462" xr:uid="{00000000-0005-0000-0000-00005A0F0000}"/>
    <cellStyle name="備註 11 2" xfId="2200" xr:uid="{00000000-0005-0000-0000-00005B0F0000}"/>
    <cellStyle name="備註 11 2 2" xfId="4361" xr:uid="{00000000-0005-0000-0000-00005C0F0000}"/>
    <cellStyle name="備註 11 3" xfId="1770" xr:uid="{00000000-0005-0000-0000-00005D0F0000}"/>
    <cellStyle name="備註 11 3 2" xfId="4199" xr:uid="{00000000-0005-0000-0000-00005E0F0000}"/>
    <cellStyle name="備註 11 4" xfId="2977" xr:uid="{00000000-0005-0000-0000-00005F0F0000}"/>
    <cellStyle name="備註 11 4 2" xfId="4604" xr:uid="{00000000-0005-0000-0000-0000600F0000}"/>
    <cellStyle name="備註 11 5" xfId="3595" xr:uid="{00000000-0005-0000-0000-0000610F0000}"/>
    <cellStyle name="備註 11 5 2" xfId="4896" xr:uid="{00000000-0005-0000-0000-0000620F0000}"/>
    <cellStyle name="備註 11 6" xfId="4048" xr:uid="{00000000-0005-0000-0000-0000630F0000}"/>
    <cellStyle name="備註 11 7" xfId="5113" xr:uid="{00000000-0005-0000-0000-0000640F0000}"/>
    <cellStyle name="備註 11 8" xfId="5272" xr:uid="{00000000-0005-0000-0000-0000650F0000}"/>
    <cellStyle name="備註 12" xfId="503" xr:uid="{00000000-0005-0000-0000-0000660F0000}"/>
    <cellStyle name="備註 12 2" xfId="2226" xr:uid="{00000000-0005-0000-0000-0000670F0000}"/>
    <cellStyle name="備註 12 2 2" xfId="4380" xr:uid="{00000000-0005-0000-0000-0000680F0000}"/>
    <cellStyle name="備註 12 3" xfId="2090" xr:uid="{00000000-0005-0000-0000-0000690F0000}"/>
    <cellStyle name="備註 12 3 2" xfId="4304" xr:uid="{00000000-0005-0000-0000-00006A0F0000}"/>
    <cellStyle name="備註 12 4" xfId="2198" xr:uid="{00000000-0005-0000-0000-00006B0F0000}"/>
    <cellStyle name="備註 12 4 2" xfId="4360" xr:uid="{00000000-0005-0000-0000-00006C0F0000}"/>
    <cellStyle name="備註 12 5" xfId="3614" xr:uid="{00000000-0005-0000-0000-00006D0F0000}"/>
    <cellStyle name="備註 12 5 2" xfId="4913" xr:uid="{00000000-0005-0000-0000-00006E0F0000}"/>
    <cellStyle name="備註 12 6" xfId="4061" xr:uid="{00000000-0005-0000-0000-00006F0F0000}"/>
    <cellStyle name="備註 12 7" xfId="5126" xr:uid="{00000000-0005-0000-0000-0000700F0000}"/>
    <cellStyle name="備註 12 8" xfId="5285" xr:uid="{00000000-0005-0000-0000-0000710F0000}"/>
    <cellStyle name="備註 13" xfId="545" xr:uid="{00000000-0005-0000-0000-0000720F0000}"/>
    <cellStyle name="備註 13 2" xfId="2252" xr:uid="{00000000-0005-0000-0000-0000730F0000}"/>
    <cellStyle name="備註 13 2 2" xfId="4398" xr:uid="{00000000-0005-0000-0000-0000740F0000}"/>
    <cellStyle name="備註 13 3" xfId="3211" xr:uid="{00000000-0005-0000-0000-0000750F0000}"/>
    <cellStyle name="備註 13 3 2" xfId="4720" xr:uid="{00000000-0005-0000-0000-0000760F0000}"/>
    <cellStyle name="備註 13 4" xfId="3536" xr:uid="{00000000-0005-0000-0000-0000770F0000}"/>
    <cellStyle name="備註 13 4 2" xfId="4859" xr:uid="{00000000-0005-0000-0000-0000780F0000}"/>
    <cellStyle name="備註 13 5" xfId="3503" xr:uid="{00000000-0005-0000-0000-0000790F0000}"/>
    <cellStyle name="備註 13 5 2" xfId="4843" xr:uid="{00000000-0005-0000-0000-00007A0F0000}"/>
    <cellStyle name="備註 13 6" xfId="4074" xr:uid="{00000000-0005-0000-0000-00007B0F0000}"/>
    <cellStyle name="備註 13 7" xfId="5139" xr:uid="{00000000-0005-0000-0000-00007C0F0000}"/>
    <cellStyle name="備註 13 8" xfId="5298" xr:uid="{00000000-0005-0000-0000-00007D0F0000}"/>
    <cellStyle name="備註 14" xfId="586" xr:uid="{00000000-0005-0000-0000-00007E0F0000}"/>
    <cellStyle name="備註 14 2" xfId="2359" xr:uid="{00000000-0005-0000-0000-00007F0F0000}"/>
    <cellStyle name="備註 14 2 2" xfId="2439" xr:uid="{00000000-0005-0000-0000-0000800F0000}"/>
    <cellStyle name="備註 14 2 2 2" xfId="4431" xr:uid="{00000000-0005-0000-0000-0000810F0000}"/>
    <cellStyle name="備註 14 2 3" xfId="2152" xr:uid="{00000000-0005-0000-0000-0000820F0000}"/>
    <cellStyle name="備註 14 2 3 2" xfId="4333" xr:uid="{00000000-0005-0000-0000-0000830F0000}"/>
    <cellStyle name="備註 14 2 4" xfId="3121" xr:uid="{00000000-0005-0000-0000-0000840F0000}"/>
    <cellStyle name="備註 14 2 4 2" xfId="4672" xr:uid="{00000000-0005-0000-0000-0000850F0000}"/>
    <cellStyle name="備註 14 3" xfId="3257" xr:uid="{00000000-0005-0000-0000-0000860F0000}"/>
    <cellStyle name="備註 14 4" xfId="2061" xr:uid="{00000000-0005-0000-0000-0000870F0000}"/>
    <cellStyle name="備註 14 5" xfId="3190" xr:uid="{00000000-0005-0000-0000-0000880F0000}"/>
    <cellStyle name="備註 14 5 2" xfId="4710" xr:uid="{00000000-0005-0000-0000-0000890F0000}"/>
    <cellStyle name="備註 14 6" xfId="4087" xr:uid="{00000000-0005-0000-0000-00008A0F0000}"/>
    <cellStyle name="備註 15" xfId="627" xr:uid="{00000000-0005-0000-0000-00008B0F0000}"/>
    <cellStyle name="備註 15 2" xfId="2678" xr:uid="{00000000-0005-0000-0000-00008C0F0000}"/>
    <cellStyle name="備註 15 2 2" xfId="4446" xr:uid="{00000000-0005-0000-0000-00008D0F0000}"/>
    <cellStyle name="備註 15 3" xfId="2945" xr:uid="{00000000-0005-0000-0000-00008E0F0000}"/>
    <cellStyle name="備註 15 3 2" xfId="4588" xr:uid="{00000000-0005-0000-0000-00008F0F0000}"/>
    <cellStyle name="備註 15 4" xfId="3495" xr:uid="{00000000-0005-0000-0000-0000900F0000}"/>
    <cellStyle name="備註 15 4 2" xfId="4838" xr:uid="{00000000-0005-0000-0000-0000910F0000}"/>
    <cellStyle name="備註 15 5" xfId="3493" xr:uid="{00000000-0005-0000-0000-0000920F0000}"/>
    <cellStyle name="備註 15 5 2" xfId="4837" xr:uid="{00000000-0005-0000-0000-0000930F0000}"/>
    <cellStyle name="備註 15 6" xfId="4100" xr:uid="{00000000-0005-0000-0000-0000940F0000}"/>
    <cellStyle name="備註 16" xfId="669" xr:uid="{00000000-0005-0000-0000-0000950F0000}"/>
    <cellStyle name="備註 16 2" xfId="2707" xr:uid="{00000000-0005-0000-0000-0000960F0000}"/>
    <cellStyle name="備註 16 2 2" xfId="4464" xr:uid="{00000000-0005-0000-0000-0000970F0000}"/>
    <cellStyle name="備註 16 3" xfId="2121" xr:uid="{00000000-0005-0000-0000-0000980F0000}"/>
    <cellStyle name="備註 16 3 2" xfId="4318" xr:uid="{00000000-0005-0000-0000-0000990F0000}"/>
    <cellStyle name="備註 16 4" xfId="1808" xr:uid="{00000000-0005-0000-0000-00009A0F0000}"/>
    <cellStyle name="備註 16 4 2" xfId="4218" xr:uid="{00000000-0005-0000-0000-00009B0F0000}"/>
    <cellStyle name="備註 16 5" xfId="1728" xr:uid="{00000000-0005-0000-0000-00009C0F0000}"/>
    <cellStyle name="備註 16 5 2" xfId="4179" xr:uid="{00000000-0005-0000-0000-00009D0F0000}"/>
    <cellStyle name="備註 16 6" xfId="4113" xr:uid="{00000000-0005-0000-0000-00009E0F0000}"/>
    <cellStyle name="備註 17" xfId="710" xr:uid="{00000000-0005-0000-0000-00009F0F0000}"/>
    <cellStyle name="備註 17 2" xfId="2734" xr:uid="{00000000-0005-0000-0000-0000A00F0000}"/>
    <cellStyle name="備註 17 2 2" xfId="4480" xr:uid="{00000000-0005-0000-0000-0000A10F0000}"/>
    <cellStyle name="備註 17 3" xfId="3127" xr:uid="{00000000-0005-0000-0000-0000A20F0000}"/>
    <cellStyle name="備註 17 3 2" xfId="4675" xr:uid="{00000000-0005-0000-0000-0000A30F0000}"/>
    <cellStyle name="備註 17 4" xfId="3008" xr:uid="{00000000-0005-0000-0000-0000A40F0000}"/>
    <cellStyle name="備註 17 4 2" xfId="4616" xr:uid="{00000000-0005-0000-0000-0000A50F0000}"/>
    <cellStyle name="備註 17 5" xfId="3212" xr:uid="{00000000-0005-0000-0000-0000A60F0000}"/>
    <cellStyle name="備註 17 5 2" xfId="4721" xr:uid="{00000000-0005-0000-0000-0000A70F0000}"/>
    <cellStyle name="備註 17 6" xfId="4126" xr:uid="{00000000-0005-0000-0000-0000A80F0000}"/>
    <cellStyle name="備註 18" xfId="751" xr:uid="{00000000-0005-0000-0000-0000A90F0000}"/>
    <cellStyle name="備註 18 2" xfId="2759" xr:uid="{00000000-0005-0000-0000-0000AA0F0000}"/>
    <cellStyle name="備註 18 2 2" xfId="4498" xr:uid="{00000000-0005-0000-0000-0000AB0F0000}"/>
    <cellStyle name="備註 18 3" xfId="3093" xr:uid="{00000000-0005-0000-0000-0000AC0F0000}"/>
    <cellStyle name="備註 18 3 2" xfId="4657" xr:uid="{00000000-0005-0000-0000-0000AD0F0000}"/>
    <cellStyle name="備註 18 4" xfId="3137" xr:uid="{00000000-0005-0000-0000-0000AE0F0000}"/>
    <cellStyle name="備註 18 4 2" xfId="4682" xr:uid="{00000000-0005-0000-0000-0000AF0F0000}"/>
    <cellStyle name="備註 18 5" xfId="3512" xr:uid="{00000000-0005-0000-0000-0000B00F0000}"/>
    <cellStyle name="備註 18 5 2" xfId="4850" xr:uid="{00000000-0005-0000-0000-0000B10F0000}"/>
    <cellStyle name="備註 18 6" xfId="4139" xr:uid="{00000000-0005-0000-0000-0000B20F0000}"/>
    <cellStyle name="備註 19" xfId="792" xr:uid="{00000000-0005-0000-0000-0000B30F0000}"/>
    <cellStyle name="備註 19 2" xfId="2787" xr:uid="{00000000-0005-0000-0000-0000B40F0000}"/>
    <cellStyle name="備註 19 2 2" xfId="4516" xr:uid="{00000000-0005-0000-0000-0000B50F0000}"/>
    <cellStyle name="備註 19 3" xfId="2315" xr:uid="{00000000-0005-0000-0000-0000B60F0000}"/>
    <cellStyle name="備註 19 3 2" xfId="4417" xr:uid="{00000000-0005-0000-0000-0000B70F0000}"/>
    <cellStyle name="備註 19 4" xfId="1773" xr:uid="{00000000-0005-0000-0000-0000B80F0000}"/>
    <cellStyle name="備註 19 4 2" xfId="4200" xr:uid="{00000000-0005-0000-0000-0000B90F0000}"/>
    <cellStyle name="備註 19 5" xfId="3559" xr:uid="{00000000-0005-0000-0000-0000BA0F0000}"/>
    <cellStyle name="備註 19 5 2" xfId="4869" xr:uid="{00000000-0005-0000-0000-0000BB0F0000}"/>
    <cellStyle name="備註 19 6" xfId="4152" xr:uid="{00000000-0005-0000-0000-0000BC0F0000}"/>
    <cellStyle name="備註 2" xfId="197" xr:uid="{00000000-0005-0000-0000-0000BD0F0000}"/>
    <cellStyle name="備註 2 10" xfId="1578" xr:uid="{00000000-0005-0000-0000-0000BE0F0000}"/>
    <cellStyle name="備註 2 11" xfId="1239" xr:uid="{00000000-0005-0000-0000-0000BF0F0000}"/>
    <cellStyle name="備註 2 12" xfId="1621" xr:uid="{00000000-0005-0000-0000-0000C00F0000}"/>
    <cellStyle name="備註 2 13" xfId="3954" xr:uid="{00000000-0005-0000-0000-0000C10F0000}"/>
    <cellStyle name="備註 2 13 2" xfId="4983" xr:uid="{00000000-0005-0000-0000-0000C20F0000}"/>
    <cellStyle name="備註 2 14" xfId="3983" xr:uid="{00000000-0005-0000-0000-0000C30F0000}"/>
    <cellStyle name="備註 2 14 2" xfId="4991" xr:uid="{00000000-0005-0000-0000-0000C40F0000}"/>
    <cellStyle name="備註 2 2" xfId="198" xr:uid="{00000000-0005-0000-0000-0000C50F0000}"/>
    <cellStyle name="備註 2 2 2" xfId="1771" xr:uid="{00000000-0005-0000-0000-0000C60F0000}"/>
    <cellStyle name="備註 2 2 2 2" xfId="2022" xr:uid="{00000000-0005-0000-0000-0000C70F0000}"/>
    <cellStyle name="備註 2 2 2 2 2" xfId="2023" xr:uid="{00000000-0005-0000-0000-0000C80F0000}"/>
    <cellStyle name="備註 2 2 2 2 3" xfId="1782" xr:uid="{00000000-0005-0000-0000-0000C90F0000}"/>
    <cellStyle name="備註 2 2 2 2 4" xfId="2898" xr:uid="{00000000-0005-0000-0000-0000CA0F0000}"/>
    <cellStyle name="備註 2 2 2 3" xfId="2506" xr:uid="{00000000-0005-0000-0000-0000CB0F0000}"/>
    <cellStyle name="備註 2 2 2 4" xfId="3181" xr:uid="{00000000-0005-0000-0000-0000CC0F0000}"/>
    <cellStyle name="備註 2 2 2 5" xfId="3022" xr:uid="{00000000-0005-0000-0000-0000CD0F0000}"/>
    <cellStyle name="備註 2 2 3" xfId="2505" xr:uid="{00000000-0005-0000-0000-0000CE0F0000}"/>
    <cellStyle name="備註 2 2 4" xfId="2437" xr:uid="{00000000-0005-0000-0000-0000CF0F0000}"/>
    <cellStyle name="備註 2 2 5" xfId="2786" xr:uid="{00000000-0005-0000-0000-0000D00F0000}"/>
    <cellStyle name="備註 2 2 6" xfId="3452" xr:uid="{00000000-0005-0000-0000-0000D10F0000}"/>
    <cellStyle name="備註 2 3" xfId="931" xr:uid="{00000000-0005-0000-0000-0000D20F0000}"/>
    <cellStyle name="備註 2 3 2" xfId="2360" xr:uid="{00000000-0005-0000-0000-0000D30F0000}"/>
    <cellStyle name="備註 2 3 2 2" xfId="2859" xr:uid="{00000000-0005-0000-0000-0000D40F0000}"/>
    <cellStyle name="備註 2 3 2 3" xfId="3271" xr:uid="{00000000-0005-0000-0000-0000D50F0000}"/>
    <cellStyle name="備註 2 3 2 4" xfId="3310" xr:uid="{00000000-0005-0000-0000-0000D60F0000}"/>
    <cellStyle name="備註 2 3 3" xfId="3249" xr:uid="{00000000-0005-0000-0000-0000D70F0000}"/>
    <cellStyle name="備註 2 3 4" xfId="2925" xr:uid="{00000000-0005-0000-0000-0000D80F0000}"/>
    <cellStyle name="備註 2 4" xfId="962" xr:uid="{00000000-0005-0000-0000-0000D90F0000}"/>
    <cellStyle name="備註 2 4 2" xfId="2591" xr:uid="{00000000-0005-0000-0000-0000DA0F0000}"/>
    <cellStyle name="備註 2 4 2 2" xfId="2869" xr:uid="{00000000-0005-0000-0000-0000DB0F0000}"/>
    <cellStyle name="備註 2 4 2 3" xfId="3281" xr:uid="{00000000-0005-0000-0000-0000DC0F0000}"/>
    <cellStyle name="備註 2 4 2 4" xfId="2199" xr:uid="{00000000-0005-0000-0000-0000DD0F0000}"/>
    <cellStyle name="備註 2 4 3" xfId="3204" xr:uid="{00000000-0005-0000-0000-0000DE0F0000}"/>
    <cellStyle name="備註 2 4 4" xfId="2711" xr:uid="{00000000-0005-0000-0000-0000DF0F0000}"/>
    <cellStyle name="備註 2 5" xfId="1065" xr:uid="{00000000-0005-0000-0000-0000E00F0000}"/>
    <cellStyle name="備註 2 6" xfId="1049" xr:uid="{00000000-0005-0000-0000-0000E10F0000}"/>
    <cellStyle name="備註 2 7" xfId="856" xr:uid="{00000000-0005-0000-0000-0000E20F0000}"/>
    <cellStyle name="備註 2 8" xfId="1087" xr:uid="{00000000-0005-0000-0000-0000E30F0000}"/>
    <cellStyle name="備註 2 9" xfId="1520" xr:uid="{00000000-0005-0000-0000-0000E40F0000}"/>
    <cellStyle name="備註 20" xfId="930" xr:uid="{00000000-0005-0000-0000-0000E50F0000}"/>
    <cellStyle name="備註 21" xfId="963" xr:uid="{00000000-0005-0000-0000-0000E60F0000}"/>
    <cellStyle name="備註 22" xfId="1046" xr:uid="{00000000-0005-0000-0000-0000E70F0000}"/>
    <cellStyle name="備註 23" xfId="1225" xr:uid="{00000000-0005-0000-0000-0000E80F0000}"/>
    <cellStyle name="備註 24" xfId="1122" xr:uid="{00000000-0005-0000-0000-0000E90F0000}"/>
    <cellStyle name="備註 25" xfId="1150" xr:uid="{00000000-0005-0000-0000-0000EA0F0000}"/>
    <cellStyle name="備註 26" xfId="878" xr:uid="{00000000-0005-0000-0000-0000EB0F0000}"/>
    <cellStyle name="備註 27" xfId="1245" xr:uid="{00000000-0005-0000-0000-0000EC0F0000}"/>
    <cellStyle name="備註 28" xfId="1066" xr:uid="{00000000-0005-0000-0000-0000ED0F0000}"/>
    <cellStyle name="備註 29" xfId="1600" xr:uid="{00000000-0005-0000-0000-0000EE0F0000}"/>
    <cellStyle name="備註 3" xfId="199" xr:uid="{00000000-0005-0000-0000-0000EF0F0000}"/>
    <cellStyle name="備註 3 2" xfId="1772" xr:uid="{00000000-0005-0000-0000-0000F00F0000}"/>
    <cellStyle name="備註 3 2 2" xfId="2577" xr:uid="{00000000-0005-0000-0000-0000F10F0000}"/>
    <cellStyle name="備註 3 2 3" xfId="2742" xr:uid="{00000000-0005-0000-0000-0000F20F0000}"/>
    <cellStyle name="備註 3 2 4" xfId="1764" xr:uid="{00000000-0005-0000-0000-0000F30F0000}"/>
    <cellStyle name="備註 3 3" xfId="2758" xr:uid="{00000000-0005-0000-0000-0000F40F0000}"/>
    <cellStyle name="備註 3 4" xfId="3428" xr:uid="{00000000-0005-0000-0000-0000F50F0000}"/>
    <cellStyle name="備註 3 5" xfId="3955" xr:uid="{00000000-0005-0000-0000-0000F60F0000}"/>
    <cellStyle name="備註 3 5 2" xfId="4984" xr:uid="{00000000-0005-0000-0000-0000F70F0000}"/>
    <cellStyle name="備註 3 6" xfId="3984" xr:uid="{00000000-0005-0000-0000-0000F80F0000}"/>
    <cellStyle name="備註 3 6 2" xfId="4992" xr:uid="{00000000-0005-0000-0000-0000F90F0000}"/>
    <cellStyle name="備註 30" xfId="3664" xr:uid="{00000000-0005-0000-0000-0000FA0F0000}"/>
    <cellStyle name="備註 30 2" xfId="4914" xr:uid="{00000000-0005-0000-0000-0000FB0F0000}"/>
    <cellStyle name="備註 31" xfId="3665" xr:uid="{00000000-0005-0000-0000-0000FC0F0000}"/>
    <cellStyle name="備註 31 2" xfId="4915" xr:uid="{00000000-0005-0000-0000-0000FD0F0000}"/>
    <cellStyle name="備註 4" xfId="200" xr:uid="{00000000-0005-0000-0000-0000FE0F0000}"/>
    <cellStyle name="備註 4 2" xfId="3956" xr:uid="{00000000-0005-0000-0000-0000FF0F0000}"/>
    <cellStyle name="備註 4 2 2" xfId="4985" xr:uid="{00000000-0005-0000-0000-000000100000}"/>
    <cellStyle name="備註 4 3" xfId="3985" xr:uid="{00000000-0005-0000-0000-000001100000}"/>
    <cellStyle name="備註 4 3 2" xfId="4993" xr:uid="{00000000-0005-0000-0000-000002100000}"/>
    <cellStyle name="備註 5" xfId="201" xr:uid="{00000000-0005-0000-0000-000003100000}"/>
    <cellStyle name="備註 5 2" xfId="1825" xr:uid="{00000000-0005-0000-0000-000004100000}"/>
    <cellStyle name="備註 5 2 2" xfId="4219" xr:uid="{00000000-0005-0000-0000-000005100000}"/>
    <cellStyle name="備註 5 2 3" xfId="5061" xr:uid="{00000000-0005-0000-0000-000006100000}"/>
    <cellStyle name="備註 5 2 4" xfId="5220" xr:uid="{00000000-0005-0000-0000-000007100000}"/>
    <cellStyle name="備註 5 3" xfId="2564" xr:uid="{00000000-0005-0000-0000-000008100000}"/>
    <cellStyle name="備註 5 4" xfId="1801" xr:uid="{00000000-0005-0000-0000-000009100000}"/>
    <cellStyle name="備註 5 4 2" xfId="4215" xr:uid="{00000000-0005-0000-0000-00000A100000}"/>
    <cellStyle name="備註 5 5" xfId="3498" xr:uid="{00000000-0005-0000-0000-00000B100000}"/>
    <cellStyle name="備註 5 5 2" xfId="4841" xr:uid="{00000000-0005-0000-0000-00000C100000}"/>
    <cellStyle name="備註 5 6" xfId="4995" xr:uid="{00000000-0005-0000-0000-00000D100000}"/>
    <cellStyle name="備註 5 7" xfId="5154" xr:uid="{00000000-0005-0000-0000-00000E100000}"/>
    <cellStyle name="備註 6" xfId="202" xr:uid="{00000000-0005-0000-0000-00000F100000}"/>
    <cellStyle name="備註 6 2" xfId="1867" xr:uid="{00000000-0005-0000-0000-000010100000}"/>
    <cellStyle name="備註 6 2 2" xfId="4232" xr:uid="{00000000-0005-0000-0000-000011100000}"/>
    <cellStyle name="備註 6 2 3" xfId="5074" xr:uid="{00000000-0005-0000-0000-000012100000}"/>
    <cellStyle name="備註 6 2 4" xfId="5233" xr:uid="{00000000-0005-0000-0000-000013100000}"/>
    <cellStyle name="備註 6 3" xfId="2411" xr:uid="{00000000-0005-0000-0000-000014100000}"/>
    <cellStyle name="備註 6 4" xfId="2731" xr:uid="{00000000-0005-0000-0000-000015100000}"/>
    <cellStyle name="備註 6 4 2" xfId="4479" xr:uid="{00000000-0005-0000-0000-000016100000}"/>
    <cellStyle name="備註 6 5" xfId="2581" xr:uid="{00000000-0005-0000-0000-000017100000}"/>
    <cellStyle name="備註 6 5 2" xfId="4432" xr:uid="{00000000-0005-0000-0000-000018100000}"/>
    <cellStyle name="備註 6 6" xfId="5008" xr:uid="{00000000-0005-0000-0000-000019100000}"/>
    <cellStyle name="備註 6 7" xfId="5167" xr:uid="{00000000-0005-0000-0000-00001A100000}"/>
    <cellStyle name="備註 7" xfId="203" xr:uid="{00000000-0005-0000-0000-00001B100000}"/>
    <cellStyle name="備註 7 2" xfId="1908" xr:uid="{00000000-0005-0000-0000-00001C100000}"/>
    <cellStyle name="備註 7 2 2" xfId="4245" xr:uid="{00000000-0005-0000-0000-00001D100000}"/>
    <cellStyle name="備註 7 2 3" xfId="5087" xr:uid="{00000000-0005-0000-0000-00001E100000}"/>
    <cellStyle name="備註 7 2 4" xfId="5246" xr:uid="{00000000-0005-0000-0000-00001F100000}"/>
    <cellStyle name="備註 7 3" xfId="2366" xr:uid="{00000000-0005-0000-0000-000020100000}"/>
    <cellStyle name="備註 7 4" xfId="2672" xr:uid="{00000000-0005-0000-0000-000021100000}"/>
    <cellStyle name="備註 7 4 2" xfId="4444" xr:uid="{00000000-0005-0000-0000-000022100000}"/>
    <cellStyle name="備註 7 5" xfId="3519" xr:uid="{00000000-0005-0000-0000-000023100000}"/>
    <cellStyle name="備註 7 5 2" xfId="4853" xr:uid="{00000000-0005-0000-0000-000024100000}"/>
    <cellStyle name="備註 7 6" xfId="5021" xr:uid="{00000000-0005-0000-0000-000025100000}"/>
    <cellStyle name="備註 7 7" xfId="5180" xr:uid="{00000000-0005-0000-0000-000026100000}"/>
    <cellStyle name="備註 8" xfId="337" xr:uid="{00000000-0005-0000-0000-000027100000}"/>
    <cellStyle name="備註 8 2" xfId="1947" xr:uid="{00000000-0005-0000-0000-000028100000}"/>
    <cellStyle name="備註 8 2 2" xfId="4265" xr:uid="{00000000-0005-0000-0000-000029100000}"/>
    <cellStyle name="備註 8 3" xfId="1789" xr:uid="{00000000-0005-0000-0000-00002A100000}"/>
    <cellStyle name="備註 8 3 2" xfId="4210" xr:uid="{00000000-0005-0000-0000-00002B100000}"/>
    <cellStyle name="備註 8 4" xfId="1748" xr:uid="{00000000-0005-0000-0000-00002C100000}"/>
    <cellStyle name="備註 8 4 2" xfId="4191" xr:uid="{00000000-0005-0000-0000-00002D100000}"/>
    <cellStyle name="備註 8 5" xfId="3115" xr:uid="{00000000-0005-0000-0000-00002E100000}"/>
    <cellStyle name="備註 8 5 2" xfId="4668" xr:uid="{00000000-0005-0000-0000-00002F100000}"/>
    <cellStyle name="備註 8 6" xfId="4009" xr:uid="{00000000-0005-0000-0000-000030100000}"/>
    <cellStyle name="備註 8 7" xfId="5035" xr:uid="{00000000-0005-0000-0000-000031100000}"/>
    <cellStyle name="備註 8 8" xfId="5194" xr:uid="{00000000-0005-0000-0000-000032100000}"/>
    <cellStyle name="備註 9" xfId="379" xr:uid="{00000000-0005-0000-0000-000033100000}"/>
    <cellStyle name="備註 9 2" xfId="2056" xr:uid="{00000000-0005-0000-0000-000034100000}"/>
    <cellStyle name="備註 9 2 2" xfId="4297" xr:uid="{00000000-0005-0000-0000-000035100000}"/>
    <cellStyle name="備註 9 3" xfId="2801" xr:uid="{00000000-0005-0000-0000-000036100000}"/>
    <cellStyle name="備註 9 3 2" xfId="4527" xr:uid="{00000000-0005-0000-0000-000037100000}"/>
    <cellStyle name="備註 9 4" xfId="2250" xr:uid="{00000000-0005-0000-0000-000038100000}"/>
    <cellStyle name="備註 9 4 2" xfId="4397" xr:uid="{00000000-0005-0000-0000-000039100000}"/>
    <cellStyle name="備註 9 5" xfId="3124" xr:uid="{00000000-0005-0000-0000-00003A100000}"/>
    <cellStyle name="備註 9 5 2" xfId="4673" xr:uid="{00000000-0005-0000-0000-00003B100000}"/>
    <cellStyle name="備註 9 6" xfId="4022" xr:uid="{00000000-0005-0000-0000-00003C100000}"/>
    <cellStyle name="備註 9 7" xfId="5060" xr:uid="{00000000-0005-0000-0000-00003D100000}"/>
    <cellStyle name="備註 9 8" xfId="5219" xr:uid="{00000000-0005-0000-0000-00003E100000}"/>
    <cellStyle name="超連結" xfId="1" builtinId="8"/>
    <cellStyle name="說明文字" xfId="3638" builtinId="53" customBuiltin="1"/>
    <cellStyle name="說明文字 10" xfId="421" xr:uid="{00000000-0005-0000-0000-000041100000}"/>
    <cellStyle name="說明文字 11" xfId="463" xr:uid="{00000000-0005-0000-0000-000042100000}"/>
    <cellStyle name="說明文字 12" xfId="504" xr:uid="{00000000-0005-0000-0000-000043100000}"/>
    <cellStyle name="說明文字 13" xfId="546" xr:uid="{00000000-0005-0000-0000-000044100000}"/>
    <cellStyle name="說明文字 14" xfId="587" xr:uid="{00000000-0005-0000-0000-000045100000}"/>
    <cellStyle name="說明文字 14 2" xfId="2363" xr:uid="{00000000-0005-0000-0000-000046100000}"/>
    <cellStyle name="說明文字 14 2 2" xfId="2579" xr:uid="{00000000-0005-0000-0000-000047100000}"/>
    <cellStyle name="說明文字 14 2 3" xfId="2684" xr:uid="{00000000-0005-0000-0000-000048100000}"/>
    <cellStyle name="說明文字 14 2 4" xfId="3203" xr:uid="{00000000-0005-0000-0000-000049100000}"/>
    <cellStyle name="說明文字 14 3" xfId="3264" xr:uid="{00000000-0005-0000-0000-00004A100000}"/>
    <cellStyle name="說明文字 14 4" xfId="3431" xr:uid="{00000000-0005-0000-0000-00004B100000}"/>
    <cellStyle name="說明文字 15" xfId="628" xr:uid="{00000000-0005-0000-0000-00004C100000}"/>
    <cellStyle name="說明文字 16" xfId="670" xr:uid="{00000000-0005-0000-0000-00004D100000}"/>
    <cellStyle name="說明文字 17" xfId="711" xr:uid="{00000000-0005-0000-0000-00004E100000}"/>
    <cellStyle name="說明文字 18" xfId="752" xr:uid="{00000000-0005-0000-0000-00004F100000}"/>
    <cellStyle name="說明文字 19" xfId="793" xr:uid="{00000000-0005-0000-0000-000050100000}"/>
    <cellStyle name="說明文字 2" xfId="204" xr:uid="{00000000-0005-0000-0000-000051100000}"/>
    <cellStyle name="說明文字 2 10" xfId="1550" xr:uid="{00000000-0005-0000-0000-000052100000}"/>
    <cellStyle name="說明文字 2 11" xfId="1637" xr:uid="{00000000-0005-0000-0000-000053100000}"/>
    <cellStyle name="說明文字 2 12" xfId="1602" xr:uid="{00000000-0005-0000-0000-000054100000}"/>
    <cellStyle name="說明文字 2 2" xfId="205" xr:uid="{00000000-0005-0000-0000-000055100000}"/>
    <cellStyle name="說明文字 2 2 2" xfId="2025" xr:uid="{00000000-0005-0000-0000-000056100000}"/>
    <cellStyle name="說明文字 2 2 2 2" xfId="2026" xr:uid="{00000000-0005-0000-0000-000057100000}"/>
    <cellStyle name="說明文字 2 2 2 3" xfId="2508" xr:uid="{00000000-0005-0000-0000-000058100000}"/>
    <cellStyle name="說明文字 2 2 3" xfId="2507" xr:uid="{00000000-0005-0000-0000-000059100000}"/>
    <cellStyle name="說明文字 2 3" xfId="934" xr:uid="{00000000-0005-0000-0000-00005A100000}"/>
    <cellStyle name="說明文字 2 4" xfId="1135" xr:uid="{00000000-0005-0000-0000-00005B100000}"/>
    <cellStyle name="說明文字 2 4 2" xfId="2365" xr:uid="{00000000-0005-0000-0000-00005C100000}"/>
    <cellStyle name="說明文字 2 4 2 2" xfId="2960" xr:uid="{00000000-0005-0000-0000-00005D100000}"/>
    <cellStyle name="說明文字 2 4 2 3" xfId="3348" xr:uid="{00000000-0005-0000-0000-00005E100000}"/>
    <cellStyle name="說明文字 2 4 2 4" xfId="3216" xr:uid="{00000000-0005-0000-0000-00005F100000}"/>
    <cellStyle name="說明文字 2 4 3" xfId="3248" xr:uid="{00000000-0005-0000-0000-000060100000}"/>
    <cellStyle name="說明文字 2 4 4" xfId="3435" xr:uid="{00000000-0005-0000-0000-000061100000}"/>
    <cellStyle name="說明文字 2 5" xfId="1257" xr:uid="{00000000-0005-0000-0000-000062100000}"/>
    <cellStyle name="說明文字 2 6" xfId="897" xr:uid="{00000000-0005-0000-0000-000063100000}"/>
    <cellStyle name="說明文字 2 7" xfId="871" xr:uid="{00000000-0005-0000-0000-000064100000}"/>
    <cellStyle name="說明文字 2 8" xfId="1278" xr:uid="{00000000-0005-0000-0000-000065100000}"/>
    <cellStyle name="說明文字 2 9" xfId="1494" xr:uid="{00000000-0005-0000-0000-000066100000}"/>
    <cellStyle name="說明文字 20" xfId="933" xr:uid="{00000000-0005-0000-0000-000067100000}"/>
    <cellStyle name="說明文字 21" xfId="1157" xr:uid="{00000000-0005-0000-0000-000068100000}"/>
    <cellStyle name="說明文字 22" xfId="1082" xr:uid="{00000000-0005-0000-0000-000069100000}"/>
    <cellStyle name="說明文字 23" xfId="1299" xr:uid="{00000000-0005-0000-0000-00006A100000}"/>
    <cellStyle name="說明文字 24" xfId="1132" xr:uid="{00000000-0005-0000-0000-00006B100000}"/>
    <cellStyle name="說明文字 25" xfId="1090" xr:uid="{00000000-0005-0000-0000-00006C100000}"/>
    <cellStyle name="說明文字 26" xfId="1517" xr:uid="{00000000-0005-0000-0000-00006D100000}"/>
    <cellStyle name="說明文字 27" xfId="1575" xr:uid="{00000000-0005-0000-0000-00006E100000}"/>
    <cellStyle name="說明文字 28" xfId="1323" xr:uid="{00000000-0005-0000-0000-00006F100000}"/>
    <cellStyle name="說明文字 29" xfId="1003" xr:uid="{00000000-0005-0000-0000-000070100000}"/>
    <cellStyle name="說明文字 3" xfId="206" xr:uid="{00000000-0005-0000-0000-000071100000}"/>
    <cellStyle name="說明文字 4" xfId="207" xr:uid="{00000000-0005-0000-0000-000072100000}"/>
    <cellStyle name="說明文字 5" xfId="208" xr:uid="{00000000-0005-0000-0000-000073100000}"/>
    <cellStyle name="說明文字 5 2" xfId="1826" xr:uid="{00000000-0005-0000-0000-000074100000}"/>
    <cellStyle name="說明文字 5 3" xfId="2607" xr:uid="{00000000-0005-0000-0000-000075100000}"/>
    <cellStyle name="說明文字 5 4" xfId="3110" xr:uid="{00000000-0005-0000-0000-000076100000}"/>
    <cellStyle name="說明文字 5 5" xfId="3477" xr:uid="{00000000-0005-0000-0000-000077100000}"/>
    <cellStyle name="說明文字 6" xfId="209" xr:uid="{00000000-0005-0000-0000-000078100000}"/>
    <cellStyle name="說明文字 6 2" xfId="1868" xr:uid="{00000000-0005-0000-0000-000079100000}"/>
    <cellStyle name="說明文字 6 3" xfId="2531" xr:uid="{00000000-0005-0000-0000-00007A100000}"/>
    <cellStyle name="說明文字 6 4" xfId="2700" xr:uid="{00000000-0005-0000-0000-00007B100000}"/>
    <cellStyle name="說明文字 6 5" xfId="2881" xr:uid="{00000000-0005-0000-0000-00007C100000}"/>
    <cellStyle name="說明文字 7" xfId="210" xr:uid="{00000000-0005-0000-0000-00007D100000}"/>
    <cellStyle name="說明文字 7 2" xfId="1909" xr:uid="{00000000-0005-0000-0000-00007E100000}"/>
    <cellStyle name="說明文字 7 3" xfId="2450" xr:uid="{00000000-0005-0000-0000-00007F100000}"/>
    <cellStyle name="說明文字 7 4" xfId="2243" xr:uid="{00000000-0005-0000-0000-000080100000}"/>
    <cellStyle name="說明文字 7 5" xfId="3474" xr:uid="{00000000-0005-0000-0000-000081100000}"/>
    <cellStyle name="說明文字 8" xfId="338" xr:uid="{00000000-0005-0000-0000-000082100000}"/>
    <cellStyle name="說明文字 9" xfId="380" xr:uid="{00000000-0005-0000-0000-000083100000}"/>
    <cellStyle name="輔色1" xfId="3640" builtinId="29" customBuiltin="1"/>
    <cellStyle name="輔色1 10" xfId="423" xr:uid="{00000000-0005-0000-0000-000085100000}"/>
    <cellStyle name="輔色1 11" xfId="465" xr:uid="{00000000-0005-0000-0000-000086100000}"/>
    <cellStyle name="輔色1 12" xfId="506" xr:uid="{00000000-0005-0000-0000-000087100000}"/>
    <cellStyle name="輔色1 13" xfId="548" xr:uid="{00000000-0005-0000-0000-000088100000}"/>
    <cellStyle name="輔色1 14" xfId="589" xr:uid="{00000000-0005-0000-0000-000089100000}"/>
    <cellStyle name="輔色1 14 2" xfId="2367" xr:uid="{00000000-0005-0000-0000-00008A100000}"/>
    <cellStyle name="輔色1 14 2 2" xfId="2566" xr:uid="{00000000-0005-0000-0000-00008B100000}"/>
    <cellStyle name="輔色1 14 2 3" xfId="3043" xr:uid="{00000000-0005-0000-0000-00008C100000}"/>
    <cellStyle name="輔色1 14 2 4" xfId="3554" xr:uid="{00000000-0005-0000-0000-00008D100000}"/>
    <cellStyle name="輔色1 14 3" xfId="3214" xr:uid="{00000000-0005-0000-0000-00008E100000}"/>
    <cellStyle name="輔色1 14 4" xfId="3284" xr:uid="{00000000-0005-0000-0000-00008F100000}"/>
    <cellStyle name="輔色1 15" xfId="630" xr:uid="{00000000-0005-0000-0000-000090100000}"/>
    <cellStyle name="輔色1 16" xfId="672" xr:uid="{00000000-0005-0000-0000-000091100000}"/>
    <cellStyle name="輔色1 17" xfId="713" xr:uid="{00000000-0005-0000-0000-000092100000}"/>
    <cellStyle name="輔色1 18" xfId="754" xr:uid="{00000000-0005-0000-0000-000093100000}"/>
    <cellStyle name="輔色1 19" xfId="795" xr:uid="{00000000-0005-0000-0000-000094100000}"/>
    <cellStyle name="輔色1 2" xfId="211" xr:uid="{00000000-0005-0000-0000-000095100000}"/>
    <cellStyle name="輔色1 2 10" xfId="1546" xr:uid="{00000000-0005-0000-0000-000096100000}"/>
    <cellStyle name="輔色1 2 11" xfId="1564" xr:uid="{00000000-0005-0000-0000-000097100000}"/>
    <cellStyle name="輔色1 2 12" xfId="1108" xr:uid="{00000000-0005-0000-0000-000098100000}"/>
    <cellStyle name="輔色1 2 2" xfId="212" xr:uid="{00000000-0005-0000-0000-000099100000}"/>
    <cellStyle name="輔色1 2 2 2" xfId="2028" xr:uid="{00000000-0005-0000-0000-00009A100000}"/>
    <cellStyle name="輔色1 2 2 2 2" xfId="2029" xr:uid="{00000000-0005-0000-0000-00009B100000}"/>
    <cellStyle name="輔色1 2 2 2 3" xfId="2511" xr:uid="{00000000-0005-0000-0000-00009C100000}"/>
    <cellStyle name="輔色1 2 2 3" xfId="2510" xr:uid="{00000000-0005-0000-0000-00009D100000}"/>
    <cellStyle name="輔色1 2 3" xfId="938" xr:uid="{00000000-0005-0000-0000-00009E100000}"/>
    <cellStyle name="輔色1 2 4" xfId="957" xr:uid="{00000000-0005-0000-0000-00009F100000}"/>
    <cellStyle name="輔色1 2 4 2" xfId="2590" xr:uid="{00000000-0005-0000-0000-0000A0100000}"/>
    <cellStyle name="輔色1 2 4 2 2" xfId="2867" xr:uid="{00000000-0005-0000-0000-0000A1100000}"/>
    <cellStyle name="輔色1 2 4 2 3" xfId="3279" xr:uid="{00000000-0005-0000-0000-0000A2100000}"/>
    <cellStyle name="輔色1 2 4 2 4" xfId="3035" xr:uid="{00000000-0005-0000-0000-0000A3100000}"/>
    <cellStyle name="輔色1 2 4 3" xfId="1744" xr:uid="{00000000-0005-0000-0000-0000A4100000}"/>
    <cellStyle name="輔色1 2 4 4" xfId="1741" xr:uid="{00000000-0005-0000-0000-0000A5100000}"/>
    <cellStyle name="輔色1 2 5" xfId="1173" xr:uid="{00000000-0005-0000-0000-0000A6100000}"/>
    <cellStyle name="輔色1 2 6" xfId="833" xr:uid="{00000000-0005-0000-0000-0000A7100000}"/>
    <cellStyle name="輔色1 2 7" xfId="1019" xr:uid="{00000000-0005-0000-0000-0000A8100000}"/>
    <cellStyle name="輔色1 2 8" xfId="1317" xr:uid="{00000000-0005-0000-0000-0000A9100000}"/>
    <cellStyle name="輔色1 2 9" xfId="1490" xr:uid="{00000000-0005-0000-0000-0000AA100000}"/>
    <cellStyle name="輔色1 20" xfId="937" xr:uid="{00000000-0005-0000-0000-0000AB100000}"/>
    <cellStyle name="輔色1 21" xfId="958" xr:uid="{00000000-0005-0000-0000-0000AC100000}"/>
    <cellStyle name="輔色1 22" xfId="1154" xr:uid="{00000000-0005-0000-0000-0000AD100000}"/>
    <cellStyle name="輔色1 23" xfId="1095" xr:uid="{00000000-0005-0000-0000-0000AE100000}"/>
    <cellStyle name="輔色1 24" xfId="1204" xr:uid="{00000000-0005-0000-0000-0000AF100000}"/>
    <cellStyle name="輔色1 25" xfId="1332" xr:uid="{00000000-0005-0000-0000-0000B0100000}"/>
    <cellStyle name="輔色1 26" xfId="1514" xr:uid="{00000000-0005-0000-0000-0000B1100000}"/>
    <cellStyle name="輔色1 27" xfId="1572" xr:uid="{00000000-0005-0000-0000-0000B2100000}"/>
    <cellStyle name="輔色1 28" xfId="1540" xr:uid="{00000000-0005-0000-0000-0000B3100000}"/>
    <cellStyle name="輔色1 29" xfId="1644" xr:uid="{00000000-0005-0000-0000-0000B4100000}"/>
    <cellStyle name="輔色1 3" xfId="213" xr:uid="{00000000-0005-0000-0000-0000B5100000}"/>
    <cellStyle name="輔色1 4" xfId="214" xr:uid="{00000000-0005-0000-0000-0000B6100000}"/>
    <cellStyle name="輔色1 5" xfId="215" xr:uid="{00000000-0005-0000-0000-0000B7100000}"/>
    <cellStyle name="輔色1 5 2" xfId="1828" xr:uid="{00000000-0005-0000-0000-0000B8100000}"/>
    <cellStyle name="輔色1 5 3" xfId="2563" xr:uid="{00000000-0005-0000-0000-0000B9100000}"/>
    <cellStyle name="輔色1 5 4" xfId="3111" xr:uid="{00000000-0005-0000-0000-0000BA100000}"/>
    <cellStyle name="輔色1 5 5" xfId="3380" xr:uid="{00000000-0005-0000-0000-0000BB100000}"/>
    <cellStyle name="輔色1 6" xfId="216" xr:uid="{00000000-0005-0000-0000-0000BC100000}"/>
    <cellStyle name="輔色1 6 2" xfId="1870" xr:uid="{00000000-0005-0000-0000-0000BD100000}"/>
    <cellStyle name="輔色1 6 3" xfId="2410" xr:uid="{00000000-0005-0000-0000-0000BE100000}"/>
    <cellStyle name="輔色1 6 4" xfId="2244" xr:uid="{00000000-0005-0000-0000-0000BF100000}"/>
    <cellStyle name="輔色1 6 5" xfId="1959" xr:uid="{00000000-0005-0000-0000-0000C0100000}"/>
    <cellStyle name="輔色1 7" xfId="217" xr:uid="{00000000-0005-0000-0000-0000C1100000}"/>
    <cellStyle name="輔色1 7 2" xfId="1911" xr:uid="{00000000-0005-0000-0000-0000C2100000}"/>
    <cellStyle name="輔色1 7 3" xfId="2362" xr:uid="{00000000-0005-0000-0000-0000C3100000}"/>
    <cellStyle name="輔色1 7 4" xfId="2190" xr:uid="{00000000-0005-0000-0000-0000C4100000}"/>
    <cellStyle name="輔色1 7 5" xfId="2932" xr:uid="{00000000-0005-0000-0000-0000C5100000}"/>
    <cellStyle name="輔色1 8" xfId="340" xr:uid="{00000000-0005-0000-0000-0000C6100000}"/>
    <cellStyle name="輔色1 9" xfId="382" xr:uid="{00000000-0005-0000-0000-0000C7100000}"/>
    <cellStyle name="輔色2" xfId="3644" builtinId="33" customBuiltin="1"/>
    <cellStyle name="輔色2 10" xfId="427" xr:uid="{00000000-0005-0000-0000-0000C9100000}"/>
    <cellStyle name="輔色2 11" xfId="469" xr:uid="{00000000-0005-0000-0000-0000CA100000}"/>
    <cellStyle name="輔色2 12" xfId="510" xr:uid="{00000000-0005-0000-0000-0000CB100000}"/>
    <cellStyle name="輔色2 13" xfId="552" xr:uid="{00000000-0005-0000-0000-0000CC100000}"/>
    <cellStyle name="輔色2 14" xfId="593" xr:uid="{00000000-0005-0000-0000-0000CD100000}"/>
    <cellStyle name="輔色2 14 2" xfId="2370" xr:uid="{00000000-0005-0000-0000-0000CE100000}"/>
    <cellStyle name="輔色2 14 2 2" xfId="2642" xr:uid="{00000000-0005-0000-0000-0000CF100000}"/>
    <cellStyle name="輔色2 14 2 3" xfId="1740" xr:uid="{00000000-0005-0000-0000-0000D0100000}"/>
    <cellStyle name="輔色2 14 2 4" xfId="3346" xr:uid="{00000000-0005-0000-0000-0000D1100000}"/>
    <cellStyle name="輔色2 14 3" xfId="2157" xr:uid="{00000000-0005-0000-0000-0000D2100000}"/>
    <cellStyle name="輔色2 14 4" xfId="3529" xr:uid="{00000000-0005-0000-0000-0000D3100000}"/>
    <cellStyle name="輔色2 15" xfId="634" xr:uid="{00000000-0005-0000-0000-0000D4100000}"/>
    <cellStyle name="輔色2 16" xfId="676" xr:uid="{00000000-0005-0000-0000-0000D5100000}"/>
    <cellStyle name="輔色2 17" xfId="717" xr:uid="{00000000-0005-0000-0000-0000D6100000}"/>
    <cellStyle name="輔色2 18" xfId="758" xr:uid="{00000000-0005-0000-0000-0000D7100000}"/>
    <cellStyle name="輔色2 19" xfId="799" xr:uid="{00000000-0005-0000-0000-0000D8100000}"/>
    <cellStyle name="輔色2 2" xfId="218" xr:uid="{00000000-0005-0000-0000-0000D9100000}"/>
    <cellStyle name="輔色2 2 10" xfId="1543" xr:uid="{00000000-0005-0000-0000-0000DA100000}"/>
    <cellStyle name="輔色2 2 11" xfId="1541" xr:uid="{00000000-0005-0000-0000-0000DB100000}"/>
    <cellStyle name="輔色2 2 12" xfId="1623" xr:uid="{00000000-0005-0000-0000-0000DC100000}"/>
    <cellStyle name="輔色2 2 2" xfId="219" xr:uid="{00000000-0005-0000-0000-0000DD100000}"/>
    <cellStyle name="輔色2 2 2 2" xfId="2031" xr:uid="{00000000-0005-0000-0000-0000DE100000}"/>
    <cellStyle name="輔色2 2 2 2 2" xfId="2032" xr:uid="{00000000-0005-0000-0000-0000DF100000}"/>
    <cellStyle name="輔色2 2 2 2 3" xfId="2513" xr:uid="{00000000-0005-0000-0000-0000E0100000}"/>
    <cellStyle name="輔色2 2 2 3" xfId="2512" xr:uid="{00000000-0005-0000-0000-0000E1100000}"/>
    <cellStyle name="輔色2 2 3" xfId="943" xr:uid="{00000000-0005-0000-0000-0000E2100000}"/>
    <cellStyle name="輔色2 2 4" xfId="1201" xr:uid="{00000000-0005-0000-0000-0000E3100000}"/>
    <cellStyle name="輔色2 2 4 2" xfId="2361" xr:uid="{00000000-0005-0000-0000-0000E4100000}"/>
    <cellStyle name="輔色2 2 4 2 2" xfId="2996" xr:uid="{00000000-0005-0000-0000-0000E5100000}"/>
    <cellStyle name="輔色2 2 4 2 3" xfId="3383" xr:uid="{00000000-0005-0000-0000-0000E6100000}"/>
    <cellStyle name="輔色2 2 4 2 4" xfId="2767" xr:uid="{00000000-0005-0000-0000-0000E7100000}"/>
    <cellStyle name="輔色2 2 4 3" xfId="3255" xr:uid="{00000000-0005-0000-0000-0000E8100000}"/>
    <cellStyle name="輔色2 2 4 4" xfId="3056" xr:uid="{00000000-0005-0000-0000-0000E9100000}"/>
    <cellStyle name="輔色2 2 5" xfId="1200" xr:uid="{00000000-0005-0000-0000-0000EA100000}"/>
    <cellStyle name="輔色2 2 6" xfId="1191" xr:uid="{00000000-0005-0000-0000-0000EB100000}"/>
    <cellStyle name="輔色2 2 7" xfId="902" xr:uid="{00000000-0005-0000-0000-0000EC100000}"/>
    <cellStyle name="輔色2 2 8" xfId="1426" xr:uid="{00000000-0005-0000-0000-0000ED100000}"/>
    <cellStyle name="輔色2 2 9" xfId="1486" xr:uid="{00000000-0005-0000-0000-0000EE100000}"/>
    <cellStyle name="輔色2 20" xfId="942" xr:uid="{00000000-0005-0000-0000-0000EF100000}"/>
    <cellStyle name="輔色2 21" xfId="1220" xr:uid="{00000000-0005-0000-0000-0000F0100000}"/>
    <cellStyle name="輔色2 22" xfId="1261" xr:uid="{00000000-0005-0000-0000-0000F1100000}"/>
    <cellStyle name="輔色2 23" xfId="1254" xr:uid="{00000000-0005-0000-0000-0000F2100000}"/>
    <cellStyle name="輔色2 24" xfId="964" xr:uid="{00000000-0005-0000-0000-0000F3100000}"/>
    <cellStyle name="輔色2 25" xfId="953" xr:uid="{00000000-0005-0000-0000-0000F4100000}"/>
    <cellStyle name="輔色2 26" xfId="1510" xr:uid="{00000000-0005-0000-0000-0000F5100000}"/>
    <cellStyle name="輔色2 27" xfId="1568" xr:uid="{00000000-0005-0000-0000-0000F6100000}"/>
    <cellStyle name="輔色2 28" xfId="1057" xr:uid="{00000000-0005-0000-0000-0000F7100000}"/>
    <cellStyle name="輔色2 29" xfId="1657" xr:uid="{00000000-0005-0000-0000-0000F8100000}"/>
    <cellStyle name="輔色2 3" xfId="220" xr:uid="{00000000-0005-0000-0000-0000F9100000}"/>
    <cellStyle name="輔色2 4" xfId="221" xr:uid="{00000000-0005-0000-0000-0000FA100000}"/>
    <cellStyle name="輔色2 5" xfId="222" xr:uid="{00000000-0005-0000-0000-0000FB100000}"/>
    <cellStyle name="輔色2 5 2" xfId="1832" xr:uid="{00000000-0005-0000-0000-0000FC100000}"/>
    <cellStyle name="輔色2 5 3" xfId="2606" xr:uid="{00000000-0005-0000-0000-0000FD100000}"/>
    <cellStyle name="輔色2 5 4" xfId="1800" xr:uid="{00000000-0005-0000-0000-0000FE100000}"/>
    <cellStyle name="輔色2 5 5" xfId="3489" xr:uid="{00000000-0005-0000-0000-0000FF100000}"/>
    <cellStyle name="輔色2 6" xfId="223" xr:uid="{00000000-0005-0000-0000-000000110000}"/>
    <cellStyle name="輔色2 6 2" xfId="1874" xr:uid="{00000000-0005-0000-0000-000001110000}"/>
    <cellStyle name="輔色2 6 3" xfId="2534" xr:uid="{00000000-0005-0000-0000-000002110000}"/>
    <cellStyle name="輔色2 6 4" xfId="2995" xr:uid="{00000000-0005-0000-0000-000003110000}"/>
    <cellStyle name="輔色2 6 5" xfId="3437" xr:uid="{00000000-0005-0000-0000-000004110000}"/>
    <cellStyle name="輔色2 7" xfId="224" xr:uid="{00000000-0005-0000-0000-000005110000}"/>
    <cellStyle name="輔色2 7 2" xfId="1915" xr:uid="{00000000-0005-0000-0000-000006110000}"/>
    <cellStyle name="輔色2 7 3" xfId="2448" xr:uid="{00000000-0005-0000-0000-000007110000}"/>
    <cellStyle name="輔色2 7 4" xfId="3095" xr:uid="{00000000-0005-0000-0000-000008110000}"/>
    <cellStyle name="輔色2 7 5" xfId="2101" xr:uid="{00000000-0005-0000-0000-000009110000}"/>
    <cellStyle name="輔色2 8" xfId="344" xr:uid="{00000000-0005-0000-0000-00000A110000}"/>
    <cellStyle name="輔色2 9" xfId="386" xr:uid="{00000000-0005-0000-0000-00000B110000}"/>
    <cellStyle name="輔色3" xfId="3648" builtinId="37" customBuiltin="1"/>
    <cellStyle name="輔色3 10" xfId="431" xr:uid="{00000000-0005-0000-0000-00000D110000}"/>
    <cellStyle name="輔色3 11" xfId="473" xr:uid="{00000000-0005-0000-0000-00000E110000}"/>
    <cellStyle name="輔色3 12" xfId="514" xr:uid="{00000000-0005-0000-0000-00000F110000}"/>
    <cellStyle name="輔色3 13" xfId="556" xr:uid="{00000000-0005-0000-0000-000010110000}"/>
    <cellStyle name="輔色3 14" xfId="597" xr:uid="{00000000-0005-0000-0000-000011110000}"/>
    <cellStyle name="輔色3 14 2" xfId="2372" xr:uid="{00000000-0005-0000-0000-000012110000}"/>
    <cellStyle name="輔色3 14 2 2" xfId="2655" xr:uid="{00000000-0005-0000-0000-000013110000}"/>
    <cellStyle name="輔色3 14 2 3" xfId="3135" xr:uid="{00000000-0005-0000-0000-000014110000}"/>
    <cellStyle name="輔色3 14 2 4" xfId="1758" xr:uid="{00000000-0005-0000-0000-000015110000}"/>
    <cellStyle name="輔色3 14 3" xfId="1810" xr:uid="{00000000-0005-0000-0000-000016110000}"/>
    <cellStyle name="輔色3 14 4" xfId="3246" xr:uid="{00000000-0005-0000-0000-000017110000}"/>
    <cellStyle name="輔色3 15" xfId="638" xr:uid="{00000000-0005-0000-0000-000018110000}"/>
    <cellStyle name="輔色3 16" xfId="680" xr:uid="{00000000-0005-0000-0000-000019110000}"/>
    <cellStyle name="輔色3 17" xfId="721" xr:uid="{00000000-0005-0000-0000-00001A110000}"/>
    <cellStyle name="輔色3 18" xfId="762" xr:uid="{00000000-0005-0000-0000-00001B110000}"/>
    <cellStyle name="輔色3 19" xfId="803" xr:uid="{00000000-0005-0000-0000-00001C110000}"/>
    <cellStyle name="輔色3 2" xfId="225" xr:uid="{00000000-0005-0000-0000-00001D110000}"/>
    <cellStyle name="輔色3 2 10" xfId="1556" xr:uid="{00000000-0005-0000-0000-00001E110000}"/>
    <cellStyle name="輔色3 2 11" xfId="903" xr:uid="{00000000-0005-0000-0000-00001F110000}"/>
    <cellStyle name="輔色3 2 12" xfId="1656" xr:uid="{00000000-0005-0000-0000-000020110000}"/>
    <cellStyle name="輔色3 2 2" xfId="226" xr:uid="{00000000-0005-0000-0000-000021110000}"/>
    <cellStyle name="輔色3 2 2 2" xfId="2035" xr:uid="{00000000-0005-0000-0000-000022110000}"/>
    <cellStyle name="輔色3 2 2 2 2" xfId="2036" xr:uid="{00000000-0005-0000-0000-000023110000}"/>
    <cellStyle name="輔色3 2 2 2 3" xfId="2515" xr:uid="{00000000-0005-0000-0000-000024110000}"/>
    <cellStyle name="輔色3 2 2 3" xfId="2514" xr:uid="{00000000-0005-0000-0000-000025110000}"/>
    <cellStyle name="輔色3 2 3" xfId="948" xr:uid="{00000000-0005-0000-0000-000026110000}"/>
    <cellStyle name="輔色3 2 4" xfId="1048" xr:uid="{00000000-0005-0000-0000-000027110000}"/>
    <cellStyle name="輔色3 2 4 2" xfId="2589" xr:uid="{00000000-0005-0000-0000-000028110000}"/>
    <cellStyle name="輔色3 2 4 2 2" xfId="2915" xr:uid="{00000000-0005-0000-0000-000029110000}"/>
    <cellStyle name="輔色3 2 4 2 3" xfId="3315" xr:uid="{00000000-0005-0000-0000-00002A110000}"/>
    <cellStyle name="輔色3 2 4 2 4" xfId="3362" xr:uid="{00000000-0005-0000-0000-00002B110000}"/>
    <cellStyle name="輔色3 2 4 3" xfId="1745" xr:uid="{00000000-0005-0000-0000-00002C110000}"/>
    <cellStyle name="輔色3 2 4 4" xfId="2168" xr:uid="{00000000-0005-0000-0000-00002D110000}"/>
    <cellStyle name="輔色3 2 5" xfId="1164" xr:uid="{00000000-0005-0000-0000-00002E110000}"/>
    <cellStyle name="輔色3 2 6" xfId="968" xr:uid="{00000000-0005-0000-0000-00002F110000}"/>
    <cellStyle name="輔色3 2 7" xfId="1337" xr:uid="{00000000-0005-0000-0000-000030110000}"/>
    <cellStyle name="輔色3 2 8" xfId="1265" xr:uid="{00000000-0005-0000-0000-000031110000}"/>
    <cellStyle name="輔色3 2 9" xfId="1500" xr:uid="{00000000-0005-0000-0000-000032110000}"/>
    <cellStyle name="輔色3 20" xfId="947" xr:uid="{00000000-0005-0000-0000-000033110000}"/>
    <cellStyle name="輔色3 21" xfId="1067" xr:uid="{00000000-0005-0000-0000-000034110000}"/>
    <cellStyle name="輔色3 22" xfId="1137" xr:uid="{00000000-0005-0000-0000-000035110000}"/>
    <cellStyle name="輔色3 23" xfId="1109" xr:uid="{00000000-0005-0000-0000-000036110000}"/>
    <cellStyle name="輔色3 24" xfId="1336" xr:uid="{00000000-0005-0000-0000-000037110000}"/>
    <cellStyle name="輔色3 25" xfId="1423" xr:uid="{00000000-0005-0000-0000-000038110000}"/>
    <cellStyle name="輔色3 26" xfId="1525" xr:uid="{00000000-0005-0000-0000-000039110000}"/>
    <cellStyle name="輔色3 27" xfId="1583" xr:uid="{00000000-0005-0000-0000-00003A110000}"/>
    <cellStyle name="輔色3 28" xfId="1610" xr:uid="{00000000-0005-0000-0000-00003B110000}"/>
    <cellStyle name="輔色3 29" xfId="1669" xr:uid="{00000000-0005-0000-0000-00003C110000}"/>
    <cellStyle name="輔色3 3" xfId="227" xr:uid="{00000000-0005-0000-0000-00003D110000}"/>
    <cellStyle name="輔色3 4" xfId="228" xr:uid="{00000000-0005-0000-0000-00003E110000}"/>
    <cellStyle name="輔色3 5" xfId="229" xr:uid="{00000000-0005-0000-0000-00003F110000}"/>
    <cellStyle name="輔色3 5 2" xfId="1836" xr:uid="{00000000-0005-0000-0000-000040110000}"/>
    <cellStyle name="輔色3 5 3" xfId="2562" xr:uid="{00000000-0005-0000-0000-000041110000}"/>
    <cellStyle name="輔色3 5 4" xfId="1784" xr:uid="{00000000-0005-0000-0000-000042110000}"/>
    <cellStyle name="輔色3 5 5" xfId="3338" xr:uid="{00000000-0005-0000-0000-000043110000}"/>
    <cellStyle name="輔色3 6" xfId="230" xr:uid="{00000000-0005-0000-0000-000044110000}"/>
    <cellStyle name="輔色3 6 2" xfId="1878" xr:uid="{00000000-0005-0000-0000-000045110000}"/>
    <cellStyle name="輔色3 6 3" xfId="2409" xr:uid="{00000000-0005-0000-0000-000046110000}"/>
    <cellStyle name="輔色3 6 4" xfId="1939" xr:uid="{00000000-0005-0000-0000-000047110000}"/>
    <cellStyle name="輔色3 6 5" xfId="3097" xr:uid="{00000000-0005-0000-0000-000048110000}"/>
    <cellStyle name="輔色3 7" xfId="231" xr:uid="{00000000-0005-0000-0000-000049110000}"/>
    <cellStyle name="輔色3 7 2" xfId="1919" xr:uid="{00000000-0005-0000-0000-00004A110000}"/>
    <cellStyle name="輔色3 7 3" xfId="2358" xr:uid="{00000000-0005-0000-0000-00004B110000}"/>
    <cellStyle name="輔色3 7 4" xfId="2872" xr:uid="{00000000-0005-0000-0000-00004C110000}"/>
    <cellStyle name="輔色3 7 5" xfId="2890" xr:uid="{00000000-0005-0000-0000-00004D110000}"/>
    <cellStyle name="輔色3 8" xfId="348" xr:uid="{00000000-0005-0000-0000-00004E110000}"/>
    <cellStyle name="輔色3 9" xfId="390" xr:uid="{00000000-0005-0000-0000-00004F110000}"/>
    <cellStyle name="輔色4" xfId="3652" builtinId="41" customBuiltin="1"/>
    <cellStyle name="輔色4 10" xfId="435" xr:uid="{00000000-0005-0000-0000-000051110000}"/>
    <cellStyle name="輔色4 11" xfId="477" xr:uid="{00000000-0005-0000-0000-000052110000}"/>
    <cellStyle name="輔色4 12" xfId="518" xr:uid="{00000000-0005-0000-0000-000053110000}"/>
    <cellStyle name="輔色4 13" xfId="560" xr:uid="{00000000-0005-0000-0000-000054110000}"/>
    <cellStyle name="輔色4 14" xfId="601" xr:uid="{00000000-0005-0000-0000-000055110000}"/>
    <cellStyle name="輔色4 14 2" xfId="2374" xr:uid="{00000000-0005-0000-0000-000056110000}"/>
    <cellStyle name="輔色4 14 2 2" xfId="2659" xr:uid="{00000000-0005-0000-0000-000057110000}"/>
    <cellStyle name="輔色4 14 2 3" xfId="3031" xr:uid="{00000000-0005-0000-0000-000058110000}"/>
    <cellStyle name="輔色4 14 2 4" xfId="2128" xr:uid="{00000000-0005-0000-0000-000059110000}"/>
    <cellStyle name="輔色4 14 3" xfId="3258" xr:uid="{00000000-0005-0000-0000-00005A110000}"/>
    <cellStyle name="輔色4 14 4" xfId="1950" xr:uid="{00000000-0005-0000-0000-00005B110000}"/>
    <cellStyle name="輔色4 15" xfId="642" xr:uid="{00000000-0005-0000-0000-00005C110000}"/>
    <cellStyle name="輔色4 16" xfId="684" xr:uid="{00000000-0005-0000-0000-00005D110000}"/>
    <cellStyle name="輔色4 17" xfId="725" xr:uid="{00000000-0005-0000-0000-00005E110000}"/>
    <cellStyle name="輔色4 18" xfId="766" xr:uid="{00000000-0005-0000-0000-00005F110000}"/>
    <cellStyle name="輔色4 19" xfId="807" xr:uid="{00000000-0005-0000-0000-000060110000}"/>
    <cellStyle name="輔色4 2" xfId="232" xr:uid="{00000000-0005-0000-0000-000061110000}"/>
    <cellStyle name="輔色4 2 10" xfId="1555" xr:uid="{00000000-0005-0000-0000-000062110000}"/>
    <cellStyle name="輔色4 2 11" xfId="1608" xr:uid="{00000000-0005-0000-0000-000063110000}"/>
    <cellStyle name="輔色4 2 12" xfId="1668" xr:uid="{00000000-0005-0000-0000-000064110000}"/>
    <cellStyle name="輔色4 2 2" xfId="233" xr:uid="{00000000-0005-0000-0000-000065110000}"/>
    <cellStyle name="輔色4 2 2 2" xfId="2038" xr:uid="{00000000-0005-0000-0000-000066110000}"/>
    <cellStyle name="輔色4 2 2 2 2" xfId="2039" xr:uid="{00000000-0005-0000-0000-000067110000}"/>
    <cellStyle name="輔色4 2 2 2 3" xfId="2517" xr:uid="{00000000-0005-0000-0000-000068110000}"/>
    <cellStyle name="輔色4 2 2 3" xfId="2516" xr:uid="{00000000-0005-0000-0000-000069110000}"/>
    <cellStyle name="輔色4 2 3" xfId="955" xr:uid="{00000000-0005-0000-0000-00006A110000}"/>
    <cellStyle name="輔色4 2 4" xfId="1253" xr:uid="{00000000-0005-0000-0000-00006B110000}"/>
    <cellStyle name="輔色4 2 4 2" xfId="2357" xr:uid="{00000000-0005-0000-0000-00006C110000}"/>
    <cellStyle name="輔色4 2 4 2 2" xfId="3030" xr:uid="{00000000-0005-0000-0000-00006D110000}"/>
    <cellStyle name="輔色4 2 4 2 3" xfId="3410" xr:uid="{00000000-0005-0000-0000-00006E110000}"/>
    <cellStyle name="輔色4 2 4 2 4" xfId="3565" xr:uid="{00000000-0005-0000-0000-00006F110000}"/>
    <cellStyle name="輔色4 2 4 3" xfId="3253" xr:uid="{00000000-0005-0000-0000-000070110000}"/>
    <cellStyle name="輔色4 2 4 4" xfId="2917" xr:uid="{00000000-0005-0000-0000-000071110000}"/>
    <cellStyle name="輔色4 2 5" xfId="1295" xr:uid="{00000000-0005-0000-0000-000072110000}"/>
    <cellStyle name="輔色4 2 6" xfId="1316" xr:uid="{00000000-0005-0000-0000-000073110000}"/>
    <cellStyle name="輔色4 2 7" xfId="1343" xr:uid="{00000000-0005-0000-0000-000074110000}"/>
    <cellStyle name="輔色4 2 8" xfId="1068" xr:uid="{00000000-0005-0000-0000-000075110000}"/>
    <cellStyle name="輔色4 2 9" xfId="1497" xr:uid="{00000000-0005-0000-0000-000076110000}"/>
    <cellStyle name="輔色4 20" xfId="954" xr:uid="{00000000-0005-0000-0000-000077110000}"/>
    <cellStyle name="輔色4 21" xfId="949" xr:uid="{00000000-0005-0000-0000-000078110000}"/>
    <cellStyle name="輔色4 22" xfId="1026" xr:uid="{00000000-0005-0000-0000-000079110000}"/>
    <cellStyle name="輔色4 23" xfId="1331" xr:uid="{00000000-0005-0000-0000-00007A110000}"/>
    <cellStyle name="輔色4 24" xfId="1342" xr:uid="{00000000-0005-0000-0000-00007B110000}"/>
    <cellStyle name="輔色4 25" xfId="1315" xr:uid="{00000000-0005-0000-0000-00007C110000}"/>
    <cellStyle name="輔色4 26" xfId="1522" xr:uid="{00000000-0005-0000-0000-00007D110000}"/>
    <cellStyle name="輔色4 27" xfId="1581" xr:uid="{00000000-0005-0000-0000-00007E110000}"/>
    <cellStyle name="輔色4 28" xfId="1631" xr:uid="{00000000-0005-0000-0000-00007F110000}"/>
    <cellStyle name="輔色4 29" xfId="1683" xr:uid="{00000000-0005-0000-0000-000080110000}"/>
    <cellStyle name="輔色4 3" xfId="234" xr:uid="{00000000-0005-0000-0000-000081110000}"/>
    <cellStyle name="輔色4 4" xfId="235" xr:uid="{00000000-0005-0000-0000-000082110000}"/>
    <cellStyle name="輔色4 5" xfId="236" xr:uid="{00000000-0005-0000-0000-000083110000}"/>
    <cellStyle name="輔色4 5 2" xfId="1840" xr:uid="{00000000-0005-0000-0000-000084110000}"/>
    <cellStyle name="輔色4 5 3" xfId="2605" xr:uid="{00000000-0005-0000-0000-000085110000}"/>
    <cellStyle name="輔色4 5 4" xfId="2111" xr:uid="{00000000-0005-0000-0000-000086110000}"/>
    <cellStyle name="輔色4 5 5" xfId="1780" xr:uid="{00000000-0005-0000-0000-000087110000}"/>
    <cellStyle name="輔色4 6" xfId="237" xr:uid="{00000000-0005-0000-0000-000088110000}"/>
    <cellStyle name="輔色4 6 2" xfId="1882" xr:uid="{00000000-0005-0000-0000-000089110000}"/>
    <cellStyle name="輔色4 6 3" xfId="2537" xr:uid="{00000000-0005-0000-0000-00008A110000}"/>
    <cellStyle name="輔色4 6 4" xfId="1795" xr:uid="{00000000-0005-0000-0000-00008B110000}"/>
    <cellStyle name="輔色4 6 5" xfId="2685" xr:uid="{00000000-0005-0000-0000-00008C110000}"/>
    <cellStyle name="輔色4 7" xfId="238" xr:uid="{00000000-0005-0000-0000-00008D110000}"/>
    <cellStyle name="輔色4 7 2" xfId="1923" xr:uid="{00000000-0005-0000-0000-00008E110000}"/>
    <cellStyle name="輔色4 7 3" xfId="2447" xr:uid="{00000000-0005-0000-0000-00008F110000}"/>
    <cellStyle name="輔色4 7 4" xfId="2074" xr:uid="{00000000-0005-0000-0000-000090110000}"/>
    <cellStyle name="輔色4 7 5" xfId="3068" xr:uid="{00000000-0005-0000-0000-000091110000}"/>
    <cellStyle name="輔色4 8" xfId="352" xr:uid="{00000000-0005-0000-0000-000092110000}"/>
    <cellStyle name="輔色4 9" xfId="394" xr:uid="{00000000-0005-0000-0000-000093110000}"/>
    <cellStyle name="輔色5" xfId="3656" builtinId="45" customBuiltin="1"/>
    <cellStyle name="輔色5 10" xfId="439" xr:uid="{00000000-0005-0000-0000-000095110000}"/>
    <cellStyle name="輔色5 11" xfId="481" xr:uid="{00000000-0005-0000-0000-000096110000}"/>
    <cellStyle name="輔色5 12" xfId="522" xr:uid="{00000000-0005-0000-0000-000097110000}"/>
    <cellStyle name="輔色5 13" xfId="564" xr:uid="{00000000-0005-0000-0000-000098110000}"/>
    <cellStyle name="輔色5 14" xfId="605" xr:uid="{00000000-0005-0000-0000-000099110000}"/>
    <cellStyle name="輔色5 14 2" xfId="2376" xr:uid="{00000000-0005-0000-0000-00009A110000}"/>
    <cellStyle name="輔色5 14 2 2" xfId="2663" xr:uid="{00000000-0005-0000-0000-00009B110000}"/>
    <cellStyle name="輔色5 14 2 3" xfId="3082" xr:uid="{00000000-0005-0000-0000-00009C110000}"/>
    <cellStyle name="輔色5 14 2 4" xfId="3459" xr:uid="{00000000-0005-0000-0000-00009D110000}"/>
    <cellStyle name="輔色5 14 3" xfId="3256" xr:uid="{00000000-0005-0000-0000-00009E110000}"/>
    <cellStyle name="輔色5 14 4" xfId="2261" xr:uid="{00000000-0005-0000-0000-00009F110000}"/>
    <cellStyle name="輔色5 15" xfId="646" xr:uid="{00000000-0005-0000-0000-0000A0110000}"/>
    <cellStyle name="輔色5 16" xfId="688" xr:uid="{00000000-0005-0000-0000-0000A1110000}"/>
    <cellStyle name="輔色5 17" xfId="729" xr:uid="{00000000-0005-0000-0000-0000A2110000}"/>
    <cellStyle name="輔色5 18" xfId="770" xr:uid="{00000000-0005-0000-0000-0000A3110000}"/>
    <cellStyle name="輔色5 19" xfId="811" xr:uid="{00000000-0005-0000-0000-0000A4110000}"/>
    <cellStyle name="輔色5 2" xfId="239" xr:uid="{00000000-0005-0000-0000-0000A5110000}"/>
    <cellStyle name="輔色5 2 10" xfId="1552" xr:uid="{00000000-0005-0000-0000-0000A6110000}"/>
    <cellStyle name="輔色5 2 11" xfId="1628" xr:uid="{00000000-0005-0000-0000-0000A7110000}"/>
    <cellStyle name="輔色5 2 12" xfId="1682" xr:uid="{00000000-0005-0000-0000-0000A8110000}"/>
    <cellStyle name="輔色5 2 2" xfId="240" xr:uid="{00000000-0005-0000-0000-0000A9110000}"/>
    <cellStyle name="輔色5 2 2 2" xfId="2041" xr:uid="{00000000-0005-0000-0000-0000AA110000}"/>
    <cellStyle name="輔色5 2 2 2 2" xfId="2042" xr:uid="{00000000-0005-0000-0000-0000AB110000}"/>
    <cellStyle name="輔色5 2 2 2 3" xfId="2520" xr:uid="{00000000-0005-0000-0000-0000AC110000}"/>
    <cellStyle name="輔色5 2 2 3" xfId="2519" xr:uid="{00000000-0005-0000-0000-0000AD110000}"/>
    <cellStyle name="輔色5 2 3" xfId="960" xr:uid="{00000000-0005-0000-0000-0000AE110000}"/>
    <cellStyle name="輔色5 2 4" xfId="1111" xr:uid="{00000000-0005-0000-0000-0000AF110000}"/>
    <cellStyle name="輔色5 2 4 2" xfId="2588" xr:uid="{00000000-0005-0000-0000-0000B0110000}"/>
    <cellStyle name="輔色5 2 4 2 2" xfId="2947" xr:uid="{00000000-0005-0000-0000-0000B1110000}"/>
    <cellStyle name="輔色5 2 4 2 3" xfId="3337" xr:uid="{00000000-0005-0000-0000-0000B2110000}"/>
    <cellStyle name="輔色5 2 4 2 4" xfId="3327" xr:uid="{00000000-0005-0000-0000-0000B3110000}"/>
    <cellStyle name="輔色5 2 4 3" xfId="2096" xr:uid="{00000000-0005-0000-0000-0000B4110000}"/>
    <cellStyle name="輔色5 2 4 4" xfId="2764" xr:uid="{00000000-0005-0000-0000-0000B5110000}"/>
    <cellStyle name="輔色5 2 5" xfId="1233" xr:uid="{00000000-0005-0000-0000-0000B6110000}"/>
    <cellStyle name="輔色5 2 6" xfId="1100" xr:uid="{00000000-0005-0000-0000-0000B7110000}"/>
    <cellStyle name="輔色5 2 7" xfId="1347" xr:uid="{00000000-0005-0000-0000-0000B8110000}"/>
    <cellStyle name="輔色5 2 8" xfId="1217" xr:uid="{00000000-0005-0000-0000-0000B9110000}"/>
    <cellStyle name="輔色5 2 9" xfId="1495" xr:uid="{00000000-0005-0000-0000-0000BA110000}"/>
    <cellStyle name="輔色5 20" xfId="959" xr:uid="{00000000-0005-0000-0000-0000BB110000}"/>
    <cellStyle name="輔色5 21" xfId="1131" xr:uid="{00000000-0005-0000-0000-0000BC110000}"/>
    <cellStyle name="輔色5 22" xfId="1069" xr:uid="{00000000-0005-0000-0000-0000BD110000}"/>
    <cellStyle name="輔色5 23" xfId="1273" xr:uid="{00000000-0005-0000-0000-0000BE110000}"/>
    <cellStyle name="輔色5 24" xfId="1346" xr:uid="{00000000-0005-0000-0000-0000BF110000}"/>
    <cellStyle name="輔色5 25" xfId="1279" xr:uid="{00000000-0005-0000-0000-0000C0110000}"/>
    <cellStyle name="輔色5 26" xfId="1519" xr:uid="{00000000-0005-0000-0000-0000C1110000}"/>
    <cellStyle name="輔色5 27" xfId="1577" xr:uid="{00000000-0005-0000-0000-0000C2110000}"/>
    <cellStyle name="輔色5 28" xfId="1649" xr:uid="{00000000-0005-0000-0000-0000C3110000}"/>
    <cellStyle name="輔色5 29" xfId="1151" xr:uid="{00000000-0005-0000-0000-0000C4110000}"/>
    <cellStyle name="輔色5 3" xfId="241" xr:uid="{00000000-0005-0000-0000-0000C5110000}"/>
    <cellStyle name="輔色5 4" xfId="242" xr:uid="{00000000-0005-0000-0000-0000C6110000}"/>
    <cellStyle name="輔色5 5" xfId="243" xr:uid="{00000000-0005-0000-0000-0000C7110000}"/>
    <cellStyle name="輔色5 5 2" xfId="1844" xr:uid="{00000000-0005-0000-0000-0000C8110000}"/>
    <cellStyle name="輔色5 5 3" xfId="2561" xr:uid="{00000000-0005-0000-0000-0000C9110000}"/>
    <cellStyle name="輔色5 5 4" xfId="2991" xr:uid="{00000000-0005-0000-0000-0000CA110000}"/>
    <cellStyle name="輔色5 5 5" xfId="3525" xr:uid="{00000000-0005-0000-0000-0000CB110000}"/>
    <cellStyle name="輔色5 6" xfId="244" xr:uid="{00000000-0005-0000-0000-0000CC110000}"/>
    <cellStyle name="輔色5 6 2" xfId="1886" xr:uid="{00000000-0005-0000-0000-0000CD110000}"/>
    <cellStyle name="輔色5 6 3" xfId="2408" xr:uid="{00000000-0005-0000-0000-0000CE110000}"/>
    <cellStyle name="輔色5 6 4" xfId="3143" xr:uid="{00000000-0005-0000-0000-0000CF110000}"/>
    <cellStyle name="輔色5 6 5" xfId="2064" xr:uid="{00000000-0005-0000-0000-0000D0110000}"/>
    <cellStyle name="輔色5 7" xfId="245" xr:uid="{00000000-0005-0000-0000-0000D1110000}"/>
    <cellStyle name="輔色5 7 2" xfId="1927" xr:uid="{00000000-0005-0000-0000-0000D2110000}"/>
    <cellStyle name="輔色5 7 3" xfId="2354" xr:uid="{00000000-0005-0000-0000-0000D3110000}"/>
    <cellStyle name="輔色5 7 4" xfId="2084" xr:uid="{00000000-0005-0000-0000-0000D4110000}"/>
    <cellStyle name="輔色5 7 5" xfId="2193" xr:uid="{00000000-0005-0000-0000-0000D5110000}"/>
    <cellStyle name="輔色5 8" xfId="356" xr:uid="{00000000-0005-0000-0000-0000D6110000}"/>
    <cellStyle name="輔色5 9" xfId="398" xr:uid="{00000000-0005-0000-0000-0000D7110000}"/>
    <cellStyle name="輔色6" xfId="3660" builtinId="49" customBuiltin="1"/>
    <cellStyle name="輔色6 10" xfId="443" xr:uid="{00000000-0005-0000-0000-0000D9110000}"/>
    <cellStyle name="輔色6 11" xfId="485" xr:uid="{00000000-0005-0000-0000-0000DA110000}"/>
    <cellStyle name="輔色6 12" xfId="526" xr:uid="{00000000-0005-0000-0000-0000DB110000}"/>
    <cellStyle name="輔色6 13" xfId="568" xr:uid="{00000000-0005-0000-0000-0000DC110000}"/>
    <cellStyle name="輔色6 14" xfId="609" xr:uid="{00000000-0005-0000-0000-0000DD110000}"/>
    <cellStyle name="輔色6 14 2" xfId="2377" xr:uid="{00000000-0005-0000-0000-0000DE110000}"/>
    <cellStyle name="輔色6 14 2 2" xfId="2667" xr:uid="{00000000-0005-0000-0000-0000DF110000}"/>
    <cellStyle name="輔色6 14 2 3" xfId="2326" xr:uid="{00000000-0005-0000-0000-0000E0110000}"/>
    <cellStyle name="輔色6 14 2 4" xfId="2822" xr:uid="{00000000-0005-0000-0000-0000E1110000}"/>
    <cellStyle name="輔色6 14 3" xfId="1756" xr:uid="{00000000-0005-0000-0000-0000E2110000}"/>
    <cellStyle name="輔色6 14 4" xfId="2798" xr:uid="{00000000-0005-0000-0000-0000E3110000}"/>
    <cellStyle name="輔色6 15" xfId="650" xr:uid="{00000000-0005-0000-0000-0000E4110000}"/>
    <cellStyle name="輔色6 16" xfId="692" xr:uid="{00000000-0005-0000-0000-0000E5110000}"/>
    <cellStyle name="輔色6 17" xfId="733" xr:uid="{00000000-0005-0000-0000-0000E6110000}"/>
    <cellStyle name="輔色6 18" xfId="774" xr:uid="{00000000-0005-0000-0000-0000E7110000}"/>
    <cellStyle name="輔色6 19" xfId="815" xr:uid="{00000000-0005-0000-0000-0000E8110000}"/>
    <cellStyle name="輔色6 2" xfId="246" xr:uid="{00000000-0005-0000-0000-0000E9110000}"/>
    <cellStyle name="輔色6 2 10" xfId="1549" xr:uid="{00000000-0005-0000-0000-0000EA110000}"/>
    <cellStyle name="輔色6 2 11" xfId="1648" xr:uid="{00000000-0005-0000-0000-0000EB110000}"/>
    <cellStyle name="輔色6 2 12" xfId="1650" xr:uid="{00000000-0005-0000-0000-0000EC110000}"/>
    <cellStyle name="輔色6 2 2" xfId="247" xr:uid="{00000000-0005-0000-0000-0000ED110000}"/>
    <cellStyle name="輔色6 2 2 2" xfId="2045" xr:uid="{00000000-0005-0000-0000-0000EE110000}"/>
    <cellStyle name="輔色6 2 2 2 2" xfId="2046" xr:uid="{00000000-0005-0000-0000-0000EF110000}"/>
    <cellStyle name="輔色6 2 2 2 3" xfId="2522" xr:uid="{00000000-0005-0000-0000-0000F0110000}"/>
    <cellStyle name="輔色6 2 2 3" xfId="2521" xr:uid="{00000000-0005-0000-0000-0000F1110000}"/>
    <cellStyle name="輔色6 2 3" xfId="966" xr:uid="{00000000-0005-0000-0000-0000F2110000}"/>
    <cellStyle name="輔色6 2 4" xfId="945" xr:uid="{00000000-0005-0000-0000-0000F3110000}"/>
    <cellStyle name="輔色6 2 4 2" xfId="2353" xr:uid="{00000000-0005-0000-0000-0000F4110000}"/>
    <cellStyle name="輔色6 2 4 2 2" xfId="2862" xr:uid="{00000000-0005-0000-0000-0000F5110000}"/>
    <cellStyle name="輔色6 2 4 2 3" xfId="3275" xr:uid="{00000000-0005-0000-0000-0000F6110000}"/>
    <cellStyle name="輔色6 2 4 2 4" xfId="3227" xr:uid="{00000000-0005-0000-0000-0000F7110000}"/>
    <cellStyle name="輔色6 2 4 3" xfId="2905" xr:uid="{00000000-0005-0000-0000-0000F8110000}"/>
    <cellStyle name="輔色6 2 4 4" xfId="3112" xr:uid="{00000000-0005-0000-0000-0000F9110000}"/>
    <cellStyle name="輔色6 2 5" xfId="1133" xr:uid="{00000000-0005-0000-0000-0000FA110000}"/>
    <cellStyle name="輔色6 2 6" xfId="1171" xr:uid="{00000000-0005-0000-0000-0000FB110000}"/>
    <cellStyle name="輔色6 2 7" xfId="1354" xr:uid="{00000000-0005-0000-0000-0000FC110000}"/>
    <cellStyle name="輔色6 2 8" xfId="1262" xr:uid="{00000000-0005-0000-0000-0000FD110000}"/>
    <cellStyle name="輔色6 2 9" xfId="1493" xr:uid="{00000000-0005-0000-0000-0000FE110000}"/>
    <cellStyle name="輔色6 20" xfId="965" xr:uid="{00000000-0005-0000-0000-0000FF110000}"/>
    <cellStyle name="輔色6 21" xfId="946" xr:uid="{00000000-0005-0000-0000-000000120000}"/>
    <cellStyle name="輔色6 22" xfId="1114" xr:uid="{00000000-0005-0000-0000-000001120000}"/>
    <cellStyle name="輔色6 23" xfId="867" xr:uid="{00000000-0005-0000-0000-000002120000}"/>
    <cellStyle name="輔色6 24" xfId="1353" xr:uid="{00000000-0005-0000-0000-000003120000}"/>
    <cellStyle name="輔色6 25" xfId="910" xr:uid="{00000000-0005-0000-0000-000004120000}"/>
    <cellStyle name="輔色6 26" xfId="1516" xr:uid="{00000000-0005-0000-0000-000005120000}"/>
    <cellStyle name="輔色6 27" xfId="1574" xr:uid="{00000000-0005-0000-0000-000006120000}"/>
    <cellStyle name="輔色6 28" xfId="1286" xr:uid="{00000000-0005-0000-0000-000007120000}"/>
    <cellStyle name="輔色6 29" xfId="1629" xr:uid="{00000000-0005-0000-0000-000008120000}"/>
    <cellStyle name="輔色6 3" xfId="248" xr:uid="{00000000-0005-0000-0000-000009120000}"/>
    <cellStyle name="輔色6 4" xfId="249" xr:uid="{00000000-0005-0000-0000-00000A120000}"/>
    <cellStyle name="輔色6 5" xfId="250" xr:uid="{00000000-0005-0000-0000-00000B120000}"/>
    <cellStyle name="輔色6 5 2" xfId="1848" xr:uid="{00000000-0005-0000-0000-00000C120000}"/>
    <cellStyle name="輔色6 5 3" xfId="2604" xr:uid="{00000000-0005-0000-0000-00000D120000}"/>
    <cellStyle name="輔色6 5 4" xfId="3145" xr:uid="{00000000-0005-0000-0000-00000E120000}"/>
    <cellStyle name="輔色6 5 5" xfId="1723" xr:uid="{00000000-0005-0000-0000-00000F120000}"/>
    <cellStyle name="輔色6 6" xfId="251" xr:uid="{00000000-0005-0000-0000-000010120000}"/>
    <cellStyle name="輔色6 6 2" xfId="1890" xr:uid="{00000000-0005-0000-0000-000011120000}"/>
    <cellStyle name="輔色6 6 3" xfId="2542" xr:uid="{00000000-0005-0000-0000-000012120000}"/>
    <cellStyle name="輔色6 6 4" xfId="2832" xr:uid="{00000000-0005-0000-0000-000013120000}"/>
    <cellStyle name="輔色6 6 5" xfId="3441" xr:uid="{00000000-0005-0000-0000-000014120000}"/>
    <cellStyle name="輔色6 7" xfId="252" xr:uid="{00000000-0005-0000-0000-000015120000}"/>
    <cellStyle name="輔色6 7 2" xfId="1931" xr:uid="{00000000-0005-0000-0000-000016120000}"/>
    <cellStyle name="輔色6 7 3" xfId="2445" xr:uid="{00000000-0005-0000-0000-000017120000}"/>
    <cellStyle name="輔色6 7 4" xfId="2922" xr:uid="{00000000-0005-0000-0000-000018120000}"/>
    <cellStyle name="輔色6 7 5" xfId="2225" xr:uid="{00000000-0005-0000-0000-000019120000}"/>
    <cellStyle name="輔色6 8" xfId="360" xr:uid="{00000000-0005-0000-0000-00001A120000}"/>
    <cellStyle name="輔色6 9" xfId="402" xr:uid="{00000000-0005-0000-0000-00001B120000}"/>
    <cellStyle name="標題" xfId="3624" builtinId="15" customBuiltin="1"/>
    <cellStyle name="標題 1" xfId="3625" builtinId="16" customBuiltin="1"/>
    <cellStyle name="標題 1 10" xfId="407" xr:uid="{00000000-0005-0000-0000-00001E120000}"/>
    <cellStyle name="標題 1 11" xfId="449" xr:uid="{00000000-0005-0000-0000-00001F120000}"/>
    <cellStyle name="標題 1 12" xfId="490" xr:uid="{00000000-0005-0000-0000-000020120000}"/>
    <cellStyle name="標題 1 13" xfId="532" xr:uid="{00000000-0005-0000-0000-000021120000}"/>
    <cellStyle name="標題 1 14" xfId="573" xr:uid="{00000000-0005-0000-0000-000022120000}"/>
    <cellStyle name="標題 1 14 2" xfId="2380" xr:uid="{00000000-0005-0000-0000-000023120000}"/>
    <cellStyle name="標題 1 14 2 2" xfId="2580" xr:uid="{00000000-0005-0000-0000-000024120000}"/>
    <cellStyle name="標題 1 14 2 3" xfId="2260" xr:uid="{00000000-0005-0000-0000-000025120000}"/>
    <cellStyle name="標題 1 14 2 4" xfId="2704" xr:uid="{00000000-0005-0000-0000-000026120000}"/>
    <cellStyle name="標題 1 14 3" xfId="2814" xr:uid="{00000000-0005-0000-0000-000027120000}"/>
    <cellStyle name="標題 1 14 4" xfId="3544" xr:uid="{00000000-0005-0000-0000-000028120000}"/>
    <cellStyle name="標題 1 15" xfId="614" xr:uid="{00000000-0005-0000-0000-000029120000}"/>
    <cellStyle name="標題 1 16" xfId="656" xr:uid="{00000000-0005-0000-0000-00002A120000}"/>
    <cellStyle name="標題 1 17" xfId="697" xr:uid="{00000000-0005-0000-0000-00002B120000}"/>
    <cellStyle name="標題 1 18" xfId="738" xr:uid="{00000000-0005-0000-0000-00002C120000}"/>
    <cellStyle name="標題 1 19" xfId="779" xr:uid="{00000000-0005-0000-0000-00002D120000}"/>
    <cellStyle name="標題 1 2" xfId="254" xr:uid="{00000000-0005-0000-0000-00002E120000}"/>
    <cellStyle name="標題 1 2 10" xfId="840" xr:uid="{00000000-0005-0000-0000-00002F120000}"/>
    <cellStyle name="標題 1 2 11" xfId="1646" xr:uid="{00000000-0005-0000-0000-000030120000}"/>
    <cellStyle name="標題 1 2 12" xfId="1632" xr:uid="{00000000-0005-0000-0000-000031120000}"/>
    <cellStyle name="標題 1 2 2" xfId="255" xr:uid="{00000000-0005-0000-0000-000032120000}"/>
    <cellStyle name="標題 1 2 2 2" xfId="2050" xr:uid="{00000000-0005-0000-0000-000033120000}"/>
    <cellStyle name="標題 1 2 2 2 2" xfId="2051" xr:uid="{00000000-0005-0000-0000-000034120000}"/>
    <cellStyle name="標題 1 2 2 2 3" xfId="2527" xr:uid="{00000000-0005-0000-0000-000035120000}"/>
    <cellStyle name="標題 1 2 2 3" xfId="2526" xr:uid="{00000000-0005-0000-0000-000036120000}"/>
    <cellStyle name="標題 1 2 3" xfId="971" xr:uid="{00000000-0005-0000-0000-000037120000}"/>
    <cellStyle name="標題 1 2 4" xfId="1152" xr:uid="{00000000-0005-0000-0000-000038120000}"/>
    <cellStyle name="標題 1 2 4 2" xfId="2435" xr:uid="{00000000-0005-0000-0000-000039120000}"/>
    <cellStyle name="標題 1 2 4 2 2" xfId="2969" xr:uid="{00000000-0005-0000-0000-00003A120000}"/>
    <cellStyle name="標題 1 2 4 2 3" xfId="3356" xr:uid="{00000000-0005-0000-0000-00003B120000}"/>
    <cellStyle name="標題 1 2 4 2 4" xfId="3427" xr:uid="{00000000-0005-0000-0000-00003C120000}"/>
    <cellStyle name="標題 1 2 4 3" xfId="2218" xr:uid="{00000000-0005-0000-0000-00003D120000}"/>
    <cellStyle name="標題 1 2 4 4" xfId="2335" xr:uid="{00000000-0005-0000-0000-00003E120000}"/>
    <cellStyle name="標題 1 2 5" xfId="858" xr:uid="{00000000-0005-0000-0000-00003F120000}"/>
    <cellStyle name="標題 1 2 6" xfId="1044" xr:uid="{00000000-0005-0000-0000-000040120000}"/>
    <cellStyle name="標題 1 2 7" xfId="1361" xr:uid="{00000000-0005-0000-0000-000041120000}"/>
    <cellStyle name="標題 1 2 8" xfId="1425" xr:uid="{00000000-0005-0000-0000-000042120000}"/>
    <cellStyle name="標題 1 2 9" xfId="1436" xr:uid="{00000000-0005-0000-0000-000043120000}"/>
    <cellStyle name="標題 1 20" xfId="970" xr:uid="{00000000-0005-0000-0000-000044120000}"/>
    <cellStyle name="標題 1 21" xfId="1170" xr:uid="{00000000-0005-0000-0000-000045120000}"/>
    <cellStyle name="標題 1 22" xfId="1183" xr:uid="{00000000-0005-0000-0000-000046120000}"/>
    <cellStyle name="標題 1 23" xfId="1126" xr:uid="{00000000-0005-0000-0000-000047120000}"/>
    <cellStyle name="標題 1 24" xfId="1360" xr:uid="{00000000-0005-0000-0000-000048120000}"/>
    <cellStyle name="標題 1 25" xfId="1103" xr:uid="{00000000-0005-0000-0000-000049120000}"/>
    <cellStyle name="標題 1 26" xfId="1489" xr:uid="{00000000-0005-0000-0000-00004A120000}"/>
    <cellStyle name="標題 1 27" xfId="1545" xr:uid="{00000000-0005-0000-0000-00004B120000}"/>
    <cellStyle name="標題 1 28" xfId="1034" xr:uid="{00000000-0005-0000-0000-00004C120000}"/>
    <cellStyle name="標題 1 29" xfId="1609" xr:uid="{00000000-0005-0000-0000-00004D120000}"/>
    <cellStyle name="標題 1 3" xfId="256" xr:uid="{00000000-0005-0000-0000-00004E120000}"/>
    <cellStyle name="標題 1 4" xfId="257" xr:uid="{00000000-0005-0000-0000-00004F120000}"/>
    <cellStyle name="標題 1 5" xfId="258" xr:uid="{00000000-0005-0000-0000-000050120000}"/>
    <cellStyle name="標題 1 5 2" xfId="1812" xr:uid="{00000000-0005-0000-0000-000051120000}"/>
    <cellStyle name="標題 1 5 3" xfId="2405" xr:uid="{00000000-0005-0000-0000-000052120000}"/>
    <cellStyle name="標題 1 5 4" xfId="1803" xr:uid="{00000000-0005-0000-0000-000053120000}"/>
    <cellStyle name="標題 1 5 5" xfId="2148" xr:uid="{00000000-0005-0000-0000-000054120000}"/>
    <cellStyle name="標題 1 6" xfId="259" xr:uid="{00000000-0005-0000-0000-000055120000}"/>
    <cellStyle name="標題 1 6 2" xfId="1854" xr:uid="{00000000-0005-0000-0000-000056120000}"/>
    <cellStyle name="標題 1 6 3" xfId="2351" xr:uid="{00000000-0005-0000-0000-000057120000}"/>
    <cellStyle name="標題 1 6 4" xfId="3104" xr:uid="{00000000-0005-0000-0000-000058120000}"/>
    <cellStyle name="標題 1 6 5" xfId="2825" xr:uid="{00000000-0005-0000-0000-000059120000}"/>
    <cellStyle name="標題 1 7" xfId="260" xr:uid="{00000000-0005-0000-0000-00005A120000}"/>
    <cellStyle name="標題 1 7 2" xfId="1895" xr:uid="{00000000-0005-0000-0000-00005B120000}"/>
    <cellStyle name="標題 1 7 3" xfId="2350" xr:uid="{00000000-0005-0000-0000-00005C120000}"/>
    <cellStyle name="標題 1 7 4" xfId="3102" xr:uid="{00000000-0005-0000-0000-00005D120000}"/>
    <cellStyle name="標題 1 7 5" xfId="3288" xr:uid="{00000000-0005-0000-0000-00005E120000}"/>
    <cellStyle name="標題 1 8" xfId="324" xr:uid="{00000000-0005-0000-0000-00005F120000}"/>
    <cellStyle name="標題 1 9" xfId="366" xr:uid="{00000000-0005-0000-0000-000060120000}"/>
    <cellStyle name="標題 10" xfId="261" xr:uid="{00000000-0005-0000-0000-000061120000}"/>
    <cellStyle name="標題 10 2" xfId="1894" xr:uid="{00000000-0005-0000-0000-000062120000}"/>
    <cellStyle name="標題 10 3" xfId="2639" xr:uid="{00000000-0005-0000-0000-000063120000}"/>
    <cellStyle name="標題 10 4" xfId="3142" xr:uid="{00000000-0005-0000-0000-000064120000}"/>
    <cellStyle name="標題 10 5" xfId="3322" xr:uid="{00000000-0005-0000-0000-000065120000}"/>
    <cellStyle name="標題 11" xfId="323" xr:uid="{00000000-0005-0000-0000-000066120000}"/>
    <cellStyle name="標題 12" xfId="365" xr:uid="{00000000-0005-0000-0000-000067120000}"/>
    <cellStyle name="標題 13" xfId="406" xr:uid="{00000000-0005-0000-0000-000068120000}"/>
    <cellStyle name="標題 14" xfId="448" xr:uid="{00000000-0005-0000-0000-000069120000}"/>
    <cellStyle name="標題 15" xfId="489" xr:uid="{00000000-0005-0000-0000-00006A120000}"/>
    <cellStyle name="標題 16" xfId="531" xr:uid="{00000000-0005-0000-0000-00006B120000}"/>
    <cellStyle name="標題 17" xfId="572" xr:uid="{00000000-0005-0000-0000-00006C120000}"/>
    <cellStyle name="標題 17 2" xfId="2379" xr:uid="{00000000-0005-0000-0000-00006D120000}"/>
    <cellStyle name="標題 17 2 2" xfId="2440" xr:uid="{00000000-0005-0000-0000-00006E120000}"/>
    <cellStyle name="標題 17 2 3" xfId="2127" xr:uid="{00000000-0005-0000-0000-00006F120000}"/>
    <cellStyle name="標題 17 2 4" xfId="3527" xr:uid="{00000000-0005-0000-0000-000070120000}"/>
    <cellStyle name="標題 17 3" xfId="2914" xr:uid="{00000000-0005-0000-0000-000071120000}"/>
    <cellStyle name="標題 17 4" xfId="3163" xr:uid="{00000000-0005-0000-0000-000072120000}"/>
    <cellStyle name="標題 18" xfId="613" xr:uid="{00000000-0005-0000-0000-000073120000}"/>
    <cellStyle name="標題 19" xfId="655" xr:uid="{00000000-0005-0000-0000-000074120000}"/>
    <cellStyle name="標題 2" xfId="3626" builtinId="17" customBuiltin="1"/>
    <cellStyle name="標題 2 10" xfId="408" xr:uid="{00000000-0005-0000-0000-000076120000}"/>
    <cellStyle name="標題 2 11" xfId="450" xr:uid="{00000000-0005-0000-0000-000077120000}"/>
    <cellStyle name="標題 2 12" xfId="491" xr:uid="{00000000-0005-0000-0000-000078120000}"/>
    <cellStyle name="標題 2 13" xfId="533" xr:uid="{00000000-0005-0000-0000-000079120000}"/>
    <cellStyle name="標題 2 14" xfId="574" xr:uid="{00000000-0005-0000-0000-00007A120000}"/>
    <cellStyle name="標題 2 14 2" xfId="2381" xr:uid="{00000000-0005-0000-0000-00007B120000}"/>
    <cellStyle name="標題 2 14 2 2" xfId="2429" xr:uid="{00000000-0005-0000-0000-00007C120000}"/>
    <cellStyle name="標題 2 14 2 3" xfId="2779" xr:uid="{00000000-0005-0000-0000-00007D120000}"/>
    <cellStyle name="標題 2 14 2 4" xfId="3311" xr:uid="{00000000-0005-0000-0000-00007E120000}"/>
    <cellStyle name="標題 2 14 3" xfId="3019" xr:uid="{00000000-0005-0000-0000-00007F120000}"/>
    <cellStyle name="標題 2 14 4" xfId="3463" xr:uid="{00000000-0005-0000-0000-000080120000}"/>
    <cellStyle name="標題 2 15" xfId="615" xr:uid="{00000000-0005-0000-0000-000081120000}"/>
    <cellStyle name="標題 2 16" xfId="657" xr:uid="{00000000-0005-0000-0000-000082120000}"/>
    <cellStyle name="標題 2 17" xfId="698" xr:uid="{00000000-0005-0000-0000-000083120000}"/>
    <cellStyle name="標題 2 18" xfId="739" xr:uid="{00000000-0005-0000-0000-000084120000}"/>
    <cellStyle name="標題 2 19" xfId="780" xr:uid="{00000000-0005-0000-0000-000085120000}"/>
    <cellStyle name="標題 2 2" xfId="262" xr:uid="{00000000-0005-0000-0000-000086120000}"/>
    <cellStyle name="標題 2 2 10" xfId="1153" xr:uid="{00000000-0005-0000-0000-000087120000}"/>
    <cellStyle name="標題 2 2 11" xfId="1655" xr:uid="{00000000-0005-0000-0000-000088120000}"/>
    <cellStyle name="標題 2 2 12" xfId="1611" xr:uid="{00000000-0005-0000-0000-000089120000}"/>
    <cellStyle name="標題 2 2 2" xfId="263" xr:uid="{00000000-0005-0000-0000-00008A120000}"/>
    <cellStyle name="標題 2 2 2 2" xfId="2054" xr:uid="{00000000-0005-0000-0000-00008B120000}"/>
    <cellStyle name="標題 2 2 2 2 2" xfId="2055" xr:uid="{00000000-0005-0000-0000-00008C120000}"/>
    <cellStyle name="標題 2 2 2 2 3" xfId="2530" xr:uid="{00000000-0005-0000-0000-00008D120000}"/>
    <cellStyle name="標題 2 2 2 3" xfId="2529" xr:uid="{00000000-0005-0000-0000-00008E120000}"/>
    <cellStyle name="標題 2 2 3" xfId="976" xr:uid="{00000000-0005-0000-0000-00008F120000}"/>
    <cellStyle name="標題 2 2 4" xfId="940" xr:uid="{00000000-0005-0000-0000-000090120000}"/>
    <cellStyle name="標題 2 2 4 2" xfId="2630" xr:uid="{00000000-0005-0000-0000-000091120000}"/>
    <cellStyle name="標題 2 2 4 2 2" xfId="2861" xr:uid="{00000000-0005-0000-0000-000092120000}"/>
    <cellStyle name="標題 2 2 4 2 3" xfId="3273" xr:uid="{00000000-0005-0000-0000-000093120000}"/>
    <cellStyle name="標題 2 2 4 2 4" xfId="3349" xr:uid="{00000000-0005-0000-0000-000094120000}"/>
    <cellStyle name="標題 2 2 4 3" xfId="2939" xr:uid="{00000000-0005-0000-0000-000095120000}"/>
    <cellStyle name="標題 2 2 4 4" xfId="2978" xr:uid="{00000000-0005-0000-0000-000096120000}"/>
    <cellStyle name="標題 2 2 5" xfId="1256" xr:uid="{00000000-0005-0000-0000-000097120000}"/>
    <cellStyle name="標題 2 2 6" xfId="1234" xr:uid="{00000000-0005-0000-0000-000098120000}"/>
    <cellStyle name="標題 2 2 7" xfId="1366" xr:uid="{00000000-0005-0000-0000-000099120000}"/>
    <cellStyle name="標題 2 2 8" xfId="1084" xr:uid="{00000000-0005-0000-0000-00009A120000}"/>
    <cellStyle name="標題 2 2 9" xfId="1363" xr:uid="{00000000-0005-0000-0000-00009B120000}"/>
    <cellStyle name="標題 2 20" xfId="975" xr:uid="{00000000-0005-0000-0000-00009C120000}"/>
    <cellStyle name="標題 2 21" xfId="941" xr:uid="{00000000-0005-0000-0000-00009D120000}"/>
    <cellStyle name="標題 2 22" xfId="1235" xr:uid="{00000000-0005-0000-0000-00009E120000}"/>
    <cellStyle name="標題 2 23" xfId="1297" xr:uid="{00000000-0005-0000-0000-00009F120000}"/>
    <cellStyle name="標題 2 24" xfId="1365" xr:uid="{00000000-0005-0000-0000-0000A0120000}"/>
    <cellStyle name="標題 2 25" xfId="1301" xr:uid="{00000000-0005-0000-0000-0000A1120000}"/>
    <cellStyle name="標題 2 26" xfId="1362" xr:uid="{00000000-0005-0000-0000-0000A2120000}"/>
    <cellStyle name="標題 2 27" xfId="1327" xr:uid="{00000000-0005-0000-0000-0000A3120000}"/>
    <cellStyle name="標題 2 28" xfId="1059" xr:uid="{00000000-0005-0000-0000-0000A4120000}"/>
    <cellStyle name="標題 2 29" xfId="1022" xr:uid="{00000000-0005-0000-0000-0000A5120000}"/>
    <cellStyle name="標題 2 3" xfId="264" xr:uid="{00000000-0005-0000-0000-0000A6120000}"/>
    <cellStyle name="標題 2 4" xfId="265" xr:uid="{00000000-0005-0000-0000-0000A7120000}"/>
    <cellStyle name="標題 2 5" xfId="266" xr:uid="{00000000-0005-0000-0000-0000A8120000}"/>
    <cellStyle name="標題 2 5 2" xfId="1813" xr:uid="{00000000-0005-0000-0000-0000A9120000}"/>
    <cellStyle name="標題 2 5 3" xfId="2452" xr:uid="{00000000-0005-0000-0000-0000AA120000}"/>
    <cellStyle name="標題 2 5 4" xfId="2784" xr:uid="{00000000-0005-0000-0000-0000AB120000}"/>
    <cellStyle name="標題 2 5 5" xfId="3032" xr:uid="{00000000-0005-0000-0000-0000AC120000}"/>
    <cellStyle name="標題 2 6" xfId="267" xr:uid="{00000000-0005-0000-0000-0000AD120000}"/>
    <cellStyle name="標題 2 6 2" xfId="1855" xr:uid="{00000000-0005-0000-0000-0000AE120000}"/>
    <cellStyle name="標題 2 6 3" xfId="2592" xr:uid="{00000000-0005-0000-0000-0000AF120000}"/>
    <cellStyle name="標題 2 6 4" xfId="3146" xr:uid="{00000000-0005-0000-0000-0000B0120000}"/>
    <cellStyle name="標題 2 6 5" xfId="2938" xr:uid="{00000000-0005-0000-0000-0000B1120000}"/>
    <cellStyle name="標題 2 7" xfId="268" xr:uid="{00000000-0005-0000-0000-0000B2120000}"/>
    <cellStyle name="標題 2 7 2" xfId="1896" xr:uid="{00000000-0005-0000-0000-0000B3120000}"/>
    <cellStyle name="標題 2 7 3" xfId="2438" xr:uid="{00000000-0005-0000-0000-0000B4120000}"/>
    <cellStyle name="標題 2 7 4" xfId="3058" xr:uid="{00000000-0005-0000-0000-0000B5120000}"/>
    <cellStyle name="標題 2 7 5" xfId="3442" xr:uid="{00000000-0005-0000-0000-0000B6120000}"/>
    <cellStyle name="標題 2 8" xfId="325" xr:uid="{00000000-0005-0000-0000-0000B7120000}"/>
    <cellStyle name="標題 2 9" xfId="367" xr:uid="{00000000-0005-0000-0000-0000B8120000}"/>
    <cellStyle name="標題 20" xfId="696" xr:uid="{00000000-0005-0000-0000-0000B9120000}"/>
    <cellStyle name="標題 21" xfId="737" xr:uid="{00000000-0005-0000-0000-0000BA120000}"/>
    <cellStyle name="標題 22" xfId="778" xr:uid="{00000000-0005-0000-0000-0000BB120000}"/>
    <cellStyle name="標題 23" xfId="969" xr:uid="{00000000-0005-0000-0000-0000BC120000}"/>
    <cellStyle name="標題 24" xfId="1197" xr:uid="{00000000-0005-0000-0000-0000BD120000}"/>
    <cellStyle name="標題 25" xfId="835" xr:uid="{00000000-0005-0000-0000-0000BE120000}"/>
    <cellStyle name="標題 26" xfId="1181" xr:uid="{00000000-0005-0000-0000-0000BF120000}"/>
    <cellStyle name="標題 27" xfId="1359" xr:uid="{00000000-0005-0000-0000-0000C0120000}"/>
    <cellStyle name="標題 28" xfId="1313" xr:uid="{00000000-0005-0000-0000-0000C1120000}"/>
    <cellStyle name="標題 29" xfId="1513" xr:uid="{00000000-0005-0000-0000-0000C2120000}"/>
    <cellStyle name="標題 3" xfId="3627" builtinId="18" customBuiltin="1"/>
    <cellStyle name="標題 3 10" xfId="409" xr:uid="{00000000-0005-0000-0000-0000C4120000}"/>
    <cellStyle name="標題 3 11" xfId="451" xr:uid="{00000000-0005-0000-0000-0000C5120000}"/>
    <cellStyle name="標題 3 12" xfId="492" xr:uid="{00000000-0005-0000-0000-0000C6120000}"/>
    <cellStyle name="標題 3 13" xfId="534" xr:uid="{00000000-0005-0000-0000-0000C7120000}"/>
    <cellStyle name="標題 3 14" xfId="575" xr:uid="{00000000-0005-0000-0000-0000C8120000}"/>
    <cellStyle name="標題 3 14 2" xfId="2383" xr:uid="{00000000-0005-0000-0000-0000C9120000}"/>
    <cellStyle name="標題 3 14 2 2" xfId="2568" xr:uid="{00000000-0005-0000-0000-0000CA120000}"/>
    <cellStyle name="標題 3 14 2 3" xfId="2973" xr:uid="{00000000-0005-0000-0000-0000CB120000}"/>
    <cellStyle name="標題 3 14 2 4" xfId="3552" xr:uid="{00000000-0005-0000-0000-0000CC120000}"/>
    <cellStyle name="標題 3 14 3" xfId="3254" xr:uid="{00000000-0005-0000-0000-0000CD120000}"/>
    <cellStyle name="標題 3 14 4" xfId="3417" xr:uid="{00000000-0005-0000-0000-0000CE120000}"/>
    <cellStyle name="標題 3 15" xfId="616" xr:uid="{00000000-0005-0000-0000-0000CF120000}"/>
    <cellStyle name="標題 3 16" xfId="658" xr:uid="{00000000-0005-0000-0000-0000D0120000}"/>
    <cellStyle name="標題 3 17" xfId="699" xr:uid="{00000000-0005-0000-0000-0000D1120000}"/>
    <cellStyle name="標題 3 18" xfId="740" xr:uid="{00000000-0005-0000-0000-0000D2120000}"/>
    <cellStyle name="標題 3 19" xfId="781" xr:uid="{00000000-0005-0000-0000-0000D3120000}"/>
    <cellStyle name="標題 3 2" xfId="269" xr:uid="{00000000-0005-0000-0000-0000D4120000}"/>
    <cellStyle name="標題 3 2 10" xfId="1446" xr:uid="{00000000-0005-0000-0000-0000D5120000}"/>
    <cellStyle name="標題 3 2 11" xfId="1340" xr:uid="{00000000-0005-0000-0000-0000D6120000}"/>
    <cellStyle name="標題 3 2 12" xfId="1524" xr:uid="{00000000-0005-0000-0000-0000D7120000}"/>
    <cellStyle name="標題 3 2 2" xfId="270" xr:uid="{00000000-0005-0000-0000-0000D8120000}"/>
    <cellStyle name="標題 3 2 2 2" xfId="2057" xr:uid="{00000000-0005-0000-0000-0000D9120000}"/>
    <cellStyle name="標題 3 2 2 2 2" xfId="2058" xr:uid="{00000000-0005-0000-0000-0000DA120000}"/>
    <cellStyle name="標題 3 2 2 2 3" xfId="2533" xr:uid="{00000000-0005-0000-0000-0000DB120000}"/>
    <cellStyle name="標題 3 2 2 3" xfId="2532" xr:uid="{00000000-0005-0000-0000-0000DC120000}"/>
    <cellStyle name="標題 3 2 3" xfId="981" xr:uid="{00000000-0005-0000-0000-0000DD120000}"/>
    <cellStyle name="標題 3 2 4" xfId="1195" xr:uid="{00000000-0005-0000-0000-0000DE120000}"/>
    <cellStyle name="標題 3 2 4 2" xfId="2578" xr:uid="{00000000-0005-0000-0000-0000DF120000}"/>
    <cellStyle name="標題 3 2 4 2 2" xfId="2992" xr:uid="{00000000-0005-0000-0000-0000E0120000}"/>
    <cellStyle name="標題 3 2 4 2 3" xfId="3379" xr:uid="{00000000-0005-0000-0000-0000E1120000}"/>
    <cellStyle name="標題 3 2 4 2 4" xfId="3453" xr:uid="{00000000-0005-0000-0000-0000E2120000}"/>
    <cellStyle name="標題 3 2 4 3" xfId="2714" xr:uid="{00000000-0005-0000-0000-0000E3120000}"/>
    <cellStyle name="標題 3 2 4 4" xfId="3178" xr:uid="{00000000-0005-0000-0000-0000E4120000}"/>
    <cellStyle name="標題 3 2 5" xfId="1088" xr:uid="{00000000-0005-0000-0000-0000E5120000}"/>
    <cellStyle name="標題 3 2 6" xfId="1303" xr:uid="{00000000-0005-0000-0000-0000E6120000}"/>
    <cellStyle name="標題 3 2 7" xfId="1371" xr:uid="{00000000-0005-0000-0000-0000E7120000}"/>
    <cellStyle name="標題 3 2 8" xfId="1444" xr:uid="{00000000-0005-0000-0000-0000E8120000}"/>
    <cellStyle name="標題 3 2 9" xfId="1367" xr:uid="{00000000-0005-0000-0000-0000E9120000}"/>
    <cellStyle name="標題 3 20" xfId="980" xr:uid="{00000000-0005-0000-0000-0000EA120000}"/>
    <cellStyle name="標題 3 21" xfId="1213" xr:uid="{00000000-0005-0000-0000-0000EB120000}"/>
    <cellStyle name="標題 3 22" xfId="822" xr:uid="{00000000-0005-0000-0000-0000EC120000}"/>
    <cellStyle name="標題 3 23" xfId="884" xr:uid="{00000000-0005-0000-0000-0000ED120000}"/>
    <cellStyle name="標題 3 24" xfId="1370" xr:uid="{00000000-0005-0000-0000-0000EE120000}"/>
    <cellStyle name="標題 3 25" xfId="1443" xr:uid="{00000000-0005-0000-0000-0000EF120000}"/>
    <cellStyle name="標題 3 26" xfId="1409" xr:uid="{00000000-0005-0000-0000-0000F0120000}"/>
    <cellStyle name="標題 3 27" xfId="1445" xr:uid="{00000000-0005-0000-0000-0000F1120000}"/>
    <cellStyle name="標題 3 28" xfId="1576" xr:uid="{00000000-0005-0000-0000-0000F2120000}"/>
    <cellStyle name="標題 3 29" xfId="1498" xr:uid="{00000000-0005-0000-0000-0000F3120000}"/>
    <cellStyle name="標題 3 3" xfId="271" xr:uid="{00000000-0005-0000-0000-0000F4120000}"/>
    <cellStyle name="標題 3 4" xfId="272" xr:uid="{00000000-0005-0000-0000-0000F5120000}"/>
    <cellStyle name="標題 3 5" xfId="273" xr:uid="{00000000-0005-0000-0000-0000F6120000}"/>
    <cellStyle name="標題 3 5 2" xfId="1814" xr:uid="{00000000-0005-0000-0000-0000F7120000}"/>
    <cellStyle name="標題 3 5 3" xfId="2347" xr:uid="{00000000-0005-0000-0000-0000F8120000}"/>
    <cellStyle name="標題 3 5 4" xfId="2756" xr:uid="{00000000-0005-0000-0000-0000F9120000}"/>
    <cellStyle name="標題 3 5 5" xfId="2918" xr:uid="{00000000-0005-0000-0000-0000FA120000}"/>
    <cellStyle name="標題 3 6" xfId="274" xr:uid="{00000000-0005-0000-0000-0000FB120000}"/>
    <cellStyle name="標題 3 6 2" xfId="1856" xr:uid="{00000000-0005-0000-0000-0000FC120000}"/>
    <cellStyle name="標題 3 6 3" xfId="2346" xr:uid="{00000000-0005-0000-0000-0000FD120000}"/>
    <cellStyle name="標題 3 6 4" xfId="3108" xr:uid="{00000000-0005-0000-0000-0000FE120000}"/>
    <cellStyle name="標題 3 6 5" xfId="2676" xr:uid="{00000000-0005-0000-0000-0000FF120000}"/>
    <cellStyle name="標題 3 7" xfId="275" xr:uid="{00000000-0005-0000-0000-000000130000}"/>
    <cellStyle name="標題 3 7 2" xfId="1897" xr:uid="{00000000-0005-0000-0000-000001130000}"/>
    <cellStyle name="標題 3 7 3" xfId="2641" xr:uid="{00000000-0005-0000-0000-000002130000}"/>
    <cellStyle name="標題 3 7 4" xfId="2937" xr:uid="{00000000-0005-0000-0000-000003130000}"/>
    <cellStyle name="標題 3 7 5" xfId="3472" xr:uid="{00000000-0005-0000-0000-000004130000}"/>
    <cellStyle name="標題 3 8" xfId="326" xr:uid="{00000000-0005-0000-0000-000005130000}"/>
    <cellStyle name="標題 3 9" xfId="368" xr:uid="{00000000-0005-0000-0000-000006130000}"/>
    <cellStyle name="標題 30" xfId="1571" xr:uid="{00000000-0005-0000-0000-000007130000}"/>
    <cellStyle name="標題 31" xfId="1569" xr:uid="{00000000-0005-0000-0000-000008130000}"/>
    <cellStyle name="標題 32" xfId="1199" xr:uid="{00000000-0005-0000-0000-000009130000}"/>
    <cellStyle name="標題 4" xfId="3628" builtinId="19" customBuiltin="1"/>
    <cellStyle name="標題 4 10" xfId="410" xr:uid="{00000000-0005-0000-0000-00000B130000}"/>
    <cellStyle name="標題 4 11" xfId="452" xr:uid="{00000000-0005-0000-0000-00000C130000}"/>
    <cellStyle name="標題 4 12" xfId="493" xr:uid="{00000000-0005-0000-0000-00000D130000}"/>
    <cellStyle name="標題 4 13" xfId="535" xr:uid="{00000000-0005-0000-0000-00000E130000}"/>
    <cellStyle name="標題 4 14" xfId="576" xr:uid="{00000000-0005-0000-0000-00000F130000}"/>
    <cellStyle name="標題 4 14 2" xfId="2386" xr:uid="{00000000-0005-0000-0000-000010130000}"/>
    <cellStyle name="標題 4 14 2 2" xfId="2415" xr:uid="{00000000-0005-0000-0000-000011130000}"/>
    <cellStyle name="標題 4 14 2 3" xfId="2878" xr:uid="{00000000-0005-0000-0000-000012130000}"/>
    <cellStyle name="標題 4 14 2 4" xfId="2806" xr:uid="{00000000-0005-0000-0000-000013130000}"/>
    <cellStyle name="標題 4 14 3" xfId="3263" xr:uid="{00000000-0005-0000-0000-000014130000}"/>
    <cellStyle name="標題 4 14 4" xfId="3325" xr:uid="{00000000-0005-0000-0000-000015130000}"/>
    <cellStyle name="標題 4 15" xfId="617" xr:uid="{00000000-0005-0000-0000-000016130000}"/>
    <cellStyle name="標題 4 16" xfId="659" xr:uid="{00000000-0005-0000-0000-000017130000}"/>
    <cellStyle name="標題 4 17" xfId="700" xr:uid="{00000000-0005-0000-0000-000018130000}"/>
    <cellStyle name="標題 4 18" xfId="741" xr:uid="{00000000-0005-0000-0000-000019130000}"/>
    <cellStyle name="標題 4 19" xfId="782" xr:uid="{00000000-0005-0000-0000-00001A130000}"/>
    <cellStyle name="標題 4 2" xfId="276" xr:uid="{00000000-0005-0000-0000-00001B130000}"/>
    <cellStyle name="標題 4 2 10" xfId="1450" xr:uid="{00000000-0005-0000-0000-00001C130000}"/>
    <cellStyle name="標題 4 2 11" xfId="1579" xr:uid="{00000000-0005-0000-0000-00001D130000}"/>
    <cellStyle name="標題 4 2 12" xfId="1480" xr:uid="{00000000-0005-0000-0000-00001E130000}"/>
    <cellStyle name="標題 4 2 2" xfId="277" xr:uid="{00000000-0005-0000-0000-00001F130000}"/>
    <cellStyle name="標題 4 2 2 2" xfId="2059" xr:uid="{00000000-0005-0000-0000-000020130000}"/>
    <cellStyle name="標題 4 2 2 2 2" xfId="2060" xr:uid="{00000000-0005-0000-0000-000021130000}"/>
    <cellStyle name="標題 4 2 2 2 3" xfId="2536" xr:uid="{00000000-0005-0000-0000-000022130000}"/>
    <cellStyle name="標題 4 2 2 3" xfId="2535" xr:uid="{00000000-0005-0000-0000-000023130000}"/>
    <cellStyle name="標題 4 2 3" xfId="985" xr:uid="{00000000-0005-0000-0000-000024130000}"/>
    <cellStyle name="標題 4 2 4" xfId="1042" xr:uid="{00000000-0005-0000-0000-000025130000}"/>
    <cellStyle name="標題 4 2 4 2" xfId="2632" xr:uid="{00000000-0005-0000-0000-000026130000}"/>
    <cellStyle name="標題 4 2 4 2 2" xfId="2913" xr:uid="{00000000-0005-0000-0000-000027130000}"/>
    <cellStyle name="標題 4 2 4 2 3" xfId="3313" xr:uid="{00000000-0005-0000-0000-000028130000}"/>
    <cellStyle name="標題 4 2 4 2 4" xfId="3511" xr:uid="{00000000-0005-0000-0000-000029130000}"/>
    <cellStyle name="標題 4 2 4 3" xfId="3041" xr:uid="{00000000-0005-0000-0000-00002A130000}"/>
    <cellStyle name="標題 4 2 4 4" xfId="1747" xr:uid="{00000000-0005-0000-0000-00002B130000}"/>
    <cellStyle name="標題 4 2 5" xfId="1016" xr:uid="{00000000-0005-0000-0000-00002C130000}"/>
    <cellStyle name="標題 4 2 6" xfId="1236" xr:uid="{00000000-0005-0000-0000-00002D130000}"/>
    <cellStyle name="標題 4 2 7" xfId="1378" xr:uid="{00000000-0005-0000-0000-00002E130000}"/>
    <cellStyle name="標題 4 2 8" xfId="1448" xr:uid="{00000000-0005-0000-0000-00002F130000}"/>
    <cellStyle name="標題 4 2 9" xfId="1373" xr:uid="{00000000-0005-0000-0000-000030130000}"/>
    <cellStyle name="標題 4 20" xfId="984" xr:uid="{00000000-0005-0000-0000-000031130000}"/>
    <cellStyle name="標題 4 21" xfId="1063" xr:uid="{00000000-0005-0000-0000-000032130000}"/>
    <cellStyle name="標題 4 22" xfId="1033" xr:uid="{00000000-0005-0000-0000-000033130000}"/>
    <cellStyle name="標題 4 23" xfId="925" xr:uid="{00000000-0005-0000-0000-000034130000}"/>
    <cellStyle name="標題 4 24" xfId="1377" xr:uid="{00000000-0005-0000-0000-000035130000}"/>
    <cellStyle name="標題 4 25" xfId="1447" xr:uid="{00000000-0005-0000-0000-000036130000}"/>
    <cellStyle name="標題 4 26" xfId="1372" xr:uid="{00000000-0005-0000-0000-000037130000}"/>
    <cellStyle name="標題 4 27" xfId="1449" xr:uid="{00000000-0005-0000-0000-000038130000}"/>
    <cellStyle name="標題 4 28" xfId="1553" xr:uid="{00000000-0005-0000-0000-000039130000}"/>
    <cellStyle name="標題 4 29" xfId="1194" xr:uid="{00000000-0005-0000-0000-00003A130000}"/>
    <cellStyle name="標題 4 3" xfId="278" xr:uid="{00000000-0005-0000-0000-00003B130000}"/>
    <cellStyle name="標題 4 4" xfId="279" xr:uid="{00000000-0005-0000-0000-00003C130000}"/>
    <cellStyle name="標題 4 5" xfId="280" xr:uid="{00000000-0005-0000-0000-00003D130000}"/>
    <cellStyle name="標題 4 5 2" xfId="1815" xr:uid="{00000000-0005-0000-0000-00003E130000}"/>
    <cellStyle name="標題 4 5 3" xfId="2446" xr:uid="{00000000-0005-0000-0000-00003F130000}"/>
    <cellStyle name="標題 4 5 4" xfId="2733" xr:uid="{00000000-0005-0000-0000-000040130000}"/>
    <cellStyle name="標題 4 5 5" xfId="2095" xr:uid="{00000000-0005-0000-0000-000041130000}"/>
    <cellStyle name="標題 4 6" xfId="281" xr:uid="{00000000-0005-0000-0000-000042130000}"/>
    <cellStyle name="標題 4 6 2" xfId="1857" xr:uid="{00000000-0005-0000-0000-000043130000}"/>
    <cellStyle name="標題 4 6 3" xfId="2587" xr:uid="{00000000-0005-0000-0000-000044130000}"/>
    <cellStyle name="標題 4 6 4" xfId="3023" xr:uid="{00000000-0005-0000-0000-000045130000}"/>
    <cellStyle name="標題 4 6 5" xfId="2794" xr:uid="{00000000-0005-0000-0000-000046130000}"/>
    <cellStyle name="標題 4 7" xfId="282" xr:uid="{00000000-0005-0000-0000-000047130000}"/>
    <cellStyle name="標題 4 7 2" xfId="1898" xr:uid="{00000000-0005-0000-0000-000048130000}"/>
    <cellStyle name="標題 4 7 3" xfId="2436" xr:uid="{00000000-0005-0000-0000-000049130000}"/>
    <cellStyle name="標題 4 7 4" xfId="2384" xr:uid="{00000000-0005-0000-0000-00004A130000}"/>
    <cellStyle name="標題 4 7 5" xfId="3444" xr:uid="{00000000-0005-0000-0000-00004B130000}"/>
    <cellStyle name="標題 4 8" xfId="327" xr:uid="{00000000-0005-0000-0000-00004C130000}"/>
    <cellStyle name="標題 4 9" xfId="369" xr:uid="{00000000-0005-0000-0000-00004D130000}"/>
    <cellStyle name="標題 5" xfId="253" xr:uid="{00000000-0005-0000-0000-00004E130000}"/>
    <cellStyle name="標題 5 10" xfId="1454" xr:uid="{00000000-0005-0000-0000-00004F130000}"/>
    <cellStyle name="標題 5 11" xfId="1350" xr:uid="{00000000-0005-0000-0000-000050130000}"/>
    <cellStyle name="標題 5 12" xfId="1614" xr:uid="{00000000-0005-0000-0000-000051130000}"/>
    <cellStyle name="標題 5 2" xfId="283" xr:uid="{00000000-0005-0000-0000-000052130000}"/>
    <cellStyle name="標題 5 2 2" xfId="2049" xr:uid="{00000000-0005-0000-0000-000053130000}"/>
    <cellStyle name="標題 5 2 2 2" xfId="2063" xr:uid="{00000000-0005-0000-0000-000054130000}"/>
    <cellStyle name="標題 5 2 2 3" xfId="2538" xr:uid="{00000000-0005-0000-0000-000055130000}"/>
    <cellStyle name="標題 5 2 3" xfId="2525" xr:uid="{00000000-0005-0000-0000-000056130000}"/>
    <cellStyle name="標題 5 3" xfId="989" xr:uid="{00000000-0005-0000-0000-000057130000}"/>
    <cellStyle name="標題 5 4" xfId="935" xr:uid="{00000000-0005-0000-0000-000058130000}"/>
    <cellStyle name="標題 5 4 2" xfId="2586" xr:uid="{00000000-0005-0000-0000-000059130000}"/>
    <cellStyle name="標題 5 4 2 2" xfId="2860" xr:uid="{00000000-0005-0000-0000-00005A130000}"/>
    <cellStyle name="標題 5 4 2 3" xfId="3272" xr:uid="{00000000-0005-0000-0000-00005B130000}"/>
    <cellStyle name="標題 5 4 2 4" xfId="3424" xr:uid="{00000000-0005-0000-0000-00005C130000}"/>
    <cellStyle name="標題 5 4 3" xfId="2145" xr:uid="{00000000-0005-0000-0000-00005D130000}"/>
    <cellStyle name="標題 5 4 4" xfId="3090" xr:uid="{00000000-0005-0000-0000-00005E130000}"/>
    <cellStyle name="標題 5 5" xfId="1116" xr:uid="{00000000-0005-0000-0000-00005F130000}"/>
    <cellStyle name="標題 5 6" xfId="1328" xr:uid="{00000000-0005-0000-0000-000060130000}"/>
    <cellStyle name="標題 5 7" xfId="1381" xr:uid="{00000000-0005-0000-0000-000061130000}"/>
    <cellStyle name="標題 5 8" xfId="1453" xr:uid="{00000000-0005-0000-0000-000062130000}"/>
    <cellStyle name="標題 5 9" xfId="1380" xr:uid="{00000000-0005-0000-0000-000063130000}"/>
    <cellStyle name="標題 6" xfId="284" xr:uid="{00000000-0005-0000-0000-000064130000}"/>
    <cellStyle name="標題 7" xfId="285" xr:uid="{00000000-0005-0000-0000-000065130000}"/>
    <cellStyle name="標題 8" xfId="286" xr:uid="{00000000-0005-0000-0000-000066130000}"/>
    <cellStyle name="標題 8 2" xfId="1811" xr:uid="{00000000-0005-0000-0000-000067130000}"/>
    <cellStyle name="標題 8 3" xfId="2406" xr:uid="{00000000-0005-0000-0000-000068130000}"/>
    <cellStyle name="標題 8 4" xfId="3180" xr:uid="{00000000-0005-0000-0000-000069130000}"/>
    <cellStyle name="標題 8 5" xfId="2958" xr:uid="{00000000-0005-0000-0000-00006A130000}"/>
    <cellStyle name="標題 9" xfId="287" xr:uid="{00000000-0005-0000-0000-00006B130000}"/>
    <cellStyle name="標題 9 2" xfId="1853" xr:uid="{00000000-0005-0000-0000-00006C130000}"/>
    <cellStyle name="標題 9 3" xfId="2344" xr:uid="{00000000-0005-0000-0000-00006D130000}"/>
    <cellStyle name="標題 9 4" xfId="2882" xr:uid="{00000000-0005-0000-0000-00006E130000}"/>
    <cellStyle name="標題 9 5" xfId="2197" xr:uid="{00000000-0005-0000-0000-00006F130000}"/>
    <cellStyle name="輸入" xfId="3632" builtinId="20" customBuiltin="1"/>
    <cellStyle name="輸入 10" xfId="414" xr:uid="{00000000-0005-0000-0000-000071130000}"/>
    <cellStyle name="輸入 11" xfId="456" xr:uid="{00000000-0005-0000-0000-000072130000}"/>
    <cellStyle name="輸入 12" xfId="497" xr:uid="{00000000-0005-0000-0000-000073130000}"/>
    <cellStyle name="輸入 13" xfId="539" xr:uid="{00000000-0005-0000-0000-000074130000}"/>
    <cellStyle name="輸入 14" xfId="580" xr:uid="{00000000-0005-0000-0000-000075130000}"/>
    <cellStyle name="輸入 14 2" xfId="2392" xr:uid="{00000000-0005-0000-0000-000076130000}"/>
    <cellStyle name="輸入 14 2 2" xfId="2634" xr:uid="{00000000-0005-0000-0000-000077130000}"/>
    <cellStyle name="輸入 14 2 3" xfId="2886" xr:uid="{00000000-0005-0000-0000-000078130000}"/>
    <cellStyle name="輸入 14 2 4" xfId="2727" xr:uid="{00000000-0005-0000-0000-000079130000}"/>
    <cellStyle name="輸入 14 3" xfId="2916" xr:uid="{00000000-0005-0000-0000-00007A130000}"/>
    <cellStyle name="輸入 14 4" xfId="3267" xr:uid="{00000000-0005-0000-0000-00007B130000}"/>
    <cellStyle name="輸入 15" xfId="621" xr:uid="{00000000-0005-0000-0000-00007C130000}"/>
    <cellStyle name="輸入 16" xfId="663" xr:uid="{00000000-0005-0000-0000-00007D130000}"/>
    <cellStyle name="輸入 17" xfId="704" xr:uid="{00000000-0005-0000-0000-00007E130000}"/>
    <cellStyle name="輸入 18" xfId="745" xr:uid="{00000000-0005-0000-0000-00007F130000}"/>
    <cellStyle name="輸入 19" xfId="786" xr:uid="{00000000-0005-0000-0000-000080130000}"/>
    <cellStyle name="輸入 2" xfId="288" xr:uid="{00000000-0005-0000-0000-000081130000}"/>
    <cellStyle name="輸入 2 10" xfId="1548" xr:uid="{00000000-0005-0000-0000-000082130000}"/>
    <cellStyle name="輸入 2 11" xfId="1605" xr:uid="{00000000-0005-0000-0000-000083130000}"/>
    <cellStyle name="輸入 2 12" xfId="1667" xr:uid="{00000000-0005-0000-0000-000084130000}"/>
    <cellStyle name="輸入 2 2" xfId="289" xr:uid="{00000000-0005-0000-0000-000085130000}"/>
    <cellStyle name="輸入 2 2 2" xfId="2066" xr:uid="{00000000-0005-0000-0000-000086130000}"/>
    <cellStyle name="輸入 2 2 2 2" xfId="2067" xr:uid="{00000000-0005-0000-0000-000087130000}"/>
    <cellStyle name="輸入 2 2 2 3" xfId="2541" xr:uid="{00000000-0005-0000-0000-000088130000}"/>
    <cellStyle name="輸入 2 2 3" xfId="2540" xr:uid="{00000000-0005-0000-0000-000089130000}"/>
    <cellStyle name="輸入 2 3" xfId="993" xr:uid="{00000000-0005-0000-0000-00008A130000}"/>
    <cellStyle name="輸入 2 4" xfId="1149" xr:uid="{00000000-0005-0000-0000-00008B130000}"/>
    <cellStyle name="輸入 2 4 2" xfId="2343" xr:uid="{00000000-0005-0000-0000-00008C130000}"/>
    <cellStyle name="輸入 2 4 2 2" xfId="2968" xr:uid="{00000000-0005-0000-0000-00008D130000}"/>
    <cellStyle name="輸入 2 4 2 3" xfId="3354" xr:uid="{00000000-0005-0000-0000-00008E130000}"/>
    <cellStyle name="輸入 2 4 2 4" xfId="3480" xr:uid="{00000000-0005-0000-0000-00008F130000}"/>
    <cellStyle name="輸入 2 4 3" xfId="2702" xr:uid="{00000000-0005-0000-0000-000090130000}"/>
    <cellStyle name="輸入 2 4 4" xfId="3425" xr:uid="{00000000-0005-0000-0000-000091130000}"/>
    <cellStyle name="輸入 2 5" xfId="1113" xr:uid="{00000000-0005-0000-0000-000092130000}"/>
    <cellStyle name="輸入 2 6" xfId="1101" xr:uid="{00000000-0005-0000-0000-000093130000}"/>
    <cellStyle name="輸入 2 7" xfId="1386" xr:uid="{00000000-0005-0000-0000-000094130000}"/>
    <cellStyle name="輸入 2 8" xfId="1458" xr:uid="{00000000-0005-0000-0000-000095130000}"/>
    <cellStyle name="輸入 2 9" xfId="1492" xr:uid="{00000000-0005-0000-0000-000096130000}"/>
    <cellStyle name="輸入 20" xfId="992" xr:uid="{00000000-0005-0000-0000-000097130000}"/>
    <cellStyle name="輸入 21" xfId="1168" xr:uid="{00000000-0005-0000-0000-000098130000}"/>
    <cellStyle name="輸入 22" xfId="847" xr:uid="{00000000-0005-0000-0000-000099130000}"/>
    <cellStyle name="輸入 23" xfId="1196" xr:uid="{00000000-0005-0000-0000-00009A130000}"/>
    <cellStyle name="輸入 24" xfId="1385" xr:uid="{00000000-0005-0000-0000-00009B130000}"/>
    <cellStyle name="輸入 25" xfId="1457" xr:uid="{00000000-0005-0000-0000-00009C130000}"/>
    <cellStyle name="輸入 26" xfId="1515" xr:uid="{00000000-0005-0000-0000-00009D130000}"/>
    <cellStyle name="輸入 27" xfId="1573" xr:uid="{00000000-0005-0000-0000-00009E130000}"/>
    <cellStyle name="輸入 28" xfId="1627" xr:uid="{00000000-0005-0000-0000-00009F130000}"/>
    <cellStyle name="輸入 29" xfId="1681" xr:uid="{00000000-0005-0000-0000-0000A0130000}"/>
    <cellStyle name="輸入 3" xfId="290" xr:uid="{00000000-0005-0000-0000-0000A1130000}"/>
    <cellStyle name="輸入 4" xfId="291" xr:uid="{00000000-0005-0000-0000-0000A2130000}"/>
    <cellStyle name="輸入 5" xfId="292" xr:uid="{00000000-0005-0000-0000-0000A3130000}"/>
    <cellStyle name="輸入 5 2" xfId="1819" xr:uid="{00000000-0005-0000-0000-0000A4130000}"/>
    <cellStyle name="輸入 5 3" xfId="2601" xr:uid="{00000000-0005-0000-0000-0000A5130000}"/>
    <cellStyle name="輸入 5 4" xfId="2224" xr:uid="{00000000-0005-0000-0000-0000A6130000}"/>
    <cellStyle name="輸入 5 5" xfId="2719" xr:uid="{00000000-0005-0000-0000-0000A7130000}"/>
    <cellStyle name="輸入 6" xfId="293" xr:uid="{00000000-0005-0000-0000-0000A8130000}"/>
    <cellStyle name="輸入 6 2" xfId="1861" xr:uid="{00000000-0005-0000-0000-0000A9130000}"/>
    <cellStyle name="輸入 6 3" xfId="2654" xr:uid="{00000000-0005-0000-0000-0000AA130000}"/>
    <cellStyle name="輸入 6 4" xfId="3160" xr:uid="{00000000-0005-0000-0000-0000AB130000}"/>
    <cellStyle name="輸入 6 5" xfId="2113" xr:uid="{00000000-0005-0000-0000-0000AC130000}"/>
    <cellStyle name="輸入 7" xfId="294" xr:uid="{00000000-0005-0000-0000-0000AD130000}"/>
    <cellStyle name="輸入 7 2" xfId="1902" xr:uid="{00000000-0005-0000-0000-0000AE130000}"/>
    <cellStyle name="輸入 7 3" xfId="2596" xr:uid="{00000000-0005-0000-0000-0000AF130000}"/>
    <cellStyle name="輸入 7 4" xfId="3144" xr:uid="{00000000-0005-0000-0000-0000B0130000}"/>
    <cellStyle name="輸入 7 5" xfId="3140" xr:uid="{00000000-0005-0000-0000-0000B1130000}"/>
    <cellStyle name="輸入 8" xfId="331" xr:uid="{00000000-0005-0000-0000-0000B2130000}"/>
    <cellStyle name="輸入 9" xfId="373" xr:uid="{00000000-0005-0000-0000-0000B3130000}"/>
    <cellStyle name="輸出" xfId="3633" builtinId="21" customBuiltin="1"/>
    <cellStyle name="輸出 10" xfId="415" xr:uid="{00000000-0005-0000-0000-0000B5130000}"/>
    <cellStyle name="輸出 11" xfId="457" xr:uid="{00000000-0005-0000-0000-0000B6130000}"/>
    <cellStyle name="輸出 12" xfId="498" xr:uid="{00000000-0005-0000-0000-0000B7130000}"/>
    <cellStyle name="輸出 13" xfId="540" xr:uid="{00000000-0005-0000-0000-0000B8130000}"/>
    <cellStyle name="輸出 14" xfId="581" xr:uid="{00000000-0005-0000-0000-0000B9130000}"/>
    <cellStyle name="輸出 14 2" xfId="2393" xr:uid="{00000000-0005-0000-0000-0000BA130000}"/>
    <cellStyle name="輸出 14 2 2" xfId="2623" xr:uid="{00000000-0005-0000-0000-0000BB130000}"/>
    <cellStyle name="輸出 14 2 3" xfId="2106" xr:uid="{00000000-0005-0000-0000-0000BC130000}"/>
    <cellStyle name="輸出 14 2 4" xfId="3100" xr:uid="{00000000-0005-0000-0000-0000BD130000}"/>
    <cellStyle name="輸出 14 3" xfId="2274" xr:uid="{00000000-0005-0000-0000-0000BE130000}"/>
    <cellStyle name="輸出 14 4" xfId="3034" xr:uid="{00000000-0005-0000-0000-0000BF130000}"/>
    <cellStyle name="輸出 15" xfId="622" xr:uid="{00000000-0005-0000-0000-0000C0130000}"/>
    <cellStyle name="輸出 16" xfId="664" xr:uid="{00000000-0005-0000-0000-0000C1130000}"/>
    <cellStyle name="輸出 17" xfId="705" xr:uid="{00000000-0005-0000-0000-0000C2130000}"/>
    <cellStyle name="輸出 18" xfId="746" xr:uid="{00000000-0005-0000-0000-0000C3130000}"/>
    <cellStyle name="輸出 19" xfId="787" xr:uid="{00000000-0005-0000-0000-0000C4130000}"/>
    <cellStyle name="輸出 2" xfId="295" xr:uid="{00000000-0005-0000-0000-0000C5130000}"/>
    <cellStyle name="輸出 2 10" xfId="1544" xr:uid="{00000000-0005-0000-0000-0000C6130000}"/>
    <cellStyle name="輸出 2 11" xfId="1625" xr:uid="{00000000-0005-0000-0000-0000C7130000}"/>
    <cellStyle name="輸出 2 12" xfId="1680" xr:uid="{00000000-0005-0000-0000-0000C8130000}"/>
    <cellStyle name="輸出 2 2" xfId="296" xr:uid="{00000000-0005-0000-0000-0000C9130000}"/>
    <cellStyle name="輸出 2 2 2" xfId="2068" xr:uid="{00000000-0005-0000-0000-0000CA130000}"/>
    <cellStyle name="輸出 2 2 2 2" xfId="2069" xr:uid="{00000000-0005-0000-0000-0000CB130000}"/>
    <cellStyle name="輸出 2 2 2 3" xfId="2544" xr:uid="{00000000-0005-0000-0000-0000CC130000}"/>
    <cellStyle name="輸出 2 2 3" xfId="2543" xr:uid="{00000000-0005-0000-0000-0000CD130000}"/>
    <cellStyle name="輸出 2 3" xfId="999" xr:uid="{00000000-0005-0000-0000-0000CE130000}"/>
    <cellStyle name="輸出 2 4" xfId="1020" xr:uid="{00000000-0005-0000-0000-0000CF130000}"/>
    <cellStyle name="輸出 2 4 2" xfId="2595" xr:uid="{00000000-0005-0000-0000-0000D0130000}"/>
    <cellStyle name="輸出 2 4 2 2" xfId="2903" xr:uid="{00000000-0005-0000-0000-0000D1130000}"/>
    <cellStyle name="輸出 2 4 2 3" xfId="3307" xr:uid="{00000000-0005-0000-0000-0000D2130000}"/>
    <cellStyle name="輸出 2 4 2 4" xfId="3280" xr:uid="{00000000-0005-0000-0000-0000D3130000}"/>
    <cellStyle name="輸出 2 4 3" xfId="2826" xr:uid="{00000000-0005-0000-0000-0000D4130000}"/>
    <cellStyle name="輸出 2 4 4" xfId="1945" xr:uid="{00000000-0005-0000-0000-0000D5130000}"/>
    <cellStyle name="輸出 2 5" xfId="1210" xr:uid="{00000000-0005-0000-0000-0000D6130000}"/>
    <cellStyle name="輸出 2 6" xfId="1112" xr:uid="{00000000-0005-0000-0000-0000D7130000}"/>
    <cellStyle name="輸出 2 7" xfId="1393" xr:uid="{00000000-0005-0000-0000-0000D8130000}"/>
    <cellStyle name="輸出 2 8" xfId="1463" xr:uid="{00000000-0005-0000-0000-0000D9130000}"/>
    <cellStyle name="輸出 2 9" xfId="1488" xr:uid="{00000000-0005-0000-0000-0000DA130000}"/>
    <cellStyle name="輸出 20" xfId="998" xr:uid="{00000000-0005-0000-0000-0000DB130000}"/>
    <cellStyle name="輸出 21" xfId="1041" xr:uid="{00000000-0005-0000-0000-0000DC130000}"/>
    <cellStyle name="輸出 22" xfId="1039" xr:uid="{00000000-0005-0000-0000-0000DD130000}"/>
    <cellStyle name="輸出 23" xfId="1064" xr:uid="{00000000-0005-0000-0000-0000DE130000}"/>
    <cellStyle name="輸出 24" xfId="1392" xr:uid="{00000000-0005-0000-0000-0000DF130000}"/>
    <cellStyle name="輸出 25" xfId="1462" xr:uid="{00000000-0005-0000-0000-0000E0130000}"/>
    <cellStyle name="輸出 26" xfId="1512" xr:uid="{00000000-0005-0000-0000-0000E1130000}"/>
    <cellStyle name="輸出 27" xfId="1570" xr:uid="{00000000-0005-0000-0000-0000E2130000}"/>
    <cellStyle name="輸出 28" xfId="1647" xr:uid="{00000000-0005-0000-0000-0000E3130000}"/>
    <cellStyle name="輸出 29" xfId="1592" xr:uid="{00000000-0005-0000-0000-0000E4130000}"/>
    <cellStyle name="輸出 3" xfId="297" xr:uid="{00000000-0005-0000-0000-0000E5130000}"/>
    <cellStyle name="輸出 4" xfId="298" xr:uid="{00000000-0005-0000-0000-0000E6130000}"/>
    <cellStyle name="輸出 5" xfId="299" xr:uid="{00000000-0005-0000-0000-0000E7130000}"/>
    <cellStyle name="輸出 5 2" xfId="1820" xr:uid="{00000000-0005-0000-0000-0000E8130000}"/>
    <cellStyle name="輸出 5 3" xfId="2573" xr:uid="{00000000-0005-0000-0000-0000E9130000}"/>
    <cellStyle name="輸出 5 4" xfId="2194" xr:uid="{00000000-0005-0000-0000-0000EA130000}"/>
    <cellStyle name="輸出 5 5" xfId="3217" xr:uid="{00000000-0005-0000-0000-0000EB130000}"/>
    <cellStyle name="輸出 6" xfId="300" xr:uid="{00000000-0005-0000-0000-0000EC130000}"/>
    <cellStyle name="輸出 6 2" xfId="1862" xr:uid="{00000000-0005-0000-0000-0000ED130000}"/>
    <cellStyle name="輸出 6 3" xfId="2420" xr:uid="{00000000-0005-0000-0000-0000EE130000}"/>
    <cellStyle name="輸出 6 4" xfId="3195" xr:uid="{00000000-0005-0000-0000-0000EF130000}"/>
    <cellStyle name="輸出 6 5" xfId="3445" xr:uid="{00000000-0005-0000-0000-0000F0130000}"/>
    <cellStyle name="輸出 7" xfId="301" xr:uid="{00000000-0005-0000-0000-0000F1130000}"/>
    <cellStyle name="輸出 7 2" xfId="1903" xr:uid="{00000000-0005-0000-0000-0000F2130000}"/>
    <cellStyle name="輸出 7 3" xfId="2555" xr:uid="{00000000-0005-0000-0000-0000F3130000}"/>
    <cellStyle name="輸出 7 4" xfId="1792" xr:uid="{00000000-0005-0000-0000-0000F4130000}"/>
    <cellStyle name="輸出 7 5" xfId="2980" xr:uid="{00000000-0005-0000-0000-0000F5130000}"/>
    <cellStyle name="輸出 8" xfId="332" xr:uid="{00000000-0005-0000-0000-0000F6130000}"/>
    <cellStyle name="輸出 9" xfId="374" xr:uid="{00000000-0005-0000-0000-0000F7130000}"/>
    <cellStyle name="檢查儲存格" xfId="3636" builtinId="23" customBuiltin="1"/>
    <cellStyle name="檢查儲存格 10" xfId="418" xr:uid="{00000000-0005-0000-0000-0000F9130000}"/>
    <cellStyle name="檢查儲存格 11" xfId="460" xr:uid="{00000000-0005-0000-0000-0000FA130000}"/>
    <cellStyle name="檢查儲存格 12" xfId="501" xr:uid="{00000000-0005-0000-0000-0000FB130000}"/>
    <cellStyle name="檢查儲存格 13" xfId="543" xr:uid="{00000000-0005-0000-0000-0000FC130000}"/>
    <cellStyle name="檢查儲存格 14" xfId="584" xr:uid="{00000000-0005-0000-0000-0000FD130000}"/>
    <cellStyle name="檢查儲存格 14 2" xfId="2395" xr:uid="{00000000-0005-0000-0000-0000FE130000}"/>
    <cellStyle name="檢查儲存格 14 2 2" xfId="2453" xr:uid="{00000000-0005-0000-0000-0000FF130000}"/>
    <cellStyle name="檢查儲存格 14 2 3" xfId="3080" xr:uid="{00000000-0005-0000-0000-000000140000}"/>
    <cellStyle name="檢查儲存格 14 2 4" xfId="3021" xr:uid="{00000000-0005-0000-0000-000001140000}"/>
    <cellStyle name="檢查儲存格 14 3" xfId="2273" xr:uid="{00000000-0005-0000-0000-000002140000}"/>
    <cellStyle name="檢查儲存格 14 4" xfId="2863" xr:uid="{00000000-0005-0000-0000-000003140000}"/>
    <cellStyle name="檢查儲存格 15" xfId="625" xr:uid="{00000000-0005-0000-0000-000004140000}"/>
    <cellStyle name="檢查儲存格 16" xfId="667" xr:uid="{00000000-0005-0000-0000-000005140000}"/>
    <cellStyle name="檢查儲存格 17" xfId="708" xr:uid="{00000000-0005-0000-0000-000006140000}"/>
    <cellStyle name="檢查儲存格 18" xfId="749" xr:uid="{00000000-0005-0000-0000-000007140000}"/>
    <cellStyle name="檢查儲存格 19" xfId="790" xr:uid="{00000000-0005-0000-0000-000008140000}"/>
    <cellStyle name="檢查儲存格 2" xfId="302" xr:uid="{00000000-0005-0000-0000-000009140000}"/>
    <cellStyle name="檢查儲存格 2 10" xfId="1542" xr:uid="{00000000-0005-0000-0000-00000A140000}"/>
    <cellStyle name="檢查儲存格 2 11" xfId="1645" xr:uid="{00000000-0005-0000-0000-00000B140000}"/>
    <cellStyle name="檢查儲存格 2 12" xfId="1554" xr:uid="{00000000-0005-0000-0000-00000C140000}"/>
    <cellStyle name="檢查儲存格 2 2" xfId="303" xr:uid="{00000000-0005-0000-0000-00000D140000}"/>
    <cellStyle name="檢查儲存格 2 2 2" xfId="2072" xr:uid="{00000000-0005-0000-0000-00000E140000}"/>
    <cellStyle name="檢查儲存格 2 2 2 2" xfId="2073" xr:uid="{00000000-0005-0000-0000-00000F140000}"/>
    <cellStyle name="檢查儲存格 2 2 2 3" xfId="2548" xr:uid="{00000000-0005-0000-0000-000010140000}"/>
    <cellStyle name="檢查儲存格 2 2 3" xfId="2547" xr:uid="{00000000-0005-0000-0000-000011140000}"/>
    <cellStyle name="檢查儲存格 2 3" xfId="1002" xr:uid="{00000000-0005-0000-0000-000012140000}"/>
    <cellStyle name="檢查儲存格 2 4" xfId="1230" xr:uid="{00000000-0005-0000-0000-000013140000}"/>
    <cellStyle name="檢查儲存格 2 4 2" xfId="2400" xr:uid="{00000000-0005-0000-0000-000014140000}"/>
    <cellStyle name="檢查儲存格 2 4 2 2" xfId="3017" xr:uid="{00000000-0005-0000-0000-000015140000}"/>
    <cellStyle name="檢查儲存格 2 4 2 3" xfId="3396" xr:uid="{00000000-0005-0000-0000-000016140000}"/>
    <cellStyle name="檢查儲存格 2 4 2 4" xfId="1809" xr:uid="{00000000-0005-0000-0000-000017140000}"/>
    <cellStyle name="檢查儲存格 2 4 3" xfId="2008" xr:uid="{00000000-0005-0000-0000-000018140000}"/>
    <cellStyle name="檢查儲存格 2 4 4" xfId="2942" xr:uid="{00000000-0005-0000-0000-000019140000}"/>
    <cellStyle name="檢查儲存格 2 5" xfId="1269" xr:uid="{00000000-0005-0000-0000-00001A140000}"/>
    <cellStyle name="檢查儲存格 2 6" xfId="1078" xr:uid="{00000000-0005-0000-0000-00001B140000}"/>
    <cellStyle name="檢查儲存格 2 7" xfId="1399" xr:uid="{00000000-0005-0000-0000-00001C140000}"/>
    <cellStyle name="檢查儲存格 2 8" xfId="1467" xr:uid="{00000000-0005-0000-0000-00001D140000}"/>
    <cellStyle name="檢查儲存格 2 9" xfId="1485" xr:uid="{00000000-0005-0000-0000-00001E140000}"/>
    <cellStyle name="檢查儲存格 20" xfId="1001" xr:uid="{00000000-0005-0000-0000-00001F140000}"/>
    <cellStyle name="檢查儲存格 21" xfId="1247" xr:uid="{00000000-0005-0000-0000-000020140000}"/>
    <cellStyle name="檢查儲存格 22" xfId="1287" xr:uid="{00000000-0005-0000-0000-000021140000}"/>
    <cellStyle name="檢查儲存格 23" xfId="1312" xr:uid="{00000000-0005-0000-0000-000022140000}"/>
    <cellStyle name="檢查儲存格 24" xfId="1398" xr:uid="{00000000-0005-0000-0000-000023140000}"/>
    <cellStyle name="檢查儲存格 25" xfId="1466" xr:uid="{00000000-0005-0000-0000-000024140000}"/>
    <cellStyle name="檢查儲存格 26" xfId="1509" xr:uid="{00000000-0005-0000-0000-000025140000}"/>
    <cellStyle name="檢查儲存格 27" xfId="1566" xr:uid="{00000000-0005-0000-0000-000026140000}"/>
    <cellStyle name="檢查儲存格 28" xfId="1499" xr:uid="{00000000-0005-0000-0000-000027140000}"/>
    <cellStyle name="檢查儲存格 29" xfId="1580" xr:uid="{00000000-0005-0000-0000-000028140000}"/>
    <cellStyle name="檢查儲存格 3" xfId="304" xr:uid="{00000000-0005-0000-0000-000029140000}"/>
    <cellStyle name="檢查儲存格 4" xfId="305" xr:uid="{00000000-0005-0000-0000-00002A140000}"/>
    <cellStyle name="檢查儲存格 5" xfId="306" xr:uid="{00000000-0005-0000-0000-00002B140000}"/>
    <cellStyle name="檢查儲存格 5 2" xfId="1823" xr:uid="{00000000-0005-0000-0000-00002C140000}"/>
    <cellStyle name="檢查儲存格 5 3" xfId="2653" xr:uid="{00000000-0005-0000-0000-00002D140000}"/>
    <cellStyle name="檢查儲存格 5 4" xfId="2083" xr:uid="{00000000-0005-0000-0000-00002E140000}"/>
    <cellStyle name="檢查儲存格 5 5" xfId="3533" xr:uid="{00000000-0005-0000-0000-00002F140000}"/>
    <cellStyle name="檢查儲存格 6" xfId="307" xr:uid="{00000000-0005-0000-0000-000030140000}"/>
    <cellStyle name="檢查儲存格 6 2" xfId="1865" xr:uid="{00000000-0005-0000-0000-000031140000}"/>
    <cellStyle name="檢查儲存格 6 3" xfId="2652" xr:uid="{00000000-0005-0000-0000-000032140000}"/>
    <cellStyle name="檢查儲存格 6 4" xfId="2782" xr:uid="{00000000-0005-0000-0000-000033140000}"/>
    <cellStyle name="檢查儲存格 6 5" xfId="3433" xr:uid="{00000000-0005-0000-0000-000034140000}"/>
    <cellStyle name="檢查儲存格 7" xfId="308" xr:uid="{00000000-0005-0000-0000-000035140000}"/>
    <cellStyle name="檢查儲存格 7 2" xfId="1906" xr:uid="{00000000-0005-0000-0000-000036140000}"/>
    <cellStyle name="檢查儲存格 7 3" xfId="2651" xr:uid="{00000000-0005-0000-0000-000037140000}"/>
    <cellStyle name="檢查儲存格 7 4" xfId="2730" xr:uid="{00000000-0005-0000-0000-000038140000}"/>
    <cellStyle name="檢查儲存格 7 5" xfId="2165" xr:uid="{00000000-0005-0000-0000-000039140000}"/>
    <cellStyle name="檢查儲存格 8" xfId="335" xr:uid="{00000000-0005-0000-0000-00003A140000}"/>
    <cellStyle name="檢查儲存格 9" xfId="377" xr:uid="{00000000-0005-0000-0000-00003B140000}"/>
    <cellStyle name="壞" xfId="3630" builtinId="27" customBuiltin="1"/>
    <cellStyle name="壞 10" xfId="412" xr:uid="{00000000-0005-0000-0000-00003D140000}"/>
    <cellStyle name="壞 11" xfId="454" xr:uid="{00000000-0005-0000-0000-00003E140000}"/>
    <cellStyle name="壞 12" xfId="495" xr:uid="{00000000-0005-0000-0000-00003F140000}"/>
    <cellStyle name="壞 13" xfId="537" xr:uid="{00000000-0005-0000-0000-000040140000}"/>
    <cellStyle name="壞 14" xfId="578" xr:uid="{00000000-0005-0000-0000-000041140000}"/>
    <cellStyle name="壞 14 2" xfId="2397" xr:uid="{00000000-0005-0000-0000-000042140000}"/>
    <cellStyle name="壞 14 2 2" xfId="2310" xr:uid="{00000000-0005-0000-0000-000043140000}"/>
    <cellStyle name="壞 14 2 3" xfId="2761" xr:uid="{00000000-0005-0000-0000-000044140000}"/>
    <cellStyle name="壞 14 2 4" xfId="1783" xr:uid="{00000000-0005-0000-0000-000045140000}"/>
    <cellStyle name="壞 14 3" xfId="2188" xr:uid="{00000000-0005-0000-0000-000046140000}"/>
    <cellStyle name="壞 14 4" xfId="3541" xr:uid="{00000000-0005-0000-0000-000047140000}"/>
    <cellStyle name="壞 15" xfId="619" xr:uid="{00000000-0005-0000-0000-000048140000}"/>
    <cellStyle name="壞 16" xfId="661" xr:uid="{00000000-0005-0000-0000-000049140000}"/>
    <cellStyle name="壞 17" xfId="702" xr:uid="{00000000-0005-0000-0000-00004A140000}"/>
    <cellStyle name="壞 18" xfId="743" xr:uid="{00000000-0005-0000-0000-00004B140000}"/>
    <cellStyle name="壞 19" xfId="784" xr:uid="{00000000-0005-0000-0000-00004C140000}"/>
    <cellStyle name="壞 2" xfId="309" xr:uid="{00000000-0005-0000-0000-00004D140000}"/>
    <cellStyle name="壞 2 10" xfId="1586" xr:uid="{00000000-0005-0000-0000-00004E140000}"/>
    <cellStyle name="壞 2 11" xfId="1496" xr:uid="{00000000-0005-0000-0000-00004F140000}"/>
    <cellStyle name="壞 2 12" xfId="1452" xr:uid="{00000000-0005-0000-0000-000050140000}"/>
    <cellStyle name="壞 2 2" xfId="310" xr:uid="{00000000-0005-0000-0000-000051140000}"/>
    <cellStyle name="壞 2 2 2" xfId="2076" xr:uid="{00000000-0005-0000-0000-000052140000}"/>
    <cellStyle name="壞 2 2 2 2" xfId="2077" xr:uid="{00000000-0005-0000-0000-000053140000}"/>
    <cellStyle name="壞 2 2 2 3" xfId="2552" xr:uid="{00000000-0005-0000-0000-000054140000}"/>
    <cellStyle name="壞 2 2 3" xfId="2551" xr:uid="{00000000-0005-0000-0000-000055140000}"/>
    <cellStyle name="壞 2 3" xfId="1008" xr:uid="{00000000-0005-0000-0000-000056140000}"/>
    <cellStyle name="壞 2 4" xfId="1079" xr:uid="{00000000-0005-0000-0000-000057140000}"/>
    <cellStyle name="壞 2 4 2" xfId="2650" xr:uid="{00000000-0005-0000-0000-000058140000}"/>
    <cellStyle name="壞 2 4 2 2" xfId="2934" xr:uid="{00000000-0005-0000-0000-000059140000}"/>
    <cellStyle name="壞 2 4 2 3" xfId="3328" xr:uid="{00000000-0005-0000-0000-00005A140000}"/>
    <cellStyle name="壞 2 4 2 4" xfId="2853" xr:uid="{00000000-0005-0000-0000-00005B140000}"/>
    <cellStyle name="壞 2 4 3" xfId="1739" xr:uid="{00000000-0005-0000-0000-00005C140000}"/>
    <cellStyle name="壞 2 4 4" xfId="3434" xr:uid="{00000000-0005-0000-0000-00005D140000}"/>
    <cellStyle name="壞 2 5" xfId="888" xr:uid="{00000000-0005-0000-0000-00005E140000}"/>
    <cellStyle name="壞 2 6" xfId="914" xr:uid="{00000000-0005-0000-0000-00005F140000}"/>
    <cellStyle name="壞 2 7" xfId="1403" xr:uid="{00000000-0005-0000-0000-000060140000}"/>
    <cellStyle name="壞 2 8" xfId="1471" xr:uid="{00000000-0005-0000-0000-000061140000}"/>
    <cellStyle name="壞 2 9" xfId="1528" xr:uid="{00000000-0005-0000-0000-000062140000}"/>
    <cellStyle name="壞 20" xfId="1007" xr:uid="{00000000-0005-0000-0000-000063140000}"/>
    <cellStyle name="壞 21" xfId="1104" xr:uid="{00000000-0005-0000-0000-000064140000}"/>
    <cellStyle name="壞 22" xfId="1110" xr:uid="{00000000-0005-0000-0000-000065140000}"/>
    <cellStyle name="壞 23" xfId="1163" xr:uid="{00000000-0005-0000-0000-000066140000}"/>
    <cellStyle name="壞 24" xfId="1402" xr:uid="{00000000-0005-0000-0000-000067140000}"/>
    <cellStyle name="壞 25" xfId="1470" xr:uid="{00000000-0005-0000-0000-000068140000}"/>
    <cellStyle name="壞 26" xfId="1527" xr:uid="{00000000-0005-0000-0000-000069140000}"/>
    <cellStyle name="壞 27" xfId="1585" xr:uid="{00000000-0005-0000-0000-00006A140000}"/>
    <cellStyle name="壞 28" xfId="1521" xr:uid="{00000000-0005-0000-0000-00006B140000}"/>
    <cellStyle name="壞 29" xfId="1451" xr:uid="{00000000-0005-0000-0000-00006C140000}"/>
    <cellStyle name="壞 3" xfId="311" xr:uid="{00000000-0005-0000-0000-00006D140000}"/>
    <cellStyle name="壞 4" xfId="312" xr:uid="{00000000-0005-0000-0000-00006E140000}"/>
    <cellStyle name="壞 5" xfId="313" xr:uid="{00000000-0005-0000-0000-00006F140000}"/>
    <cellStyle name="壞 5 2" xfId="1817" xr:uid="{00000000-0005-0000-0000-000070140000}"/>
    <cellStyle name="壞 5 3" xfId="2340" xr:uid="{00000000-0005-0000-0000-000071140000}"/>
    <cellStyle name="壞 5 4" xfId="2677" xr:uid="{00000000-0005-0000-0000-000072140000}"/>
    <cellStyle name="壞 5 5" xfId="2175" xr:uid="{00000000-0005-0000-0000-000073140000}"/>
    <cellStyle name="壞 6" xfId="314" xr:uid="{00000000-0005-0000-0000-000074140000}"/>
    <cellStyle name="壞 6 2" xfId="1859" xr:uid="{00000000-0005-0000-0000-000075140000}"/>
    <cellStyle name="壞 6 3" xfId="2649" xr:uid="{00000000-0005-0000-0000-000076140000}"/>
    <cellStyle name="壞 6 4" xfId="2387" xr:uid="{00000000-0005-0000-0000-000077140000}"/>
    <cellStyle name="壞 6 5" xfId="1779" xr:uid="{00000000-0005-0000-0000-000078140000}"/>
    <cellStyle name="壞 7" xfId="315" xr:uid="{00000000-0005-0000-0000-000079140000}"/>
    <cellStyle name="壞 7 2" xfId="1900" xr:uid="{00000000-0005-0000-0000-00007A140000}"/>
    <cellStyle name="壞 7 3" xfId="2648" xr:uid="{00000000-0005-0000-0000-00007B140000}"/>
    <cellStyle name="壞 7 4" xfId="3174" xr:uid="{00000000-0005-0000-0000-00007C140000}"/>
    <cellStyle name="壞 7 5" xfId="3304" xr:uid="{00000000-0005-0000-0000-00007D140000}"/>
    <cellStyle name="壞 8" xfId="329" xr:uid="{00000000-0005-0000-0000-00007E140000}"/>
    <cellStyle name="壞 9" xfId="371" xr:uid="{00000000-0005-0000-0000-00007F140000}"/>
    <cellStyle name="警告文字" xfId="3637" builtinId="11" customBuiltin="1"/>
    <cellStyle name="警告文字 10" xfId="419" xr:uid="{00000000-0005-0000-0000-000081140000}"/>
    <cellStyle name="警告文字 11" xfId="461" xr:uid="{00000000-0005-0000-0000-000082140000}"/>
    <cellStyle name="警告文字 12" xfId="502" xr:uid="{00000000-0005-0000-0000-000083140000}"/>
    <cellStyle name="警告文字 13" xfId="544" xr:uid="{00000000-0005-0000-0000-000084140000}"/>
    <cellStyle name="警告文字 14" xfId="585" xr:uid="{00000000-0005-0000-0000-000085140000}"/>
    <cellStyle name="警告文字 14 2" xfId="2399" xr:uid="{00000000-0005-0000-0000-000086140000}"/>
    <cellStyle name="警告文字 14 2 2" xfId="2594" xr:uid="{00000000-0005-0000-0000-000087140000}"/>
    <cellStyle name="警告文字 14 2 3" xfId="2833" xr:uid="{00000000-0005-0000-0000-000088140000}"/>
    <cellStyle name="警告文字 14 2 4" xfId="2140" xr:uid="{00000000-0005-0000-0000-000089140000}"/>
    <cellStyle name="警告文字 14 3" xfId="2081" xr:uid="{00000000-0005-0000-0000-00008A140000}"/>
    <cellStyle name="警告文字 14 4" xfId="3501" xr:uid="{00000000-0005-0000-0000-00008B140000}"/>
    <cellStyle name="警告文字 15" xfId="626" xr:uid="{00000000-0005-0000-0000-00008C140000}"/>
    <cellStyle name="警告文字 16" xfId="668" xr:uid="{00000000-0005-0000-0000-00008D140000}"/>
    <cellStyle name="警告文字 17" xfId="709" xr:uid="{00000000-0005-0000-0000-00008E140000}"/>
    <cellStyle name="警告文字 18" xfId="750" xr:uid="{00000000-0005-0000-0000-00008F140000}"/>
    <cellStyle name="警告文字 19" xfId="791" xr:uid="{00000000-0005-0000-0000-000090140000}"/>
    <cellStyle name="警告文字 2" xfId="316" xr:uid="{00000000-0005-0000-0000-000091140000}"/>
    <cellStyle name="警告文字 2 10" xfId="1590" xr:uid="{00000000-0005-0000-0000-000092140000}"/>
    <cellStyle name="警告文字 2 11" xfId="1518" xr:uid="{00000000-0005-0000-0000-000093140000}"/>
    <cellStyle name="警告文字 2 12" xfId="1456" xr:uid="{00000000-0005-0000-0000-000094140000}"/>
    <cellStyle name="警告文字 2 2" xfId="317" xr:uid="{00000000-0005-0000-0000-000095140000}"/>
    <cellStyle name="警告文字 2 2 2" xfId="2079" xr:uid="{00000000-0005-0000-0000-000096140000}"/>
    <cellStyle name="警告文字 2 2 2 2" xfId="2080" xr:uid="{00000000-0005-0000-0000-000097140000}"/>
    <cellStyle name="警告文字 2 2 2 3" xfId="2554" xr:uid="{00000000-0005-0000-0000-000098140000}"/>
    <cellStyle name="警告文字 2 2 3" xfId="2553" xr:uid="{00000000-0005-0000-0000-000099140000}"/>
    <cellStyle name="警告文字 2 3" xfId="1011" xr:uid="{00000000-0005-0000-0000-00009A140000}"/>
    <cellStyle name="警告文字 2 4" xfId="928" xr:uid="{00000000-0005-0000-0000-00009B140000}"/>
    <cellStyle name="警告文字 2 4 2" xfId="2647" xr:uid="{00000000-0005-0000-0000-00009C140000}"/>
    <cellStyle name="警告文字 2 4 2 2" xfId="2857" xr:uid="{00000000-0005-0000-0000-00009D140000}"/>
    <cellStyle name="警告文字 2 4 2 3" xfId="3270" xr:uid="{00000000-0005-0000-0000-00009E140000}"/>
    <cellStyle name="警告文字 2 4 2 4" xfId="3438" xr:uid="{00000000-0005-0000-0000-00009F140000}"/>
    <cellStyle name="警告文字 2 4 3" xfId="2151" xr:uid="{00000000-0005-0000-0000-0000A0140000}"/>
    <cellStyle name="警告文字 2 4 4" xfId="3266" xr:uid="{00000000-0005-0000-0000-0000A1140000}"/>
    <cellStyle name="警告文字 2 5" xfId="1051" xr:uid="{00000000-0005-0000-0000-0000A2140000}"/>
    <cellStyle name="警告文字 2 6" xfId="892" xr:uid="{00000000-0005-0000-0000-0000A3140000}"/>
    <cellStyle name="警告文字 2 7" xfId="1407" xr:uid="{00000000-0005-0000-0000-0000A4140000}"/>
    <cellStyle name="警告文字 2 8" xfId="1477" xr:uid="{00000000-0005-0000-0000-0000A5140000}"/>
    <cellStyle name="警告文字 2 9" xfId="1533" xr:uid="{00000000-0005-0000-0000-0000A6140000}"/>
    <cellStyle name="警告文字 20" xfId="1010" xr:uid="{00000000-0005-0000-0000-0000A7140000}"/>
    <cellStyle name="警告文字 21" xfId="929" xr:uid="{00000000-0005-0000-0000-0000A8140000}"/>
    <cellStyle name="警告文字 22" xfId="1031" xr:uid="{00000000-0005-0000-0000-0000A9140000}"/>
    <cellStyle name="警告文字 23" xfId="904" xr:uid="{00000000-0005-0000-0000-0000AA140000}"/>
    <cellStyle name="警告文字 24" xfId="1406" xr:uid="{00000000-0005-0000-0000-0000AB140000}"/>
    <cellStyle name="警告文字 25" xfId="1476" xr:uid="{00000000-0005-0000-0000-0000AC140000}"/>
    <cellStyle name="警告文字 26" xfId="1532" xr:uid="{00000000-0005-0000-0000-0000AD140000}"/>
    <cellStyle name="警告文字 27" xfId="1589" xr:uid="{00000000-0005-0000-0000-0000AE140000}"/>
    <cellStyle name="警告文字 28" xfId="1376" xr:uid="{00000000-0005-0000-0000-0000AF140000}"/>
    <cellStyle name="警告文字 29" xfId="1455" xr:uid="{00000000-0005-0000-0000-0000B0140000}"/>
    <cellStyle name="警告文字 3" xfId="318" xr:uid="{00000000-0005-0000-0000-0000B1140000}"/>
    <cellStyle name="警告文字 4" xfId="319" xr:uid="{00000000-0005-0000-0000-0000B2140000}"/>
    <cellStyle name="警告文字 5" xfId="320" xr:uid="{00000000-0005-0000-0000-0000B3140000}"/>
    <cellStyle name="警告文字 5 2" xfId="1824" xr:uid="{00000000-0005-0000-0000-0000B4140000}"/>
    <cellStyle name="警告文字 5 3" xfId="2646" xr:uid="{00000000-0005-0000-0000-0000B5140000}"/>
    <cellStyle name="警告文字 5 4" xfId="1802" xr:uid="{00000000-0005-0000-0000-0000B6140000}"/>
    <cellStyle name="警告文字 5 5" xfId="3516" xr:uid="{00000000-0005-0000-0000-0000B7140000}"/>
    <cellStyle name="警告文字 6" xfId="321" xr:uid="{00000000-0005-0000-0000-0000B8140000}"/>
    <cellStyle name="警告文字 6 2" xfId="1866" xr:uid="{00000000-0005-0000-0000-0000B9140000}"/>
    <cellStyle name="警告文字 6 3" xfId="2645" xr:uid="{00000000-0005-0000-0000-0000BA140000}"/>
    <cellStyle name="警告文字 6 4" xfId="2754" xr:uid="{00000000-0005-0000-0000-0000BB140000}"/>
    <cellStyle name="警告文字 6 5" xfId="3339" xr:uid="{00000000-0005-0000-0000-0000BC140000}"/>
    <cellStyle name="警告文字 7" xfId="322" xr:uid="{00000000-0005-0000-0000-0000BD140000}"/>
    <cellStyle name="警告文字 7 2" xfId="1907" xr:uid="{00000000-0005-0000-0000-0000BE140000}"/>
    <cellStyle name="警告文字 7 3" xfId="2644" xr:uid="{00000000-0005-0000-0000-0000BF140000}"/>
    <cellStyle name="警告文字 7 4" xfId="2699" xr:uid="{00000000-0005-0000-0000-0000C0140000}"/>
    <cellStyle name="警告文字 7 5" xfId="3484" xr:uid="{00000000-0005-0000-0000-0000C1140000}"/>
    <cellStyle name="警告文字 8" xfId="336" xr:uid="{00000000-0005-0000-0000-0000C2140000}"/>
    <cellStyle name="警告文字 9" xfId="378" xr:uid="{00000000-0005-0000-0000-0000C3140000}"/>
  </cellStyles>
  <dxfs count="12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微軟正黑體"/>
        <scheme val="none"/>
      </font>
    </dxf>
    <dxf>
      <numFmt numFmtId="6" formatCode="#,##0_);[Red]\(#,##0\)"/>
    </dxf>
    <dxf>
      <numFmt numFmtId="6" formatCode="#,##0_);[Red]\(#,##0\)"/>
    </dxf>
    <dxf>
      <numFmt numFmtId="187" formatCode="_-* #,##0_-;\-* #,##0_-;_-* &quot;-&quot;??_-;_-@_-"/>
    </dxf>
    <dxf>
      <fill>
        <patternFill>
          <bgColor rgb="FF000099"/>
        </patternFill>
      </fill>
    </dxf>
    <dxf>
      <fill>
        <patternFill patternType="solid">
          <bgColor rgb="FF000066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1"/>
      </font>
    </dxf>
    <dxf>
      <numFmt numFmtId="14" formatCode="0.00%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CC"/>
      <color rgb="FFFFFF99"/>
      <color rgb="FF000099"/>
      <color rgb="FFFF6600"/>
      <color rgb="FFFF99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243397253410034E-2"/>
          <c:y val="0.13850249249814123"/>
          <c:w val="0.7175843587891787"/>
          <c:h val="0.6276994882482535"/>
        </c:manualLayout>
      </c:layout>
      <c:lineChart>
        <c:grouping val="standard"/>
        <c:varyColors val="0"/>
        <c:ser>
          <c:idx val="1"/>
          <c:order val="0"/>
          <c:tx>
            <c:strRef>
              <c:f>週轉天數趨勢圖!$A$6</c:f>
              <c:strCache>
                <c:ptCount val="1"/>
                <c:pt idx="0">
                  <c:v>存貨週轉天數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週轉天數趨勢圖!$BS$9:$CD$9</c:f>
              <c:numCache>
                <c:formatCode>0_ </c:formatCode>
                <c:ptCount val="12"/>
                <c:pt idx="0">
                  <c:v>93</c:v>
                </c:pt>
                <c:pt idx="1">
                  <c:v>94</c:v>
                </c:pt>
                <c:pt idx="2">
                  <c:v>95</c:v>
                </c:pt>
                <c:pt idx="3">
                  <c:v>96</c:v>
                </c:pt>
                <c:pt idx="4">
                  <c:v>97</c:v>
                </c:pt>
                <c:pt idx="5">
                  <c:v>98</c:v>
                </c:pt>
                <c:pt idx="6">
                  <c:v>99</c:v>
                </c:pt>
                <c:pt idx="7">
                  <c:v>100</c:v>
                </c:pt>
                <c:pt idx="8">
                  <c:v>101</c:v>
                </c:pt>
                <c:pt idx="9">
                  <c:v>102</c:v>
                </c:pt>
                <c:pt idx="10">
                  <c:v>103</c:v>
                </c:pt>
                <c:pt idx="11">
                  <c:v>104</c:v>
                </c:pt>
              </c:numCache>
            </c:numRef>
          </c:cat>
          <c:val>
            <c:numRef>
              <c:f>週轉天數趨勢圖!$BO$6:$BZ$6</c:f>
              <c:numCache>
                <c:formatCode>#,##0.00_ </c:formatCode>
                <c:ptCount val="12"/>
                <c:pt idx="0">
                  <c:v>76.014004654302909</c:v>
                </c:pt>
                <c:pt idx="1">
                  <c:v>83.609355475342866</c:v>
                </c:pt>
                <c:pt idx="2">
                  <c:v>88.857445644483235</c:v>
                </c:pt>
                <c:pt idx="3">
                  <c:v>79.458421291878963</c:v>
                </c:pt>
                <c:pt idx="4">
                  <c:v>78.057208365831173</c:v>
                </c:pt>
                <c:pt idx="5">
                  <c:v>78.523744511426329</c:v>
                </c:pt>
                <c:pt idx="6">
                  <c:v>74.220491373493118</c:v>
                </c:pt>
                <c:pt idx="7">
                  <c:v>68.126542306924733</c:v>
                </c:pt>
                <c:pt idx="8">
                  <c:v>78.993037670726807</c:v>
                </c:pt>
                <c:pt idx="9">
                  <c:v>81.65706842893907</c:v>
                </c:pt>
                <c:pt idx="10">
                  <c:v>82.165438596938415</c:v>
                </c:pt>
                <c:pt idx="11">
                  <c:v>82.43844107486521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19-BA47-A97B-713FB9149638}"/>
            </c:ext>
          </c:extLst>
        </c:ser>
        <c:ser>
          <c:idx val="2"/>
          <c:order val="1"/>
          <c:tx>
            <c:strRef>
              <c:f>週轉天數趨勢圖!$A$8</c:f>
              <c:strCache>
                <c:ptCount val="1"/>
                <c:pt idx="0">
                  <c:v>應付帳款週轉天數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週轉天數趨勢圖!$BS$9:$CD$9</c:f>
              <c:numCache>
                <c:formatCode>0_ </c:formatCode>
                <c:ptCount val="12"/>
                <c:pt idx="0">
                  <c:v>93</c:v>
                </c:pt>
                <c:pt idx="1">
                  <c:v>94</c:v>
                </c:pt>
                <c:pt idx="2">
                  <c:v>95</c:v>
                </c:pt>
                <c:pt idx="3">
                  <c:v>96</c:v>
                </c:pt>
                <c:pt idx="4">
                  <c:v>97</c:v>
                </c:pt>
                <c:pt idx="5">
                  <c:v>98</c:v>
                </c:pt>
                <c:pt idx="6">
                  <c:v>99</c:v>
                </c:pt>
                <c:pt idx="7">
                  <c:v>100</c:v>
                </c:pt>
                <c:pt idx="8">
                  <c:v>101</c:v>
                </c:pt>
                <c:pt idx="9">
                  <c:v>102</c:v>
                </c:pt>
                <c:pt idx="10">
                  <c:v>103</c:v>
                </c:pt>
                <c:pt idx="11">
                  <c:v>104</c:v>
                </c:pt>
              </c:numCache>
            </c:numRef>
          </c:cat>
          <c:val>
            <c:numRef>
              <c:f>週轉天數趨勢圖!$BO$8:$BZ$8</c:f>
              <c:numCache>
                <c:formatCode>#,##0.00_ </c:formatCode>
                <c:ptCount val="12"/>
                <c:pt idx="0">
                  <c:v>52.818950551814915</c:v>
                </c:pt>
                <c:pt idx="1">
                  <c:v>62.542701019416846</c:v>
                </c:pt>
                <c:pt idx="2">
                  <c:v>62.768563561126797</c:v>
                </c:pt>
                <c:pt idx="3">
                  <c:v>47.527796688243853</c:v>
                </c:pt>
                <c:pt idx="4">
                  <c:v>45.910728836029072</c:v>
                </c:pt>
                <c:pt idx="5">
                  <c:v>45.92227401909291</c:v>
                </c:pt>
                <c:pt idx="6">
                  <c:v>51.985894234607827</c:v>
                </c:pt>
                <c:pt idx="7">
                  <c:v>65.177974097225345</c:v>
                </c:pt>
                <c:pt idx="8">
                  <c:v>71.562707296736122</c:v>
                </c:pt>
                <c:pt idx="9">
                  <c:v>85.695399980459214</c:v>
                </c:pt>
                <c:pt idx="10">
                  <c:v>67.606660575227281</c:v>
                </c:pt>
                <c:pt idx="11">
                  <c:v>86.213449997382739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19-BA47-A97B-713FB9149638}"/>
            </c:ext>
          </c:extLst>
        </c:ser>
        <c:ser>
          <c:idx val="0"/>
          <c:order val="2"/>
          <c:tx>
            <c:strRef>
              <c:f>週轉天數趨勢圖!$A$4</c:f>
              <c:strCache>
                <c:ptCount val="1"/>
                <c:pt idx="0">
                  <c:v>應收帳款週轉天數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週轉天數趨勢圖!$BS$9:$CD$9</c:f>
              <c:numCache>
                <c:formatCode>0_ </c:formatCode>
                <c:ptCount val="12"/>
                <c:pt idx="0">
                  <c:v>93</c:v>
                </c:pt>
                <c:pt idx="1">
                  <c:v>94</c:v>
                </c:pt>
                <c:pt idx="2">
                  <c:v>95</c:v>
                </c:pt>
                <c:pt idx="3">
                  <c:v>96</c:v>
                </c:pt>
                <c:pt idx="4">
                  <c:v>97</c:v>
                </c:pt>
                <c:pt idx="5">
                  <c:v>98</c:v>
                </c:pt>
                <c:pt idx="6">
                  <c:v>99</c:v>
                </c:pt>
                <c:pt idx="7">
                  <c:v>100</c:v>
                </c:pt>
                <c:pt idx="8">
                  <c:v>101</c:v>
                </c:pt>
                <c:pt idx="9">
                  <c:v>102</c:v>
                </c:pt>
                <c:pt idx="10">
                  <c:v>103</c:v>
                </c:pt>
                <c:pt idx="11">
                  <c:v>104</c:v>
                </c:pt>
              </c:numCache>
            </c:numRef>
          </c:cat>
          <c:val>
            <c:numRef>
              <c:f>週轉天數趨勢圖!$BO$4:$BZ$4</c:f>
              <c:numCache>
                <c:formatCode>#,##0.00_ </c:formatCode>
                <c:ptCount val="12"/>
                <c:pt idx="0">
                  <c:v>72.087161774665944</c:v>
                </c:pt>
                <c:pt idx="1">
                  <c:v>84.750405440326517</c:v>
                </c:pt>
                <c:pt idx="2">
                  <c:v>84.85769476334363</c:v>
                </c:pt>
                <c:pt idx="3">
                  <c:v>69.423489680908162</c:v>
                </c:pt>
                <c:pt idx="4">
                  <c:v>64.982601301911743</c:v>
                </c:pt>
                <c:pt idx="5">
                  <c:v>72.08084858048619</c:v>
                </c:pt>
                <c:pt idx="6">
                  <c:v>71.856948675357074</c:v>
                </c:pt>
                <c:pt idx="7">
                  <c:v>75.263870054894227</c:v>
                </c:pt>
                <c:pt idx="8">
                  <c:v>96.012711773649201</c:v>
                </c:pt>
                <c:pt idx="9">
                  <c:v>88.680441776644102</c:v>
                </c:pt>
                <c:pt idx="10">
                  <c:v>88.534699172997165</c:v>
                </c:pt>
                <c:pt idx="11">
                  <c:v>85.428723957442273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19-BA47-A97B-713FB9149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224640"/>
        <c:axId val="166226560"/>
      </c:lineChart>
      <c:catAx>
        <c:axId val="166224640"/>
        <c:scaling>
          <c:orientation val="minMax"/>
        </c:scaling>
        <c:delete val="0"/>
        <c:axPos val="b"/>
        <c:majorGridlines/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662265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6226560"/>
        <c:scaling>
          <c:orientation val="minMax"/>
          <c:max val="13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.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66224640"/>
        <c:crosses val="autoZero"/>
        <c:crossBetween val="between"/>
        <c:majorUnit val="20"/>
        <c:minorUnit val="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99731208297758"/>
          <c:y val="0.34954471116642338"/>
          <c:w val="0.17278025487778609"/>
          <c:h val="0.3663036801251041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000000000001465" r="0.75000000000001465" t="1" header="0.5" footer="0.5"/>
    <c:pageSetup orientation="portrait"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40</xdr:row>
      <xdr:rowOff>114300</xdr:rowOff>
    </xdr:from>
    <xdr:to>
      <xdr:col>8</xdr:col>
      <xdr:colOff>0</xdr:colOff>
      <xdr:row>40</xdr:row>
      <xdr:rowOff>114300</xdr:rowOff>
    </xdr:to>
    <xdr:sp macro="" textlink="">
      <xdr:nvSpPr>
        <xdr:cNvPr id="2156390" name="Line 1">
          <a:extLst>
            <a:ext uri="{FF2B5EF4-FFF2-40B4-BE49-F238E27FC236}">
              <a16:creationId xmlns:a16="http://schemas.microsoft.com/office/drawing/2014/main" id="{00000000-0008-0000-0A00-000066E72000}"/>
            </a:ext>
          </a:extLst>
        </xdr:cNvPr>
        <xdr:cNvSpPr>
          <a:spLocks noChangeShapeType="1"/>
        </xdr:cNvSpPr>
      </xdr:nvSpPr>
      <xdr:spPr bwMode="auto">
        <a:xfrm>
          <a:off x="8734425" y="12630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0</xdr:colOff>
      <xdr:row>40</xdr:row>
      <xdr:rowOff>114300</xdr:rowOff>
    </xdr:from>
    <xdr:to>
      <xdr:col>8</xdr:col>
      <xdr:colOff>0</xdr:colOff>
      <xdr:row>40</xdr:row>
      <xdr:rowOff>114300</xdr:rowOff>
    </xdr:to>
    <xdr:sp macro="" textlink="">
      <xdr:nvSpPr>
        <xdr:cNvPr id="2156391" name="Line 2">
          <a:extLst>
            <a:ext uri="{FF2B5EF4-FFF2-40B4-BE49-F238E27FC236}">
              <a16:creationId xmlns:a16="http://schemas.microsoft.com/office/drawing/2014/main" id="{00000000-0008-0000-0A00-000067E72000}"/>
            </a:ext>
          </a:extLst>
        </xdr:cNvPr>
        <xdr:cNvSpPr>
          <a:spLocks noChangeShapeType="1"/>
        </xdr:cNvSpPr>
      </xdr:nvSpPr>
      <xdr:spPr bwMode="auto">
        <a:xfrm>
          <a:off x="8734425" y="12630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0</xdr:colOff>
      <xdr:row>40</xdr:row>
      <xdr:rowOff>114300</xdr:rowOff>
    </xdr:from>
    <xdr:to>
      <xdr:col>8</xdr:col>
      <xdr:colOff>0</xdr:colOff>
      <xdr:row>40</xdr:row>
      <xdr:rowOff>114300</xdr:rowOff>
    </xdr:to>
    <xdr:sp macro="" textlink="">
      <xdr:nvSpPr>
        <xdr:cNvPr id="2156392" name="Line 3">
          <a:extLst>
            <a:ext uri="{FF2B5EF4-FFF2-40B4-BE49-F238E27FC236}">
              <a16:creationId xmlns:a16="http://schemas.microsoft.com/office/drawing/2014/main" id="{00000000-0008-0000-0A00-000068E72000}"/>
            </a:ext>
          </a:extLst>
        </xdr:cNvPr>
        <xdr:cNvSpPr>
          <a:spLocks noChangeShapeType="1"/>
        </xdr:cNvSpPr>
      </xdr:nvSpPr>
      <xdr:spPr bwMode="auto">
        <a:xfrm>
          <a:off x="8734425" y="12630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74083</xdr:colOff>
      <xdr:row>11</xdr:row>
      <xdr:rowOff>31750</xdr:rowOff>
    </xdr:from>
    <xdr:to>
      <xdr:col>81</xdr:col>
      <xdr:colOff>275167</xdr:colOff>
      <xdr:row>31</xdr:row>
      <xdr:rowOff>21167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bn-fileserver/&#36001;&#21209;&#37096;/Ruby/EBN-TAIWAN/&#24291;&#36948;/monthly%20review/2012/monthly%20review/NEW-201205_monthly%20review_financi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christine.chao/&#26700;&#38754;/2013&#24180;&#29151;&#26989;&#25104;&#26412;&#3492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M-Dennis-NB/AppData/Local/Microsoft/Windows/INetCache/Content.Outlook/2GM5RO6O/NEW-201612_monthly%20review_finan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2 預算"/>
      <sheetName val="Summary"/>
      <sheetName val="TWN_BS"/>
      <sheetName val="TWN_IS-若不出售呆料倉"/>
      <sheetName val="TWN_IS"/>
      <sheetName val="TWN_IS-調整存貨跌價"/>
      <sheetName val="TWN_費用明細"/>
      <sheetName val="其他費用-什費"/>
      <sheetName val="現金流量表"/>
      <sheetName val="毛利率分析與調整"/>
      <sheetName val="客戶毛利排行"/>
      <sheetName val="TWN_前十大客戶"/>
      <sheetName val="產品別毛利表"/>
      <sheetName val="產品別毛利表-未扣製費分攤"/>
      <sheetName val="客戶產品毛利表-不含出售呆料"/>
      <sheetName val="利潤by區域機種-不含呆料出售"/>
      <sheetName val="利潤by區域機種-含呆料出售"/>
      <sheetName val="MVA by 區域機種-不含出售呆料"/>
      <sheetName val="MVA by 區域機種-含出售呆料"/>
      <sheetName val="客戶MVA-含出售呆料"/>
      <sheetName val="Inventory+AR Aging"/>
      <sheetName val="週轉天數趨勢圖"/>
      <sheetName val="比率分析"/>
      <sheetName val="比率分析-同業比較(99Q1)"/>
      <sheetName val="BS明細"/>
      <sheetName val="IS明細"/>
      <sheetName val="製造費用明細"/>
      <sheetName val="銷售費用"/>
      <sheetName val="管理費用"/>
      <sheetName val="研發費用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88">
          <cell r="F88">
            <v>24033698</v>
          </cell>
        </row>
        <row r="133">
          <cell r="F133">
            <v>2409569</v>
          </cell>
        </row>
        <row r="171">
          <cell r="F171">
            <v>1006350</v>
          </cell>
        </row>
        <row r="208">
          <cell r="F208">
            <v>2380502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表-Final"/>
    </sheetNames>
    <sheetDataSet>
      <sheetData sheetId="0">
        <row r="109">
          <cell r="Q109">
            <v>23299166</v>
          </cell>
          <cell r="R109">
            <v>13354028</v>
          </cell>
          <cell r="S109">
            <v>22348731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兩期比較"/>
      <sheetName val="2016 預算"/>
      <sheetName val="Summary"/>
      <sheetName val="TWN_BS"/>
      <sheetName val="TWN_IS"/>
      <sheetName val="TWN_IS-調整存貨跌價"/>
      <sheetName val="功能別IS"/>
      <sheetName val="TWN_費用明細"/>
      <sheetName val="現金流量表"/>
      <sheetName val="現金流量表 (底稿)"/>
      <sheetName val="Inventory+AR Aging"/>
      <sheetName val="毛利率分析與調整"/>
      <sheetName val="客戶毛利排行"/>
      <sheetName val="TWN_前十大客戶"/>
      <sheetName val="產品別毛利表"/>
      <sheetName val="利潤by區域機種"/>
      <sheetName val="產品別毛利表-未扣製費分攤"/>
      <sheetName val="MVA by 區域機種"/>
      <sheetName val="客戶MVA"/>
      <sheetName val="週轉天數趨勢圖"/>
      <sheetName val="比率分析"/>
      <sheetName val="BS明細"/>
      <sheetName val="IS明細"/>
      <sheetName val="製造費用明細"/>
      <sheetName val="銷售費用"/>
      <sheetName val="管理費用"/>
      <sheetName val="研發費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S1" t="str">
            <v>說明</v>
          </cell>
        </row>
      </sheetData>
      <sheetData sheetId="24" refreshError="1"/>
      <sheetData sheetId="25" refreshError="1"/>
      <sheetData sheetId="2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resa.pai" refreshedDate="42986.621083564816" createdVersion="3" refreshedVersion="3" minRefreshableVersion="3" recordCount="91" xr:uid="{00000000-000A-0000-FFFF-FFFF00000000}">
  <cacheSource type="worksheet">
    <worksheetSource ref="A1:AE92" sheet="MVA by 區域機種"/>
  </cacheSource>
  <cacheFields count="32">
    <cacheField name="Customer" numFmtId="0">
      <sharedItems/>
    </cacheField>
    <cacheField name="Customer Name" numFmtId="0">
      <sharedItems/>
    </cacheField>
    <cacheField name="月份" numFmtId="0">
      <sharedItems containsSemiMixedTypes="0" containsString="0" containsNumber="1" containsInteger="1" minValue="8" maxValue="8"/>
    </cacheField>
    <cacheField name="BU" numFmtId="0">
      <sharedItems count="3">
        <s v="BU3"/>
        <s v="BU1"/>
        <s v="BU4"/>
      </sharedItems>
    </cacheField>
    <cacheField name="Prod. Group Code" numFmtId="0">
      <sharedItems/>
    </cacheField>
    <cacheField name="Acct Group" numFmtId="0">
      <sharedItems count="33">
        <s v="OLC TOUCH10&quot;1-"/>
        <s v="OLC10&quot;1-AG-VESA-SP"/>
        <s v="YUNO+VFD-COVER"/>
        <s v="YUNO151-STAND-SP"/>
        <s v="YUNO151-VESA-COVER"/>
        <s v="YUNO-2NDLCD10.1"/>
        <s v="YUNO-BASE151"/>
        <s v="YUNO-BASE151 ASSY"/>
        <s v="YUNO-BASE156"/>
        <s v="YUNO-BASE156 ASSY"/>
        <s v="YUNO-COVER"/>
        <s v="YUNO-DALLAS"/>
        <s v="YUNO-KIT-WIFI"/>
        <s v="YUNO-MB"/>
        <s v="YUNO-MB-I3"/>
        <s v="YUNO-MSRLONG"/>
        <s v="YUNO-SCANNER2D"/>
        <s v="YUNO-VESA"/>
        <s v="YUNO-VFD"/>
        <s v="XPOS857"/>
        <s v="IC151"/>
        <s v="XPOS950"/>
        <s v="XPPC725"/>
        <s v="XPOS752"/>
        <s v="XPOS852"/>
        <s v="XPPC752"/>
        <s v="ZXX"/>
        <s v="2NDISPLAY"/>
        <s v="DYPOS"/>
        <s v="XPOS755P"/>
        <s v="BOXSTER10"/>
        <s v="XPOS725"/>
        <s v="XPOS955"/>
      </sharedItems>
    </cacheField>
    <cacheField name="Item No." numFmtId="0">
      <sharedItems/>
    </cacheField>
    <cacheField name="Description" numFmtId="0">
      <sharedItems/>
    </cacheField>
    <cacheField name="Qty" numFmtId="0">
      <sharedItems containsSemiMixedTypes="0" containsString="0" containsNumber="1" containsInteger="1" minValue="1" maxValue="1320"/>
    </cacheField>
    <cacheField name="Unit Price(1)" numFmtId="0">
      <sharedItems containsSemiMixedTypes="0" containsString="0" containsNumber="1" minValue="84.57" maxValue="31189.71"/>
    </cacheField>
    <cacheField name="Unit Cost(2)" numFmtId="0">
      <sharedItems containsSemiMixedTypes="0" containsString="0" containsNumber="1" minValue="59.2" maxValue="21950"/>
    </cacheField>
    <cacheField name="Unit Cost(料)(3)" numFmtId="0">
      <sharedItems containsSemiMixedTypes="0" containsString="0" containsNumber="1" minValue="59.2" maxValue="21950"/>
    </cacheField>
    <cacheField name="Unit MVA(4)=(1)-(3)" numFmtId="0">
      <sharedItems containsSemiMixedTypes="0" containsString="0" containsNumber="1" minValue="-1458" maxValue="11435.562999999998"/>
    </cacheField>
    <cacheField name="Unit Sub.(5)" numFmtId="0">
      <sharedItems containsSemiMixedTypes="0" containsString="0" containsNumber="1" minValue="0" maxValue="1300"/>
    </cacheField>
    <cacheField name="Unit Overhead(6)" numFmtId="0">
      <sharedItems containsSemiMixedTypes="0" containsString="0" containsNumber="1" minValue="0" maxValue="1587.9829999999999"/>
    </cacheField>
    <cacheField name="Unit Cost(工)(7)=(5)+(6)" numFmtId="0">
      <sharedItems containsSemiMixedTypes="0" containsString="0" containsNumber="1" minValue="0" maxValue="2521.4283999999998"/>
    </cacheField>
    <cacheField name="Unit G/P(4)-(7)" numFmtId="0">
      <sharedItems containsSemiMixedTypes="0" containsString="0" containsNumber="1" minValue="-1458" maxValue="10157.852999999999"/>
    </cacheField>
    <cacheField name="Unit BOM" numFmtId="0">
      <sharedItems containsSemiMixedTypes="0" containsString="0" containsNumber="1" minValue="0" maxValue="9982.5400000000009"/>
    </cacheField>
    <cacheField name="Unit MVA-BOM" numFmtId="0">
      <sharedItems containsSemiMixedTypes="0" containsString="0" containsNumber="1" minValue="-508.7" maxValue="29105.89"/>
    </cacheField>
    <cacheField name="Sales Amount" numFmtId="0">
      <sharedItems containsSemiMixedTypes="0" containsString="0" containsNumber="1" containsInteger="1" minValue="1905" maxValue="8531117"/>
    </cacheField>
    <cacheField name="Cost Amount" numFmtId="0">
      <sharedItems containsSemiMixedTypes="0" containsString="0" containsNumber="1" containsInteger="1" minValue="1510" maxValue="8298406"/>
    </cacheField>
    <cacheField name="Cost Amount(料)" numFmtId="0">
      <sharedItems containsSemiMixedTypes="0" containsString="0" containsNumber="1" minValue="1220.2222222222222" maxValue="6749664.2156834984"/>
    </cacheField>
    <cacheField name="Sub. Amount" numFmtId="0">
      <sharedItems containsSemiMixedTypes="0" containsString="0" containsNumber="1" minValue="0" maxValue="1040000"/>
    </cacheField>
    <cacheField name="Overhead Amount" numFmtId="0">
      <sharedItems containsSemiMixedTypes="0" containsString="0" containsNumber="1" minValue="0" maxValue="790406"/>
    </cacheField>
    <cacheField name="Total Profit" numFmtId="181">
      <sharedItems containsSemiMixedTypes="0" containsString="0" containsNumber="1" containsInteger="1" minValue="-135814" maxValue="1513810"/>
    </cacheField>
    <cacheField name="G/P Rate %" numFmtId="0">
      <sharedItems containsSemiMixedTypes="0" containsString="0" containsNumber="1" minValue="-483.3238434163701" maxValue="69.253031973539137"/>
    </cacheField>
    <cacheField name="BOM Cost Amount" numFmtId="181">
      <sharedItems containsSemiMixedTypes="0" containsString="0" containsNumber="1" minValue="0" maxValue="6553394.3499999996"/>
    </cacheField>
    <cacheField name="Total MVA" numFmtId="181">
      <sharedItems containsSemiMixedTypes="0" containsString="0" containsNumber="1" minValue="-117249" maxValue="2063117"/>
    </cacheField>
    <cacheField name="MVA%" numFmtId="181">
      <sharedItems containsSemiMixedTypes="0" containsString="0" containsNumber="1" minValue="-417.25622775800713" maxValue="83.183265956143572"/>
    </cacheField>
    <cacheField name="MVA-BOM%" numFmtId="181">
      <sharedItems containsSemiMixedTypes="0" containsString="0" containsNumber="1" minValue="-416.99665480427001" maxValue="100"/>
    </cacheField>
    <cacheField name="DIFF" numFmtId="181">
      <sharedItems containsSemiMixedTypes="0" containsString="0" containsNumber="1" minValue="-135.430770129726" maxValue="19.834867817582701"/>
    </cacheField>
    <cacheField name="MVA %" numFmtId="0" formula="'Total MVA'/'Sales Amount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1">
  <r>
    <s v="BFRA0002"/>
    <s v="AURES Technologies SA"/>
    <n v="8"/>
    <x v="0"/>
    <s v="ODM"/>
    <x v="0"/>
    <s v="ODMAC612"/>
    <s v="OLC TOUCH10&quot;1-BLACK,W/TOUCH,IO29,ART-03638"/>
    <n v="1"/>
    <n v="5391"/>
    <n v="4869"/>
    <n v="4869"/>
    <n v="522"/>
    <n v="0"/>
    <n v="0"/>
    <n v="0"/>
    <n v="522"/>
    <n v="3371.91"/>
    <n v="2019.09"/>
    <n v="5391"/>
    <n v="4869"/>
    <n v="4869"/>
    <n v="0"/>
    <n v="0"/>
    <n v="522"/>
    <n v="9.6828046744574294"/>
    <n v="3371.91"/>
    <n v="522"/>
    <n v="9.6828046744574294"/>
    <n v="37.452961695418203"/>
    <n v="-27.770157020960799"/>
  </r>
  <r>
    <s v="BFRA0002"/>
    <s v="AURES Technologies SA"/>
    <n v="8"/>
    <x v="0"/>
    <s v="ODM"/>
    <x v="1"/>
    <s v="ODMAC602"/>
    <s v="OLC10&quot;1-AG-VESA-SP,ART-03769,BLACK,NO TOUCH,ANTI-GLARE"/>
    <n v="1000"/>
    <n v="4192.9399999999996"/>
    <n v="3445.37"/>
    <n v="2856.203"/>
    <n v="1336.7369999999996"/>
    <n v="392.7"/>
    <n v="196.47"/>
    <n v="589.16999999999996"/>
    <n v="747.56699999999967"/>
    <n v="2851.61"/>
    <n v="1341.33"/>
    <n v="4192935"/>
    <n v="3445373"/>
    <n v="2856203"/>
    <n v="392700"/>
    <n v="196470"/>
    <n v="747562"/>
    <n v="17.829086308278093"/>
    <n v="2851606.12"/>
    <n v="1336732"/>
    <n v="31.880580071000388"/>
    <n v="31.990213955141201"/>
    <n v="-0.10970543306776701"/>
  </r>
  <r>
    <s v="BFRA0002"/>
    <s v="AURES Technologies SA"/>
    <n v="8"/>
    <x v="0"/>
    <s v="ODM"/>
    <x v="2"/>
    <s v="ODMACA04"/>
    <s v="YUNO+VFD-COVER-BLACK(20in1)"/>
    <n v="710"/>
    <n v="302.42"/>
    <n v="393.13"/>
    <n v="247.39606962988151"/>
    <n v="55.023930370118507"/>
    <n v="82.787000971516179"/>
    <n v="62.945099999999996"/>
    <n v="145.73210097151616"/>
    <n v="-90.708170601397654"/>
    <n v="3.39"/>
    <n v="299.02999999999997"/>
    <n v="214719"/>
    <n v="279121"/>
    <n v="175651.20943721588"/>
    <n v="58778.770689776487"/>
    <n v="44691.021000000001"/>
    <n v="-64402"/>
    <n v="-29.993619567900371"/>
    <n v="2405.61"/>
    <n v="39067.790562784125"/>
    <n v="18.194845618126074"/>
    <n v="98.879646393658604"/>
    <n v="-81.021394445763903"/>
  </r>
  <r>
    <s v="BFRA0002"/>
    <s v="AURES Technologies SA"/>
    <n v="8"/>
    <x v="0"/>
    <s v="ODM"/>
    <x v="2"/>
    <s v="ODMACA09"/>
    <s v="YUNO+VFD-COVER-GLOSSYWHITE(20in1)"/>
    <n v="250"/>
    <n v="316.12"/>
    <n v="380.32"/>
    <n v="380.32400000000001"/>
    <n v="-64.204000000000008"/>
    <n v="0"/>
    <n v="0"/>
    <n v="0"/>
    <n v="-64.204000000000008"/>
    <n v="247.56"/>
    <n v="68.55"/>
    <n v="79029"/>
    <n v="95081"/>
    <n v="95081"/>
    <n v="0"/>
    <n v="0"/>
    <n v="-16052"/>
    <n v="-20.311531210062128"/>
    <n v="61890.58"/>
    <n v="-16052"/>
    <n v="-20.311531210062128"/>
    <n v="21.6862461881081"/>
    <n v="-41.9977773981702"/>
  </r>
  <r>
    <s v="BFRA0002"/>
    <s v="AURES Technologies SA"/>
    <n v="8"/>
    <x v="0"/>
    <s v="ODM"/>
    <x v="3"/>
    <s v="ODMAC246"/>
    <s v="YUNO151-STAND-SP,ART-03823,BLACK,HINGE PLATE+HINGE+L-STAND+"/>
    <n v="200"/>
    <n v="689.36"/>
    <n v="694.02"/>
    <n v="611.745"/>
    <n v="77.615000000000009"/>
    <n v="49.5"/>
    <n v="32.770000000000003"/>
    <n v="82.27000000000001"/>
    <n v="-4.6550000000000011"/>
    <n v="548.55999999999995"/>
    <n v="140.80000000000001"/>
    <n v="137872"/>
    <n v="138803"/>
    <n v="122349"/>
    <n v="9900"/>
    <n v="6554.0000000000009"/>
    <n v="-931"/>
    <n v="-0.675264012997563"/>
    <n v="109712.02"/>
    <n v="15523"/>
    <n v="11.258993849367529"/>
    <n v="20.4247265579668"/>
    <n v="-9.1664580190321399"/>
  </r>
  <r>
    <s v="BFRA0002"/>
    <s v="AURES Technologies SA"/>
    <n v="8"/>
    <x v="0"/>
    <s v="ODM"/>
    <x v="4"/>
    <s v="ODMAC204"/>
    <s v="YUNO151-VESA-COVER-BLACK"/>
    <n v="150"/>
    <n v="84.57"/>
    <n v="59.2"/>
    <n v="59.2"/>
    <n v="25.36999999999999"/>
    <n v="0"/>
    <n v="0"/>
    <n v="0"/>
    <n v="25.36999999999999"/>
    <n v="3.58"/>
    <n v="80.989999999999995"/>
    <n v="12685"/>
    <n v="8880"/>
    <n v="8880"/>
    <n v="0"/>
    <n v="0"/>
    <n v="3805"/>
    <n v="29.996058336618052"/>
    <n v="536.27"/>
    <n v="3805"/>
    <n v="29.996058336618052"/>
    <n v="95.772412297989703"/>
    <n v="-65.776353961371598"/>
  </r>
  <r>
    <s v="BFRA0002"/>
    <s v="AURES Technologies SA"/>
    <n v="8"/>
    <x v="0"/>
    <s v="ODM"/>
    <x v="5"/>
    <s v="ODMAC600"/>
    <s v="YUNO-2NDLCD10.1-BLACK,NO TOUCH,ART-03260"/>
    <n v="360"/>
    <n v="3932.54"/>
    <n v="3228.66"/>
    <n v="2621.8611111111113"/>
    <n v="1310.6788888888887"/>
    <n v="392.7"/>
    <n v="214.1"/>
    <n v="606.79999999999995"/>
    <n v="703.8788888888887"/>
    <n v="2267.44"/>
    <n v="1665.09"/>
    <n v="1415713"/>
    <n v="1162318"/>
    <n v="943870.00000000012"/>
    <n v="141372"/>
    <n v="77076"/>
    <n v="253395"/>
    <n v="17.89875490300647"/>
    <n v="816279.09"/>
    <n v="471842.99999999988"/>
    <n v="33.329001005147227"/>
    <n v="42.341485279855398"/>
    <n v="-9.0127526906936595"/>
  </r>
  <r>
    <s v="BFRA0002"/>
    <s v="AURES Technologies SA"/>
    <n v="8"/>
    <x v="0"/>
    <s v="ODM"/>
    <x v="5"/>
    <s v="ODMAC601"/>
    <s v="YUNO-2NDLCD10.1-GRAY,NO TOUCH,ART-03452"/>
    <n v="150"/>
    <n v="3926.22"/>
    <n v="3214.85"/>
    <n v="2625.6766499999999"/>
    <n v="1300.5433499999999"/>
    <n v="392.7"/>
    <n v="196.47"/>
    <n v="589.16999999999996"/>
    <n v="711.37334999999996"/>
    <n v="2272.12"/>
    <n v="1654.1"/>
    <n v="588933"/>
    <n v="482227"/>
    <n v="393851.4975"/>
    <n v="58905"/>
    <n v="29470.5"/>
    <n v="106706"/>
    <n v="18.118529612027174"/>
    <n v="340817.79"/>
    <n v="195081.5025"/>
    <n v="33.124566376820454"/>
    <n v="42.129614934975599"/>
    <n v="-9.0064073714667003"/>
  </r>
  <r>
    <s v="BFRA0002"/>
    <s v="AURES Technologies SA"/>
    <n v="8"/>
    <x v="0"/>
    <s v="ODM"/>
    <x v="5"/>
    <s v="ODMAC610"/>
    <s v="YUNO-2NDLCD10.1-TACT-BLACK,W/TOUCH,ART-03569"/>
    <n v="270"/>
    <n v="5196.6000000000004"/>
    <n v="3919.39"/>
    <n v="3316.1074074074072"/>
    <n v="1880.4925925925932"/>
    <n v="392.7"/>
    <n v="210.57777777777778"/>
    <n v="603.27777777777783"/>
    <n v="1277.2148148148153"/>
    <n v="2943.67"/>
    <n v="2252.9299999999998"/>
    <n v="1403082"/>
    <n v="1058234"/>
    <n v="895349"/>
    <n v="106029"/>
    <n v="56856"/>
    <n v="344848"/>
    <n v="24.577893522973"/>
    <n v="794790.17"/>
    <n v="507733"/>
    <n v="36.186979805884469"/>
    <n v="43.353975628295402"/>
    <n v="-7.2946772408882703"/>
  </r>
  <r>
    <s v="BFRA0002"/>
    <s v="AURES Technologies SA"/>
    <n v="8"/>
    <x v="0"/>
    <s v="ODM"/>
    <x v="5"/>
    <s v="ODMAC611"/>
    <s v="YUNO-2NDLCD10.1-TACT-WHITE,W/TOUCH,ART-03570"/>
    <n v="20"/>
    <n v="5183.2"/>
    <n v="3948.15"/>
    <n v="3359"/>
    <n v="1824.1999999999998"/>
    <n v="392.7"/>
    <n v="196.45"/>
    <n v="589.15"/>
    <n v="1235.0499999999997"/>
    <n v="2948.54"/>
    <n v="2234.66"/>
    <n v="103664"/>
    <n v="78963"/>
    <n v="67180"/>
    <n v="7854"/>
    <n v="3929"/>
    <n v="24701"/>
    <n v="23.827944127180121"/>
    <n v="58970.879999999997"/>
    <n v="36484"/>
    <n v="35.194474455934561"/>
    <n v="43.113443191464697"/>
    <n v="-7.9189687355301697"/>
  </r>
  <r>
    <s v="BFRA0002"/>
    <s v="AURES Technologies SA"/>
    <n v="8"/>
    <x v="0"/>
    <s v="ODM"/>
    <x v="6"/>
    <s v="ODMACB10"/>
    <s v="YUNO-BASE151-GLOSSYWHITE-AG-II,ART-03819,INNOLUX+eTurbo,"/>
    <n v="150"/>
    <n v="7521.69"/>
    <n v="6852.73"/>
    <n v="5573.4833500000004"/>
    <n v="1948.2066499999992"/>
    <n v="850"/>
    <n v="429.25"/>
    <n v="1279.25"/>
    <n v="668.95664999999917"/>
    <n v="5556.28"/>
    <n v="1965.41"/>
    <n v="1128254"/>
    <n v="1027910"/>
    <n v="836022.50250000006"/>
    <n v="127500"/>
    <n v="64387.5"/>
    <n v="100344"/>
    <n v="8.8937420119937531"/>
    <n v="833442.23"/>
    <n v="292231.49749999994"/>
    <n v="25.901215284856065"/>
    <n v="26.129911465857798"/>
    <n v="-0.228651643158366"/>
  </r>
  <r>
    <s v="BFRA0002"/>
    <s v="AURES Technologies SA"/>
    <n v="8"/>
    <x v="0"/>
    <s v="ODM"/>
    <x v="6"/>
    <s v="ODMACB31"/>
    <s v="YUNO-BASE151-BLACK-AG-II-SP,ART-03730,NO STAND,INNOLUX 400NI"/>
    <n v="100"/>
    <n v="7319.88"/>
    <n v="6550.86"/>
    <n v="5340.8369230769231"/>
    <n v="1979.043076923077"/>
    <n v="766"/>
    <n v="444.0231"/>
    <n v="1210.0230999999999"/>
    <n v="769.01997692307714"/>
    <n v="5407.99"/>
    <n v="1911.89"/>
    <n v="731988"/>
    <n v="655086"/>
    <n v="534083.69230769225"/>
    <n v="76600"/>
    <n v="44402.31"/>
    <n v="76902"/>
    <n v="10.505909932949722"/>
    <n v="540799.18999999994"/>
    <n v="197904.30769230775"/>
    <n v="27.036550830383522"/>
    <n v="26.119118556588301"/>
    <n v="0.98626866535815005"/>
  </r>
  <r>
    <s v="BFRA0002"/>
    <s v="AURES Technologies SA"/>
    <n v="8"/>
    <x v="0"/>
    <s v="ODM"/>
    <x v="6"/>
    <s v="ODMACE00"/>
    <s v="YUNO-BASE151-BLACK-II,ART-03520,INNOLUX+eTurbo,EU CORD"/>
    <n v="900"/>
    <n v="6579.14"/>
    <n v="6200.15"/>
    <n v="4948.4343255741678"/>
    <n v="1630.7056744258325"/>
    <n v="849.95507999999995"/>
    <n v="401.75726429115895"/>
    <n v="1251.7123442911588"/>
    <n v="378.99333013467367"/>
    <n v="5022.3500000000004"/>
    <n v="1556.79"/>
    <n v="5921222"/>
    <n v="5580132"/>
    <n v="4453590.8930167509"/>
    <n v="764959.57199999993"/>
    <n v="361581.53786204307"/>
    <n v="341090"/>
    <n v="5.7604663361718238"/>
    <n v="4520114.3499999996"/>
    <n v="1467631.1069832491"/>
    <n v="24.785949707395687"/>
    <n v="23.662474618583701"/>
    <n v="1.47970507618872"/>
  </r>
  <r>
    <s v="BFRA0002"/>
    <s v="AURES Technologies SA"/>
    <n v="8"/>
    <x v="0"/>
    <s v="ODM"/>
    <x v="6"/>
    <s v="ODMACE01"/>
    <s v="YUNO-BASE151-BLACK-II,ART-03520,INNOLUX+eTurbo,UK CORD"/>
    <n v="1300"/>
    <n v="6562.4"/>
    <n v="6383.39"/>
    <n v="4975.3846153846152"/>
    <n v="1587.0153846153844"/>
    <n v="800"/>
    <n v="608.00461538461536"/>
    <n v="1408.0046153846154"/>
    <n v="179.01076923076903"/>
    <n v="5041.07"/>
    <n v="1521.33"/>
    <n v="8531117"/>
    <n v="8298406"/>
    <n v="6468000"/>
    <n v="1040000"/>
    <n v="790406"/>
    <n v="232711"/>
    <n v="2.7277905109026168"/>
    <n v="6553394.3499999996"/>
    <n v="2063117"/>
    <n v="24.183433423782606"/>
    <n v="23.182458440319099"/>
    <n v="19.834867817582701"/>
  </r>
  <r>
    <s v="BFRA0002"/>
    <s v="AURES Technologies SA"/>
    <n v="8"/>
    <x v="0"/>
    <s v="ODM"/>
    <x v="6"/>
    <s v="ODMACE03"/>
    <s v="YUNO-BASE151-BLACK-II,ART-03520,INNOLUX+eTurbo,AU CORD"/>
    <n v="300"/>
    <n v="6590.01"/>
    <n v="6319.11"/>
    <n v="5039.8533333333335"/>
    <n v="1550.1566666666668"/>
    <n v="850"/>
    <n v="429.25666666666666"/>
    <n v="1279.2566666666667"/>
    <n v="270.90000000000009"/>
    <n v="5028.9399999999996"/>
    <n v="1561.07"/>
    <n v="1977004"/>
    <n v="1895733"/>
    <n v="1511956"/>
    <n v="255000"/>
    <n v="128777"/>
    <n v="81271"/>
    <n v="4.1108161642566223"/>
    <n v="1508682.66"/>
    <n v="465048"/>
    <n v="23.522865912259157"/>
    <n v="23.688436726481001"/>
    <n v="0.25523005416276301"/>
  </r>
  <r>
    <s v="BFRA0002"/>
    <s v="AURES Technologies SA"/>
    <n v="8"/>
    <x v="0"/>
    <s v="ODM"/>
    <x v="6"/>
    <s v="ODMACE04"/>
    <s v="YUNO-BASE151-WHITE-II,ART-03521,INNOLUX+eTurbo,EU CORD"/>
    <n v="50"/>
    <n v="6579.14"/>
    <n v="6212.34"/>
    <n v="4933.08"/>
    <n v="1646.0600000000004"/>
    <n v="850"/>
    <n v="429.26"/>
    <n v="1279.26"/>
    <n v="366.80000000000041"/>
    <n v="5112.7700000000004"/>
    <n v="1466.37"/>
    <n v="328957"/>
    <n v="310617"/>
    <n v="246654"/>
    <n v="42500"/>
    <n v="21463"/>
    <n v="18340"/>
    <n v="5.5751967582389188"/>
    <n v="255638.54"/>
    <n v="82303"/>
    <n v="25.019379432570215"/>
    <n v="22.2881599327571"/>
    <n v="2.7312194998130401"/>
  </r>
  <r>
    <s v="BFRA0002"/>
    <s v="AURES Technologies SA"/>
    <n v="8"/>
    <x v="0"/>
    <s v="ODM"/>
    <x v="6"/>
    <s v="ODMACQ08"/>
    <s v="YUNO-BASE151-BLACK-II,ART-03520,INNOLUX+eTurbo,EU CORD,"/>
    <n v="167"/>
    <n v="6579.14"/>
    <n v="6701.87"/>
    <n v="6701.8682500000004"/>
    <n v="-122.72825000000012"/>
    <n v="0"/>
    <n v="0"/>
    <n v="0"/>
    <n v="-122.72825000000012"/>
    <n v="3451.45"/>
    <n v="3127.69"/>
    <n v="1098716"/>
    <n v="1119212"/>
    <n v="1119211.9977500001"/>
    <n v="0"/>
    <n v="0"/>
    <n v="-20496"/>
    <n v="-1.8654502164344562"/>
    <n v="576391.62"/>
    <n v="-20495.997750000097"/>
    <n v="-1.865450011649971"/>
    <n v="47.539526082263201"/>
    <n v="-49.404976298697697"/>
  </r>
  <r>
    <s v="BFRA0002"/>
    <s v="AURES Technologies SA"/>
    <n v="8"/>
    <x v="0"/>
    <s v="ODM"/>
    <x v="6"/>
    <s v="ODMTUE02"/>
    <s v="YUNO-BASE151-BLACK-II,ART-03520,INNOLUX+eTurbo,US CORD"/>
    <n v="300"/>
    <n v="6814.13"/>
    <n v="6360.51"/>
    <n v="5081.25335"/>
    <n v="1732.8766500000002"/>
    <n v="850"/>
    <n v="429.26"/>
    <n v="1279.26"/>
    <n v="453.61665000000016"/>
    <n v="5024.9399999999996"/>
    <n v="1789.19"/>
    <n v="2044238"/>
    <n v="1908154"/>
    <n v="1524376.0049999999"/>
    <n v="255000"/>
    <n v="128778"/>
    <n v="136084"/>
    <n v="6.6569548164157011"/>
    <n v="1507481.54"/>
    <n v="519861.99500000011"/>
    <n v="25.430600301921796"/>
    <n v="26.257043339376299"/>
    <n v="-0.82649171084775797"/>
  </r>
  <r>
    <s v="BFRA0002"/>
    <s v="AURES Technologies SA"/>
    <n v="8"/>
    <x v="0"/>
    <s v="ODM"/>
    <x v="7"/>
    <s v="ODMAC247"/>
    <s v="YUNO-BASE151 ASSY:WHITE"/>
    <n v="150"/>
    <n v="127.17"/>
    <n v="710.63"/>
    <n v="636.35664999999995"/>
    <n v="-509.18664999999993"/>
    <n v="49.5"/>
    <n v="24.77"/>
    <n v="74.27"/>
    <n v="-583.45664999999997"/>
    <n v="635.86"/>
    <n v="-508.7"/>
    <n v="19075"/>
    <n v="106594"/>
    <n v="95453.497499999998"/>
    <n v="7425"/>
    <n v="3715.5"/>
    <n v="-87519"/>
    <n v="-458.81520314547839"/>
    <n v="95379.46"/>
    <n v="-76378.497499999998"/>
    <n v="-400.41152031454777"/>
    <n v="-400.02338401048399"/>
    <n v="-0.39077064220183599"/>
  </r>
  <r>
    <s v="BFRA0002"/>
    <s v="AURES Technologies SA"/>
    <n v="8"/>
    <x v="0"/>
    <s v="ODM"/>
    <x v="8"/>
    <s v="ODMACC10"/>
    <s v="YUNO-BASE156-BLACK-50KH,AUO+eTurbo,EU CORD,ART-03382"/>
    <n v="10"/>
    <n v="7135.4"/>
    <n v="7121.2"/>
    <n v="5703.2"/>
    <n v="1432.1999999999998"/>
    <n v="850"/>
    <n v="568"/>
    <n v="1418"/>
    <n v="14.199999999999818"/>
    <n v="0.1"/>
    <n v="7135.3"/>
    <n v="71354"/>
    <n v="71212"/>
    <n v="57032"/>
    <n v="8500"/>
    <n v="5680"/>
    <n v="142"/>
    <n v="0.1990077641057264"/>
    <n v="1"/>
    <n v="14322"/>
    <n v="20.071754912128263"/>
    <n v="99.998598677018805"/>
    <n v="-79.928245228018"/>
  </r>
  <r>
    <s v="BFRA0002"/>
    <s v="AURES Technologies SA"/>
    <n v="8"/>
    <x v="0"/>
    <s v="ODM"/>
    <x v="8"/>
    <s v="ODMACC14"/>
    <s v="YUNO-BASE156-WHITE-50KH,AUO+eTurbo,EU CORD,ART-03383"/>
    <n v="10"/>
    <n v="7135.4"/>
    <n v="7392.4"/>
    <n v="5974.4"/>
    <n v="1161"/>
    <n v="850"/>
    <n v="568"/>
    <n v="1418"/>
    <n v="-257"/>
    <n v="0.1"/>
    <n v="7135.3"/>
    <n v="71354"/>
    <n v="73924"/>
    <n v="59744"/>
    <n v="8500"/>
    <n v="5680"/>
    <n v="-2570"/>
    <n v="-3.6017602376881466"/>
    <n v="1"/>
    <n v="11610"/>
    <n v="16.27098691033439"/>
    <n v="99.998598677018805"/>
    <n v="-83.727611766684404"/>
  </r>
  <r>
    <s v="BFRA0002"/>
    <s v="AURES Technologies SA"/>
    <n v="8"/>
    <x v="0"/>
    <s v="ODM"/>
    <x v="8"/>
    <s v="ODMACF00"/>
    <s v="YUNO-BASE156-BLACK-50KH-II,ART-03524,X7D(I3-5010U),AUO+eTurb"/>
    <n v="100"/>
    <n v="7129.7"/>
    <n v="7200.43"/>
    <n v="5921.17"/>
    <n v="1208.5299999999997"/>
    <n v="850"/>
    <n v="429.26"/>
    <n v="1279.26"/>
    <n v="-70.730000000000246"/>
    <n v="5991.73"/>
    <n v="1137.97"/>
    <n v="712970"/>
    <n v="720043"/>
    <n v="592117"/>
    <n v="85000"/>
    <n v="42926"/>
    <n v="-7073"/>
    <n v="-0.99204735122094889"/>
    <n v="599173.18000000005"/>
    <n v="120853"/>
    <n v="16.950643084561761"/>
    <n v="15.9609549546264"/>
    <n v="0.98968812993534006"/>
  </r>
  <r>
    <s v="BFRA0002"/>
    <s v="AURES Technologies SA"/>
    <n v="8"/>
    <x v="0"/>
    <s v="ODM"/>
    <x v="8"/>
    <s v="ODMACF01"/>
    <s v="YUNO-BASE156-BLACK-50KH-II,ART-03524,X7D(I3-5010U),AUO+eTurb"/>
    <n v="150"/>
    <n v="7141.51"/>
    <n v="7654.28"/>
    <n v="6246.2733333333335"/>
    <n v="895.23666666666668"/>
    <n v="800"/>
    <n v="608.00666666666666"/>
    <n v="1408.0066666666667"/>
    <n v="-512.77"/>
    <n v="6010.46"/>
    <n v="1131.05"/>
    <n v="1071226"/>
    <n v="1148142"/>
    <n v="936941"/>
    <n v="120000"/>
    <n v="91201"/>
    <n v="-76916"/>
    <n v="-7.1801842001594434"/>
    <n v="901568.26"/>
    <n v="134285"/>
    <n v="12.53563673771921"/>
    <n v="15.8377163931794"/>
    <n v="16.969459683577501"/>
  </r>
  <r>
    <s v="BFRA0002"/>
    <s v="AURES Technologies SA"/>
    <n v="8"/>
    <x v="0"/>
    <s v="ODM"/>
    <x v="8"/>
    <s v="ODMACF02"/>
    <s v="YUNO-BASE156-BLACK-50KH-II,ART-03524,X7D(I3-5010U),AUO+eTurb"/>
    <n v="100"/>
    <n v="7153.31"/>
    <n v="7505.12"/>
    <n v="6225.86"/>
    <n v="927.45000000000073"/>
    <n v="850"/>
    <n v="429.26"/>
    <n v="1279.26"/>
    <n v="-351.80999999999926"/>
    <n v="5994.32"/>
    <n v="1158.99"/>
    <n v="715331"/>
    <n v="750512"/>
    <n v="622586"/>
    <n v="85000"/>
    <n v="42926"/>
    <n v="-35181"/>
    <n v="-4.9181427898413466"/>
    <n v="599432.1"/>
    <n v="92745"/>
    <n v="12.965326541139696"/>
    <n v="16.202135869967801"/>
    <n v="-3.2368093288281901"/>
  </r>
  <r>
    <s v="BFRA0002"/>
    <s v="AURES Technologies SA"/>
    <n v="8"/>
    <x v="0"/>
    <s v="ODM"/>
    <x v="8"/>
    <s v="ODMACF04"/>
    <s v="YUNO-BASE156-WHITE-50KH-II,ART-03525,X7D(I3-5010U),AUO+eTurb"/>
    <n v="10"/>
    <n v="7141.5"/>
    <n v="7383.4"/>
    <n v="5965.4"/>
    <n v="1176.1000000000004"/>
    <n v="850"/>
    <n v="568"/>
    <n v="1418"/>
    <n v="-241.89999999999964"/>
    <n v="6017.58"/>
    <n v="1123.92"/>
    <n v="71415"/>
    <n v="73834"/>
    <n v="59654"/>
    <n v="8500"/>
    <n v="5680"/>
    <n v="-2419"/>
    <n v="-3.3872435762794932"/>
    <n v="60175.83"/>
    <n v="11761"/>
    <n v="16.468529020513898"/>
    <n v="15.737828963102899"/>
    <n v="0.73070005741090804"/>
  </r>
  <r>
    <s v="BFRA0002"/>
    <s v="AURES Technologies SA"/>
    <n v="8"/>
    <x v="0"/>
    <s v="ODM"/>
    <x v="9"/>
    <s v="ODMAC248"/>
    <s v="YUNO-BASE156 ASSY:WHITE"/>
    <n v="250"/>
    <n v="112.4"/>
    <n v="655.66"/>
    <n v="581.39599999999996"/>
    <n v="-468.99599999999998"/>
    <n v="49.5"/>
    <n v="24.76"/>
    <n v="74.260000000000005"/>
    <n v="-543.25599999999997"/>
    <n v="581.1"/>
    <n v="-468.7"/>
    <n v="28100"/>
    <n v="163914"/>
    <n v="145349"/>
    <n v="12375"/>
    <n v="6190"/>
    <n v="-135814"/>
    <n v="-483.3238434163701"/>
    <n v="145276.06"/>
    <n v="-117249"/>
    <n v="-417.25622775800713"/>
    <n v="-416.99665480427001"/>
    <n v="-0.256014234875444"/>
  </r>
  <r>
    <s v="BFRA0002"/>
    <s v="AURES Technologies SA"/>
    <n v="8"/>
    <x v="0"/>
    <s v="ODM"/>
    <x v="10"/>
    <s v="ODMACA07"/>
    <s v="YUNO-COVER-BLACK(20in1)"/>
    <n v="950"/>
    <n v="302.67"/>
    <n v="379.37"/>
    <n v="246.58031340894553"/>
    <n v="56.089686591054488"/>
    <n v="85.772433734891294"/>
    <n v="47.021990000000002"/>
    <n v="132.7944237348913"/>
    <n v="-76.704737143836809"/>
    <n v="3.39"/>
    <n v="299.27999999999997"/>
    <n v="287533"/>
    <n v="360406"/>
    <n v="234251.29773849825"/>
    <n v="81483.812048146734"/>
    <n v="44670.890500000001"/>
    <n v="-72873"/>
    <n v="-25.344221358939667"/>
    <n v="3218.78"/>
    <n v="53281.702261501749"/>
    <n v="18.530639008914367"/>
    <n v="98.880553988585604"/>
    <n v="-80.623049632563905"/>
  </r>
  <r>
    <s v="BFRA0002"/>
    <s v="AURES Technologies SA"/>
    <n v="8"/>
    <x v="0"/>
    <s v="ODM"/>
    <x v="10"/>
    <s v="ODMACA08"/>
    <s v="YUNO-COVER-GLOSSYWHITE(20in1)"/>
    <n v="250"/>
    <n v="316.12"/>
    <n v="380.34"/>
    <n v="380.33600000000001"/>
    <n v="-64.216000000000008"/>
    <n v="0"/>
    <n v="0"/>
    <n v="0"/>
    <n v="-64.216000000000008"/>
    <n v="247.56"/>
    <n v="68.56"/>
    <n v="79030"/>
    <n v="95084"/>
    <n v="95084"/>
    <n v="0"/>
    <n v="0"/>
    <n v="-16054"/>
    <n v="-20.313804884221181"/>
    <n v="61890.58"/>
    <n v="-16054"/>
    <n v="-20.313804884221181"/>
    <n v="21.6872371251423"/>
    <n v="-42.001042009363502"/>
  </r>
  <r>
    <s v="BFRA0002"/>
    <s v="AURES Technologies SA"/>
    <n v="8"/>
    <x v="0"/>
    <s v="ODM"/>
    <x v="10"/>
    <s v="ODMACQ03"/>
    <s v="YUNO-COVER-BLACK(20in1),CHINA"/>
    <n v="90"/>
    <n v="302.33999999999997"/>
    <n v="413.06"/>
    <n v="413.05549999999999"/>
    <n v="-110.71550000000002"/>
    <n v="0"/>
    <n v="0"/>
    <n v="0"/>
    <n v="-110.71550000000002"/>
    <n v="3.59"/>
    <n v="298.76"/>
    <n v="27211"/>
    <n v="37175"/>
    <n v="37174.995000000003"/>
    <n v="0"/>
    <n v="0"/>
    <n v="-9964"/>
    <n v="-36.61754437543641"/>
    <n v="322.93"/>
    <n v="-9963.9950000000026"/>
    <n v="-36.617526000514502"/>
    <n v="98.813225754290499"/>
    <n v="-135.430770129726"/>
  </r>
  <r>
    <s v="BFRA0002"/>
    <s v="AURES Technologies SA"/>
    <n v="8"/>
    <x v="0"/>
    <s v="ODM"/>
    <x v="11"/>
    <s v="ODMAC301"/>
    <s v="YUNO-DALLAS,W/ IBUTTON,SYSKING IBT100 (IBT307 USB/KB MODE),"/>
    <n v="150"/>
    <n v="1236.8900000000001"/>
    <n v="830.63"/>
    <n v="734.06666666666672"/>
    <n v="502.82333333333338"/>
    <n v="62"/>
    <n v="34.56"/>
    <n v="96.56"/>
    <n v="406.26333333333338"/>
    <n v="733.85"/>
    <n v="503.05"/>
    <n v="185534"/>
    <n v="124594"/>
    <n v="110110.00000000001"/>
    <n v="9300"/>
    <n v="5184"/>
    <n v="60940"/>
    <n v="32.845731779619911"/>
    <n v="110076.96"/>
    <n v="75423.999999999985"/>
    <n v="40.652387163538748"/>
    <n v="40.6701941692627"/>
    <n v="-1.8076498108163599E-2"/>
  </r>
  <r>
    <s v="BFRA0002"/>
    <s v="AURES Technologies SA"/>
    <n v="8"/>
    <x v="0"/>
    <s v="ODM"/>
    <x v="12"/>
    <s v="ODMAC203"/>
    <s v="YUNO-KIT-WIFI:ANTENNA &amp; W-LAN &amp; BT,J1900"/>
    <n v="300"/>
    <n v="817.7"/>
    <n v="517.92999999999995"/>
    <n v="434.06333000000001"/>
    <n v="383.63667000000004"/>
    <n v="55.8"/>
    <n v="28.07"/>
    <n v="83.87"/>
    <n v="299.76667000000003"/>
    <n v="9.7799999999999994"/>
    <n v="807.92"/>
    <n v="245309"/>
    <n v="155380"/>
    <n v="130218.999"/>
    <n v="16740"/>
    <n v="8421"/>
    <n v="89929"/>
    <n v="36.659478453705326"/>
    <n v="2933.75"/>
    <n v="115090.001"/>
    <n v="46.91633857705996"/>
    <n v="98.804057739422504"/>
    <n v="-51.888127219139903"/>
  </r>
  <r>
    <s v="BFRA0002"/>
    <s v="AURES Technologies SA"/>
    <n v="8"/>
    <x v="0"/>
    <s v="ODM"/>
    <x v="13"/>
    <s v="ODMAC228"/>
    <s v="YUNO-MB MODULE 1900,ART-03257,4G RAM,128G SSD,W/O PACKING"/>
    <n v="1320"/>
    <n v="6395.25"/>
    <n v="5248.43"/>
    <n v="5113.3819815784082"/>
    <n v="1281.8680184215918"/>
    <n v="79"/>
    <n v="56.045290000000001"/>
    <n v="135.04528999999999"/>
    <n v="1146.8227284215918"/>
    <n v="3375.38"/>
    <n v="3019.87"/>
    <n v="8441734"/>
    <n v="6927924"/>
    <n v="6749664.2156834984"/>
    <n v="104280"/>
    <n v="73979.782800000001"/>
    <n v="1513810"/>
    <n v="17.932453213996084"/>
    <n v="4455504.74"/>
    <n v="1692069.7843165016"/>
    <n v="20.044102127791536"/>
    <n v="47.2205030198771"/>
    <n v="-31.323638821123701"/>
  </r>
  <r>
    <s v="BFRA0002"/>
    <s v="AURES Technologies SA"/>
    <n v="8"/>
    <x v="0"/>
    <s v="ODM"/>
    <x v="13"/>
    <s v="ODMAC230"/>
    <s v="YUNO-MB MODULE 1900,ART-03257,4G RAM,128G SSD,W/PACKING"/>
    <n v="630"/>
    <n v="6409.82"/>
    <n v="5298.96"/>
    <n v="5154.4287299999996"/>
    <n v="1255.3912700000001"/>
    <n v="79"/>
    <n v="65.53"/>
    <n v="144.53"/>
    <n v="1110.8612700000001"/>
    <n v="3425.25"/>
    <n v="2984.57"/>
    <n v="4038186"/>
    <n v="3338344"/>
    <n v="3247290.0998999998"/>
    <n v="49770"/>
    <n v="41283.9"/>
    <n v="699842"/>
    <n v="17.330603394692567"/>
    <n v="2157904.9500000002"/>
    <n v="790895.9001000002"/>
    <n v="19.585425240442124"/>
    <n v="46.562517076479303"/>
    <n v="-26.977039834965499"/>
  </r>
  <r>
    <s v="BFRA0002"/>
    <s v="AURES Technologies SA"/>
    <n v="8"/>
    <x v="0"/>
    <s v="ODM"/>
    <x v="13"/>
    <s v="ODMACQ06"/>
    <s v="YUNO-MB MODULE 1900,ART-03257,4G RAM,128G SSD,W/PACKING,"/>
    <n v="167"/>
    <n v="6409.82"/>
    <n v="5298.11"/>
    <n v="5298.1077599999999"/>
    <n v="1111.7122399999998"/>
    <n v="0"/>
    <n v="0"/>
    <n v="0"/>
    <n v="1111.7122399999998"/>
    <n v="5095.46"/>
    <n v="1314.36"/>
    <n v="1070440"/>
    <n v="884784"/>
    <n v="884783.99592000002"/>
    <n v="0"/>
    <n v="0"/>
    <n v="185656"/>
    <n v="17.343895968013154"/>
    <n v="850942.13"/>
    <n v="185656.00407999998"/>
    <n v="17.343896349164829"/>
    <n v="20.505387134262499"/>
    <n v="-3.1614911662493901"/>
  </r>
  <r>
    <s v="BFRA0002"/>
    <s v="AURES Technologies SA"/>
    <n v="8"/>
    <x v="0"/>
    <s v="ODM"/>
    <x v="13"/>
    <s v="ODMTU201"/>
    <s v="YUNO-MB MODULE 1900,ART-03257,4G RAM,64G SSD,W/O PACKING"/>
    <n v="300"/>
    <n v="6057"/>
    <n v="4724.51"/>
    <n v="4595.9833200000003"/>
    <n v="1461.0166799999997"/>
    <n v="79"/>
    <n v="49.53"/>
    <n v="128.53"/>
    <n v="1332.4866799999998"/>
    <n v="2855.26"/>
    <n v="3201.74"/>
    <n v="1817100"/>
    <n v="1417354"/>
    <n v="1378794.996"/>
    <n v="23700"/>
    <n v="14859"/>
    <n v="399746"/>
    <n v="21.999119476088271"/>
    <n v="856577.18"/>
    <n v="438305.00399999996"/>
    <n v="24.121127290737988"/>
    <n v="52.860206702988201"/>
    <n v="-28.739079632381198"/>
  </r>
  <r>
    <s v="BFRA0002"/>
    <s v="AURES Technologies SA"/>
    <n v="8"/>
    <x v="0"/>
    <s v="ODM"/>
    <x v="14"/>
    <s v="ODMAC229"/>
    <s v="YUNO-MB-I3-5010U,ART-03478,4G RAM,128G SSD,W/O PACKING"/>
    <n v="700"/>
    <n v="10524.27"/>
    <n v="8396.84"/>
    <n v="8262.0042857142853"/>
    <n v="2262.2657142857151"/>
    <n v="79"/>
    <n v="55.838571428571427"/>
    <n v="134.83857142857141"/>
    <n v="2127.4271428571437"/>
    <n v="6545.31"/>
    <n v="3978.95"/>
    <n v="7366987"/>
    <n v="5877790"/>
    <n v="5783403"/>
    <n v="55300"/>
    <n v="39087"/>
    <n v="1489197"/>
    <n v="20.214464882318918"/>
    <n v="4581718.5599999996"/>
    <n v="1583584"/>
    <n v="21.495680662935879"/>
    <n v="37.8074298081427"/>
    <n v="-16.3669458400474"/>
  </r>
  <r>
    <s v="BFRA0002"/>
    <s v="AURES Technologies SA"/>
    <n v="8"/>
    <x v="0"/>
    <s v="ODM"/>
    <x v="14"/>
    <s v="ODMAC231"/>
    <s v="YUNO-MB-I3-5010U,ART-03478,4G RAM,128G SSD,W/PACKING"/>
    <n v="380"/>
    <n v="10524.07"/>
    <n v="8444.34"/>
    <n v="8299.8052631578939"/>
    <n v="2224.2647368421058"/>
    <n v="79"/>
    <n v="65.534210526315789"/>
    <n v="144.5342105263158"/>
    <n v="2079.73052631579"/>
    <n v="6595.17"/>
    <n v="3928.9"/>
    <n v="3999147"/>
    <n v="3208849"/>
    <n v="3153925.9999999995"/>
    <n v="30020"/>
    <n v="24903"/>
    <n v="790298"/>
    <n v="19.761664174885293"/>
    <n v="2506166.4"/>
    <n v="845221.00000000047"/>
    <n v="21.135032045583731"/>
    <n v="37.332476130034699"/>
    <n v="-16.410671373352098"/>
  </r>
  <r>
    <s v="BFRA0002"/>
    <s v="AURES Technologies SA"/>
    <n v="8"/>
    <x v="0"/>
    <s v="ODM"/>
    <x v="14"/>
    <s v="ODMAC245"/>
    <s v="YUNO-MB-I3-5010U,ART-03797,8G RAM,128G SSD,W/O PACKING"/>
    <n v="150"/>
    <n v="11098.72"/>
    <n v="9267.61"/>
    <n v="9139.0766999999996"/>
    <n v="1959.6432999999997"/>
    <n v="79"/>
    <n v="49.53"/>
    <n v="128.53"/>
    <n v="1831.1132999999998"/>
    <n v="7299.07"/>
    <n v="3799.65"/>
    <n v="1664808"/>
    <n v="1390141"/>
    <n v="1370861.5049999999"/>
    <n v="11850"/>
    <n v="7429.5"/>
    <n v="274667"/>
    <n v="16.498419036909961"/>
    <n v="1094859.93"/>
    <n v="293946.49500000011"/>
    <n v="17.656480206726549"/>
    <n v="34.235063052315901"/>
    <n v="-16.578612578747801"/>
  </r>
  <r>
    <s v="BFRA0002"/>
    <s v="AURES Technologies SA"/>
    <n v="8"/>
    <x v="0"/>
    <s v="ODM"/>
    <x v="15"/>
    <s v="ODMAC300"/>
    <s v="YUNO-MSRLONG-BLACK,ART-03384"/>
    <n v="200"/>
    <n v="1120.55"/>
    <n v="701.16"/>
    <n v="602.13499999999999"/>
    <n v="518.41499999999996"/>
    <n v="66"/>
    <n v="33.020000000000003"/>
    <n v="99.02000000000001"/>
    <n v="419.39499999999998"/>
    <n v="602.13"/>
    <n v="518.41"/>
    <n v="224109"/>
    <n v="140231"/>
    <n v="120427"/>
    <n v="13200"/>
    <n v="6604.0000000000009"/>
    <n v="83878"/>
    <n v="37.427323311424352"/>
    <n v="120426.35"/>
    <n v="103682"/>
    <n v="46.264094703916399"/>
    <n v="46.264385901503204"/>
    <n v="-2.9119758688850002E-4"/>
  </r>
  <r>
    <s v="BFRA0002"/>
    <s v="AURES Technologies SA"/>
    <n v="8"/>
    <x v="0"/>
    <s v="ODM"/>
    <x v="16"/>
    <s v="ODMAC500"/>
    <s v="YUNO-SCANNER2D,ART-03456"/>
    <n v="30"/>
    <n v="4542.7299999999996"/>
    <n v="2821.67"/>
    <n v="2756.1367"/>
    <n v="1786.5932999999995"/>
    <n v="0"/>
    <n v="65.53"/>
    <n v="65.53"/>
    <n v="1721.0632999999996"/>
    <n v="2755.75"/>
    <n v="1786.98"/>
    <n v="136282"/>
    <n v="84650"/>
    <n v="82684.100999999995"/>
    <n v="0"/>
    <n v="1965.9"/>
    <n v="51632"/>
    <n v="37.886147840507185"/>
    <n v="82672.59"/>
    <n v="53597.899000000005"/>
    <n v="39.328670697524252"/>
    <n v="39.337118012650201"/>
    <n v="-8.3732040915161007E-3"/>
  </r>
  <r>
    <s v="BFRA0002"/>
    <s v="AURES Technologies SA"/>
    <n v="8"/>
    <x v="0"/>
    <s v="ODM"/>
    <x v="17"/>
    <s v="ODMAC900"/>
    <s v="YUNO-VESA-BRACKET(20in1)"/>
    <n v="100"/>
    <n v="180.81"/>
    <n v="176.53"/>
    <n v="111.65132075471699"/>
    <n v="69.158679245283011"/>
    <n v="2.2415094339622645"/>
    <n v="62.6372"/>
    <n v="64.878709433962271"/>
    <n v="4.2799698113207398"/>
    <n v="0.85"/>
    <n v="179.96"/>
    <n v="18081"/>
    <n v="17653"/>
    <n v="11165.1320754717"/>
    <n v="224.15094339622647"/>
    <n v="6263.72"/>
    <n v="428"/>
    <n v="2.367125712073447"/>
    <n v="85.3"/>
    <n v="6915.8679245283001"/>
    <n v="38.249366321156465"/>
    <n v="99.528233504783998"/>
    <n v="-61.272606050550301"/>
  </r>
  <r>
    <s v="BFRA0002"/>
    <s v="AURES Technologies SA"/>
    <n v="8"/>
    <x v="0"/>
    <s v="ODM"/>
    <x v="18"/>
    <s v="ODMAC400"/>
    <s v="YUNO-VFD,BLACK,FRA(20in1)"/>
    <n v="100"/>
    <n v="1294.06"/>
    <n v="1047.8499999999999"/>
    <n v="951.75379999999996"/>
    <n v="342.30619999999999"/>
    <n v="62"/>
    <n v="34.096213592233006"/>
    <n v="96.096213592232999"/>
    <n v="246.20998640776699"/>
    <n v="0"/>
    <n v="1294.06"/>
    <n v="129406"/>
    <n v="104785"/>
    <n v="95175.37999999999"/>
    <n v="6200"/>
    <n v="3409.6213592233007"/>
    <n v="24621"/>
    <n v="19.026165711018038"/>
    <n v="0"/>
    <n v="34230.62000000001"/>
    <n v="26.452111957714486"/>
    <n v="100"/>
    <n v="-73.555322009798601"/>
  </r>
  <r>
    <s v="BFRA0002"/>
    <s v="AURES Technologies SA"/>
    <n v="8"/>
    <x v="0"/>
    <s v="ODM"/>
    <x v="18"/>
    <s v="ODMAC401"/>
    <s v="YUNO-VFD,GRAY,FRA(20in1)"/>
    <n v="50"/>
    <n v="1294.06"/>
    <n v="1049.8800000000001"/>
    <n v="954.00149999999996"/>
    <n v="340.05849999999998"/>
    <n v="62"/>
    <n v="33.878491213466518"/>
    <n v="95.878491213466518"/>
    <n v="244.18000878653345"/>
    <n v="0"/>
    <n v="1294.06"/>
    <n v="64703"/>
    <n v="52494"/>
    <n v="47700.074999999997"/>
    <n v="3100"/>
    <n v="1693.9245606733259"/>
    <n v="12209"/>
    <n v="18.869295086781136"/>
    <n v="0"/>
    <n v="17002.925000000003"/>
    <n v="26.278418311361147"/>
    <n v="100"/>
    <n v="-73.721465774384399"/>
  </r>
  <r>
    <s v="BFRA0002"/>
    <s v="AURES Technologies SA"/>
    <n v="8"/>
    <x v="0"/>
    <s v="ODM"/>
    <x v="18"/>
    <s v="ODMAC411"/>
    <s v="YUNO-VFD,BLACK,ENG(20in1)"/>
    <n v="800"/>
    <n v="1296.2"/>
    <n v="1048.1300000000001"/>
    <n v="951.84487000000001"/>
    <n v="344.35513000000003"/>
    <n v="62"/>
    <n v="34.287631819783073"/>
    <n v="96.287631819783073"/>
    <n v="248.06749818021694"/>
    <n v="0"/>
    <n v="1296.2"/>
    <n v="1036958"/>
    <n v="838506"/>
    <n v="761475.89600000007"/>
    <n v="49600"/>
    <n v="27430.105455826459"/>
    <n v="198452"/>
    <n v="19.137901438631072"/>
    <n v="0"/>
    <n v="275482.10399999993"/>
    <n v="26.566370479807276"/>
    <n v="100"/>
    <n v="-73.4335431136073"/>
  </r>
  <r>
    <s v="BFRA0002"/>
    <s v="AURES Technologies SA"/>
    <n v="8"/>
    <x v="0"/>
    <s v="ODM"/>
    <x v="18"/>
    <s v="ODMAC412"/>
    <s v="YUNO-VFD,BLACK,USA(20in1)"/>
    <n v="100"/>
    <n v="1294.06"/>
    <n v="1059.23"/>
    <n v="951.79"/>
    <n v="342.27"/>
    <n v="62"/>
    <n v="45.44"/>
    <n v="107.44"/>
    <n v="234.82999999999998"/>
    <n v="0"/>
    <n v="1294.06"/>
    <n v="129406"/>
    <n v="105923"/>
    <n v="95179"/>
    <n v="6200"/>
    <n v="4544"/>
    <n v="23483"/>
    <n v="18.146762901256512"/>
    <n v="0"/>
    <n v="34227"/>
    <n v="26.449314560375868"/>
    <n v="100"/>
    <n v="-73.550685439624104"/>
  </r>
  <r>
    <s v="BFRA0002"/>
    <s v="AURES Technologies SA"/>
    <n v="8"/>
    <x v="0"/>
    <s v="ODM"/>
    <x v="18"/>
    <s v="ODMAC416"/>
    <s v="YUNO-VFD,BLACK,AU(20in1)"/>
    <n v="100"/>
    <n v="1296.19"/>
    <n v="1048.2"/>
    <n v="951.86"/>
    <n v="344.33000000000004"/>
    <n v="62"/>
    <n v="34.340000000000003"/>
    <n v="96.34"/>
    <n v="247.99000000000004"/>
    <n v="0"/>
    <n v="1296.19"/>
    <n v="129619"/>
    <n v="104820"/>
    <n v="95186"/>
    <n v="6200"/>
    <n v="3434.0000000000005"/>
    <n v="24799"/>
    <n v="19.132225985387944"/>
    <n v="0"/>
    <n v="34433"/>
    <n v="26.56477831182157"/>
    <n v="100"/>
    <n v="-73.435221688178402"/>
  </r>
  <r>
    <s v="BKZA0001"/>
    <s v="ABDI Company JSC"/>
    <n v="8"/>
    <x v="1"/>
    <s v="XPOS857"/>
    <x v="19"/>
    <s v="F8701002"/>
    <s v="XPOS87PE-5B-3217U W/64G SSD,4G RAM,EU CORD,EBN LOGO"/>
    <n v="11"/>
    <n v="24732.27"/>
    <n v="16096.27"/>
    <n v="14300.823"/>
    <n v="10431.447"/>
    <n v="865"/>
    <n v="930.45"/>
    <n v="1795.45"/>
    <n v="8635.9969999999994"/>
    <n v="3268.77"/>
    <n v="21463.51"/>
    <n v="272055"/>
    <n v="177059"/>
    <n v="157309.05300000001"/>
    <n v="9515"/>
    <n v="10234.950000000001"/>
    <n v="94996"/>
    <n v="34.917939387256254"/>
    <n v="35956.42"/>
    <n v="114745.94699999999"/>
    <n v="42.177481391630359"/>
    <n v="86.7834022532208"/>
    <n v="-44.605901380235601"/>
  </r>
  <r>
    <s v="CAUA0009"/>
    <s v="Aniluin Pty Ltd"/>
    <n v="8"/>
    <x v="1"/>
    <s v="IC151"/>
    <x v="20"/>
    <s v="J70AL000"/>
    <s v="IC70P-5B-1900 W/64G SSD,4G RAM,AU CORD,NEXA LOGO,Aniluin OEM"/>
    <n v="50"/>
    <n v="13862.1"/>
    <n v="12200.04"/>
    <n v="10734.16"/>
    <n v="3127.9400000000005"/>
    <n v="990.4"/>
    <n v="475.48"/>
    <n v="1465.88"/>
    <n v="1662.0600000000004"/>
    <n v="2316.87"/>
    <n v="11545.23"/>
    <n v="693105"/>
    <n v="610002"/>
    <n v="536708"/>
    <n v="49520"/>
    <n v="23774"/>
    <n v="83103"/>
    <n v="11.989958231436795"/>
    <n v="115843.54"/>
    <n v="156397"/>
    <n v="22.564690775567918"/>
    <n v="83.286292913772002"/>
    <n v="-60.721602138204098"/>
  </r>
  <r>
    <s v="EINA0006"/>
    <s v="Brothers Pharmamach(India) Pvt. Lcd."/>
    <n v="8"/>
    <x v="1"/>
    <s v="XPOS950"/>
    <x v="21"/>
    <s v="F900A001"/>
    <s v="XPOS90A-5B-I7 W/500G SATA HDD,4G RAM,UK CORD,EBN LOGO"/>
    <n v="7"/>
    <n v="31189.71"/>
    <n v="21031.86"/>
    <n v="19754.147000000001"/>
    <n v="11435.562999999998"/>
    <n v="865"/>
    <n v="412.71"/>
    <n v="1277.71"/>
    <n v="10157.852999999999"/>
    <n v="2083.83"/>
    <n v="29105.89"/>
    <n v="218328"/>
    <n v="147223"/>
    <n v="138279.02900000001"/>
    <n v="6055"/>
    <n v="2888.97"/>
    <n v="71105"/>
    <n v="32.567971126012239"/>
    <n v="14586.79"/>
    <n v="80048.97099999999"/>
    <n v="36.664546462203653"/>
    <n v="93.318865889853697"/>
    <n v="-56.654306144882902"/>
  </r>
  <r>
    <s v="EJPA0040"/>
    <s v="Comtecs Co.,Ltd"/>
    <n v="8"/>
    <x v="1"/>
    <s v="XPPC725"/>
    <x v="22"/>
    <s v="H75C8002"/>
    <s v="XPPC75R-2B-2930-01 W/64G SSD,4G RAM,JPN CORD,POS READY(JPN)"/>
    <n v="27"/>
    <n v="21320.63"/>
    <n v="14201.56"/>
    <n v="12924.845499999999"/>
    <n v="8395.7845000000016"/>
    <n v="650"/>
    <n v="626.71"/>
    <n v="1276.71"/>
    <n v="7119.0745000000015"/>
    <n v="4504.2299999999996"/>
    <n v="16816.400000000001"/>
    <n v="575657"/>
    <n v="383442"/>
    <n v="348970.8285"/>
    <n v="17550"/>
    <n v="16921.170000000002"/>
    <n v="192215"/>
    <n v="33.390543327015912"/>
    <n v="121614.12"/>
    <n v="226686.1715"/>
    <n v="39.378687569160107"/>
    <n v="78.873856925217595"/>
    <n v="-39.495223964468899"/>
  </r>
  <r>
    <s v="EILA0002"/>
    <s v="DATA Detection Technologies LTD."/>
    <n v="8"/>
    <x v="1"/>
    <s v="XPOS950"/>
    <x v="21"/>
    <s v="F90DC100"/>
    <s v="XPOS90A-5B-I3-02 W/320G SATA HDD,4G RAM,W.P.E7(ENG),EU CORD"/>
    <n v="10"/>
    <n v="28269.7"/>
    <n v="20925.7"/>
    <n v="19514.599999999999"/>
    <n v="8755.1000000000022"/>
    <n v="865"/>
    <n v="546.1"/>
    <n v="1411.1"/>
    <n v="7344.0000000000018"/>
    <n v="5941.92"/>
    <n v="22327.78"/>
    <n v="282697"/>
    <n v="209257"/>
    <n v="195146"/>
    <n v="8650"/>
    <n v="5461"/>
    <n v="73440"/>
    <n v="25.978344305033303"/>
    <n v="59419.21"/>
    <n v="87551"/>
    <n v="30.969907710375423"/>
    <n v="78.981307760605802"/>
    <n v="-48.011400050230399"/>
  </r>
  <r>
    <s v="BDKA0008"/>
    <s v="EET Group A/S"/>
    <n v="8"/>
    <x v="1"/>
    <s v="XPOS752"/>
    <x v="23"/>
    <s v="F72TE001"/>
    <s v="XPOS72A-5B-2930-02 W/320G SATA HDD,4G RAM,EU CORD,EBN LOGO"/>
    <n v="20"/>
    <n v="14149.95"/>
    <n v="10177.049999999999"/>
    <n v="8864.65"/>
    <n v="5285.3000000000011"/>
    <n v="805.6"/>
    <n v="506.8"/>
    <n v="1312.4"/>
    <n v="3972.900000000001"/>
    <n v="1916.14"/>
    <n v="12233.81"/>
    <n v="282999"/>
    <n v="203541"/>
    <n v="177293"/>
    <n v="16112"/>
    <n v="10136"/>
    <n v="79458"/>
    <n v="28.077131014597224"/>
    <n v="38322.79"/>
    <n v="105706"/>
    <n v="37.352075449029854"/>
    <n v="86.458330524136102"/>
    <n v="-49.106255075106198"/>
  </r>
  <r>
    <s v="BDKA0008"/>
    <s v="EET Group A/S"/>
    <n v="8"/>
    <x v="1"/>
    <s v="XPOS852"/>
    <x v="24"/>
    <s v="F8204003"/>
    <s v="XPOS82A-5B-D525D2-02 W/320G SATA HDD,4G RAM,EU CORD,EBN LOGO"/>
    <n v="25"/>
    <n v="16051.04"/>
    <n v="12828.16"/>
    <n v="11032.72"/>
    <n v="5018.3200000000015"/>
    <n v="865"/>
    <n v="930.44"/>
    <n v="1795.44"/>
    <n v="3222.8800000000015"/>
    <n v="3224.32"/>
    <n v="12826.72"/>
    <n v="401276"/>
    <n v="320704"/>
    <n v="275818"/>
    <n v="21625"/>
    <n v="23261"/>
    <n v="80572"/>
    <n v="20.078948155384325"/>
    <n v="80607.89"/>
    <n v="125458"/>
    <n v="31.264765398379168"/>
    <n v="79.912107813574593"/>
    <n v="-48.647342415195503"/>
  </r>
  <r>
    <s v="BDKA0008"/>
    <s v="EET Group A/S"/>
    <n v="8"/>
    <x v="1"/>
    <s v="XPPC752"/>
    <x v="25"/>
    <s v="H72TE300"/>
    <s v="XPPC72A-5B-1900-02 W/320G SATA HDD,4G RAM,EU CORD,EBN LOGO"/>
    <n v="2"/>
    <n v="14150"/>
    <n v="8459.5"/>
    <n v="8394"/>
    <n v="5756"/>
    <n v="0"/>
    <n v="65.5"/>
    <n v="65.5"/>
    <n v="5690.5"/>
    <n v="1916.14"/>
    <n v="12233.86"/>
    <n v="28300"/>
    <n v="16919"/>
    <n v="16788"/>
    <n v="0"/>
    <n v="131"/>
    <n v="11381"/>
    <n v="40.215547703180206"/>
    <n v="3832.28"/>
    <n v="11512"/>
    <n v="40.678445229681984"/>
    <n v="86.458378374558293"/>
    <n v="-45.779933144876303"/>
  </r>
  <r>
    <s v="BDKA0008"/>
    <s v="EET Group A/S"/>
    <n v="8"/>
    <x v="1"/>
    <s v="XPPC725"/>
    <x v="22"/>
    <s v="H75TE000"/>
    <s v="XPPC75R-2B-1900 W/320G HDD,4G RAM,EU CORD,TPC"/>
    <n v="1"/>
    <n v="17960"/>
    <n v="10635"/>
    <n v="10569"/>
    <n v="7391"/>
    <n v="0"/>
    <n v="66"/>
    <n v="66"/>
    <n v="7325"/>
    <n v="8013.7"/>
    <n v="9946.2999999999993"/>
    <n v="17960"/>
    <n v="10635"/>
    <n v="10569"/>
    <n v="0"/>
    <n v="66"/>
    <n v="7325"/>
    <n v="40.785077951002229"/>
    <n v="8013.7"/>
    <n v="7391"/>
    <n v="41.152561247216035"/>
    <n v="55.380298886414202"/>
    <n v="-14.2277376391982"/>
  </r>
  <r>
    <s v="BDKA0008"/>
    <s v="EET Group A/S"/>
    <n v="8"/>
    <x v="1"/>
    <s v="ZXX"/>
    <x v="26"/>
    <s v="Z1000004"/>
    <s v="SPARE PARTS:ADAPTER:90W,19V,4.73A,小3PIN AC PLUG+4PIN PLUG,"/>
    <n v="3"/>
    <n v="635"/>
    <n v="503.33"/>
    <n v="437.66199999999998"/>
    <n v="197.33800000000002"/>
    <n v="0"/>
    <n v="65.67"/>
    <n v="65.67"/>
    <n v="131.66800000000001"/>
    <n v="444.37"/>
    <n v="190.63"/>
    <n v="1905"/>
    <n v="1510"/>
    <n v="1312.9859999999999"/>
    <n v="0"/>
    <n v="197.01"/>
    <n v="395"/>
    <n v="20.73490813648294"/>
    <n v="1333.12"/>
    <n v="592.01400000000012"/>
    <n v="31.076850393700795"/>
    <n v="30.020022047244002"/>
    <n v="1.0560934383202001"/>
  </r>
  <r>
    <s v="ESGA0017"/>
    <s v="Flex-Solver Pte Ltd"/>
    <n v="8"/>
    <x v="1"/>
    <s v="2NDISPLAY"/>
    <x v="27"/>
    <s v="T1001002"/>
    <s v="DN-101U 2ND DISPLAY WHITE W/O TOUCH,FLEX-SOLVER LOGO"/>
    <n v="5"/>
    <n v="4490"/>
    <n v="4929"/>
    <n v="3586.56"/>
    <n v="903.44"/>
    <n v="392.7"/>
    <n v="949.74"/>
    <n v="1342.44"/>
    <n v="-439"/>
    <n v="3365.75"/>
    <n v="1124.25"/>
    <n v="22450"/>
    <n v="24645"/>
    <n v="17932.8"/>
    <n v="1963.5"/>
    <n v="4748.7"/>
    <n v="-2195"/>
    <n v="-9.7772828507795104"/>
    <n v="16828.73"/>
    <n v="4517.2000000000007"/>
    <n v="20.121158129175949"/>
    <n v="25.039051948775001"/>
    <n v="-4.9174483853006601"/>
  </r>
  <r>
    <s v="ESGA0017"/>
    <s v="Flex-Solver Pte Ltd"/>
    <n v="8"/>
    <x v="1"/>
    <s v="2NDISPLAY"/>
    <x v="27"/>
    <s v="T1001003"/>
    <s v="DN-101U 2ND DISPLAY BLACK W/O TOUCH,FLEX-SOLVER LOGO"/>
    <n v="5"/>
    <n v="4490.2"/>
    <n v="4896.6000000000004"/>
    <n v="3554.16"/>
    <n v="936.04"/>
    <n v="392.7"/>
    <n v="949.74"/>
    <n v="1342.44"/>
    <n v="-406.40000000000009"/>
    <n v="3372.82"/>
    <n v="1117.3800000000001"/>
    <n v="22451"/>
    <n v="24483"/>
    <n v="17770.8"/>
    <n v="1963.5"/>
    <n v="4748.7"/>
    <n v="-2032"/>
    <n v="-9.0508217896752932"/>
    <n v="16864.09"/>
    <n v="4680.2000000000007"/>
    <n v="20.846287470491294"/>
    <n v="24.8848936016213"/>
    <n v="-4.0386061311300097"/>
  </r>
  <r>
    <s v="ESGA0017"/>
    <s v="Flex-Solver Pte Ltd"/>
    <n v="8"/>
    <x v="1"/>
    <s v="DYPOS"/>
    <x v="28"/>
    <s v="Y7003009"/>
    <s v="DNPOS70P-5BT-3700-05,BLACK+TITANIUM,W/mSATA 64G SSD,4G RAM,"/>
    <n v="10"/>
    <n v="18050.900000000001"/>
    <n v="17563.5"/>
    <n v="15059.9"/>
    <n v="2991.0000000000018"/>
    <n v="997"/>
    <n v="1506.6"/>
    <n v="2503.6"/>
    <n v="487.40000000000191"/>
    <n v="1915.4"/>
    <n v="16135.5"/>
    <n v="180509"/>
    <n v="175635"/>
    <n v="150599"/>
    <n v="9970"/>
    <n v="15066"/>
    <n v="4874"/>
    <n v="2.7001423751724292"/>
    <n v="19153.98"/>
    <n v="29910"/>
    <n v="16.56981092355506"/>
    <n v="89.388906314920504"/>
    <n v="-69.115678941216203"/>
  </r>
  <r>
    <s v="ESGA0017"/>
    <s v="Flex-Solver Pte Ltd"/>
    <n v="8"/>
    <x v="1"/>
    <s v="DYPOS"/>
    <x v="28"/>
    <s v="Y7004007"/>
    <s v="DNPOS70P-5WT-3700-03,WHITE+TITANIUM,W/mSATA 64G SSD,4G RAM,"/>
    <n v="5"/>
    <n v="18050.8"/>
    <n v="15811.6"/>
    <n v="14335.8"/>
    <n v="3715"/>
    <n v="997"/>
    <n v="478.8"/>
    <n v="1475.8"/>
    <n v="2239.1999999999998"/>
    <n v="1915.32"/>
    <n v="16135.48"/>
    <n v="90254"/>
    <n v="79058"/>
    <n v="71679"/>
    <n v="4985"/>
    <n v="2394"/>
    <n v="11196"/>
    <n v="12.404990360538036"/>
    <n v="9576.6200000000008"/>
    <n v="18575"/>
    <n v="20.580805282868351"/>
    <n v="89.3892604759899"/>
    <n v="-65.1044642342721"/>
  </r>
  <r>
    <s v="EJPA0002"/>
    <s v="Hitachi High-Tech Materials Corporation"/>
    <n v="8"/>
    <x v="1"/>
    <s v="ZXX"/>
    <x v="26"/>
    <s v="Z13H4009"/>
    <s v="SPARE PARTS:BASE 950:15&quot;,BLACK,FOR 752 &amp; 855,HITACHI"/>
    <n v="80"/>
    <n v="1446.48"/>
    <n v="780.06"/>
    <n v="720.65"/>
    <n v="725.83"/>
    <n v="39.6"/>
    <n v="19.8125"/>
    <n v="59.412500000000001"/>
    <n v="666.41750000000002"/>
    <n v="633.74"/>
    <n v="812.74"/>
    <n v="115718"/>
    <n v="62405"/>
    <n v="57652"/>
    <n v="3168"/>
    <n v="1585"/>
    <n v="53313"/>
    <n v="46.071484125200918"/>
    <n v="50698.96"/>
    <n v="58066"/>
    <n v="50.178883146960715"/>
    <n v="56.1874875127465"/>
    <n v="-10.4115494564372"/>
  </r>
  <r>
    <s v="EJPA0023"/>
    <s v="Logitec INA Solutions Co., Ltd"/>
    <n v="8"/>
    <x v="1"/>
    <s v="ZXX"/>
    <x v="26"/>
    <s v="Z0100086"/>
    <s v="SPARE PARTS:M/B:MB05,INTEL ATOM D525(FCBGA559)+ICH8-M,"/>
    <n v="20"/>
    <n v="7232.4"/>
    <n v="5116.05"/>
    <n v="5004.3999999999996"/>
    <n v="2228"/>
    <n v="0"/>
    <n v="111.65"/>
    <n v="111.65"/>
    <n v="2116.35"/>
    <n v="3442.91"/>
    <n v="3789.49"/>
    <n v="144648"/>
    <n v="102321"/>
    <n v="100088"/>
    <n v="0"/>
    <n v="2233"/>
    <n v="42327"/>
    <n v="29.262070681931306"/>
    <n v="68858.27"/>
    <n v="44560"/>
    <n v="30.805818262264257"/>
    <n v="52.395975194956002"/>
    <n v="-21.590156932691698"/>
  </r>
  <r>
    <s v="EJPA0023"/>
    <s v="Logitec INA Solutions Co., Ltd"/>
    <n v="8"/>
    <x v="1"/>
    <s v="ZXX"/>
    <x v="26"/>
    <s v="Z0100087"/>
    <s v="SPARE PARTS:M/B:CD2,MB05,INTEL ATOM D525(FCBGA559)+ICH8-M"/>
    <n v="6"/>
    <n v="7232.33"/>
    <n v="4450.67"/>
    <n v="4338.9970000000003"/>
    <n v="2893.3329999999996"/>
    <n v="0"/>
    <n v="111.67"/>
    <n v="111.67"/>
    <n v="2781.6629999999996"/>
    <n v="4352.57"/>
    <n v="2879.76"/>
    <n v="43394"/>
    <n v="26704"/>
    <n v="26033.982000000004"/>
    <n v="0"/>
    <n v="670.02"/>
    <n v="16690"/>
    <n v="38.461538461538467"/>
    <n v="26115.43"/>
    <n v="17360.017999999996"/>
    <n v="40.005572198921499"/>
    <n v="39.817875236207698"/>
    <n v="0.18765548232474499"/>
  </r>
  <r>
    <s v="EJPA0023"/>
    <s v="Logitec INA Solutions Co., Ltd"/>
    <n v="8"/>
    <x v="1"/>
    <s v="ZXX"/>
    <x v="26"/>
    <s v="Z0700030"/>
    <s v="SERVICE PARTS:LCD PANEL:15&quot;,Innolux,G150XGE-L05,SPONGE+"/>
    <n v="26"/>
    <n v="3314.85"/>
    <n v="1631.77"/>
    <n v="1566.2292"/>
    <n v="1748.6207999999999"/>
    <n v="0"/>
    <n v="65.540000000000006"/>
    <n v="65.540000000000006"/>
    <n v="1683.0808"/>
    <n v="1614.74"/>
    <n v="1700.11"/>
    <n v="86186"/>
    <n v="42426"/>
    <n v="40721.959199999998"/>
    <n v="0"/>
    <n v="1704.0400000000002"/>
    <n v="43760"/>
    <n v="50.773907595201074"/>
    <n v="41983.27"/>
    <n v="45464.040800000002"/>
    <n v="52.751074188383264"/>
    <n v="51.287599935024197"/>
    <n v="1.46342691388392"/>
  </r>
  <r>
    <s v="EJPA0023"/>
    <s v="Logitec INA Solutions Co., Ltd"/>
    <n v="8"/>
    <x v="1"/>
    <s v="ZXX"/>
    <x v="26"/>
    <s v="Z1300067"/>
    <s v="SPARE PARTS:TOUCH PANEL:15&quot;,HIGG,XPOS752&amp;XPOS750"/>
    <n v="11"/>
    <n v="1567.09"/>
    <n v="842.45"/>
    <n v="730.81449999999995"/>
    <n v="836.27549999999997"/>
    <n v="0"/>
    <n v="111.64"/>
    <n v="111.64"/>
    <n v="724.63549999999998"/>
    <n v="764.57"/>
    <n v="802.52"/>
    <n v="17238"/>
    <n v="9267"/>
    <n v="8038.959499999999"/>
    <n v="0"/>
    <n v="1228.04"/>
    <n v="7971"/>
    <n v="46.240863209189001"/>
    <n v="8410.25"/>
    <n v="9199.040500000001"/>
    <n v="53.364894419306182"/>
    <n v="51.210988745794097"/>
    <n v="2.1536707274625799"/>
  </r>
  <r>
    <s v="BITA0014"/>
    <s v="Olivetti S.p.A."/>
    <n v="8"/>
    <x v="1"/>
    <s v="XPOS755P"/>
    <x v="29"/>
    <s v="F75O3003"/>
    <s v="XPOS75PE-5B-1900-12 W/320G HDD,4G RAM,EU CORD,WIN 10 IOT"/>
    <n v="359"/>
    <n v="14726.18"/>
    <n v="11216.97"/>
    <n v="9615.6918662952648"/>
    <n v="5110.4881337047354"/>
    <n v="913.90083565459622"/>
    <n v="687.38223077994428"/>
    <n v="1601.2830664345406"/>
    <n v="3509.2050672701948"/>
    <n v="1910.17"/>
    <n v="12816.01"/>
    <n v="5286698"/>
    <n v="4026894"/>
    <n v="3452033.38"/>
    <n v="328090.40000000002"/>
    <n v="246770.22084999998"/>
    <n v="1259804"/>
    <n v="23.829694830308068"/>
    <n v="685751.27"/>
    <n v="1834664.62"/>
    <n v="34.703412602724804"/>
    <n v="87.028741438606801"/>
    <n v="-52.346285803829701"/>
  </r>
  <r>
    <s v="BITA0014"/>
    <s v="Olivetti S.p.A."/>
    <n v="8"/>
    <x v="1"/>
    <s v="ZXX"/>
    <x v="26"/>
    <s v="Z05O3005"/>
    <s v="SPARE PARTS:MSR:T/3,USB TYPE &amp; IBUTTON,OLIVETTI OEM"/>
    <n v="50"/>
    <n v="2116.46"/>
    <n v="1169.08"/>
    <n v="1070.06"/>
    <n v="1046.4000000000001"/>
    <n v="66"/>
    <n v="33.020000000000003"/>
    <n v="99.02000000000001"/>
    <n v="947.38000000000011"/>
    <n v="9.33"/>
    <n v="2107.13"/>
    <n v="105823"/>
    <n v="58454"/>
    <n v="53503"/>
    <n v="3300"/>
    <n v="1651.0000000000002"/>
    <n v="47369"/>
    <n v="44.762480746151596"/>
    <n v="466.72"/>
    <n v="52320"/>
    <n v="49.441047787343017"/>
    <n v="99.558962607372607"/>
    <n v="-50.117914820029597"/>
  </r>
  <r>
    <s v="BITA0014"/>
    <s v="Olivetti S.p.A."/>
    <n v="8"/>
    <x v="1"/>
    <s v="ZXX"/>
    <x v="26"/>
    <s v="Z2400002"/>
    <s v="VFD:VFD202W-B-AT-10,RS232,12V,XPOS752&amp;XPOS852"/>
    <n v="70"/>
    <n v="1360.57"/>
    <n v="1415.97"/>
    <n v="1325.9314999999999"/>
    <n v="34.638500000000022"/>
    <n v="60"/>
    <n v="30.04"/>
    <n v="90.039999999999992"/>
    <n v="-55.40149999999997"/>
    <n v="1325.95"/>
    <n v="34.619999999999997"/>
    <n v="95240"/>
    <n v="99118"/>
    <n v="92815.204999999987"/>
    <n v="4200"/>
    <n v="2102.7999999999997"/>
    <n v="-3878"/>
    <n v="-4.0718185636287281"/>
    <n v="92816.53"/>
    <n v="2424.7950000000128"/>
    <n v="2.545983830323407"/>
    <n v="2.5445902981940298"/>
    <n v="1.6087778244434001E-3"/>
  </r>
  <r>
    <s v="EPHA0009"/>
    <s v="PACIFIC OFFICE SOLUTIONS, INC"/>
    <n v="8"/>
    <x v="1"/>
    <s v="XPOS857"/>
    <x v="19"/>
    <s v="F87PP100"/>
    <s v="XPOS87PE-5B-3217U-02 W/320G HDD,4G RAM,US CORD,POSREADY7"/>
    <n v="6"/>
    <n v="24339.17"/>
    <n v="18383.669999999998"/>
    <n v="17105.996999999999"/>
    <n v="7233.1729999999989"/>
    <n v="865"/>
    <n v="412.67"/>
    <n v="1277.67"/>
    <n v="5955.5029999999988"/>
    <n v="6010.26"/>
    <n v="18328.91"/>
    <n v="146035"/>
    <n v="110302"/>
    <n v="102635.98199999999"/>
    <n v="5190"/>
    <n v="2476.02"/>
    <n v="35733"/>
    <n v="24.468791728010409"/>
    <n v="36061.56"/>
    <n v="43399.018000000011"/>
    <n v="29.718230561166852"/>
    <n v="75.306222919163204"/>
    <n v="-45.588004683808599"/>
  </r>
  <r>
    <s v="EPHA0009"/>
    <s v="PACIFIC OFFICE SOLUTIONS, INC"/>
    <n v="8"/>
    <x v="1"/>
    <s v="ZXX"/>
    <x v="26"/>
    <s v="Z0500022"/>
    <s v="SPARE PARTS:MSR:T/3,USB,FRONT TYPE,BLACK(EBN STANDARD),"/>
    <n v="6"/>
    <n v="1209.33"/>
    <n v="371.83"/>
    <n v="203.37037037037038"/>
    <n v="1005.9596296296295"/>
    <n v="0"/>
    <n v="168.46299999999999"/>
    <n v="168.46299999999999"/>
    <n v="837.49662962962952"/>
    <n v="8.94"/>
    <n v="1200.3900000000001"/>
    <n v="7256"/>
    <n v="2231"/>
    <n v="1220.2222222222222"/>
    <n v="0"/>
    <n v="1010.778"/>
    <n v="5025"/>
    <n v="69.253031973539137"/>
    <n v="53.66"/>
    <n v="6035.7777777777774"/>
    <n v="83.183265956143572"/>
    <n v="99.2605281146637"/>
    <n v="-2.83983194203811"/>
  </r>
  <r>
    <s v="EPHA0009"/>
    <s v="PACIFIC OFFICE SOLUTIONS, INC"/>
    <n v="8"/>
    <x v="1"/>
    <s v="ZXX"/>
    <x v="26"/>
    <s v="Z1500016"/>
    <s v="XPOS755 15&quot; 2ND DISPLAY,BLACK,NO HINGE,NO TOUCH,W/ADAPER"/>
    <n v="5"/>
    <n v="5744.6"/>
    <n v="4272"/>
    <n v="4206.3999999999996"/>
    <n v="1538.2000000000007"/>
    <n v="0"/>
    <n v="65.599999999999994"/>
    <n v="65.599999999999994"/>
    <n v="1472.6000000000008"/>
    <n v="4341.3900000000003"/>
    <n v="1403.21"/>
    <n v="28723"/>
    <n v="21360"/>
    <n v="21032"/>
    <n v="0"/>
    <n v="328"/>
    <n v="7363"/>
    <n v="25.634508930125683"/>
    <n v="21706.97"/>
    <n v="7691"/>
    <n v="26.77645092782787"/>
    <n v="24.426537617936798"/>
    <n v="2.3499133098910199"/>
  </r>
  <r>
    <s v="EPHA0009"/>
    <s v="PACIFIC OFFICE SOLUTIONS, INC"/>
    <n v="8"/>
    <x v="1"/>
    <s v="ZXX"/>
    <x v="26"/>
    <s v="Z1700002"/>
    <s v="HING KIT:FOR 15&quot; 2ND DISPLAY,BLACK"/>
    <n v="5"/>
    <n v="756"/>
    <n v="364.4"/>
    <n v="298.8"/>
    <n v="457.2"/>
    <n v="0"/>
    <n v="65.599999999999994"/>
    <n v="65.599999999999994"/>
    <n v="391.6"/>
    <n v="295.70999999999998"/>
    <n v="460.29"/>
    <n v="3780"/>
    <n v="1822"/>
    <n v="1494"/>
    <n v="0"/>
    <n v="328"/>
    <n v="1958"/>
    <n v="51.798941798941797"/>
    <n v="1478.53"/>
    <n v="2286"/>
    <n v="60.476190476190474"/>
    <n v="60.8853769841269"/>
    <n v="-0.40918650793650702"/>
  </r>
  <r>
    <s v="EJPA0041"/>
    <s v="SPACE Corp._x000d__x000a_"/>
    <n v="8"/>
    <x v="1"/>
    <s v="BOXSTER10"/>
    <x v="30"/>
    <s v="B1000002"/>
    <s v="BPC10-B-1900 W/mSATA 128G SSD,4G RAM,JPN CORD,POSREADY 7(JPN"/>
    <n v="2"/>
    <n v="11478"/>
    <n v="10332"/>
    <n v="9103.17"/>
    <n v="2374.83"/>
    <n v="568"/>
    <n v="660.83"/>
    <n v="1228.83"/>
    <n v="1146"/>
    <n v="9121.59"/>
    <n v="2356.41"/>
    <n v="22956"/>
    <n v="20664"/>
    <n v="18206.34"/>
    <n v="1136"/>
    <n v="1321.66"/>
    <n v="2292"/>
    <n v="9.9843178254051228"/>
    <n v="18243.189999999999"/>
    <n v="4749.66"/>
    <n v="20.690277051751174"/>
    <n v="20.529756474124401"/>
    <n v="0.16200167189405801"/>
  </r>
  <r>
    <s v="AUSA0080"/>
    <s v="Triden Systems"/>
    <n v="8"/>
    <x v="1"/>
    <s v="DYPOS"/>
    <x v="28"/>
    <s v="Y700000U"/>
    <s v="SAMPLE:DNPOS70P-5W-3700,WHOLE WHITE,W/mSATA 64G SSD,4G RAM,"/>
    <n v="1"/>
    <n v="20492"/>
    <n v="21950"/>
    <n v="21950"/>
    <n v="-1458"/>
    <n v="0"/>
    <n v="0"/>
    <n v="0"/>
    <n v="-1458"/>
    <n v="0"/>
    <n v="20492"/>
    <n v="20492"/>
    <n v="21950"/>
    <n v="21950"/>
    <n v="0"/>
    <n v="0"/>
    <n v="-1458"/>
    <n v="-7.1149716962717156"/>
    <n v="0"/>
    <n v="-1458"/>
    <n v="-7.1149716962717156"/>
    <n v="100"/>
    <n v="-107.114971696271"/>
  </r>
  <r>
    <s v="EJPA0042"/>
    <s v="YAMATO CORP._x000d__x000a_"/>
    <n v="8"/>
    <x v="1"/>
    <s v="XPOS725"/>
    <x v="31"/>
    <s v="F7507001"/>
    <s v="XPOS75R-2B-2930-00 W/320G SATA HDD,4G RAM,JPN CORD,WIN 7 PRO"/>
    <n v="10"/>
    <n v="23168"/>
    <n v="17690.7"/>
    <n v="15297.121333333334"/>
    <n v="7870.8786666666656"/>
    <n v="805.59533333333331"/>
    <n v="1587.9829999999999"/>
    <n v="2393.5783333333334"/>
    <n v="5477.3003333333327"/>
    <n v="6851.14"/>
    <n v="16316.86"/>
    <n v="231680"/>
    <n v="176907"/>
    <n v="152971.21333333335"/>
    <n v="8055.9533333333329"/>
    <n v="15879.83"/>
    <n v="54773"/>
    <n v="23.641660911602212"/>
    <n v="68511.45"/>
    <n v="78708.786666666652"/>
    <n v="33.973060543278081"/>
    <n v="70.428416220649098"/>
    <n v="-35.038777803127402"/>
  </r>
  <r>
    <s v="FTWA0430"/>
    <s v="台灣恩益禧股份有限公司"/>
    <n v="8"/>
    <x v="1"/>
    <s v="XPOS955"/>
    <x v="32"/>
    <s v="F9505000"/>
    <s v="XPOS95A-5B-I5-02 W/320G SATA HDD,4G RAM,POS READY 7(ZH-TW)"/>
    <n v="3"/>
    <n v="24500"/>
    <n v="20787.330000000002"/>
    <n v="20675.662"/>
    <n v="3824.3379999999997"/>
    <n v="0"/>
    <n v="111.67"/>
    <n v="111.67"/>
    <n v="3712.6679999999997"/>
    <n v="6136.98"/>
    <n v="18363.02"/>
    <n v="73500"/>
    <n v="62362"/>
    <n v="62026.986000000004"/>
    <n v="0"/>
    <n v="335.01"/>
    <n v="11138"/>
    <n v="15.153741496598638"/>
    <n v="18410.939999999999"/>
    <n v="11473.013999999996"/>
    <n v="15.609542857142852"/>
    <n v="74.951106204081597"/>
    <n v="-59.341582394557797"/>
  </r>
  <r>
    <s v="FTWA0430"/>
    <s v="台灣恩益禧股份有限公司"/>
    <n v="8"/>
    <x v="1"/>
    <s v="2NDISPLAY"/>
    <x v="27"/>
    <s v="T1006008"/>
    <s v="2ND.:15&quot;,PHiStek,NO TOUCH P150VG,P150VG,W/WALL MOUNT ADAPTOR"/>
    <n v="1"/>
    <n v="5500"/>
    <n v="4133"/>
    <n v="4021"/>
    <n v="1479"/>
    <n v="0"/>
    <n v="112"/>
    <n v="112"/>
    <n v="1367"/>
    <n v="4217.2"/>
    <n v="1282.8"/>
    <n v="5500"/>
    <n v="4133"/>
    <n v="4021"/>
    <n v="0"/>
    <n v="112"/>
    <n v="1367"/>
    <n v="24.854545454545455"/>
    <n v="4217.2"/>
    <n v="1479"/>
    <n v="26.890909090909094"/>
    <n v="23.323629454545401"/>
    <n v="3.5672796363636299"/>
  </r>
  <r>
    <s v="FTWA0441"/>
    <s v="宇辰光電(股)公司 eTurbotouch Technology Inc."/>
    <n v="8"/>
    <x v="1"/>
    <s v="XPOS755P"/>
    <x v="29"/>
    <s v="F75EF303"/>
    <s v="XPOS75PE-5B-2930-09  W/64G SSD,4G RAM,UK CORD"/>
    <n v="100"/>
    <n v="13908.1"/>
    <n v="10562.55"/>
    <n v="9479.5220000000008"/>
    <n v="4428.5779999999995"/>
    <n v="700"/>
    <n v="383.02800000000002"/>
    <n v="1083.028"/>
    <n v="3345.5499999999993"/>
    <n v="9755.5"/>
    <n v="4152.6000000000004"/>
    <n v="1390810"/>
    <n v="1056255"/>
    <n v="947952.20000000007"/>
    <n v="70000"/>
    <n v="38302.800000000003"/>
    <n v="334555"/>
    <n v="24.054687556172301"/>
    <n v="975549.57"/>
    <n v="442857.79999999993"/>
    <n v="31.841718135475006"/>
    <n v="29.857451844608502"/>
    <n v="1.52636046620314"/>
  </r>
  <r>
    <s v="FTWA0438"/>
    <s v="益欣資訊股份有限公司"/>
    <n v="8"/>
    <x v="1"/>
    <s v="XPOS755P"/>
    <x v="29"/>
    <s v="F7506010"/>
    <s v="XPOS75PE-5B-1900 W/64G SSD,4G RAM,US CORD"/>
    <n v="4"/>
    <n v="13500"/>
    <n v="10537"/>
    <n v="9348.35"/>
    <n v="4151.6499999999996"/>
    <n v="805.61"/>
    <n v="383.04"/>
    <n v="1188.6500000000001"/>
    <n v="2962.9999999999995"/>
    <n v="2991.93"/>
    <n v="10508.07"/>
    <n v="54000"/>
    <n v="42148"/>
    <n v="37393.4"/>
    <n v="3222.44"/>
    <n v="1532.16"/>
    <n v="11852"/>
    <n v="21.948148148148146"/>
    <n v="11967.71"/>
    <n v="16606.599999999999"/>
    <n v="30.752962962962961"/>
    <n v="77.837578814814805"/>
    <n v="-47.0852438711755"/>
  </r>
  <r>
    <s v="FTWA0434"/>
    <s v="台灣東芝國際採購股份有限公司"/>
    <n v="8"/>
    <x v="2"/>
    <s v="XPOS755P"/>
    <x v="29"/>
    <s v="F75T9009"/>
    <s v="XPOS755-T-5B-1900-00 W/64G SSD,4G RAM,ST-F20-14BS-CN-R"/>
    <n v="48"/>
    <n v="13210.31"/>
    <n v="12730.71"/>
    <n v="10209.279999999999"/>
    <n v="3001.0300000000007"/>
    <n v="1300"/>
    <n v="1221.4284"/>
    <n v="2521.4283999999998"/>
    <n v="479.60160000000087"/>
    <n v="9982.5400000000009"/>
    <n v="3227.77"/>
    <n v="634095"/>
    <n v="611074"/>
    <n v="490045.43999999994"/>
    <n v="62400"/>
    <n v="58628.563200000004"/>
    <n v="23021"/>
    <n v="3.6305285485613354"/>
    <n v="479161.99"/>
    <n v="144049.56000000006"/>
    <n v="22.717346769805797"/>
    <n v="24.433722442220802"/>
    <n v="-1.48952638327064"/>
  </r>
  <r>
    <s v="FTWA0434"/>
    <s v="台灣東芝國際採購股份有限公司"/>
    <n v="8"/>
    <x v="2"/>
    <s v="XPOS755P"/>
    <x v="29"/>
    <s v="F75T900F"/>
    <s v="SAMPLE:POS-755T,BLACK,W/4G RAM,64G SSD,LCD(L03)"/>
    <n v="3"/>
    <n v="15067.67"/>
    <n v="10500"/>
    <n v="10500"/>
    <n v="4567.67"/>
    <n v="0"/>
    <n v="0"/>
    <n v="0"/>
    <n v="4567.67"/>
    <n v="0"/>
    <n v="15067.67"/>
    <n v="45203"/>
    <n v="31500"/>
    <n v="31500"/>
    <n v="0"/>
    <n v="0"/>
    <n v="13703"/>
    <n v="30.314359666393827"/>
    <n v="0"/>
    <n v="13703"/>
    <n v="30.314359666393827"/>
    <n v="100"/>
    <n v="-69.685640333606102"/>
  </r>
  <r>
    <s v="FTWA0434"/>
    <s v="台灣東芝國際採購股份有限公司"/>
    <n v="8"/>
    <x v="2"/>
    <s v="XPOS755P"/>
    <x v="29"/>
    <s v="F75T9012"/>
    <s v="XPOS755-T-5B-1900-01 W/64G SSD,4G RAM,ST-F20-14BS-KR-R"/>
    <n v="288"/>
    <n v="13180.03"/>
    <n v="12158.03"/>
    <n v="10080.513888888889"/>
    <n v="3099.516111111112"/>
    <n v="1300"/>
    <n v="777.52083333333337"/>
    <n v="2077.5208333333335"/>
    <n v="1021.9952777777785"/>
    <n v="9980.1299999999992"/>
    <n v="3199.9"/>
    <n v="3795850"/>
    <n v="3501514"/>
    <n v="2903188"/>
    <n v="374400"/>
    <n v="223926"/>
    <n v="294336"/>
    <n v="7.7541525613498949"/>
    <n v="2874278.01"/>
    <n v="892662"/>
    <n v="23.516788071183004"/>
    <n v="24.278409045668202"/>
    <n v="-0.78419826283967997"/>
  </r>
  <r>
    <s v="FTWA0434"/>
    <s v="台灣東芝國際採購股份有限公司"/>
    <n v="8"/>
    <x v="2"/>
    <s v="XPOS755P"/>
    <x v="29"/>
    <s v="F75T9102"/>
    <s v="XPOS755-T-5W-1900-00 W/64G SSD,4G RAM,ST-F20-14WS-CN-R"/>
    <n v="24"/>
    <n v="13361.75"/>
    <n v="12175.63"/>
    <n v="10287.995000000001"/>
    <n v="3073.7549999999992"/>
    <n v="1300"/>
    <n v="587.63"/>
    <n v="1887.63"/>
    <n v="1186.1249999999991"/>
    <n v="3036.24"/>
    <n v="10325.51"/>
    <n v="320682"/>
    <n v="292215"/>
    <n v="246911.88"/>
    <n v="31200"/>
    <n v="14103.119999999999"/>
    <n v="28467"/>
    <n v="8.8770183546316908"/>
    <n v="72869.740000000005"/>
    <n v="73770.12"/>
    <n v="23.004134937414634"/>
    <n v="77.276636817782105"/>
    <n v="-54.272539300615499"/>
  </r>
  <r>
    <s v="FTWA0434"/>
    <s v="台灣東芝國際採購股份有限公司"/>
    <n v="8"/>
    <x v="2"/>
    <s v="XPOS755P"/>
    <x v="29"/>
    <s v="F75T9200"/>
    <s v="XPOS755-T-5W-1900-04 W/64G SSD,4G RAM,ST-F20-1AWS-CN-R"/>
    <n v="48"/>
    <n v="13861.46"/>
    <n v="12444.25"/>
    <n v="10366.73"/>
    <n v="3494.7299999999996"/>
    <n v="1300"/>
    <n v="777.52"/>
    <n v="2077.52"/>
    <n v="1417.2099999999996"/>
    <n v="3036.24"/>
    <n v="10825.22"/>
    <n v="665350"/>
    <n v="597324"/>
    <n v="497603.04"/>
    <n v="62400"/>
    <n v="37320.959999999999"/>
    <n v="68026"/>
    <n v="10.224092582851132"/>
    <n v="145739.47"/>
    <n v="167746.96000000002"/>
    <n v="25.211837378823176"/>
    <n v="78.095818585706695"/>
    <n v="-52.883975195010102"/>
  </r>
  <r>
    <s v="FTWA0434"/>
    <s v="台灣東芝國際採購股份有限公司"/>
    <n v="8"/>
    <x v="2"/>
    <s v="2NDISPLAY"/>
    <x v="27"/>
    <s v="T100700A"/>
    <s v="SAMPLE:POS755-T 15&quot; 2ND DISPLAY,BLACK,NO HINGE,W/TOUCH,LCD"/>
    <n v="1"/>
    <n v="6027"/>
    <n v="4200"/>
    <n v="4200"/>
    <n v="1827"/>
    <n v="0"/>
    <n v="0"/>
    <n v="0"/>
    <n v="1827"/>
    <n v="0"/>
    <n v="6027"/>
    <n v="6027"/>
    <n v="4200"/>
    <n v="4200"/>
    <n v="0"/>
    <n v="0"/>
    <n v="1827"/>
    <n v="30.313588850174217"/>
    <n v="0"/>
    <n v="1827"/>
    <n v="30.313588850174217"/>
    <n v="100"/>
    <n v="-69.686411149825702"/>
  </r>
  <r>
    <s v="FTWA0434"/>
    <s v="台灣東芝國際採購股份有限公司"/>
    <n v="8"/>
    <x v="2"/>
    <s v="2NDISPLAY"/>
    <x v="27"/>
    <s v="T100700B"/>
    <s v="SAMPLE:POS755-T 15&quot; 2ND DISPLAY,BLACK,NO HINGE,NO TOUCH,"/>
    <n v="2"/>
    <n v="6027"/>
    <n v="4200"/>
    <n v="4200"/>
    <n v="1827"/>
    <n v="0"/>
    <n v="0"/>
    <n v="0"/>
    <n v="1827"/>
    <n v="0"/>
    <n v="6027"/>
    <n v="12054"/>
    <n v="8400"/>
    <n v="8400"/>
    <n v="0"/>
    <n v="0"/>
    <n v="3654"/>
    <n v="30.313588850174217"/>
    <n v="0"/>
    <n v="3654"/>
    <n v="30.313588850174217"/>
    <n v="100"/>
    <n v="-69.686411149825702"/>
  </r>
  <r>
    <s v="FTWA0434"/>
    <s v="台灣東芝國際採購股份有限公司"/>
    <n v="8"/>
    <x v="2"/>
    <s v="2NDISPLAY"/>
    <x v="27"/>
    <s v="T1007100"/>
    <s v="XPOS755-T 15&quot; 2ND DISPLAY,WHITE,NO HINGE,NO TOUCH,TFTST-F20-"/>
    <n v="24"/>
    <n v="4891.04"/>
    <n v="4536.38"/>
    <n v="4325.7349999999997"/>
    <n v="565.30500000000029"/>
    <n v="0"/>
    <n v="210.64"/>
    <n v="210.64"/>
    <n v="354.6650000000003"/>
    <n v="4323.74"/>
    <n v="567.29999999999995"/>
    <n v="117385"/>
    <n v="108873"/>
    <n v="103817.63999999998"/>
    <n v="0"/>
    <n v="5055.3599999999997"/>
    <n v="8512"/>
    <n v="7.2513523874430286"/>
    <n v="103769.85"/>
    <n v="13567.360000000015"/>
    <n v="11.558001448225937"/>
    <n v="11.598711794522201"/>
    <n v="-3.5097310900029801"/>
  </r>
  <r>
    <s v="FTWA0434"/>
    <s v="台灣東芝國際採購股份有限公司"/>
    <n v="8"/>
    <x v="2"/>
    <s v="2NDISPLAY"/>
    <x v="27"/>
    <s v="T1007106"/>
    <s v="XPOS755-T 15&quot; 2ND DISPLAY,BLACK,NO HINGE,NO TOUCH,"/>
    <n v="192"/>
    <n v="4739.6000000000004"/>
    <n v="4181.17"/>
    <n v="4079.4148047711724"/>
    <n v="660.18519522882798"/>
    <n v="0"/>
    <n v="101.75705000000001"/>
    <n v="101.75705000000001"/>
    <n v="558.42814522882793"/>
    <n v="4084.36"/>
    <n v="655.24"/>
    <n v="910004"/>
    <n v="802785"/>
    <n v="783247.64251606516"/>
    <n v="0"/>
    <n v="19537.353600000002"/>
    <n v="107219"/>
    <n v="11.78225590217186"/>
    <n v="784197.76"/>
    <n v="126756.35748393484"/>
    <n v="13.929208825888113"/>
    <n v="13.824801051423901"/>
    <n v="1.270851275379"/>
  </r>
  <r>
    <s v="FTWA0434"/>
    <s v="台灣東芝國際採購股份有限公司"/>
    <n v="8"/>
    <x v="2"/>
    <s v="2NDISPLAY"/>
    <x v="27"/>
    <s v="T1007107"/>
    <s v="XPOS755-T 15&quot; 2ND DISPLAY,WHITE W/INNISFREE LOGO,NO HINGE,"/>
    <n v="48"/>
    <n v="5299.88"/>
    <n v="4259.6899999999996"/>
    <n v="4149.0540186915887"/>
    <n v="1150.8259813084114"/>
    <n v="0"/>
    <n v="110.6335"/>
    <n v="110.6335"/>
    <n v="1040.1924813084115"/>
    <n v="4129.97"/>
    <n v="1169.9100000000001"/>
    <n v="254394"/>
    <n v="204465"/>
    <n v="199154.59289719624"/>
    <n v="0"/>
    <n v="5310.4079999999994"/>
    <n v="49929"/>
    <n v="19.62664213778627"/>
    <n v="198238.39"/>
    <n v="55239.407102803758"/>
    <n v="21.714115546280084"/>
    <n v="22.074267223283499"/>
    <n v="0.83334852237081003"/>
  </r>
  <r>
    <s v="FTWA0434"/>
    <s v="台灣東芝國際採購股份有限公司"/>
    <n v="8"/>
    <x v="2"/>
    <s v="ZXX"/>
    <x v="26"/>
    <s v="Z1300145"/>
    <s v="HINGE KIT:FOR 15&quot; 2ND DISPLAY,BLACK,KITTFT-F20-TM-B-QM-R"/>
    <n v="192"/>
    <n v="302.85000000000002"/>
    <n v="449.58"/>
    <n v="304.09653943652961"/>
    <n v="-1.2465394365295879"/>
    <n v="80"/>
    <n v="65.486800000000002"/>
    <n v="145.48680000000002"/>
    <n v="-146.7333394365296"/>
    <n v="304.31"/>
    <n v="-1.46"/>
    <n v="58147"/>
    <n v="86320"/>
    <n v="58386.535571813685"/>
    <n v="15360"/>
    <n v="12573.4656"/>
    <n v="-28173"/>
    <n v="-48.451338848091908"/>
    <n v="58426.81"/>
    <n v="-239.53557181368524"/>
    <n v="-0.41194828935918487"/>
    <n v="-0.48121072454296798"/>
    <n v="5.0667882536563598E-3"/>
  </r>
  <r>
    <s v="FTWA0434"/>
    <s v="台灣東芝國際採購股份有限公司"/>
    <n v="8"/>
    <x v="2"/>
    <s v="ZXX"/>
    <x v="26"/>
    <s v="Z1300146"/>
    <s v="HINGE KIT:FOR 15&quot; 2ND DISPLAY,WHITE,KITTFT-F20-TM-W-QM-R"/>
    <n v="48"/>
    <n v="302.83"/>
    <n v="448.42"/>
    <n v="314.01133120882025"/>
    <n v="-11.181331208820268"/>
    <n v="80"/>
    <n v="54.4054"/>
    <n v="134.40539999999999"/>
    <n v="-145.58673120882025"/>
    <n v="314.12"/>
    <n v="-11.29"/>
    <n v="14536"/>
    <n v="21524"/>
    <n v="15072.543898023372"/>
    <n v="3840"/>
    <n v="2611.4592000000002"/>
    <n v="-6988"/>
    <n v="-48.073747936158497"/>
    <n v="15077.98"/>
    <n v="-536.54389802337209"/>
    <n v="-3.6911385389610079"/>
    <n v="-3.7285250412768298"/>
    <n v="-2.7666483214088999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0000000}" name="樞紐分析表1" cacheId="2" autoFormatId="4101" applyNumberFormats="1" applyBorderFormats="1" applyFontFormats="1" applyPatternFormats="1" applyAlignmentFormats="1" applyWidthHeightFormats="1" dataCaption="資料" updatedVersion="3" asteriskTotals="1" showMemberPropertyTips="0" useAutoFormatting="1" itemPrintTitles="1" createdVersion="1" indent="0" compact="0" compactData="0" gridDropZones="1">
  <location ref="AH3:AR46" firstHeaderRow="0" firstDataRow="1" firstDataCol="2"/>
  <pivotFields count="32">
    <pivotField compact="0" showAll="0" includeNewItemsInFilter="1"/>
    <pivotField compact="0" showAll="0" includeNewItemsInFilter="1"/>
    <pivotField compact="0" multipleItemSelectionAllowed="1" showAll="0" includeNewItemsInFilter="1"/>
    <pivotField axis="axisRow" compact="0" showAll="0" insertBlankRow="1" includeNewItemsInFilter="1">
      <items count="4">
        <item x="1"/>
        <item x="0"/>
        <item x="2"/>
        <item t="default"/>
      </items>
    </pivotField>
    <pivotField compact="0" showAll="0" includeNewItemsInFilter="1"/>
    <pivotField axis="axisRow" compact="0" showAll="0" includeNewItemsInFilter="1" sortType="ascending" defaultSubtotal="0">
      <items count="33">
        <item x="27"/>
        <item x="30"/>
        <item x="28"/>
        <item x="20"/>
        <item x="0"/>
        <item x="1"/>
        <item x="31"/>
        <item x="23"/>
        <item x="29"/>
        <item x="24"/>
        <item x="19"/>
        <item x="21"/>
        <item x="32"/>
        <item x="22"/>
        <item x="25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6"/>
      </items>
    </pivotField>
    <pivotField compact="0" showAll="0" includeNewItemsInFilter="1"/>
    <pivotField compact="0" showAll="0" includeNewItemsInFilter="1"/>
    <pivotField dataField="1" compact="0" showAll="0" includeNewItemsInFilter="1"/>
    <pivotField compact="0" numFmtId="177" showAll="0" includeNewItemsInFilter="1"/>
    <pivotField compact="0" numFmtId="177" showAll="0" includeNewItemsInFilter="1"/>
    <pivotField compact="0" numFmtId="177" showAll="0" includeNewItemsInFilter="1"/>
    <pivotField compact="0" numFmtId="177" showAll="0" includeNewItemsInFilter="1"/>
    <pivotField compact="0" numFmtId="177" showAll="0" includeNewItemsInFilter="1"/>
    <pivotField compact="0" numFmtId="177" showAll="0" includeNewItemsInFilter="1"/>
    <pivotField compact="0" numFmtId="177" showAll="0" includeNewItemsInFilter="1"/>
    <pivotField compact="0" numFmtId="177" showAll="0" includeNewItemsInFilter="1"/>
    <pivotField compact="0" numFmtId="177" showAll="0" includeNewItemsInFilter="1"/>
    <pivotField compact="0" numFmtId="177" showAll="0" includeNewItemsInFilter="1"/>
    <pivotField dataField="1" compact="0" numFmtId="177" showAll="0" includeNewItemsInFilter="1"/>
    <pivotField dataField="1" compact="0" numFmtId="177" showAll="0" includeNewItemsInFilter="1"/>
    <pivotField dataField="1" compact="0" numFmtId="177" showAll="0" includeNewItemsInFilter="1"/>
    <pivotField dataField="1" compact="0" numFmtId="177" showAll="0" includeNewItemsInFilter="1"/>
    <pivotField dataField="1" compact="0" numFmtId="177" showAll="0" includeNewItemsInFilter="1"/>
    <pivotField dataField="1" compact="0" numFmtId="177" showAll="0" includeNewItemsInFilter="1"/>
    <pivotField compact="0" numFmtId="181" showAll="0" includeNewItemsInFilter="1"/>
    <pivotField compact="0" numFmtId="177" showAll="0" includeNewItemsInFilter="1"/>
    <pivotField dataField="1" compact="0" numFmtId="181" showAll="0" includeNewItemsInFilter="1"/>
    <pivotField compact="0" numFmtId="181" showAll="0" includeNewItemsInFilter="1"/>
    <pivotField compact="0" numFmtId="181" showAll="0" includeNewItemsInFilter="1"/>
    <pivotField compact="0" numFmtId="181" showAll="0" includeNewItemsInFilter="1"/>
    <pivotField dataField="1" compact="0" dragToRow="0" dragToCol="0" dragToPage="0" showAll="0" includeNewItemsInFilter="1" defaultSubtotal="0"/>
  </pivotFields>
  <rowFields count="2">
    <field x="3"/>
    <field x="5"/>
  </rowFields>
  <rowItems count="43">
    <i>
      <x/>
    </i>
    <i r="1"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32"/>
    </i>
    <i t="blank">
      <x/>
    </i>
    <i>
      <x v="1"/>
    </i>
    <i r="1">
      <x v="4"/>
    </i>
    <i r="1">
      <x v="5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t="blank">
      <x v="1"/>
    </i>
    <i>
      <x v="2"/>
    </i>
    <i r="1">
      <x/>
    </i>
    <i r="1">
      <x v="8"/>
    </i>
    <i r="1">
      <x v="32"/>
    </i>
    <i t="blank">
      <x v="2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Qty." fld="8" baseField="0" baseItem="0" numFmtId="38"/>
    <dataField name="Sales Amount." fld="19" baseField="0" baseItem="0" numFmtId="38"/>
    <dataField name="Cost Amount." fld="20" baseField="0" baseItem="0" numFmtId="38"/>
    <dataField name="Total Profit." fld="24" baseField="0" baseItem="0" numFmtId="38"/>
    <dataField name="Cost Amount(料)." fld="21" baseField="0" baseItem="0" numFmtId="38"/>
    <dataField name="Sub. Amount." fld="22" baseField="0" baseItem="0" numFmtId="38"/>
    <dataField name="Overhead Amount." fld="23" baseField="0" baseItem="0" numFmtId="38"/>
    <dataField name="Total MVA." fld="27" baseField="0" baseItem="0" numFmtId="38"/>
    <dataField name="平均值 MVA" fld="31" subtotal="average" baseField="0" baseItem="0" numFmtId="10"/>
  </dataFields>
  <formats count="12">
    <format dxfId="11">
      <pivotArea outline="0" fieldPosition="0">
        <references count="1">
          <reference field="4294967294" count="1" selected="0">
            <x v="8"/>
          </reference>
        </references>
      </pivotArea>
    </format>
    <format dxfId="10">
      <pivotArea type="all" dataOnly="0" outline="0" fieldPosition="0"/>
    </format>
    <format dxfId="9">
      <pivotArea fieldPosition="0">
        <references count="2">
          <reference field="3" count="1" selected="0">
            <x v="1"/>
          </reference>
          <reference field="5" count="1">
            <x v="15"/>
          </reference>
        </references>
      </pivotArea>
    </format>
    <format dxfId="8">
      <pivotArea dataOnly="0" labelOnly="1" outline="0" fieldPosition="0">
        <references count="1">
          <reference field="3" count="1">
            <x v="1"/>
          </reference>
        </references>
      </pivotArea>
    </format>
    <format dxfId="7">
      <pivotArea dataOnly="0" labelOnly="1" fieldPosition="0">
        <references count="2">
          <reference field="3" count="1" selected="0">
            <x v="1"/>
          </reference>
          <reference field="5" count="1">
            <x v="15"/>
          </reference>
        </references>
      </pivotArea>
    </format>
    <format dxfId="6">
      <pivotArea dataOnly="0" labelOnly="1" offset="A1" fieldPosition="0">
        <references count="1">
          <reference field="3" count="1">
            <x v="1"/>
          </reference>
        </references>
      </pivotArea>
    </format>
    <format dxfId="5">
      <pivotArea dataOnly="0" labelOnly="1" offset="A1" fieldPosition="0">
        <references count="1">
          <reference field="3" count="1">
            <x v="1"/>
          </reference>
        </references>
      </pivotArea>
    </format>
    <format dxfId="4">
      <pivotArea field="3" grandRow="1" outline="0" axis="axisRow" fieldPosition="0">
        <references count="1">
          <reference field="4294967294" count="1" selected="0">
            <x v="0"/>
          </reference>
        </references>
      </pivotArea>
    </format>
    <format dxfId="3">
      <pivotArea outline="0" fieldPosition="0">
        <references count="1">
          <reference field="4294967294" count="1">
            <x v="0"/>
          </reference>
        </references>
      </pivotArea>
    </format>
    <format dxfId="2">
      <pivotArea outline="0" fieldPosition="0">
        <references count="1">
          <reference field="4294967294" count="8" selected="0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">
      <pivotArea type="all" dataOnly="0" outline="0" fieldPosition="0"/>
    </format>
    <format dxfId="0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DU51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19" sqref="B19"/>
    </sheetView>
  </sheetViews>
  <sheetFormatPr baseColWidth="10" defaultColWidth="9.19921875" defaultRowHeight="13" outlineLevelRow="1" outlineLevelCol="1"/>
  <cols>
    <col min="1" max="1" width="23" style="2" bestFit="1" customWidth="1"/>
    <col min="2" max="2" width="12.19921875" style="2" customWidth="1" outlineLevel="1"/>
    <col min="3" max="3" width="11.59765625" style="2" customWidth="1" outlineLevel="1"/>
    <col min="4" max="4" width="12.19921875" style="2" customWidth="1" outlineLevel="1"/>
    <col min="5" max="5" width="12.19921875" style="2" bestFit="1" customWidth="1"/>
    <col min="6" max="7" width="13.796875" style="2" bestFit="1" customWidth="1" outlineLevel="1"/>
    <col min="8" max="8" width="11.59765625" style="2" customWidth="1" outlineLevel="1"/>
    <col min="9" max="9" width="12.19921875" style="2" bestFit="1" customWidth="1"/>
    <col min="10" max="10" width="11.59765625" style="2" customWidth="1"/>
    <col min="11" max="11" width="12.796875" style="2" customWidth="1"/>
    <col min="12" max="12" width="13" style="2" hidden="1" customWidth="1" outlineLevel="1"/>
    <col min="13" max="13" width="13" style="2" customWidth="1" collapsed="1"/>
    <col min="14" max="16" width="13" style="2" hidden="1" customWidth="1" outlineLevel="1"/>
    <col min="17" max="17" width="13" style="2" hidden="1" customWidth="1" collapsed="1"/>
    <col min="18" max="19" width="12.19921875" style="2" customWidth="1"/>
    <col min="20" max="20" width="12.19921875" style="2" bestFit="1" customWidth="1"/>
    <col min="21" max="21" width="11.796875" style="2" hidden="1" customWidth="1" outlineLevel="1"/>
    <col min="22" max="23" width="11.59765625" style="2" hidden="1" customWidth="1" outlineLevel="1"/>
    <col min="24" max="24" width="12.796875" style="2" hidden="1" customWidth="1" outlineLevel="1"/>
    <col min="25" max="27" width="11.59765625" style="2" hidden="1" customWidth="1" outlineLevel="1"/>
    <col min="28" max="28" width="12.796875" style="2" hidden="1" customWidth="1" outlineLevel="1"/>
    <col min="29" max="30" width="11.59765625" style="2" hidden="1" customWidth="1" outlineLevel="1"/>
    <col min="31" max="31" width="13" style="2" hidden="1" customWidth="1" outlineLevel="1"/>
    <col min="32" max="32" width="12.796875" style="2" hidden="1" customWidth="1" outlineLevel="1"/>
    <col min="33" max="35" width="11.59765625" style="2" hidden="1" customWidth="1" outlineLevel="1"/>
    <col min="36" max="38" width="12.796875" style="2" hidden="1" customWidth="1" outlineLevel="1"/>
    <col min="39" max="39" width="15.19921875" style="2" bestFit="1" customWidth="1" collapsed="1"/>
    <col min="40" max="42" width="11.59765625" style="2" hidden="1" customWidth="1" outlineLevel="1"/>
    <col min="43" max="43" width="12.796875" style="2" hidden="1" customWidth="1" outlineLevel="1"/>
    <col min="44" max="46" width="11.59765625" style="2" hidden="1" customWidth="1" outlineLevel="1"/>
    <col min="47" max="47" width="12.796875" style="2" hidden="1" customWidth="1" outlineLevel="1"/>
    <col min="48" max="48" width="12.19921875" style="2" hidden="1" customWidth="1" outlineLevel="1"/>
    <col min="49" max="50" width="11.59765625" style="2" hidden="1" customWidth="1" outlineLevel="1"/>
    <col min="51" max="51" width="12.19921875" style="2" hidden="1" customWidth="1" outlineLevel="1"/>
    <col min="52" max="52" width="11.59765625" style="2" hidden="1" customWidth="1" outlineLevel="1"/>
    <col min="53" max="54" width="13" style="2" hidden="1" customWidth="1" outlineLevel="1"/>
    <col min="55" max="57" width="12.796875" style="2" hidden="1" customWidth="1" outlineLevel="1"/>
    <col min="58" max="58" width="15.19921875" style="2" bestFit="1" customWidth="1" collapsed="1"/>
    <col min="59" max="74" width="11.59765625" style="2" hidden="1" customWidth="1" outlineLevel="1"/>
    <col min="75" max="76" width="12.796875" style="2" hidden="1" customWidth="1" outlineLevel="1"/>
    <col min="77" max="77" width="15.19921875" style="2" bestFit="1" customWidth="1" collapsed="1"/>
    <col min="78" max="80" width="11.59765625" style="2" hidden="1" customWidth="1" outlineLevel="1"/>
    <col min="81" max="81" width="11.59765625" style="2" hidden="1" customWidth="1" outlineLevel="1" collapsed="1"/>
    <col min="82" max="93" width="11.59765625" style="2" hidden="1" customWidth="1" outlineLevel="1"/>
    <col min="94" max="95" width="12.796875" style="2" hidden="1" customWidth="1" outlineLevel="1"/>
    <col min="96" max="96" width="15.19921875" style="2" bestFit="1" customWidth="1" collapsed="1"/>
    <col min="97" max="99" width="11.59765625" style="2" hidden="1" customWidth="1" outlineLevel="1"/>
    <col min="100" max="100" width="12.19921875" style="2" hidden="1" customWidth="1" outlineLevel="1" collapsed="1"/>
    <col min="101" max="102" width="11.59765625" style="2" hidden="1" customWidth="1" outlineLevel="1"/>
    <col min="103" max="104" width="12.19921875" style="2" hidden="1" customWidth="1" outlineLevel="1"/>
    <col min="105" max="105" width="11.59765625" style="2" hidden="1" customWidth="1" outlineLevel="1"/>
    <col min="106" max="110" width="12.19921875" style="2" hidden="1" customWidth="1" outlineLevel="1"/>
    <col min="111" max="111" width="11.59765625" style="2" hidden="1" customWidth="1" outlineLevel="1"/>
    <col min="112" max="112" width="12.19921875" style="2" hidden="1" customWidth="1" outlineLevel="1"/>
    <col min="113" max="114" width="12.796875" style="2" hidden="1" customWidth="1" outlineLevel="1"/>
    <col min="115" max="115" width="15.19921875" style="2" bestFit="1" customWidth="1" collapsed="1"/>
    <col min="116" max="116" width="12.796875" style="3" hidden="1" customWidth="1" outlineLevel="1"/>
    <col min="117" max="117" width="12.796875" style="4" hidden="1" customWidth="1" outlineLevel="1"/>
    <col min="118" max="118" width="12.796875" style="3" hidden="1" customWidth="1" outlineLevel="1"/>
    <col min="119" max="119" width="12.796875" style="4" hidden="1" customWidth="1" outlineLevel="1"/>
    <col min="120" max="120" width="12.796875" style="3" hidden="1" customWidth="1" outlineLevel="1"/>
    <col min="121" max="121" width="12.796875" style="4" hidden="1" customWidth="1" outlineLevel="1"/>
    <col min="122" max="122" width="12.796875" style="3" hidden="1" customWidth="1" outlineLevel="1"/>
    <col min="123" max="123" width="12.796875" style="4" hidden="1" customWidth="1" outlineLevel="1"/>
    <col min="124" max="124" width="14.796875" style="3" customWidth="1" collapsed="1"/>
    <col min="125" max="125" width="14.3984375" style="4" customWidth="1"/>
    <col min="126" max="16384" width="9.19921875" style="3"/>
  </cols>
  <sheetData>
    <row r="1" spans="1:125">
      <c r="A1" s="1" t="s">
        <v>945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S1" s="1"/>
      <c r="CT1" s="1"/>
      <c r="CU1" s="1"/>
      <c r="CV1" s="1"/>
      <c r="DA1" s="1"/>
      <c r="DB1" s="1"/>
      <c r="DC1" s="1"/>
      <c r="DD1" s="1"/>
      <c r="DE1" s="1"/>
      <c r="DF1" s="1"/>
      <c r="DG1" s="1"/>
      <c r="DH1" s="1"/>
    </row>
    <row r="2" spans="1:125">
      <c r="A2" s="1" t="s">
        <v>946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5"/>
      <c r="CB2" s="1"/>
      <c r="CC2" s="1"/>
      <c r="CS2" s="1"/>
      <c r="CT2" s="1"/>
      <c r="CU2" s="1"/>
      <c r="CV2" s="1"/>
      <c r="DA2" s="1"/>
      <c r="DB2" s="1"/>
      <c r="DC2" s="1"/>
      <c r="DD2" s="1"/>
      <c r="DE2" s="1"/>
      <c r="DF2" s="1"/>
      <c r="DG2" s="1"/>
      <c r="DH2" s="1"/>
    </row>
    <row r="3" spans="1:1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S3" s="1"/>
      <c r="CT3" s="1"/>
      <c r="CU3" s="1"/>
      <c r="CV3" s="1"/>
      <c r="DA3" s="1"/>
      <c r="DB3" s="1"/>
      <c r="DC3" s="1"/>
      <c r="DD3" s="1"/>
      <c r="DE3" s="1"/>
      <c r="DF3" s="1"/>
      <c r="DG3" s="1"/>
      <c r="DH3" s="1"/>
    </row>
    <row r="4" spans="1:125" ht="14" thickBo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7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6"/>
      <c r="CT4" s="6"/>
      <c r="CU4" s="6"/>
      <c r="CV4" s="6"/>
      <c r="CW4" s="8"/>
      <c r="CX4" s="8"/>
      <c r="CY4" s="8"/>
      <c r="CZ4" s="8"/>
      <c r="DA4" s="6"/>
      <c r="DB4" s="6"/>
      <c r="DC4" s="6"/>
      <c r="DD4" s="6"/>
      <c r="DE4" s="6"/>
      <c r="DF4" s="6"/>
      <c r="DG4" s="6"/>
      <c r="DH4" s="6"/>
      <c r="DI4" s="8"/>
      <c r="DJ4" s="8"/>
      <c r="DK4" s="8"/>
      <c r="DL4" s="9"/>
      <c r="DM4" s="10"/>
      <c r="DN4" s="9"/>
      <c r="DO4" s="10"/>
      <c r="DP4" s="9"/>
      <c r="DQ4" s="10"/>
      <c r="DR4" s="9"/>
      <c r="DS4" s="10"/>
      <c r="DT4" s="9"/>
      <c r="DU4" s="10"/>
    </row>
    <row r="5" spans="1:125" ht="14.25" customHeight="1">
      <c r="A5" s="11"/>
      <c r="B5" s="1186">
        <v>2017</v>
      </c>
      <c r="C5" s="1186"/>
      <c r="D5" s="1186"/>
      <c r="E5" s="1186"/>
      <c r="F5" s="1186"/>
      <c r="G5" s="1186"/>
      <c r="H5" s="1186"/>
      <c r="I5" s="1186"/>
      <c r="J5" s="1186"/>
      <c r="K5" s="1186"/>
      <c r="L5" s="1186"/>
      <c r="M5" s="1186"/>
      <c r="N5" s="1186"/>
      <c r="O5" s="1186"/>
      <c r="P5" s="1186"/>
      <c r="Q5" s="1186"/>
      <c r="R5" s="1186"/>
      <c r="S5" s="370"/>
      <c r="T5" s="370">
        <v>2017</v>
      </c>
      <c r="U5" s="1191">
        <v>2016</v>
      </c>
      <c r="V5" s="1191"/>
      <c r="W5" s="1191"/>
      <c r="X5" s="1191"/>
      <c r="Y5" s="1191"/>
      <c r="Z5" s="1191"/>
      <c r="AA5" s="1191"/>
      <c r="AB5" s="1191"/>
      <c r="AC5" s="1191"/>
      <c r="AD5" s="1191"/>
      <c r="AE5" s="1191"/>
      <c r="AF5" s="1191"/>
      <c r="AG5" s="1191"/>
      <c r="AH5" s="1191"/>
      <c r="AI5" s="1191"/>
      <c r="AJ5" s="1191"/>
      <c r="AK5" s="1191"/>
      <c r="AL5" s="12"/>
      <c r="AM5" s="12">
        <v>2016</v>
      </c>
      <c r="AN5" s="1187">
        <v>2015</v>
      </c>
      <c r="AO5" s="1187"/>
      <c r="AP5" s="1187"/>
      <c r="AQ5" s="1187"/>
      <c r="AR5" s="1187"/>
      <c r="AS5" s="1187"/>
      <c r="AT5" s="1187"/>
      <c r="AU5" s="1187"/>
      <c r="AV5" s="1187"/>
      <c r="AW5" s="1187"/>
      <c r="AX5" s="1187"/>
      <c r="AY5" s="1187"/>
      <c r="AZ5" s="1187"/>
      <c r="BA5" s="1187"/>
      <c r="BB5" s="1187"/>
      <c r="BC5" s="1187"/>
      <c r="BD5" s="1187"/>
      <c r="BE5" s="13"/>
      <c r="BF5" s="14">
        <v>2015</v>
      </c>
      <c r="BG5" s="1189">
        <v>2014</v>
      </c>
      <c r="BH5" s="1189"/>
      <c r="BI5" s="1189"/>
      <c r="BJ5" s="1189"/>
      <c r="BK5" s="1189"/>
      <c r="BL5" s="1189"/>
      <c r="BM5" s="1189"/>
      <c r="BN5" s="1189"/>
      <c r="BO5" s="1189"/>
      <c r="BP5" s="1189"/>
      <c r="BQ5" s="1189"/>
      <c r="BR5" s="1189"/>
      <c r="BS5" s="1189"/>
      <c r="BT5" s="1189"/>
      <c r="BU5" s="1189"/>
      <c r="BV5" s="1189"/>
      <c r="BW5" s="1189"/>
      <c r="BX5" s="15"/>
      <c r="BY5" s="16">
        <v>2014</v>
      </c>
      <c r="BZ5" s="1190">
        <v>2013</v>
      </c>
      <c r="CA5" s="1190"/>
      <c r="CB5" s="1190"/>
      <c r="CC5" s="1190"/>
      <c r="CD5" s="1190"/>
      <c r="CE5" s="1190"/>
      <c r="CF5" s="1190"/>
      <c r="CG5" s="1190"/>
      <c r="CH5" s="1190"/>
      <c r="CI5" s="1190"/>
      <c r="CJ5" s="1190"/>
      <c r="CK5" s="1190"/>
      <c r="CL5" s="1190"/>
      <c r="CM5" s="1190"/>
      <c r="CN5" s="1190"/>
      <c r="CO5" s="1190"/>
      <c r="CP5" s="1190"/>
      <c r="CQ5" s="17"/>
      <c r="CR5" s="18">
        <v>2013</v>
      </c>
      <c r="CS5" s="1188">
        <v>2012</v>
      </c>
      <c r="CT5" s="1188"/>
      <c r="CU5" s="1188"/>
      <c r="CV5" s="1188"/>
      <c r="CW5" s="1188"/>
      <c r="CX5" s="1188"/>
      <c r="CY5" s="1188"/>
      <c r="CZ5" s="1188"/>
      <c r="DA5" s="1188"/>
      <c r="DB5" s="1188"/>
      <c r="DC5" s="1188"/>
      <c r="DD5" s="1188"/>
      <c r="DE5" s="1188"/>
      <c r="DF5" s="1188"/>
      <c r="DG5" s="1188"/>
      <c r="DH5" s="1188"/>
      <c r="DI5" s="1188"/>
      <c r="DJ5" s="1188"/>
      <c r="DK5" s="1188"/>
      <c r="DL5" s="19" t="s">
        <v>947</v>
      </c>
      <c r="DM5" s="4" t="s">
        <v>585</v>
      </c>
      <c r="DN5" s="19" t="s">
        <v>948</v>
      </c>
      <c r="DO5" s="4" t="s">
        <v>586</v>
      </c>
      <c r="DP5" s="19" t="s">
        <v>949</v>
      </c>
      <c r="DQ5" s="4" t="s">
        <v>949</v>
      </c>
      <c r="DR5" s="372" t="s">
        <v>1255</v>
      </c>
      <c r="DS5" s="4" t="s">
        <v>1254</v>
      </c>
      <c r="DT5" s="372" t="s">
        <v>1783</v>
      </c>
      <c r="DU5" s="4" t="s">
        <v>1784</v>
      </c>
    </row>
    <row r="6" spans="1:125" ht="14" thickBot="1">
      <c r="A6" s="8"/>
      <c r="B6" s="371" t="s">
        <v>487</v>
      </c>
      <c r="C6" s="371" t="s">
        <v>355</v>
      </c>
      <c r="D6" s="371" t="s">
        <v>356</v>
      </c>
      <c r="E6" s="371" t="s">
        <v>14</v>
      </c>
      <c r="F6" s="371" t="s">
        <v>357</v>
      </c>
      <c r="G6" s="371" t="s">
        <v>358</v>
      </c>
      <c r="H6" s="371" t="s">
        <v>359</v>
      </c>
      <c r="I6" s="371" t="s">
        <v>15</v>
      </c>
      <c r="J6" s="371" t="s">
        <v>360</v>
      </c>
      <c r="K6" s="371" t="s">
        <v>361</v>
      </c>
      <c r="L6" s="371" t="s">
        <v>362</v>
      </c>
      <c r="M6" s="371" t="s">
        <v>16</v>
      </c>
      <c r="N6" s="371" t="s">
        <v>363</v>
      </c>
      <c r="O6" s="371" t="s">
        <v>364</v>
      </c>
      <c r="P6" s="371" t="s">
        <v>365</v>
      </c>
      <c r="Q6" s="371" t="s">
        <v>17</v>
      </c>
      <c r="R6" s="371" t="s">
        <v>536</v>
      </c>
      <c r="S6" s="371" t="s">
        <v>603</v>
      </c>
      <c r="T6" s="371" t="s">
        <v>928</v>
      </c>
      <c r="U6" s="20" t="s">
        <v>487</v>
      </c>
      <c r="V6" s="20" t="s">
        <v>355</v>
      </c>
      <c r="W6" s="20" t="s">
        <v>356</v>
      </c>
      <c r="X6" s="20" t="s">
        <v>14</v>
      </c>
      <c r="Y6" s="20" t="s">
        <v>357</v>
      </c>
      <c r="Z6" s="20" t="s">
        <v>358</v>
      </c>
      <c r="AA6" s="20" t="s">
        <v>359</v>
      </c>
      <c r="AB6" s="20" t="s">
        <v>15</v>
      </c>
      <c r="AC6" s="20" t="s">
        <v>360</v>
      </c>
      <c r="AD6" s="20" t="s">
        <v>361</v>
      </c>
      <c r="AE6" s="20" t="s">
        <v>362</v>
      </c>
      <c r="AF6" s="20" t="s">
        <v>16</v>
      </c>
      <c r="AG6" s="20" t="s">
        <v>363</v>
      </c>
      <c r="AH6" s="20" t="s">
        <v>364</v>
      </c>
      <c r="AI6" s="20" t="s">
        <v>365</v>
      </c>
      <c r="AJ6" s="20" t="s">
        <v>17</v>
      </c>
      <c r="AK6" s="20" t="s">
        <v>536</v>
      </c>
      <c r="AL6" s="20" t="s">
        <v>603</v>
      </c>
      <c r="AM6" s="20" t="s">
        <v>1782</v>
      </c>
      <c r="AN6" s="21" t="s">
        <v>487</v>
      </c>
      <c r="AO6" s="21" t="s">
        <v>355</v>
      </c>
      <c r="AP6" s="21" t="s">
        <v>356</v>
      </c>
      <c r="AQ6" s="21" t="s">
        <v>14</v>
      </c>
      <c r="AR6" s="21" t="s">
        <v>357</v>
      </c>
      <c r="AS6" s="21" t="s">
        <v>358</v>
      </c>
      <c r="AT6" s="21" t="s">
        <v>359</v>
      </c>
      <c r="AU6" s="21" t="s">
        <v>15</v>
      </c>
      <c r="AV6" s="21" t="s">
        <v>360</v>
      </c>
      <c r="AW6" s="21" t="s">
        <v>361</v>
      </c>
      <c r="AX6" s="21" t="s">
        <v>362</v>
      </c>
      <c r="AY6" s="21" t="s">
        <v>16</v>
      </c>
      <c r="AZ6" s="21" t="s">
        <v>363</v>
      </c>
      <c r="BA6" s="21" t="s">
        <v>364</v>
      </c>
      <c r="BB6" s="21" t="s">
        <v>365</v>
      </c>
      <c r="BC6" s="21" t="s">
        <v>17</v>
      </c>
      <c r="BD6" s="21" t="s">
        <v>536</v>
      </c>
      <c r="BE6" s="22" t="s">
        <v>950</v>
      </c>
      <c r="BF6" s="21" t="s">
        <v>951</v>
      </c>
      <c r="BG6" s="23" t="s">
        <v>487</v>
      </c>
      <c r="BH6" s="23" t="s">
        <v>355</v>
      </c>
      <c r="BI6" s="23" t="s">
        <v>356</v>
      </c>
      <c r="BJ6" s="23" t="s">
        <v>14</v>
      </c>
      <c r="BK6" s="23" t="s">
        <v>357</v>
      </c>
      <c r="BL6" s="23" t="s">
        <v>358</v>
      </c>
      <c r="BM6" s="23" t="s">
        <v>359</v>
      </c>
      <c r="BN6" s="23" t="s">
        <v>15</v>
      </c>
      <c r="BO6" s="23" t="s">
        <v>360</v>
      </c>
      <c r="BP6" s="23" t="s">
        <v>361</v>
      </c>
      <c r="BQ6" s="23" t="s">
        <v>362</v>
      </c>
      <c r="BR6" s="23" t="s">
        <v>16</v>
      </c>
      <c r="BS6" s="23" t="s">
        <v>363</v>
      </c>
      <c r="BT6" s="23" t="s">
        <v>364</v>
      </c>
      <c r="BU6" s="23" t="s">
        <v>365</v>
      </c>
      <c r="BV6" s="23" t="s">
        <v>17</v>
      </c>
      <c r="BW6" s="23" t="s">
        <v>536</v>
      </c>
      <c r="BX6" s="24" t="s">
        <v>950</v>
      </c>
      <c r="BY6" s="23" t="s">
        <v>928</v>
      </c>
      <c r="BZ6" s="25" t="s">
        <v>952</v>
      </c>
      <c r="CA6" s="25" t="s">
        <v>953</v>
      </c>
      <c r="CB6" s="25" t="s">
        <v>954</v>
      </c>
      <c r="CC6" s="25" t="s">
        <v>955</v>
      </c>
      <c r="CD6" s="25" t="s">
        <v>956</v>
      </c>
      <c r="CE6" s="25" t="s">
        <v>957</v>
      </c>
      <c r="CF6" s="25" t="s">
        <v>958</v>
      </c>
      <c r="CG6" s="25" t="s">
        <v>959</v>
      </c>
      <c r="CH6" s="25" t="s">
        <v>960</v>
      </c>
      <c r="CI6" s="25" t="s">
        <v>961</v>
      </c>
      <c r="CJ6" s="25" t="s">
        <v>962</v>
      </c>
      <c r="CK6" s="25" t="s">
        <v>963</v>
      </c>
      <c r="CL6" s="26" t="s">
        <v>964</v>
      </c>
      <c r="CM6" s="26" t="s">
        <v>364</v>
      </c>
      <c r="CN6" s="26" t="s">
        <v>365</v>
      </c>
      <c r="CO6" s="25" t="s">
        <v>965</v>
      </c>
      <c r="CP6" s="25" t="s">
        <v>966</v>
      </c>
      <c r="CQ6" s="25" t="s">
        <v>967</v>
      </c>
      <c r="CR6" s="26" t="s">
        <v>968</v>
      </c>
      <c r="CS6" s="27" t="s">
        <v>952</v>
      </c>
      <c r="CT6" s="27" t="s">
        <v>953</v>
      </c>
      <c r="CU6" s="27" t="s">
        <v>954</v>
      </c>
      <c r="CV6" s="27" t="s">
        <v>955</v>
      </c>
      <c r="CW6" s="27" t="s">
        <v>956</v>
      </c>
      <c r="CX6" s="27" t="s">
        <v>957</v>
      </c>
      <c r="CY6" s="27" t="s">
        <v>958</v>
      </c>
      <c r="CZ6" s="27" t="s">
        <v>959</v>
      </c>
      <c r="DA6" s="27" t="s">
        <v>360</v>
      </c>
      <c r="DB6" s="27" t="s">
        <v>361</v>
      </c>
      <c r="DC6" s="27" t="s">
        <v>362</v>
      </c>
      <c r="DD6" s="27" t="s">
        <v>963</v>
      </c>
      <c r="DE6" s="27" t="s">
        <v>363</v>
      </c>
      <c r="DF6" s="27" t="s">
        <v>364</v>
      </c>
      <c r="DG6" s="27" t="s">
        <v>365</v>
      </c>
      <c r="DH6" s="27" t="s">
        <v>17</v>
      </c>
      <c r="DI6" s="27" t="s">
        <v>966</v>
      </c>
      <c r="DJ6" s="28" t="s">
        <v>13</v>
      </c>
      <c r="DK6" s="28" t="s">
        <v>951</v>
      </c>
      <c r="DL6" s="29" t="s">
        <v>969</v>
      </c>
      <c r="DM6" s="30" t="s">
        <v>970</v>
      </c>
      <c r="DN6" s="29" t="s">
        <v>969</v>
      </c>
      <c r="DO6" s="30" t="s">
        <v>970</v>
      </c>
      <c r="DP6" s="29" t="s">
        <v>969</v>
      </c>
      <c r="DQ6" s="30" t="s">
        <v>970</v>
      </c>
      <c r="DR6" s="373" t="s">
        <v>969</v>
      </c>
      <c r="DS6" s="30" t="s">
        <v>970</v>
      </c>
      <c r="DT6" s="373" t="s">
        <v>969</v>
      </c>
      <c r="DU6" s="30" t="s">
        <v>970</v>
      </c>
    </row>
    <row r="7" spans="1:125">
      <c r="A7" s="1" t="s">
        <v>971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374"/>
      <c r="AN7" s="31"/>
      <c r="AO7" s="31"/>
      <c r="AP7" s="31"/>
      <c r="AQ7" s="32"/>
      <c r="AR7" s="31"/>
      <c r="AS7" s="31"/>
      <c r="AT7" s="31"/>
      <c r="AU7" s="32"/>
      <c r="AV7" s="31"/>
      <c r="AW7" s="31"/>
      <c r="AX7" s="31"/>
      <c r="AY7" s="32"/>
      <c r="AZ7" s="31"/>
      <c r="BA7" s="31"/>
      <c r="BB7" s="31"/>
      <c r="BC7" s="32"/>
      <c r="BD7" s="32"/>
      <c r="BE7" s="32"/>
      <c r="BF7" s="32"/>
      <c r="BG7" s="1"/>
      <c r="BH7" s="1"/>
      <c r="BI7" s="1"/>
      <c r="BJ7" s="33"/>
      <c r="BK7" s="1"/>
      <c r="BL7" s="1"/>
      <c r="BM7" s="1"/>
      <c r="BN7" s="33"/>
      <c r="BO7" s="1"/>
      <c r="BP7" s="1"/>
      <c r="BQ7" s="1"/>
      <c r="BR7" s="33"/>
      <c r="BS7" s="1"/>
      <c r="BT7" s="1"/>
      <c r="BU7" s="1"/>
      <c r="BV7" s="33"/>
      <c r="BW7" s="33"/>
      <c r="BX7" s="34"/>
      <c r="BY7" s="33"/>
      <c r="BZ7" s="5"/>
      <c r="CA7" s="5"/>
      <c r="CB7" s="5"/>
      <c r="CC7" s="35"/>
      <c r="CD7" s="5"/>
      <c r="CE7" s="36"/>
      <c r="CF7" s="36"/>
      <c r="CG7" s="37"/>
      <c r="CH7" s="5"/>
      <c r="CI7" s="36"/>
      <c r="CJ7" s="36"/>
      <c r="CK7" s="37"/>
      <c r="CL7" s="36"/>
      <c r="CM7" s="36"/>
      <c r="CN7" s="36"/>
      <c r="CO7" s="37"/>
      <c r="CP7" s="37"/>
      <c r="CQ7" s="37"/>
      <c r="CR7" s="38"/>
      <c r="CS7" s="5"/>
      <c r="CT7" s="5"/>
      <c r="CU7" s="5"/>
      <c r="CV7" s="39"/>
      <c r="CW7" s="5"/>
      <c r="CX7" s="36"/>
      <c r="CY7" s="36"/>
      <c r="CZ7" s="40"/>
      <c r="DA7" s="5"/>
      <c r="DB7" s="5"/>
      <c r="DC7" s="5"/>
      <c r="DD7" s="39"/>
      <c r="DE7" s="5"/>
      <c r="DF7" s="5"/>
      <c r="DG7" s="5"/>
      <c r="DH7" s="39"/>
      <c r="DI7" s="40"/>
      <c r="DJ7" s="40"/>
      <c r="DK7" s="40"/>
      <c r="DL7" s="41"/>
    </row>
    <row r="8" spans="1:125">
      <c r="A8" s="42" t="s">
        <v>932</v>
      </c>
      <c r="B8" s="5">
        <f>'2017 預算'!C8</f>
        <v>4501975</v>
      </c>
      <c r="C8" s="43">
        <f>'2017 預算'!F8</f>
        <v>4505830</v>
      </c>
      <c r="D8" s="5">
        <f>'2017 預算'!I8</f>
        <v>28499391</v>
      </c>
      <c r="E8" s="5">
        <f>SUM(B8:D8)</f>
        <v>37507196</v>
      </c>
      <c r="F8" s="5">
        <f>'2017 預算'!O8</f>
        <v>4764667</v>
      </c>
      <c r="G8" s="5">
        <f>'2017 預算'!R8</f>
        <v>12977408.770000001</v>
      </c>
      <c r="H8" s="5">
        <f>'2017 預算'!U8</f>
        <v>14460790</v>
      </c>
      <c r="I8" s="5">
        <f t="shared" ref="I8:I12" si="0">SUM(F8:H8)</f>
        <v>32202865.770000003</v>
      </c>
      <c r="J8" s="5">
        <f>'2017 預算'!AA8</f>
        <v>5214450</v>
      </c>
      <c r="K8" s="5">
        <f>'2017 預算'!AD8</f>
        <v>9660426</v>
      </c>
      <c r="L8" s="5">
        <f>'2017 預算'!AG8</f>
        <v>0</v>
      </c>
      <c r="M8" s="5">
        <f t="shared" ref="M8:M12" si="1">SUM(J8:L8)</f>
        <v>14874876</v>
      </c>
      <c r="N8" s="5">
        <f>'2017 預算'!AM8</f>
        <v>0</v>
      </c>
      <c r="O8" s="5">
        <f>'2017 預算'!AP8</f>
        <v>0</v>
      </c>
      <c r="P8" s="5">
        <f>'2017 預算'!AS8</f>
        <v>0</v>
      </c>
      <c r="Q8" s="5">
        <f t="shared" ref="Q8:Q12" si="2">SUM(N8:P8)</f>
        <v>0</v>
      </c>
      <c r="R8" s="5">
        <f t="shared" ref="R8:R12" si="3">E8+I8</f>
        <v>69710061.770000011</v>
      </c>
      <c r="S8" s="5">
        <f t="shared" ref="S8:S12" si="4">E8+I8+M8</f>
        <v>84584937.770000011</v>
      </c>
      <c r="T8" s="5">
        <f>E8+I8+M8+Q8</f>
        <v>84584937.770000011</v>
      </c>
      <c r="U8" s="5">
        <v>7568868</v>
      </c>
      <c r="V8" s="43">
        <v>7155302</v>
      </c>
      <c r="W8" s="5">
        <v>22046986</v>
      </c>
      <c r="X8" s="5">
        <v>36771156</v>
      </c>
      <c r="Y8" s="5">
        <v>11551044</v>
      </c>
      <c r="Z8" s="5">
        <v>14260246</v>
      </c>
      <c r="AA8" s="5">
        <v>21719958</v>
      </c>
      <c r="AB8" s="5">
        <v>47531248</v>
      </c>
      <c r="AC8" s="5">
        <v>13786404</v>
      </c>
      <c r="AD8" s="5">
        <v>21656673</v>
      </c>
      <c r="AE8" s="5">
        <v>15427205</v>
      </c>
      <c r="AF8" s="5">
        <v>50870282</v>
      </c>
      <c r="AG8" s="5">
        <v>4186210</v>
      </c>
      <c r="AH8" s="5">
        <v>5821279</v>
      </c>
      <c r="AI8" s="5">
        <v>30182961</v>
      </c>
      <c r="AJ8" s="5">
        <v>40190450</v>
      </c>
      <c r="AK8" s="5">
        <v>84302404</v>
      </c>
      <c r="AL8" s="5">
        <v>135172686</v>
      </c>
      <c r="AM8" s="375">
        <v>175363136</v>
      </c>
      <c r="AN8" s="31">
        <v>12425392</v>
      </c>
      <c r="AO8" s="31">
        <v>6060616</v>
      </c>
      <c r="AP8" s="31">
        <v>18291729</v>
      </c>
      <c r="AQ8" s="44">
        <v>36777737</v>
      </c>
      <c r="AR8" s="45">
        <v>8808531</v>
      </c>
      <c r="AS8" s="45">
        <v>7925551</v>
      </c>
      <c r="AT8" s="45">
        <v>18886402</v>
      </c>
      <c r="AU8" s="44">
        <v>35620484</v>
      </c>
      <c r="AV8" s="45">
        <v>13325525</v>
      </c>
      <c r="AW8" s="45">
        <v>7233105</v>
      </c>
      <c r="AX8" s="45">
        <v>10558033</v>
      </c>
      <c r="AY8" s="44">
        <v>15698327</v>
      </c>
      <c r="AZ8" s="45">
        <v>19482901</v>
      </c>
      <c r="BA8" s="45">
        <v>6159809</v>
      </c>
      <c r="BB8" s="45">
        <v>26911870</v>
      </c>
      <c r="BC8" s="44">
        <v>33407056</v>
      </c>
      <c r="BD8" s="44">
        <v>52300785</v>
      </c>
      <c r="BE8" s="44">
        <v>67999112</v>
      </c>
      <c r="BF8" s="44">
        <f>148961797-911580+9687205-1667958</f>
        <v>156069464</v>
      </c>
      <c r="BG8" s="46">
        <v>6422490</v>
      </c>
      <c r="BH8" s="47">
        <v>6090616</v>
      </c>
      <c r="BI8" s="47">
        <v>15870998</v>
      </c>
      <c r="BJ8" s="48">
        <v>28384104</v>
      </c>
      <c r="BK8" s="47">
        <v>3757141</v>
      </c>
      <c r="BL8" s="47">
        <v>9765509</v>
      </c>
      <c r="BM8" s="47">
        <v>11582309</v>
      </c>
      <c r="BN8" s="48">
        <v>25104959</v>
      </c>
      <c r="BO8" s="47">
        <v>2245168</v>
      </c>
      <c r="BP8" s="47">
        <v>6467856</v>
      </c>
      <c r="BQ8" s="47">
        <v>13721380</v>
      </c>
      <c r="BR8" s="48">
        <v>22434404</v>
      </c>
      <c r="BS8" s="47">
        <v>5707503</v>
      </c>
      <c r="BT8" s="47">
        <v>7608321</v>
      </c>
      <c r="BU8" s="47">
        <v>13505294</v>
      </c>
      <c r="BV8" s="48">
        <v>26821118</v>
      </c>
      <c r="BW8" s="48">
        <v>53489063</v>
      </c>
      <c r="BX8" s="48">
        <v>75923467</v>
      </c>
      <c r="BY8" s="49">
        <f>234221549</f>
        <v>234221549</v>
      </c>
      <c r="BZ8" s="47">
        <v>11225175</v>
      </c>
      <c r="CA8" s="47">
        <v>2996876</v>
      </c>
      <c r="CB8" s="47">
        <v>5700706</v>
      </c>
      <c r="CC8" s="50">
        <v>19922757</v>
      </c>
      <c r="CD8" s="47">
        <v>11202404</v>
      </c>
      <c r="CE8" s="51">
        <v>5034671</v>
      </c>
      <c r="CF8" s="51">
        <v>21070553</v>
      </c>
      <c r="CG8" s="52">
        <v>37307628</v>
      </c>
      <c r="CH8" s="47">
        <v>6330444</v>
      </c>
      <c r="CI8" s="51">
        <v>6376788</v>
      </c>
      <c r="CJ8" s="51">
        <v>11013477</v>
      </c>
      <c r="CK8" s="52">
        <v>23720709</v>
      </c>
      <c r="CL8" s="51">
        <v>8155671</v>
      </c>
      <c r="CM8" s="51">
        <v>13696999</v>
      </c>
      <c r="CN8" s="51">
        <v>12587867</v>
      </c>
      <c r="CO8" s="52">
        <v>34440537</v>
      </c>
      <c r="CP8" s="52">
        <v>57230385</v>
      </c>
      <c r="CQ8" s="52">
        <v>80951094</v>
      </c>
      <c r="CR8" s="53">
        <f>235997450-243098</f>
        <v>235754352</v>
      </c>
      <c r="CS8" s="47">
        <v>3024966</v>
      </c>
      <c r="CT8" s="47">
        <v>8161276</v>
      </c>
      <c r="CU8" s="47">
        <v>12362451</v>
      </c>
      <c r="CV8" s="54">
        <f>SUM(CS8:CU8)</f>
        <v>23548693</v>
      </c>
      <c r="CW8" s="47">
        <v>6154342</v>
      </c>
      <c r="CX8" s="51">
        <v>8824445</v>
      </c>
      <c r="CY8" s="51">
        <v>13820153</v>
      </c>
      <c r="CZ8" s="55">
        <f>SUM(CW8:CY8)</f>
        <v>28798940</v>
      </c>
      <c r="DA8" s="47">
        <f>7680132-1561</f>
        <v>7678571</v>
      </c>
      <c r="DB8" s="47">
        <v>8540673</v>
      </c>
      <c r="DC8" s="47">
        <v>7199353</v>
      </c>
      <c r="DD8" s="54">
        <f>SUM(DA8:DC8)</f>
        <v>23418597</v>
      </c>
      <c r="DE8" s="47">
        <v>4184659</v>
      </c>
      <c r="DF8" s="47">
        <v>4063796</v>
      </c>
      <c r="DG8" s="47">
        <v>12017888</v>
      </c>
      <c r="DH8" s="54">
        <f>SUM(DE8:DG8)</f>
        <v>20266343</v>
      </c>
      <c r="DI8" s="55">
        <f>CV8+CZ8</f>
        <v>52347633</v>
      </c>
      <c r="DJ8" s="55">
        <f>CV8+CZ8+DD8</f>
        <v>75766230</v>
      </c>
      <c r="DK8" s="55">
        <f>DH8+DJ8</f>
        <v>96032573</v>
      </c>
      <c r="DL8" s="56">
        <f>CR8-DK8</f>
        <v>139721779</v>
      </c>
      <c r="DM8" s="4">
        <f t="shared" ref="DM8:DM15" si="5">DL8/DK8</f>
        <v>1.4549415332233158</v>
      </c>
      <c r="DN8" s="57">
        <f>BY8-CR8</f>
        <v>-1532803</v>
      </c>
      <c r="DO8" s="4">
        <f>DN8/CR8</f>
        <v>-6.5016954596876326E-3</v>
      </c>
      <c r="DP8" s="57">
        <f>BF8-BY8</f>
        <v>-78152085</v>
      </c>
      <c r="DQ8" s="4">
        <f>DP8/BY8</f>
        <v>-0.333667356115043</v>
      </c>
      <c r="DR8" s="57">
        <f>AM8-BE8</f>
        <v>107364024</v>
      </c>
      <c r="DS8" s="4">
        <f>DR8/BF8</f>
        <v>0.68792460259875055</v>
      </c>
      <c r="DT8" s="57">
        <f>C8-V8</f>
        <v>-2649472</v>
      </c>
      <c r="DU8" s="4">
        <f>DT8/BH8</f>
        <v>-0.43500887266575333</v>
      </c>
    </row>
    <row r="9" spans="1:125" hidden="1">
      <c r="A9" s="42" t="s">
        <v>933</v>
      </c>
      <c r="B9" s="5">
        <f>'2017 預算'!C9</f>
        <v>0</v>
      </c>
      <c r="C9" s="43">
        <f>'2017 預算'!F9</f>
        <v>0</v>
      </c>
      <c r="D9" s="5">
        <f>'2017 預算'!I9</f>
        <v>0</v>
      </c>
      <c r="E9" s="5">
        <f t="shared" ref="E9:E15" si="6">SUM(B9:D9)</f>
        <v>0</v>
      </c>
      <c r="F9" s="5">
        <f>'2017 預算'!O9</f>
        <v>0</v>
      </c>
      <c r="G9" s="5">
        <f>'2017 預算'!R9</f>
        <v>0</v>
      </c>
      <c r="H9" s="5">
        <f>'2017 預算'!U9</f>
        <v>0</v>
      </c>
      <c r="I9" s="5">
        <f t="shared" si="0"/>
        <v>0</v>
      </c>
      <c r="J9" s="5">
        <f>'2017 預算'!AA9</f>
        <v>0</v>
      </c>
      <c r="K9" s="5">
        <f>'2017 預算'!AD9</f>
        <v>0</v>
      </c>
      <c r="L9" s="5">
        <f>'2017 預算'!AG9</f>
        <v>0</v>
      </c>
      <c r="M9" s="5">
        <f t="shared" si="1"/>
        <v>0</v>
      </c>
      <c r="N9" s="5">
        <f>'2017 預算'!AM9</f>
        <v>0</v>
      </c>
      <c r="O9" s="5">
        <f>'2017 預算'!AP9</f>
        <v>0</v>
      </c>
      <c r="P9" s="5">
        <f>'2017 預算'!AS9</f>
        <v>0</v>
      </c>
      <c r="Q9" s="5">
        <f t="shared" si="2"/>
        <v>0</v>
      </c>
      <c r="R9" s="5">
        <f t="shared" si="3"/>
        <v>0</v>
      </c>
      <c r="S9" s="5">
        <f t="shared" si="4"/>
        <v>0</v>
      </c>
      <c r="T9" s="5">
        <f t="shared" ref="T9:T15" si="7">E9+I9+M9+Q9</f>
        <v>0</v>
      </c>
      <c r="U9" s="5">
        <v>47882</v>
      </c>
      <c r="V9" s="43">
        <v>200000</v>
      </c>
      <c r="W9" s="5">
        <v>617337</v>
      </c>
      <c r="X9" s="5">
        <v>865219</v>
      </c>
      <c r="Y9" s="5">
        <v>69571</v>
      </c>
      <c r="Z9" s="5">
        <v>1347767</v>
      </c>
      <c r="AA9" s="5">
        <v>1089519</v>
      </c>
      <c r="AB9" s="5">
        <v>2506857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3372076</v>
      </c>
      <c r="AL9" s="5">
        <v>3372076</v>
      </c>
      <c r="AM9" s="375">
        <v>3372076</v>
      </c>
      <c r="AN9" s="31">
        <v>0</v>
      </c>
      <c r="AO9" s="31">
        <v>0</v>
      </c>
      <c r="AP9" s="31">
        <v>2000</v>
      </c>
      <c r="AQ9" s="44">
        <v>2000</v>
      </c>
      <c r="AR9" s="45">
        <v>-28216</v>
      </c>
      <c r="AS9" s="45">
        <v>160200</v>
      </c>
      <c r="AT9" s="45">
        <v>0</v>
      </c>
      <c r="AU9" s="44">
        <v>131984</v>
      </c>
      <c r="AV9" s="45">
        <v>7155</v>
      </c>
      <c r="AW9" s="45">
        <v>0</v>
      </c>
      <c r="AX9" s="45">
        <v>102990</v>
      </c>
      <c r="AY9" s="44">
        <v>2412808</v>
      </c>
      <c r="AZ9" s="45">
        <v>607144</v>
      </c>
      <c r="BA9" s="45">
        <v>168035</v>
      </c>
      <c r="BB9" s="45">
        <v>648650</v>
      </c>
      <c r="BC9" s="44">
        <v>2941828</v>
      </c>
      <c r="BD9" s="44">
        <v>4332569</v>
      </c>
      <c r="BE9" s="44">
        <v>6745377</v>
      </c>
      <c r="BF9" s="44">
        <v>1667958</v>
      </c>
      <c r="BG9" s="46">
        <v>1147616</v>
      </c>
      <c r="BH9" s="47">
        <v>5294</v>
      </c>
      <c r="BI9" s="47"/>
      <c r="BJ9" s="48">
        <v>1152910</v>
      </c>
      <c r="BK9" s="47">
        <v>201971</v>
      </c>
      <c r="BL9" s="47">
        <v>846160</v>
      </c>
      <c r="BM9" s="47">
        <v>1008235</v>
      </c>
      <c r="BN9" s="48">
        <v>2056366</v>
      </c>
      <c r="BO9" s="47">
        <v>515313</v>
      </c>
      <c r="BP9" s="47">
        <v>1540385</v>
      </c>
      <c r="BQ9" s="47"/>
      <c r="BR9" s="48">
        <v>2055698</v>
      </c>
      <c r="BS9" s="47">
        <v>725640</v>
      </c>
      <c r="BT9" s="47">
        <v>139040</v>
      </c>
      <c r="BU9" s="47">
        <v>1828602</v>
      </c>
      <c r="BV9" s="48">
        <v>2693282</v>
      </c>
      <c r="BW9" s="48">
        <v>3209276</v>
      </c>
      <c r="BX9" s="48">
        <v>5264974</v>
      </c>
      <c r="BY9" s="49">
        <v>7958256</v>
      </c>
      <c r="BZ9" s="47">
        <v>2815145</v>
      </c>
      <c r="CA9" s="47">
        <v>1588836</v>
      </c>
      <c r="CB9" s="47">
        <v>4745076</v>
      </c>
      <c r="CC9" s="50">
        <v>9149057</v>
      </c>
      <c r="CD9" s="47">
        <v>1736630</v>
      </c>
      <c r="CE9" s="51">
        <v>1331798</v>
      </c>
      <c r="CF9" s="51">
        <v>1322372</v>
      </c>
      <c r="CG9" s="52">
        <v>4390800</v>
      </c>
      <c r="CH9" s="47">
        <v>1018802</v>
      </c>
      <c r="CI9" s="51">
        <v>917921</v>
      </c>
      <c r="CJ9" s="51">
        <v>1625950</v>
      </c>
      <c r="CK9" s="52">
        <v>3562673</v>
      </c>
      <c r="CL9" s="51">
        <v>1890820</v>
      </c>
      <c r="CM9" s="51">
        <v>1110129</v>
      </c>
      <c r="CN9" s="51">
        <v>1423862</v>
      </c>
      <c r="CO9" s="52">
        <v>4424811</v>
      </c>
      <c r="CP9" s="52">
        <v>13539857</v>
      </c>
      <c r="CQ9" s="52">
        <v>17102530</v>
      </c>
      <c r="CR9" s="53">
        <v>21527341</v>
      </c>
      <c r="CS9" s="47">
        <v>361348</v>
      </c>
      <c r="CT9" s="47">
        <v>6001628</v>
      </c>
      <c r="CU9" s="47">
        <v>4814710</v>
      </c>
      <c r="CV9" s="54">
        <f t="shared" ref="CV9:CV49" si="8">SUM(CS9:CU9)</f>
        <v>11177686</v>
      </c>
      <c r="CW9" s="47">
        <v>1289405</v>
      </c>
      <c r="CX9" s="51">
        <v>7267230</v>
      </c>
      <c r="CY9" s="51">
        <v>2328392</v>
      </c>
      <c r="CZ9" s="55">
        <f t="shared" ref="CZ9:CZ13" si="9">SUM(CW9:CY9)</f>
        <v>10885027</v>
      </c>
      <c r="DA9" s="47">
        <v>5152007</v>
      </c>
      <c r="DB9" s="47">
        <v>1590517</v>
      </c>
      <c r="DC9" s="47">
        <v>1209432</v>
      </c>
      <c r="DD9" s="54">
        <f t="shared" ref="DD9:DD14" si="10">SUM(DA9:DC9)</f>
        <v>7951956</v>
      </c>
      <c r="DE9" s="47">
        <v>1165690</v>
      </c>
      <c r="DF9" s="47">
        <v>1478391</v>
      </c>
      <c r="DG9" s="47">
        <v>3472989</v>
      </c>
      <c r="DH9" s="54">
        <f t="shared" ref="DH9:DH15" si="11">SUM(DE9:DG9)</f>
        <v>6117070</v>
      </c>
      <c r="DI9" s="55">
        <f t="shared" ref="DI9:DI15" si="12">CV9+CZ9</f>
        <v>22062713</v>
      </c>
      <c r="DJ9" s="55">
        <f t="shared" ref="DJ9:DJ15" si="13">CV9+CZ9+DD9</f>
        <v>30014669</v>
      </c>
      <c r="DK9" s="55">
        <f t="shared" ref="DK9:DK15" si="14">DH9+DJ9</f>
        <v>36131739</v>
      </c>
      <c r="DL9" s="56">
        <f t="shared" ref="DL9:DL16" si="15">CR9-DK9</f>
        <v>-14604398</v>
      </c>
      <c r="DM9" s="4">
        <f t="shared" si="5"/>
        <v>-0.40419859116108414</v>
      </c>
      <c r="DN9" s="57">
        <f t="shared" ref="DN9:DN16" si="16">BY9-CR9</f>
        <v>-13569085</v>
      </c>
      <c r="DO9" s="4">
        <f t="shared" ref="DO9:DO15" si="17">DN9/CR9</f>
        <v>-0.63031867242684547</v>
      </c>
      <c r="DP9" s="57">
        <f>BF9-BY9</f>
        <v>-6290298</v>
      </c>
      <c r="DQ9" s="4">
        <f t="shared" ref="DQ9:DQ15" si="18">DP9/BY9</f>
        <v>-0.79041161782179414</v>
      </c>
      <c r="DR9" s="57">
        <f>AM9-BE9</f>
        <v>-3373301</v>
      </c>
      <c r="DS9" s="4">
        <f t="shared" ref="DS9:DS15" si="19">DR9/BF9</f>
        <v>-2.0224136339164414</v>
      </c>
      <c r="DT9" s="57">
        <f>C9-V9</f>
        <v>-200000</v>
      </c>
      <c r="DU9" s="4">
        <f t="shared" ref="DU9:DU12" si="20">DT9/BH9</f>
        <v>-37.778617302606726</v>
      </c>
    </row>
    <row r="10" spans="1:125">
      <c r="A10" s="42" t="s">
        <v>934</v>
      </c>
      <c r="B10" s="5">
        <f>'2017 預算'!C10</f>
        <v>51078473</v>
      </c>
      <c r="C10" s="43">
        <f>'2017 預算'!F10</f>
        <v>42980961</v>
      </c>
      <c r="D10" s="5">
        <f>'2017 預算'!I10</f>
        <v>30561593</v>
      </c>
      <c r="E10" s="5">
        <f t="shared" si="6"/>
        <v>124621027</v>
      </c>
      <c r="F10" s="5">
        <f>'2017 預算'!O10</f>
        <v>59543429</v>
      </c>
      <c r="G10" s="5">
        <f>'2017 預算'!R10</f>
        <v>37166163</v>
      </c>
      <c r="H10" s="5">
        <f>'2017 預算'!U10</f>
        <v>69467942</v>
      </c>
      <c r="I10" s="5">
        <f t="shared" si="0"/>
        <v>166177534</v>
      </c>
      <c r="J10" s="5">
        <f>'2017 預算'!AA10</f>
        <v>85004893</v>
      </c>
      <c r="K10" s="5">
        <f>'2017 預算'!AD10</f>
        <v>65629388</v>
      </c>
      <c r="L10" s="5">
        <f>'2017 預算'!AG10</f>
        <v>0</v>
      </c>
      <c r="M10" s="5">
        <f t="shared" si="1"/>
        <v>150634281</v>
      </c>
      <c r="N10" s="5">
        <f>'2017 預算'!AM10</f>
        <v>0</v>
      </c>
      <c r="O10" s="5">
        <f>'2017 預算'!AP10</f>
        <v>0</v>
      </c>
      <c r="P10" s="5">
        <f>'2017 預算'!AS10</f>
        <v>0</v>
      </c>
      <c r="Q10" s="5">
        <f t="shared" si="2"/>
        <v>0</v>
      </c>
      <c r="R10" s="5">
        <f t="shared" si="3"/>
        <v>290798561</v>
      </c>
      <c r="S10" s="5">
        <f t="shared" si="4"/>
        <v>441432842</v>
      </c>
      <c r="T10" s="5">
        <f t="shared" si="7"/>
        <v>441432842</v>
      </c>
      <c r="U10" s="5">
        <v>28946283</v>
      </c>
      <c r="V10" s="43">
        <v>33831112</v>
      </c>
      <c r="W10" s="5">
        <v>45177730</v>
      </c>
      <c r="X10" s="5">
        <v>107955125</v>
      </c>
      <c r="Y10" s="5">
        <v>30265898</v>
      </c>
      <c r="Z10" s="5">
        <v>44866539</v>
      </c>
      <c r="AA10" s="5">
        <v>32987432</v>
      </c>
      <c r="AB10" s="5">
        <v>108119869</v>
      </c>
      <c r="AC10" s="5">
        <v>33576273</v>
      </c>
      <c r="AD10" s="5">
        <v>43602105</v>
      </c>
      <c r="AE10" s="5">
        <v>35726953</v>
      </c>
      <c r="AF10" s="5">
        <v>112905331</v>
      </c>
      <c r="AG10" s="5">
        <v>38830959</v>
      </c>
      <c r="AH10" s="5">
        <v>58240463</v>
      </c>
      <c r="AI10" s="5">
        <v>58004207</v>
      </c>
      <c r="AJ10" s="5">
        <v>155075629</v>
      </c>
      <c r="AK10" s="5">
        <v>216074994</v>
      </c>
      <c r="AL10" s="5">
        <v>328980325</v>
      </c>
      <c r="AM10" s="375">
        <v>484055954</v>
      </c>
      <c r="AN10" s="31">
        <v>7671588</v>
      </c>
      <c r="AO10" s="31">
        <v>22355849</v>
      </c>
      <c r="AP10" s="31">
        <v>42802355</v>
      </c>
      <c r="AQ10" s="44">
        <v>72829792</v>
      </c>
      <c r="AR10" s="45">
        <v>40297963</v>
      </c>
      <c r="AS10" s="45">
        <v>25044659</v>
      </c>
      <c r="AT10" s="45">
        <v>40268975</v>
      </c>
      <c r="AU10" s="44">
        <v>105611597</v>
      </c>
      <c r="AV10" s="45">
        <v>15892559</v>
      </c>
      <c r="AW10" s="45">
        <v>17462298</v>
      </c>
      <c r="AX10" s="45">
        <v>20498946</v>
      </c>
      <c r="AY10" s="44">
        <v>53853803</v>
      </c>
      <c r="AZ10" s="45">
        <v>4730170</v>
      </c>
      <c r="BA10" s="45">
        <v>18339741</v>
      </c>
      <c r="BB10" s="45">
        <v>54328086</v>
      </c>
      <c r="BC10" s="44">
        <v>77397997</v>
      </c>
      <c r="BD10" s="44">
        <v>177529809</v>
      </c>
      <c r="BE10" s="44">
        <v>231383612</v>
      </c>
      <c r="BF10" s="44">
        <f>308781609+911580</f>
        <v>309693189</v>
      </c>
      <c r="BG10" s="46">
        <v>0</v>
      </c>
      <c r="BH10" s="47">
        <v>51516</v>
      </c>
      <c r="BI10" s="47">
        <v>40902</v>
      </c>
      <c r="BJ10" s="48">
        <v>92418</v>
      </c>
      <c r="BK10" s="47">
        <v>258862</v>
      </c>
      <c r="BL10" s="47">
        <v>593364</v>
      </c>
      <c r="BM10" s="47"/>
      <c r="BN10" s="48">
        <v>852226</v>
      </c>
      <c r="BO10" s="47"/>
      <c r="BP10" s="47">
        <v>0</v>
      </c>
      <c r="BQ10" s="47">
        <v>292986</v>
      </c>
      <c r="BR10" s="48">
        <v>292986</v>
      </c>
      <c r="BS10" s="47">
        <v>164416</v>
      </c>
      <c r="BT10" s="47">
        <v>6590499</v>
      </c>
      <c r="BU10" s="47">
        <v>11434896</v>
      </c>
      <c r="BV10" s="48">
        <v>18189811</v>
      </c>
      <c r="BW10" s="48">
        <v>944644</v>
      </c>
      <c r="BX10" s="48">
        <v>1237630</v>
      </c>
      <c r="BY10" s="49">
        <v>19427441</v>
      </c>
      <c r="BZ10" s="47">
        <v>6988375</v>
      </c>
      <c r="CA10" s="47">
        <v>200790</v>
      </c>
      <c r="CB10" s="47">
        <v>4516513</v>
      </c>
      <c r="CC10" s="50">
        <v>11705678</v>
      </c>
      <c r="CD10" s="47">
        <v>6113021</v>
      </c>
      <c r="CE10" s="51">
        <v>6432539</v>
      </c>
      <c r="CF10" s="51">
        <v>4156199</v>
      </c>
      <c r="CG10" s="52">
        <v>16701759</v>
      </c>
      <c r="CH10" s="47">
        <v>6931568</v>
      </c>
      <c r="CI10" s="51">
        <v>2523453</v>
      </c>
      <c r="CJ10" s="51">
        <v>253841</v>
      </c>
      <c r="CK10" s="52">
        <v>9708862</v>
      </c>
      <c r="CL10" s="51">
        <v>187616</v>
      </c>
      <c r="CM10" s="51">
        <v>0</v>
      </c>
      <c r="CN10" s="51">
        <v>1711568</v>
      </c>
      <c r="CO10" s="52">
        <v>1899184</v>
      </c>
      <c r="CP10" s="52">
        <v>28407437</v>
      </c>
      <c r="CQ10" s="52">
        <v>38116299</v>
      </c>
      <c r="CR10" s="53">
        <v>40015483</v>
      </c>
      <c r="CS10" s="47">
        <v>8379295</v>
      </c>
      <c r="CT10" s="47">
        <v>7870561</v>
      </c>
      <c r="CU10" s="47">
        <v>3387827</v>
      </c>
      <c r="CV10" s="54">
        <f t="shared" si="8"/>
        <v>19637683</v>
      </c>
      <c r="CW10" s="47">
        <v>6860711</v>
      </c>
      <c r="CX10" s="51">
        <v>928044</v>
      </c>
      <c r="CY10" s="51">
        <v>370</v>
      </c>
      <c r="CZ10" s="55">
        <f t="shared" si="9"/>
        <v>7789125</v>
      </c>
      <c r="DA10" s="47">
        <v>8890848</v>
      </c>
      <c r="DB10" s="47">
        <v>1694</v>
      </c>
      <c r="DC10" s="47">
        <v>3305503</v>
      </c>
      <c r="DD10" s="54">
        <f t="shared" si="10"/>
        <v>12198045</v>
      </c>
      <c r="DE10" s="47">
        <v>3638545</v>
      </c>
      <c r="DF10" s="47">
        <v>3263583</v>
      </c>
      <c r="DG10" s="47">
        <v>715729</v>
      </c>
      <c r="DH10" s="54">
        <f t="shared" si="11"/>
        <v>7617857</v>
      </c>
      <c r="DI10" s="55">
        <f t="shared" si="12"/>
        <v>27426808</v>
      </c>
      <c r="DJ10" s="55">
        <f t="shared" si="13"/>
        <v>39624853</v>
      </c>
      <c r="DK10" s="55">
        <f t="shared" si="14"/>
        <v>47242710</v>
      </c>
      <c r="DL10" s="56">
        <f t="shared" si="15"/>
        <v>-7227227</v>
      </c>
      <c r="DM10" s="4">
        <f t="shared" si="5"/>
        <v>-0.15298078793532377</v>
      </c>
      <c r="DN10" s="57">
        <f t="shared" si="16"/>
        <v>-20588042</v>
      </c>
      <c r="DO10" s="4">
        <f t="shared" si="17"/>
        <v>-0.51450189917737588</v>
      </c>
      <c r="DP10" s="57">
        <f t="shared" ref="DP10" si="21">BF10-BY10</f>
        <v>290265748</v>
      </c>
      <c r="DQ10" s="4">
        <f t="shared" si="18"/>
        <v>14.941018119679272</v>
      </c>
      <c r="DR10" s="57">
        <f>AM10-BE10</f>
        <v>252672342</v>
      </c>
      <c r="DS10" s="4">
        <f t="shared" si="19"/>
        <v>0.81587955749327123</v>
      </c>
      <c r="DT10" s="57">
        <f>C10-V10</f>
        <v>9149849</v>
      </c>
      <c r="DU10" s="4">
        <f t="shared" si="20"/>
        <v>177.61179051168568</v>
      </c>
    </row>
    <row r="11" spans="1:125">
      <c r="A11" s="42" t="s">
        <v>935</v>
      </c>
      <c r="B11" s="5">
        <f>'2017 預算'!C11</f>
        <v>4662544</v>
      </c>
      <c r="C11" s="43">
        <f>'2017 預算'!F11</f>
        <v>5540923</v>
      </c>
      <c r="D11" s="5">
        <f>'2017 預算'!I11</f>
        <v>4643464</v>
      </c>
      <c r="E11" s="5">
        <f t="shared" si="6"/>
        <v>14846931</v>
      </c>
      <c r="F11" s="5">
        <f>'2017 預算'!O11</f>
        <v>3036598</v>
      </c>
      <c r="G11" s="5">
        <f>'2017 預算'!R11</f>
        <v>3094664</v>
      </c>
      <c r="H11" s="5">
        <f>'2017 預算'!U11</f>
        <v>3477355</v>
      </c>
      <c r="I11" s="5">
        <f t="shared" si="0"/>
        <v>9608617</v>
      </c>
      <c r="J11" s="5">
        <f>'2017 預算'!AA11</f>
        <v>8018284</v>
      </c>
      <c r="K11" s="5">
        <f>'2017 預算'!AD11</f>
        <v>6841562</v>
      </c>
      <c r="L11" s="5">
        <f>'2017 預算'!AG11</f>
        <v>0</v>
      </c>
      <c r="M11" s="5">
        <f t="shared" si="1"/>
        <v>14859846</v>
      </c>
      <c r="N11" s="5">
        <f>'2017 預算'!AM11</f>
        <v>0</v>
      </c>
      <c r="O11" s="5">
        <f>'2017 預算'!AP11</f>
        <v>0</v>
      </c>
      <c r="P11" s="5">
        <f>'2017 預算'!AS11</f>
        <v>0</v>
      </c>
      <c r="Q11" s="5">
        <f t="shared" si="2"/>
        <v>0</v>
      </c>
      <c r="R11" s="5">
        <f t="shared" si="3"/>
        <v>24455548</v>
      </c>
      <c r="S11" s="5">
        <f t="shared" si="4"/>
        <v>39315394</v>
      </c>
      <c r="T11" s="5">
        <f t="shared" si="7"/>
        <v>39315394</v>
      </c>
      <c r="U11" s="5">
        <v>336518</v>
      </c>
      <c r="V11" s="43">
        <v>0</v>
      </c>
      <c r="W11" s="5">
        <v>917455</v>
      </c>
      <c r="X11" s="5">
        <v>1253973</v>
      </c>
      <c r="Y11" s="5">
        <v>165929</v>
      </c>
      <c r="Z11" s="5">
        <v>194449</v>
      </c>
      <c r="AA11" s="5">
        <v>184496</v>
      </c>
      <c r="AB11" s="5">
        <v>544874</v>
      </c>
      <c r="AC11" s="5">
        <v>3121546</v>
      </c>
      <c r="AD11" s="5">
        <v>2726096</v>
      </c>
      <c r="AE11" s="5">
        <v>2871440</v>
      </c>
      <c r="AF11" s="5">
        <v>8719082</v>
      </c>
      <c r="AG11" s="5">
        <v>5646258</v>
      </c>
      <c r="AH11" s="5">
        <v>4131420</v>
      </c>
      <c r="AI11" s="5">
        <v>5177125</v>
      </c>
      <c r="AJ11" s="5">
        <v>14954803</v>
      </c>
      <c r="AK11" s="5">
        <v>1798847</v>
      </c>
      <c r="AL11" s="5">
        <v>10517929</v>
      </c>
      <c r="AM11" s="375">
        <v>25472732</v>
      </c>
      <c r="AN11" s="31"/>
      <c r="AO11" s="31"/>
      <c r="AP11" s="31"/>
      <c r="AQ11" s="44"/>
      <c r="AR11" s="45"/>
      <c r="AS11" s="45"/>
      <c r="AT11" s="45"/>
      <c r="AU11" s="44"/>
      <c r="AV11" s="45"/>
      <c r="AW11" s="45"/>
      <c r="AX11" s="45"/>
      <c r="AY11" s="44"/>
      <c r="AZ11" s="45"/>
      <c r="BA11" s="45"/>
      <c r="BB11" s="45"/>
      <c r="BC11" s="44"/>
      <c r="BD11" s="44"/>
      <c r="BE11" s="44"/>
      <c r="BF11" s="44"/>
      <c r="BG11" s="46"/>
      <c r="BH11" s="47"/>
      <c r="BI11" s="47"/>
      <c r="BJ11" s="48"/>
      <c r="BK11" s="47"/>
      <c r="BL11" s="47"/>
      <c r="BM11" s="47"/>
      <c r="BN11" s="48"/>
      <c r="BO11" s="47"/>
      <c r="BP11" s="47"/>
      <c r="BQ11" s="47"/>
      <c r="BR11" s="48"/>
      <c r="BS11" s="47"/>
      <c r="BT11" s="47"/>
      <c r="BU11" s="47"/>
      <c r="BV11" s="48"/>
      <c r="BW11" s="48"/>
      <c r="BX11" s="48"/>
      <c r="BY11" s="49"/>
      <c r="BZ11" s="47"/>
      <c r="CA11" s="47"/>
      <c r="CB11" s="47"/>
      <c r="CC11" s="50"/>
      <c r="CD11" s="47"/>
      <c r="CE11" s="51"/>
      <c r="CF11" s="51"/>
      <c r="CG11" s="52"/>
      <c r="CH11" s="47"/>
      <c r="CI11" s="51"/>
      <c r="CJ11" s="51"/>
      <c r="CK11" s="52"/>
      <c r="CL11" s="51"/>
      <c r="CM11" s="51"/>
      <c r="CN11" s="51"/>
      <c r="CO11" s="52"/>
      <c r="CP11" s="52"/>
      <c r="CQ11" s="52"/>
      <c r="CR11" s="53"/>
      <c r="CS11" s="47"/>
      <c r="CT11" s="47"/>
      <c r="CU11" s="47"/>
      <c r="CV11" s="54"/>
      <c r="CW11" s="47"/>
      <c r="CX11" s="51"/>
      <c r="CY11" s="51"/>
      <c r="CZ11" s="55"/>
      <c r="DA11" s="47"/>
      <c r="DB11" s="47"/>
      <c r="DC11" s="47"/>
      <c r="DD11" s="54"/>
      <c r="DE11" s="47"/>
      <c r="DF11" s="47"/>
      <c r="DG11" s="47"/>
      <c r="DH11" s="54"/>
      <c r="DI11" s="55"/>
      <c r="DJ11" s="55"/>
      <c r="DK11" s="55"/>
      <c r="DL11" s="56"/>
      <c r="DN11" s="57"/>
      <c r="DP11" s="57"/>
      <c r="DR11" s="57"/>
      <c r="DT11" s="57">
        <f>C11-V11</f>
        <v>5540923</v>
      </c>
      <c r="DU11" s="4" t="e">
        <f t="shared" si="20"/>
        <v>#DIV/0!</v>
      </c>
    </row>
    <row r="12" spans="1:125">
      <c r="A12" s="58" t="s">
        <v>972</v>
      </c>
      <c r="B12" s="59">
        <f>'2017 預算'!C12</f>
        <v>3959</v>
      </c>
      <c r="C12" s="60">
        <f>'2017 預算'!F12</f>
        <v>43786</v>
      </c>
      <c r="D12" s="59">
        <f>'2017 預算'!I12</f>
        <v>27522</v>
      </c>
      <c r="E12" s="59">
        <f t="shared" si="6"/>
        <v>75267</v>
      </c>
      <c r="F12" s="59">
        <f>'2017 預算'!O12</f>
        <v>20986</v>
      </c>
      <c r="G12" s="59">
        <f>'2017 預算'!R12</f>
        <v>43107</v>
      </c>
      <c r="H12" s="59">
        <f>'2017 預算'!U12</f>
        <v>81879</v>
      </c>
      <c r="I12" s="59">
        <f t="shared" si="0"/>
        <v>145972</v>
      </c>
      <c r="J12" s="59">
        <f>'2017 預算'!AA12</f>
        <v>3539</v>
      </c>
      <c r="K12" s="59">
        <f>'2017 預算'!AD12</f>
        <v>3539</v>
      </c>
      <c r="L12" s="59">
        <f>'2017 預算'!AG12</f>
        <v>0</v>
      </c>
      <c r="M12" s="59">
        <f t="shared" si="1"/>
        <v>7078</v>
      </c>
      <c r="N12" s="59">
        <f>'2017 預算'!AM12</f>
        <v>0</v>
      </c>
      <c r="O12" s="59">
        <f>'2017 預算'!AP12</f>
        <v>0</v>
      </c>
      <c r="P12" s="59">
        <f>'2017 預算'!AS12</f>
        <v>0</v>
      </c>
      <c r="Q12" s="59">
        <f t="shared" si="2"/>
        <v>0</v>
      </c>
      <c r="R12" s="59">
        <f t="shared" si="3"/>
        <v>221239</v>
      </c>
      <c r="S12" s="59">
        <f t="shared" si="4"/>
        <v>228317</v>
      </c>
      <c r="T12" s="59">
        <f t="shared" si="7"/>
        <v>228317</v>
      </c>
      <c r="U12" s="59">
        <v>56092</v>
      </c>
      <c r="V12" s="60">
        <v>17262</v>
      </c>
      <c r="W12" s="59">
        <v>39190</v>
      </c>
      <c r="X12" s="59">
        <v>112544</v>
      </c>
      <c r="Y12" s="59">
        <v>20812</v>
      </c>
      <c r="Z12" s="59">
        <v>20562</v>
      </c>
      <c r="AA12" s="59">
        <v>44666</v>
      </c>
      <c r="AB12" s="59">
        <v>86040</v>
      </c>
      <c r="AC12" s="59">
        <v>22597</v>
      </c>
      <c r="AD12" s="59">
        <v>18552</v>
      </c>
      <c r="AE12" s="59">
        <v>20564</v>
      </c>
      <c r="AF12" s="59">
        <v>61713</v>
      </c>
      <c r="AG12" s="59">
        <v>14160</v>
      </c>
      <c r="AH12" s="59">
        <v>26848</v>
      </c>
      <c r="AI12" s="59">
        <v>3539</v>
      </c>
      <c r="AJ12" s="59">
        <v>44547</v>
      </c>
      <c r="AK12" s="59">
        <v>198584</v>
      </c>
      <c r="AL12" s="59">
        <v>260297</v>
      </c>
      <c r="AM12" s="376">
        <v>304844</v>
      </c>
      <c r="AN12" s="61">
        <v>24444</v>
      </c>
      <c r="AO12" s="61">
        <v>0</v>
      </c>
      <c r="AP12" s="61">
        <v>2290</v>
      </c>
      <c r="AQ12" s="62">
        <v>26734</v>
      </c>
      <c r="AR12" s="63">
        <v>5298</v>
      </c>
      <c r="AS12" s="63">
        <v>30941</v>
      </c>
      <c r="AT12" s="63">
        <v>15609</v>
      </c>
      <c r="AU12" s="62">
        <v>51848</v>
      </c>
      <c r="AV12" s="63">
        <v>55189</v>
      </c>
      <c r="AW12" s="63">
        <v>12330</v>
      </c>
      <c r="AX12" s="63">
        <v>0</v>
      </c>
      <c r="AY12" s="62">
        <v>67519</v>
      </c>
      <c r="AZ12" s="63">
        <v>67324</v>
      </c>
      <c r="BA12" s="63">
        <v>32786</v>
      </c>
      <c r="BB12" s="63">
        <v>27151</v>
      </c>
      <c r="BC12" s="62">
        <v>127261</v>
      </c>
      <c r="BD12" s="62">
        <v>78582</v>
      </c>
      <c r="BE12" s="62">
        <v>146101</v>
      </c>
      <c r="BF12" s="62">
        <v>273362</v>
      </c>
      <c r="BG12" s="64">
        <v>3400</v>
      </c>
      <c r="BH12" s="65">
        <v>1544</v>
      </c>
      <c r="BI12" s="65">
        <v>114383</v>
      </c>
      <c r="BJ12" s="66">
        <v>119327</v>
      </c>
      <c r="BK12" s="65">
        <v>-93751</v>
      </c>
      <c r="BL12" s="65">
        <v>1200</v>
      </c>
      <c r="BM12" s="65"/>
      <c r="BN12" s="66">
        <v>-92551</v>
      </c>
      <c r="BO12" s="65">
        <v>16392</v>
      </c>
      <c r="BP12" s="65">
        <v>19966</v>
      </c>
      <c r="BQ12" s="65"/>
      <c r="BR12" s="66">
        <v>36358</v>
      </c>
      <c r="BS12" s="65">
        <v>28734</v>
      </c>
      <c r="BT12" s="65">
        <v>0</v>
      </c>
      <c r="BU12" s="65">
        <v>2200</v>
      </c>
      <c r="BV12" s="66">
        <v>30934</v>
      </c>
      <c r="BW12" s="66">
        <v>26776</v>
      </c>
      <c r="BX12" s="48">
        <v>63134</v>
      </c>
      <c r="BY12" s="67">
        <v>94068</v>
      </c>
      <c r="BZ12" s="65">
        <v>16138</v>
      </c>
      <c r="CA12" s="65">
        <v>24772</v>
      </c>
      <c r="CB12" s="65">
        <v>10496</v>
      </c>
      <c r="CC12" s="68">
        <v>51406</v>
      </c>
      <c r="CD12" s="65">
        <v>7827</v>
      </c>
      <c r="CE12" s="69">
        <v>29615</v>
      </c>
      <c r="CF12" s="69">
        <v>27200</v>
      </c>
      <c r="CG12" s="70">
        <v>64642</v>
      </c>
      <c r="CH12" s="65">
        <v>46077</v>
      </c>
      <c r="CI12" s="69">
        <v>19847</v>
      </c>
      <c r="CJ12" s="69">
        <v>10952</v>
      </c>
      <c r="CK12" s="70">
        <v>76876</v>
      </c>
      <c r="CL12" s="69">
        <v>9334</v>
      </c>
      <c r="CM12" s="69">
        <v>5070</v>
      </c>
      <c r="CN12" s="69">
        <v>35770</v>
      </c>
      <c r="CO12" s="70">
        <v>50174</v>
      </c>
      <c r="CP12" s="70">
        <v>116048</v>
      </c>
      <c r="CQ12" s="70">
        <v>192924</v>
      </c>
      <c r="CR12" s="71">
        <v>243098</v>
      </c>
      <c r="CS12" s="65">
        <v>159175</v>
      </c>
      <c r="CT12" s="65">
        <v>20120</v>
      </c>
      <c r="CU12" s="65">
        <v>92201</v>
      </c>
      <c r="CV12" s="72">
        <f t="shared" si="8"/>
        <v>271496</v>
      </c>
      <c r="CW12" s="65">
        <v>48886</v>
      </c>
      <c r="CX12" s="69">
        <v>12677</v>
      </c>
      <c r="CY12" s="69">
        <v>26804</v>
      </c>
      <c r="CZ12" s="73">
        <f t="shared" si="9"/>
        <v>88367</v>
      </c>
      <c r="DA12" s="65">
        <v>59329</v>
      </c>
      <c r="DB12" s="65">
        <f>18410+465664</f>
        <v>484074</v>
      </c>
      <c r="DC12" s="65">
        <v>31580</v>
      </c>
      <c r="DD12" s="72">
        <f t="shared" si="10"/>
        <v>574983</v>
      </c>
      <c r="DE12" s="65">
        <v>18910</v>
      </c>
      <c r="DF12" s="65">
        <v>31199</v>
      </c>
      <c r="DG12" s="65">
        <v>11854</v>
      </c>
      <c r="DH12" s="72">
        <f t="shared" si="11"/>
        <v>61963</v>
      </c>
      <c r="DI12" s="73">
        <f t="shared" si="12"/>
        <v>359863</v>
      </c>
      <c r="DJ12" s="73">
        <f t="shared" si="13"/>
        <v>934846</v>
      </c>
      <c r="DK12" s="73">
        <f t="shared" si="14"/>
        <v>996809</v>
      </c>
      <c r="DL12" s="74">
        <f t="shared" si="15"/>
        <v>-753711</v>
      </c>
      <c r="DM12" s="75">
        <f t="shared" si="5"/>
        <v>-0.75612379101713567</v>
      </c>
      <c r="DN12" s="76">
        <f t="shared" si="16"/>
        <v>-149030</v>
      </c>
      <c r="DO12" s="75">
        <f t="shared" si="17"/>
        <v>-0.61304494483706162</v>
      </c>
      <c r="DP12" s="76">
        <f t="shared" ref="DP12:DP17" si="22">BF12-BY12</f>
        <v>179294</v>
      </c>
      <c r="DQ12" s="75">
        <f t="shared" si="18"/>
        <v>1.9060041671981971</v>
      </c>
      <c r="DR12" s="76">
        <f>AM12-BE12</f>
        <v>158743</v>
      </c>
      <c r="DS12" s="75">
        <f t="shared" si="19"/>
        <v>0.58070616984072398</v>
      </c>
      <c r="DT12" s="76">
        <f>C12-V12</f>
        <v>26524</v>
      </c>
      <c r="DU12" s="75">
        <f t="shared" si="20"/>
        <v>17.178756476683937</v>
      </c>
    </row>
    <row r="13" spans="1:125">
      <c r="A13" s="77" t="s">
        <v>973</v>
      </c>
      <c r="B13" s="5">
        <f>SUM(B8:B12)</f>
        <v>60246951</v>
      </c>
      <c r="C13" s="43">
        <f t="shared" ref="C13:D13" si="23">SUM(C8:C12)</f>
        <v>53071500</v>
      </c>
      <c r="D13" s="5">
        <f t="shared" si="23"/>
        <v>63731970</v>
      </c>
      <c r="E13" s="5">
        <f t="shared" si="6"/>
        <v>177050421</v>
      </c>
      <c r="F13" s="5">
        <f t="shared" ref="F13:H13" si="24">SUM(F8:F12)</f>
        <v>67365680</v>
      </c>
      <c r="G13" s="5">
        <f t="shared" si="24"/>
        <v>53281342.770000003</v>
      </c>
      <c r="H13" s="5">
        <f t="shared" si="24"/>
        <v>87487966</v>
      </c>
      <c r="I13" s="5">
        <f>SUM(I8:I12)</f>
        <v>208134988.77000001</v>
      </c>
      <c r="J13" s="5">
        <f t="shared" ref="J13:L13" si="25">SUM(J8:J12)</f>
        <v>98241166</v>
      </c>
      <c r="K13" s="5">
        <f t="shared" si="25"/>
        <v>82134915</v>
      </c>
      <c r="L13" s="5">
        <f t="shared" si="25"/>
        <v>0</v>
      </c>
      <c r="M13" s="5">
        <f>SUM(M8:M12)</f>
        <v>180376081</v>
      </c>
      <c r="N13" s="5">
        <f t="shared" ref="N13:S13" si="26">SUM(N8:N12)</f>
        <v>0</v>
      </c>
      <c r="O13" s="5">
        <f t="shared" si="26"/>
        <v>0</v>
      </c>
      <c r="P13" s="5">
        <f t="shared" si="26"/>
        <v>0</v>
      </c>
      <c r="Q13" s="5">
        <f t="shared" si="26"/>
        <v>0</v>
      </c>
      <c r="R13" s="5">
        <f t="shared" si="26"/>
        <v>385185409.76999998</v>
      </c>
      <c r="S13" s="5">
        <f t="shared" si="26"/>
        <v>565561490.76999998</v>
      </c>
      <c r="T13" s="5">
        <f t="shared" si="7"/>
        <v>565561490.76999998</v>
      </c>
      <c r="U13" s="5">
        <v>36955643</v>
      </c>
      <c r="V13" s="43">
        <v>41203676</v>
      </c>
      <c r="W13" s="5">
        <v>68798698</v>
      </c>
      <c r="X13" s="5">
        <v>146958017</v>
      </c>
      <c r="Y13" s="5">
        <v>42073254</v>
      </c>
      <c r="Z13" s="5">
        <v>60689563</v>
      </c>
      <c r="AA13" s="5">
        <v>56026071</v>
      </c>
      <c r="AB13" s="5">
        <v>158788888</v>
      </c>
      <c r="AC13" s="5">
        <v>50506820</v>
      </c>
      <c r="AD13" s="5">
        <v>68003426</v>
      </c>
      <c r="AE13" s="5">
        <v>54046162</v>
      </c>
      <c r="AF13" s="5">
        <v>172556408</v>
      </c>
      <c r="AG13" s="5">
        <v>48677587</v>
      </c>
      <c r="AH13" s="5">
        <v>68220010</v>
      </c>
      <c r="AI13" s="5">
        <v>93367832</v>
      </c>
      <c r="AJ13" s="5">
        <v>210265429</v>
      </c>
      <c r="AK13" s="5">
        <v>305746905</v>
      </c>
      <c r="AL13" s="5">
        <v>478303313</v>
      </c>
      <c r="AM13" s="375">
        <v>688568742</v>
      </c>
      <c r="AN13" s="31">
        <v>20121424</v>
      </c>
      <c r="AO13" s="31">
        <v>28416465</v>
      </c>
      <c r="AP13" s="31">
        <v>61098374</v>
      </c>
      <c r="AQ13" s="44">
        <v>109636263</v>
      </c>
      <c r="AR13" s="45">
        <v>49083576</v>
      </c>
      <c r="AS13" s="45">
        <v>33161351</v>
      </c>
      <c r="AT13" s="45">
        <v>59170986</v>
      </c>
      <c r="AU13" s="44">
        <v>141415913</v>
      </c>
      <c r="AV13" s="45">
        <v>29280428</v>
      </c>
      <c r="AW13" s="45">
        <v>24707733</v>
      </c>
      <c r="AX13" s="45">
        <v>31159969</v>
      </c>
      <c r="AY13" s="44">
        <v>85148130</v>
      </c>
      <c r="AZ13" s="45">
        <v>24887539</v>
      </c>
      <c r="BA13" s="45">
        <v>24700371</v>
      </c>
      <c r="BB13" s="45">
        <v>81915757</v>
      </c>
      <c r="BC13" s="44">
        <v>131503667</v>
      </c>
      <c r="BD13" s="44">
        <v>251052176</v>
      </c>
      <c r="BE13" s="44">
        <v>336200306</v>
      </c>
      <c r="BF13" s="44">
        <v>467703973</v>
      </c>
      <c r="BG13" s="78">
        <v>15348219</v>
      </c>
      <c r="BH13" s="79">
        <v>13938223</v>
      </c>
      <c r="BI13" s="79">
        <v>24821394</v>
      </c>
      <c r="BJ13" s="80">
        <v>54107836</v>
      </c>
      <c r="BK13" s="79">
        <v>11791659</v>
      </c>
      <c r="BL13" s="79">
        <v>33172666</v>
      </c>
      <c r="BM13" s="79">
        <v>33810586</v>
      </c>
      <c r="BN13" s="80">
        <v>78774911</v>
      </c>
      <c r="BO13" s="79">
        <v>20106580</v>
      </c>
      <c r="BP13" s="79">
        <v>20272573</v>
      </c>
      <c r="BQ13" s="79">
        <v>23031798</v>
      </c>
      <c r="BR13" s="80">
        <v>63410951</v>
      </c>
      <c r="BS13" s="79">
        <v>10158595</v>
      </c>
      <c r="BT13" s="79">
        <v>20830745</v>
      </c>
      <c r="BU13" s="79">
        <v>34324208</v>
      </c>
      <c r="BV13" s="80">
        <v>65313548</v>
      </c>
      <c r="BW13" s="80">
        <v>132882747</v>
      </c>
      <c r="BX13" s="80">
        <v>196293698</v>
      </c>
      <c r="BY13" s="49">
        <v>261607246</v>
      </c>
      <c r="BZ13" s="81">
        <v>39991069</v>
      </c>
      <c r="CA13" s="51">
        <v>16193946</v>
      </c>
      <c r="CB13" s="51">
        <v>25159481</v>
      </c>
      <c r="CC13" s="50">
        <v>81344496</v>
      </c>
      <c r="CD13" s="51">
        <v>28150265</v>
      </c>
      <c r="CE13" s="51">
        <v>26063114</v>
      </c>
      <c r="CF13" s="51">
        <v>34956546</v>
      </c>
      <c r="CG13" s="52">
        <v>89169925</v>
      </c>
      <c r="CH13" s="51">
        <v>23865164</v>
      </c>
      <c r="CI13" s="51">
        <v>20353037</v>
      </c>
      <c r="CJ13" s="51">
        <v>21146738</v>
      </c>
      <c r="CK13" s="52">
        <v>65364939</v>
      </c>
      <c r="CL13" s="51">
        <v>13204931</v>
      </c>
      <c r="CM13" s="51">
        <v>25585809</v>
      </c>
      <c r="CN13" s="51">
        <v>22870174</v>
      </c>
      <c r="CO13" s="52">
        <v>61660914</v>
      </c>
      <c r="CP13" s="52">
        <v>170514421</v>
      </c>
      <c r="CQ13" s="52">
        <v>235879360</v>
      </c>
      <c r="CR13" s="53">
        <v>297540274</v>
      </c>
      <c r="CS13" s="47">
        <f>SUM(CS8:CS12)</f>
        <v>11924784</v>
      </c>
      <c r="CT13" s="47">
        <f>SUM(CT8:CT12)</f>
        <v>22053585</v>
      </c>
      <c r="CU13" s="47">
        <f>SUM(CU8:CU12)</f>
        <v>20657189</v>
      </c>
      <c r="CV13" s="54">
        <f t="shared" si="8"/>
        <v>54635558</v>
      </c>
      <c r="CW13" s="47">
        <f>SUM(CW8:CW12)</f>
        <v>14353344</v>
      </c>
      <c r="CX13" s="47">
        <f>SUM(CX8:CX12)</f>
        <v>17032396</v>
      </c>
      <c r="CY13" s="47">
        <f>SUM(CY8:CY12)</f>
        <v>16175719</v>
      </c>
      <c r="CZ13" s="55">
        <f t="shared" si="9"/>
        <v>47561459</v>
      </c>
      <c r="DA13" s="47">
        <f>SUM(DA8:DA12)</f>
        <v>21780755</v>
      </c>
      <c r="DB13" s="47">
        <f>SUM(DB8:DB12)</f>
        <v>10616958</v>
      </c>
      <c r="DC13" s="47">
        <f>SUM(DC8:DC12)</f>
        <v>11745868</v>
      </c>
      <c r="DD13" s="54">
        <f t="shared" si="10"/>
        <v>44143581</v>
      </c>
      <c r="DE13" s="47">
        <f>SUM(DE8:DE12)</f>
        <v>9007804</v>
      </c>
      <c r="DF13" s="47">
        <f>SUM(DF8:DF12)</f>
        <v>8836969</v>
      </c>
      <c r="DG13" s="47">
        <f>SUM(DG8:DG12)</f>
        <v>16218460</v>
      </c>
      <c r="DH13" s="54">
        <f t="shared" si="11"/>
        <v>34063233</v>
      </c>
      <c r="DI13" s="55">
        <f t="shared" si="12"/>
        <v>102197017</v>
      </c>
      <c r="DJ13" s="55">
        <f t="shared" si="13"/>
        <v>146340598</v>
      </c>
      <c r="DK13" s="55">
        <f t="shared" si="14"/>
        <v>180403831</v>
      </c>
      <c r="DL13" s="56">
        <f t="shared" si="15"/>
        <v>117136443</v>
      </c>
      <c r="DM13" s="4">
        <f t="shared" si="5"/>
        <v>0.64930130558036758</v>
      </c>
      <c r="DN13" s="57">
        <f>BY13-CR13</f>
        <v>-35933028</v>
      </c>
      <c r="DO13" s="4">
        <f t="shared" si="17"/>
        <v>-0.12076693859601675</v>
      </c>
      <c r="DP13" s="57">
        <f t="shared" si="22"/>
        <v>206096727</v>
      </c>
      <c r="DQ13" s="4">
        <f t="shared" si="18"/>
        <v>0.78780970386424232</v>
      </c>
      <c r="DR13" s="57">
        <f>AM13-BE13</f>
        <v>352368436</v>
      </c>
      <c r="DS13" s="4">
        <f t="shared" si="19"/>
        <v>0.75340056176944215</v>
      </c>
      <c r="DT13" s="57">
        <f t="shared" ref="DT13:DT23" si="27">C13-V13</f>
        <v>11867824</v>
      </c>
      <c r="DU13" s="4">
        <f t="shared" ref="DU13:DU15" si="28">DT13/BH13</f>
        <v>0.85145889831149923</v>
      </c>
    </row>
    <row r="14" spans="1:125">
      <c r="A14" s="82" t="s">
        <v>974</v>
      </c>
      <c r="B14" s="5">
        <f>'2017 預算'!C14</f>
        <v>55646869</v>
      </c>
      <c r="C14" s="60">
        <f>'2017 預算'!F14</f>
        <v>52320171</v>
      </c>
      <c r="D14" s="59">
        <f>'2017 預算'!I14</f>
        <v>53472402</v>
      </c>
      <c r="E14" s="59">
        <f t="shared" si="6"/>
        <v>161439442</v>
      </c>
      <c r="F14" s="59">
        <f>'2017 預算'!O14</f>
        <v>59947315</v>
      </c>
      <c r="G14" s="59">
        <f>'2017 預算'!R14</f>
        <v>46938901</v>
      </c>
      <c r="H14" s="59">
        <f>'2017 預算'!U14</f>
        <v>76556480</v>
      </c>
      <c r="I14" s="59">
        <f>SUM(F14:H14)</f>
        <v>183442696</v>
      </c>
      <c r="J14" s="59">
        <f>'2017 預算'!AA14</f>
        <v>87191630</v>
      </c>
      <c r="K14" s="59">
        <f>'2017 預算'!AD14</f>
        <v>70950644</v>
      </c>
      <c r="L14" s="59">
        <f>'2017 預算'!AG14</f>
        <v>0</v>
      </c>
      <c r="M14" s="59">
        <f>SUM(J14:L14)</f>
        <v>158142274</v>
      </c>
      <c r="N14" s="59">
        <f>'2017 預算'!AM14</f>
        <v>0</v>
      </c>
      <c r="O14" s="59">
        <f>'2017 預算'!AP14</f>
        <v>0</v>
      </c>
      <c r="P14" s="59">
        <f>'2017 預算'!AS14</f>
        <v>0</v>
      </c>
      <c r="Q14" s="59">
        <f>SUM(N14:P14)</f>
        <v>0</v>
      </c>
      <c r="R14" s="59">
        <f>E14+I14</f>
        <v>344882138</v>
      </c>
      <c r="S14" s="59">
        <f>E14+I14+M14</f>
        <v>503024412</v>
      </c>
      <c r="T14" s="59">
        <f t="shared" si="7"/>
        <v>503024412</v>
      </c>
      <c r="U14" s="5">
        <v>31243974</v>
      </c>
      <c r="V14" s="60">
        <v>39556792</v>
      </c>
      <c r="W14" s="59">
        <v>52692537</v>
      </c>
      <c r="X14" s="59">
        <v>123493303</v>
      </c>
      <c r="Y14" s="59">
        <v>34206151</v>
      </c>
      <c r="Z14" s="59">
        <v>45727500</v>
      </c>
      <c r="AA14" s="59">
        <v>41354713</v>
      </c>
      <c r="AB14" s="59">
        <v>121288364</v>
      </c>
      <c r="AC14" s="59">
        <v>41942955</v>
      </c>
      <c r="AD14" s="59">
        <v>55560009</v>
      </c>
      <c r="AE14" s="59">
        <v>46024712</v>
      </c>
      <c r="AF14" s="59">
        <v>143527676</v>
      </c>
      <c r="AG14" s="59">
        <v>43268327</v>
      </c>
      <c r="AH14" s="59">
        <v>55123597</v>
      </c>
      <c r="AI14" s="59">
        <f>76583648+99025</f>
        <v>76682673</v>
      </c>
      <c r="AJ14" s="59">
        <f>174975572+99025</f>
        <v>175074597</v>
      </c>
      <c r="AK14" s="59">
        <v>244781667</v>
      </c>
      <c r="AL14" s="59">
        <f>388309343</f>
        <v>388309343</v>
      </c>
      <c r="AM14" s="376">
        <f>563284915+99025</f>
        <v>563383940</v>
      </c>
      <c r="AN14" s="61">
        <v>16692801</v>
      </c>
      <c r="AO14" s="61">
        <v>27049095</v>
      </c>
      <c r="AP14" s="61">
        <v>52912401</v>
      </c>
      <c r="AQ14" s="62">
        <v>96654297</v>
      </c>
      <c r="AR14" s="63">
        <v>41243729</v>
      </c>
      <c r="AS14" s="63">
        <v>27959377</v>
      </c>
      <c r="AT14" s="63">
        <v>48091078</v>
      </c>
      <c r="AU14" s="62">
        <v>117294184</v>
      </c>
      <c r="AV14" s="63">
        <v>25227381</v>
      </c>
      <c r="AW14" s="63">
        <v>22845429</v>
      </c>
      <c r="AX14" s="63">
        <v>26427403</v>
      </c>
      <c r="AY14" s="62">
        <v>74500213</v>
      </c>
      <c r="AZ14" s="63">
        <v>22033948</v>
      </c>
      <c r="BA14" s="63">
        <v>21944427</v>
      </c>
      <c r="BB14" s="63">
        <v>58869666</v>
      </c>
      <c r="BC14" s="62">
        <v>102848041</v>
      </c>
      <c r="BD14" s="62">
        <v>213948481</v>
      </c>
      <c r="BE14" s="62">
        <v>288448694</v>
      </c>
      <c r="BF14" s="62">
        <v>391296735</v>
      </c>
      <c r="BG14" s="64">
        <v>10931860</v>
      </c>
      <c r="BH14" s="65">
        <v>13807347</v>
      </c>
      <c r="BI14" s="65">
        <v>18299301</v>
      </c>
      <c r="BJ14" s="66">
        <v>43038508</v>
      </c>
      <c r="BK14" s="65">
        <v>8610490</v>
      </c>
      <c r="BL14" s="65">
        <v>25147200</v>
      </c>
      <c r="BM14" s="65">
        <v>28498589</v>
      </c>
      <c r="BN14" s="66">
        <v>62256279</v>
      </c>
      <c r="BO14" s="65">
        <v>14570867</v>
      </c>
      <c r="BP14" s="65">
        <v>15557467</v>
      </c>
      <c r="BQ14" s="65">
        <v>16721204</v>
      </c>
      <c r="BR14" s="66">
        <v>46849538</v>
      </c>
      <c r="BS14" s="65">
        <v>8444860</v>
      </c>
      <c r="BT14" s="65">
        <v>19319096</v>
      </c>
      <c r="BU14" s="65">
        <v>23017369</v>
      </c>
      <c r="BV14" s="66">
        <v>50781325</v>
      </c>
      <c r="BW14" s="66">
        <v>105294787</v>
      </c>
      <c r="BX14" s="66">
        <v>152144325</v>
      </c>
      <c r="BY14" s="67">
        <v>202925650</v>
      </c>
      <c r="BZ14" s="65">
        <v>31221524</v>
      </c>
      <c r="CA14" s="47">
        <v>13904326</v>
      </c>
      <c r="CB14" s="47">
        <v>18049345</v>
      </c>
      <c r="CC14" s="50">
        <v>63175195</v>
      </c>
      <c r="CD14" s="47">
        <v>22365591</v>
      </c>
      <c r="CE14" s="51">
        <v>22511921</v>
      </c>
      <c r="CF14" s="51">
        <v>26637307</v>
      </c>
      <c r="CG14" s="52">
        <v>71514819</v>
      </c>
      <c r="CH14" s="47">
        <v>18548359</v>
      </c>
      <c r="CI14" s="51">
        <v>14179951</v>
      </c>
      <c r="CJ14" s="51">
        <v>20303116</v>
      </c>
      <c r="CK14" s="52">
        <v>53031426</v>
      </c>
      <c r="CL14" s="51">
        <v>16862329</v>
      </c>
      <c r="CM14" s="51">
        <v>21667624</v>
      </c>
      <c r="CN14" s="51">
        <v>13670900</v>
      </c>
      <c r="CO14" s="52">
        <v>52200853</v>
      </c>
      <c r="CP14" s="52">
        <v>134690014</v>
      </c>
      <c r="CQ14" s="70">
        <v>187721440</v>
      </c>
      <c r="CR14" s="71">
        <v>239922293</v>
      </c>
      <c r="CS14" s="47">
        <v>19195795</v>
      </c>
      <c r="CT14" s="47">
        <v>28091041</v>
      </c>
      <c r="CU14" s="47">
        <f>[1]TWN_IS!F88</f>
        <v>24033698</v>
      </c>
      <c r="CV14" s="54">
        <f t="shared" si="8"/>
        <v>71320534</v>
      </c>
      <c r="CW14" s="47">
        <v>18464912</v>
      </c>
      <c r="CX14" s="51">
        <v>24205476</v>
      </c>
      <c r="CY14" s="51">
        <v>23689240</v>
      </c>
      <c r="CZ14" s="55">
        <f>SUM(CW14:CY14)</f>
        <v>66359628</v>
      </c>
      <c r="DA14" s="47">
        <v>20158024</v>
      </c>
      <c r="DB14" s="47">
        <v>18073992</v>
      </c>
      <c r="DC14" s="47">
        <v>22353248</v>
      </c>
      <c r="DD14" s="54">
        <f t="shared" si="10"/>
        <v>60585264</v>
      </c>
      <c r="DE14" s="47">
        <v>20398077</v>
      </c>
      <c r="DF14" s="47">
        <v>14796955</v>
      </c>
      <c r="DG14" s="47">
        <v>17035791</v>
      </c>
      <c r="DH14" s="54">
        <f t="shared" si="11"/>
        <v>52230823</v>
      </c>
      <c r="DI14" s="55">
        <f t="shared" si="12"/>
        <v>137680162</v>
      </c>
      <c r="DJ14" s="73">
        <f t="shared" si="13"/>
        <v>198265426</v>
      </c>
      <c r="DK14" s="55">
        <f t="shared" si="14"/>
        <v>250496249</v>
      </c>
      <c r="DL14" s="56">
        <f t="shared" si="15"/>
        <v>-10573956</v>
      </c>
      <c r="DM14" s="75">
        <f t="shared" si="5"/>
        <v>-4.2212033282781808E-2</v>
      </c>
      <c r="DN14" s="57">
        <f t="shared" si="16"/>
        <v>-36996643</v>
      </c>
      <c r="DO14" s="75">
        <f t="shared" si="17"/>
        <v>-0.15420260675818065</v>
      </c>
      <c r="DP14" s="57">
        <f t="shared" si="22"/>
        <v>188371085</v>
      </c>
      <c r="DQ14" s="4">
        <f t="shared" si="18"/>
        <v>0.92827636624546972</v>
      </c>
      <c r="DR14" s="57">
        <f>AM14-BE14</f>
        <v>274935246</v>
      </c>
      <c r="DS14" s="4">
        <f t="shared" si="19"/>
        <v>0.70262596492148088</v>
      </c>
      <c r="DT14" s="57">
        <f t="shared" si="27"/>
        <v>12763379</v>
      </c>
      <c r="DU14" s="4">
        <f t="shared" si="28"/>
        <v>0.9243903988217288</v>
      </c>
    </row>
    <row r="15" spans="1:125">
      <c r="A15" s="83" t="s">
        <v>975</v>
      </c>
      <c r="B15" s="84">
        <f t="shared" ref="B15:D15" si="29">B13-B14</f>
        <v>4600082</v>
      </c>
      <c r="C15" s="85">
        <f t="shared" si="29"/>
        <v>751329</v>
      </c>
      <c r="D15" s="85">
        <f t="shared" si="29"/>
        <v>10259568</v>
      </c>
      <c r="E15" s="85">
        <f t="shared" si="6"/>
        <v>15610979</v>
      </c>
      <c r="F15" s="85">
        <f t="shared" ref="F15:H15" si="30">F13-F14</f>
        <v>7418365</v>
      </c>
      <c r="G15" s="85">
        <f t="shared" si="30"/>
        <v>6342441.7700000033</v>
      </c>
      <c r="H15" s="85">
        <f t="shared" si="30"/>
        <v>10931486</v>
      </c>
      <c r="I15" s="85">
        <f>I13-I14</f>
        <v>24692292.770000011</v>
      </c>
      <c r="J15" s="85">
        <f t="shared" ref="J15:S15" si="31">J13-J14</f>
        <v>11049536</v>
      </c>
      <c r="K15" s="85">
        <f t="shared" si="31"/>
        <v>11184271</v>
      </c>
      <c r="L15" s="85">
        <f t="shared" si="31"/>
        <v>0</v>
      </c>
      <c r="M15" s="85">
        <f t="shared" si="31"/>
        <v>22233807</v>
      </c>
      <c r="N15" s="85">
        <f t="shared" si="31"/>
        <v>0</v>
      </c>
      <c r="O15" s="85">
        <f t="shared" si="31"/>
        <v>0</v>
      </c>
      <c r="P15" s="85">
        <f t="shared" si="31"/>
        <v>0</v>
      </c>
      <c r="Q15" s="85">
        <f t="shared" si="31"/>
        <v>0</v>
      </c>
      <c r="R15" s="85">
        <f t="shared" si="31"/>
        <v>40303271.769999981</v>
      </c>
      <c r="S15" s="85">
        <f t="shared" si="31"/>
        <v>62537078.769999981</v>
      </c>
      <c r="T15" s="85">
        <f t="shared" si="7"/>
        <v>62537078.770000011</v>
      </c>
      <c r="U15" s="84">
        <v>5711669</v>
      </c>
      <c r="V15" s="85">
        <v>1646884</v>
      </c>
      <c r="W15" s="85">
        <v>16106161</v>
      </c>
      <c r="X15" s="85">
        <v>23464714</v>
      </c>
      <c r="Y15" s="85">
        <v>7867103</v>
      </c>
      <c r="Z15" s="85">
        <v>14962063</v>
      </c>
      <c r="AA15" s="85">
        <v>14671358</v>
      </c>
      <c r="AB15" s="85">
        <v>37500524</v>
      </c>
      <c r="AC15" s="85">
        <v>8563865</v>
      </c>
      <c r="AD15" s="85">
        <v>12443417</v>
      </c>
      <c r="AE15" s="85">
        <v>8021450</v>
      </c>
      <c r="AF15" s="85">
        <v>29028732</v>
      </c>
      <c r="AG15" s="85">
        <v>5409260</v>
      </c>
      <c r="AH15" s="85">
        <v>13096413</v>
      </c>
      <c r="AI15" s="85">
        <f>AI13-AI14</f>
        <v>16685159</v>
      </c>
      <c r="AJ15" s="85">
        <f t="shared" ref="AJ15:AL15" si="32">AJ13-AJ14</f>
        <v>35190832</v>
      </c>
      <c r="AK15" s="85">
        <f t="shared" si="32"/>
        <v>60965238</v>
      </c>
      <c r="AL15" s="85">
        <f t="shared" si="32"/>
        <v>89993970</v>
      </c>
      <c r="AM15" s="377">
        <f>AM13-AM14</f>
        <v>125184802</v>
      </c>
      <c r="AN15" s="85">
        <v>3428623</v>
      </c>
      <c r="AO15" s="85">
        <v>1367370</v>
      </c>
      <c r="AP15" s="85">
        <v>8185973</v>
      </c>
      <c r="AQ15" s="86">
        <v>12981966</v>
      </c>
      <c r="AR15" s="87">
        <v>7839847</v>
      </c>
      <c r="AS15" s="87">
        <v>5201974</v>
      </c>
      <c r="AT15" s="87">
        <v>11079908</v>
      </c>
      <c r="AU15" s="86">
        <v>24121729</v>
      </c>
      <c r="AV15" s="87">
        <v>4053047</v>
      </c>
      <c r="AW15" s="87">
        <v>1862304</v>
      </c>
      <c r="AX15" s="87">
        <v>4732566</v>
      </c>
      <c r="AY15" s="86">
        <v>10647917</v>
      </c>
      <c r="AZ15" s="87">
        <v>2853591</v>
      </c>
      <c r="BA15" s="87">
        <v>2755944</v>
      </c>
      <c r="BB15" s="87">
        <v>23046091</v>
      </c>
      <c r="BC15" s="86">
        <v>28655626</v>
      </c>
      <c r="BD15" s="86">
        <v>37103695</v>
      </c>
      <c r="BE15" s="86">
        <v>47751612</v>
      </c>
      <c r="BF15" s="86">
        <v>76407238</v>
      </c>
      <c r="BG15" s="46">
        <v>4416359</v>
      </c>
      <c r="BH15" s="88">
        <v>130876</v>
      </c>
      <c r="BI15" s="88">
        <v>6522093</v>
      </c>
      <c r="BJ15" s="89">
        <v>11069328</v>
      </c>
      <c r="BK15" s="88">
        <v>3181169</v>
      </c>
      <c r="BL15" s="88">
        <v>8025466</v>
      </c>
      <c r="BM15" s="88">
        <v>5311997</v>
      </c>
      <c r="BN15" s="89">
        <v>16518632</v>
      </c>
      <c r="BO15" s="88">
        <v>5535713</v>
      </c>
      <c r="BP15" s="88">
        <v>4715106</v>
      </c>
      <c r="BQ15" s="88">
        <v>6310594</v>
      </c>
      <c r="BR15" s="89">
        <v>16561413</v>
      </c>
      <c r="BS15" s="88">
        <v>1713735</v>
      </c>
      <c r="BT15" s="88">
        <v>1511649</v>
      </c>
      <c r="BU15" s="88">
        <v>11306839</v>
      </c>
      <c r="BV15" s="89">
        <v>14532223</v>
      </c>
      <c r="BW15" s="89">
        <v>27587960</v>
      </c>
      <c r="BX15" s="89">
        <v>44149373</v>
      </c>
      <c r="BY15" s="90">
        <v>58681596</v>
      </c>
      <c r="BZ15" s="87">
        <v>8769545</v>
      </c>
      <c r="CA15" s="91">
        <v>2289620</v>
      </c>
      <c r="CB15" s="91">
        <v>7110136</v>
      </c>
      <c r="CC15" s="92">
        <v>18169301</v>
      </c>
      <c r="CD15" s="91">
        <v>5784674</v>
      </c>
      <c r="CE15" s="91">
        <v>3551193</v>
      </c>
      <c r="CF15" s="91">
        <v>8319239</v>
      </c>
      <c r="CG15" s="93">
        <v>17655106</v>
      </c>
      <c r="CH15" s="91">
        <v>5316805</v>
      </c>
      <c r="CI15" s="91">
        <v>6173086</v>
      </c>
      <c r="CJ15" s="91">
        <v>843622</v>
      </c>
      <c r="CK15" s="93">
        <v>12333513</v>
      </c>
      <c r="CL15" s="81">
        <v>-3657398</v>
      </c>
      <c r="CM15" s="81">
        <v>3918185</v>
      </c>
      <c r="CN15" s="81">
        <v>9199274</v>
      </c>
      <c r="CO15" s="93">
        <v>9460061</v>
      </c>
      <c r="CP15" s="93">
        <v>35824407</v>
      </c>
      <c r="CQ15" s="93">
        <v>48157920</v>
      </c>
      <c r="CR15" s="94">
        <v>57617981</v>
      </c>
      <c r="CS15" s="91">
        <f t="shared" ref="CS15:CZ15" si="33">CS13-CS14</f>
        <v>-7271011</v>
      </c>
      <c r="CT15" s="91">
        <f t="shared" si="33"/>
        <v>-6037456</v>
      </c>
      <c r="CU15" s="91">
        <f t="shared" si="33"/>
        <v>-3376509</v>
      </c>
      <c r="CV15" s="95">
        <f t="shared" si="33"/>
        <v>-16684976</v>
      </c>
      <c r="CW15" s="91">
        <f t="shared" si="33"/>
        <v>-4111568</v>
      </c>
      <c r="CX15" s="91">
        <f t="shared" si="33"/>
        <v>-7173080</v>
      </c>
      <c r="CY15" s="91">
        <f t="shared" si="33"/>
        <v>-7513521</v>
      </c>
      <c r="CZ15" s="96">
        <f t="shared" si="33"/>
        <v>-18798169</v>
      </c>
      <c r="DA15" s="91">
        <f t="shared" ref="DA15:DG15" si="34">DA13-DA14</f>
        <v>1622731</v>
      </c>
      <c r="DB15" s="91">
        <f t="shared" si="34"/>
        <v>-7457034</v>
      </c>
      <c r="DC15" s="91">
        <f t="shared" si="34"/>
        <v>-10607380</v>
      </c>
      <c r="DD15" s="95">
        <f t="shared" si="34"/>
        <v>-16441683</v>
      </c>
      <c r="DE15" s="91">
        <f t="shared" si="34"/>
        <v>-11390273</v>
      </c>
      <c r="DF15" s="91">
        <f t="shared" si="34"/>
        <v>-5959986</v>
      </c>
      <c r="DG15" s="91">
        <f t="shared" si="34"/>
        <v>-817331</v>
      </c>
      <c r="DH15" s="95">
        <f t="shared" si="11"/>
        <v>-18167590</v>
      </c>
      <c r="DI15" s="96">
        <f t="shared" si="12"/>
        <v>-35483145</v>
      </c>
      <c r="DJ15" s="96">
        <f t="shared" si="13"/>
        <v>-51924828</v>
      </c>
      <c r="DK15" s="96">
        <f t="shared" si="14"/>
        <v>-70092418</v>
      </c>
      <c r="DL15" s="97">
        <f t="shared" si="15"/>
        <v>127710399</v>
      </c>
      <c r="DM15" s="98">
        <f t="shared" si="5"/>
        <v>-1.8220287249899125</v>
      </c>
      <c r="DN15" s="99">
        <f t="shared" si="16"/>
        <v>1063615</v>
      </c>
      <c r="DO15" s="98">
        <f t="shared" si="17"/>
        <v>1.8459775603730369E-2</v>
      </c>
      <c r="DP15" s="99">
        <f t="shared" si="22"/>
        <v>17725642</v>
      </c>
      <c r="DQ15" s="100">
        <f t="shared" si="18"/>
        <v>0.30206475638460822</v>
      </c>
      <c r="DR15" s="99">
        <f>AM15-BE15</f>
        <v>77433190</v>
      </c>
      <c r="DS15" s="100">
        <f t="shared" si="19"/>
        <v>1.0134274190097017</v>
      </c>
      <c r="DT15" s="99">
        <f t="shared" si="27"/>
        <v>-895555</v>
      </c>
      <c r="DU15" s="100">
        <f t="shared" si="28"/>
        <v>-6.8427748403068556</v>
      </c>
    </row>
    <row r="16" spans="1:125" ht="14" thickBot="1">
      <c r="A16" s="101" t="s">
        <v>976</v>
      </c>
      <c r="B16" s="102">
        <f t="shared" ref="B16:Q16" si="35">B15/B13*100</f>
        <v>7.6353772658138332</v>
      </c>
      <c r="C16" s="102">
        <f t="shared" si="35"/>
        <v>1.415692038099545</v>
      </c>
      <c r="D16" s="103">
        <f t="shared" si="35"/>
        <v>16.097992891165923</v>
      </c>
      <c r="E16" s="102">
        <f t="shared" si="35"/>
        <v>8.8172504260806033</v>
      </c>
      <c r="F16" s="328">
        <f t="shared" si="35"/>
        <v>11.012083601026516</v>
      </c>
      <c r="G16" s="328">
        <f t="shared" si="35"/>
        <v>11.903682302787436</v>
      </c>
      <c r="H16" s="326">
        <f t="shared" si="35"/>
        <v>12.494845291065516</v>
      </c>
      <c r="I16" s="328">
        <f t="shared" si="35"/>
        <v>11.86359531183211</v>
      </c>
      <c r="J16" s="328">
        <f t="shared" si="35"/>
        <v>11.247358362990113</v>
      </c>
      <c r="K16" s="328">
        <f t="shared" si="35"/>
        <v>13.616950842403625</v>
      </c>
      <c r="L16" s="330" t="e">
        <f t="shared" si="35"/>
        <v>#DIV/0!</v>
      </c>
      <c r="M16" s="330">
        <f t="shared" si="35"/>
        <v>12.326361054490368</v>
      </c>
      <c r="N16" s="330" t="e">
        <f t="shared" si="35"/>
        <v>#DIV/0!</v>
      </c>
      <c r="O16" s="330" t="e">
        <f t="shared" si="35"/>
        <v>#DIV/0!</v>
      </c>
      <c r="P16" s="330" t="e">
        <f t="shared" si="35"/>
        <v>#DIV/0!</v>
      </c>
      <c r="Q16" s="330" t="e">
        <f t="shared" si="35"/>
        <v>#DIV/0!</v>
      </c>
      <c r="R16" s="328">
        <f>R15/R13*100</f>
        <v>10.46334330110418</v>
      </c>
      <c r="S16" s="328">
        <f>S15/S13*100</f>
        <v>11.057520674693935</v>
      </c>
      <c r="T16" s="328">
        <f>T15/T13*100</f>
        <v>11.05752067469394</v>
      </c>
      <c r="U16" s="102">
        <v>15.455471847695899</v>
      </c>
      <c r="V16" s="102">
        <v>3.9969346424333598</v>
      </c>
      <c r="W16" s="103">
        <v>23.410560763809805</v>
      </c>
      <c r="X16" s="102">
        <v>15.966950615562538</v>
      </c>
      <c r="Y16" s="328">
        <v>18.698584616250503</v>
      </c>
      <c r="Z16" s="328">
        <v>24.65343670377063</v>
      </c>
      <c r="AA16" s="326">
        <v>26.186662277281592</v>
      </c>
      <c r="AB16" s="328">
        <v>23.616592113171041</v>
      </c>
      <c r="AC16" s="328">
        <v>16.955858634536881</v>
      </c>
      <c r="AD16" s="328">
        <v>18.298220739643323</v>
      </c>
      <c r="AE16" s="330">
        <v>14.841849454545914</v>
      </c>
      <c r="AF16" s="392">
        <v>16.822749346984551</v>
      </c>
      <c r="AG16" s="392">
        <v>11.112424286766721</v>
      </c>
      <c r="AH16" s="326">
        <v>19.197319085705207</v>
      </c>
      <c r="AI16" s="326">
        <f t="shared" ref="AI16:AL16" si="36">AI15/AI13*100</f>
        <v>17.870350679236076</v>
      </c>
      <c r="AJ16" s="392">
        <f t="shared" si="36"/>
        <v>16.736385133478123</v>
      </c>
      <c r="AK16" s="328">
        <f t="shared" si="36"/>
        <v>19.939772734576007</v>
      </c>
      <c r="AL16" s="328">
        <f t="shared" si="36"/>
        <v>18.815251233687359</v>
      </c>
      <c r="AM16" s="328">
        <f>AM15/AM13*100</f>
        <v>18.180436369561487</v>
      </c>
      <c r="AN16" s="105">
        <v>0.17039663793178852</v>
      </c>
      <c r="AO16" s="105">
        <v>4.8118933864574637E-2</v>
      </c>
      <c r="AP16" s="105">
        <v>0.13398021034078583</v>
      </c>
      <c r="AQ16" s="105">
        <v>0.11840941714695255</v>
      </c>
      <c r="AR16" s="105">
        <v>0.15972444631988508</v>
      </c>
      <c r="AS16" s="105">
        <v>0.15686857872587881</v>
      </c>
      <c r="AT16" s="105">
        <v>0.18725238075295889</v>
      </c>
      <c r="AU16" s="105">
        <v>0.17057294676589896</v>
      </c>
      <c r="AV16" s="105">
        <v>0.1384217129612996</v>
      </c>
      <c r="AW16" s="105">
        <v>7.5373325428115964E-2</v>
      </c>
      <c r="AX16" s="105">
        <v>0.15187967613189859</v>
      </c>
      <c r="AY16" s="105">
        <v>0.1250516834603414</v>
      </c>
      <c r="AZ16" s="105">
        <v>0.11465942855981059</v>
      </c>
      <c r="BA16" s="104">
        <v>0.11157500427827582</v>
      </c>
      <c r="BB16" s="104">
        <v>0.28133892481760253</v>
      </c>
      <c r="BC16" s="105">
        <v>0.21790742915176656</v>
      </c>
      <c r="BD16" s="105">
        <v>0.14779276400296965</v>
      </c>
      <c r="BE16" s="105">
        <v>0.14203321992217341</v>
      </c>
      <c r="BF16" s="105">
        <v>0.16336666440932715</v>
      </c>
      <c r="BG16" s="106">
        <v>0.28774406984940726</v>
      </c>
      <c r="BH16" s="106">
        <v>9.3897191916071359E-3</v>
      </c>
      <c r="BI16" s="106">
        <v>0.26276094726992366</v>
      </c>
      <c r="BJ16" s="106">
        <v>0.20457901883194884</v>
      </c>
      <c r="BK16" s="107">
        <v>0.26978129201327822</v>
      </c>
      <c r="BL16" s="107">
        <v>0.24193008786209708</v>
      </c>
      <c r="BM16" s="107">
        <v>0.15711046830125924</v>
      </c>
      <c r="BN16" s="106">
        <v>0.20969407378955973</v>
      </c>
      <c r="BO16" s="106">
        <v>0.27531847783163521</v>
      </c>
      <c r="BP16" s="106">
        <v>0.2325854739800419</v>
      </c>
      <c r="BQ16" s="106">
        <v>0.27399484833967369</v>
      </c>
      <c r="BR16" s="106">
        <v>0.26117591265899798</v>
      </c>
      <c r="BS16" s="106">
        <v>0.16869803353711807</v>
      </c>
      <c r="BT16" s="106">
        <v>7.2568167869176067E-2</v>
      </c>
      <c r="BU16" s="106">
        <v>0.32941296125463404</v>
      </c>
      <c r="BV16" s="106">
        <v>0.22249936567525011</v>
      </c>
      <c r="BW16" s="106">
        <v>0.20761130111194948</v>
      </c>
      <c r="BX16" s="106">
        <v>0.22491487729779283</v>
      </c>
      <c r="BY16" s="105">
        <v>0.22431181436006556</v>
      </c>
      <c r="BZ16" s="105">
        <v>0.21928758643586146</v>
      </c>
      <c r="CA16" s="105">
        <v>0.14138740489810203</v>
      </c>
      <c r="CB16" s="105">
        <v>0.28260264987183159</v>
      </c>
      <c r="CC16" s="105">
        <v>0.22336238950942666</v>
      </c>
      <c r="CD16" s="105">
        <v>0.20549270140085715</v>
      </c>
      <c r="CE16" s="105">
        <v>0.13625359579058741</v>
      </c>
      <c r="CF16" s="105">
        <v>0.23798801517747206</v>
      </c>
      <c r="CG16" s="105">
        <v>0.19799395367888892</v>
      </c>
      <c r="CH16" s="105">
        <v>0.2227851859723235</v>
      </c>
      <c r="CI16" s="105">
        <v>0.30330048532806186</v>
      </c>
      <c r="CJ16" s="105">
        <v>3.9893717886891111E-2</v>
      </c>
      <c r="CK16" s="105">
        <v>0.18868698095166891</v>
      </c>
      <c r="CL16" s="105">
        <v>-0.2769721401800585</v>
      </c>
      <c r="CM16" s="105">
        <v>0.15313899200920322</v>
      </c>
      <c r="CN16" s="105">
        <v>0.40223891606596435</v>
      </c>
      <c r="CO16" s="105">
        <v>0.15342070667327443</v>
      </c>
      <c r="CP16" s="105">
        <v>0.21009605398712874</v>
      </c>
      <c r="CQ16" s="105">
        <v>0.2041633485863282</v>
      </c>
      <c r="CR16" s="105">
        <v>0.19364767070154679</v>
      </c>
      <c r="CS16" s="105">
        <f t="shared" ref="CS16:CZ16" si="37">CS15/CS13</f>
        <v>-0.60973943008108156</v>
      </c>
      <c r="CT16" s="105">
        <f t="shared" si="37"/>
        <v>-0.27376301857498453</v>
      </c>
      <c r="CU16" s="105">
        <f t="shared" si="37"/>
        <v>-0.16345442741507568</v>
      </c>
      <c r="CV16" s="105">
        <f t="shared" si="37"/>
        <v>-0.30538675929693992</v>
      </c>
      <c r="CW16" s="105">
        <f t="shared" si="37"/>
        <v>-0.28645366543155382</v>
      </c>
      <c r="CX16" s="105">
        <f t="shared" si="37"/>
        <v>-0.42114333180135077</v>
      </c>
      <c r="CY16" s="105">
        <f t="shared" si="37"/>
        <v>-0.46449378849867506</v>
      </c>
      <c r="CZ16" s="105">
        <f t="shared" si="37"/>
        <v>-0.39523953628083613</v>
      </c>
      <c r="DA16" s="105">
        <f t="shared" ref="DA16:DH16" si="38">DA15/DA13</f>
        <v>7.45029729226558E-2</v>
      </c>
      <c r="DB16" s="105">
        <f t="shared" si="38"/>
        <v>-0.70237011392528825</v>
      </c>
      <c r="DC16" s="105">
        <f t="shared" si="38"/>
        <v>-0.90307331905994515</v>
      </c>
      <c r="DD16" s="105">
        <f t="shared" si="38"/>
        <v>-0.372459203071903</v>
      </c>
      <c r="DE16" s="105">
        <f t="shared" si="38"/>
        <v>-1.2644894360490082</v>
      </c>
      <c r="DF16" s="105">
        <f t="shared" si="38"/>
        <v>-0.67443780780491591</v>
      </c>
      <c r="DG16" s="105">
        <f t="shared" si="38"/>
        <v>-5.0395105330592424E-2</v>
      </c>
      <c r="DH16" s="105">
        <f t="shared" si="38"/>
        <v>-0.53334896308873558</v>
      </c>
      <c r="DI16" s="105">
        <f>DI15/DI13</f>
        <v>-0.34720333373331241</v>
      </c>
      <c r="DJ16" s="105">
        <f>DJ15/DJ13</f>
        <v>-0.35482175629759283</v>
      </c>
      <c r="DK16" s="105">
        <f>DK15/DK13</f>
        <v>-0.38853065154697297</v>
      </c>
      <c r="DL16" s="108">
        <f t="shared" si="15"/>
        <v>0.58217832224851973</v>
      </c>
      <c r="DM16" s="109"/>
      <c r="DN16" s="105">
        <f t="shared" si="16"/>
        <v>3.0664143658518772E-2</v>
      </c>
      <c r="DO16" s="109"/>
      <c r="DP16" s="105">
        <f t="shared" si="22"/>
        <v>-6.0945149950738409E-2</v>
      </c>
      <c r="DQ16" s="105"/>
      <c r="DR16" s="389">
        <f t="shared" ref="DR16:DR17" si="39">AM16-BE16</f>
        <v>18.038403149639315</v>
      </c>
      <c r="DS16" s="105"/>
      <c r="DT16" s="1099">
        <f t="shared" si="27"/>
        <v>-2.5812426043338146</v>
      </c>
      <c r="DU16" s="105"/>
    </row>
    <row r="17" spans="1:125" ht="15" thickTop="1" thickBot="1">
      <c r="A17" s="101" t="s">
        <v>977</v>
      </c>
      <c r="B17" s="110">
        <f t="shared" ref="B17:Q17" si="40">(B15+B50)/B13*100</f>
        <v>12.406986371808259</v>
      </c>
      <c r="C17" s="110">
        <f t="shared" si="40"/>
        <v>6.6227636301969985</v>
      </c>
      <c r="D17" s="111">
        <f t="shared" si="40"/>
        <v>4.3981270310646288</v>
      </c>
      <c r="E17" s="110">
        <f t="shared" si="40"/>
        <v>7.7902350765943682</v>
      </c>
      <c r="F17" s="329">
        <f t="shared" si="40"/>
        <v>10.13341956913372</v>
      </c>
      <c r="G17" s="329">
        <f t="shared" si="40"/>
        <v>13.882724018293361</v>
      </c>
      <c r="H17" s="327">
        <f t="shared" si="40"/>
        <v>10.813788950128297</v>
      </c>
      <c r="I17" s="329">
        <f t="shared" si="40"/>
        <v>11.37920774876164</v>
      </c>
      <c r="J17" s="329">
        <f t="shared" si="40"/>
        <v>9.1794044871169369</v>
      </c>
      <c r="K17" s="329">
        <f t="shared" si="40"/>
        <v>13.646151578777429</v>
      </c>
      <c r="L17" s="329" t="e">
        <f t="shared" si="40"/>
        <v>#DIV/0!</v>
      </c>
      <c r="M17" s="329">
        <f t="shared" si="40"/>
        <v>11.213354280604422</v>
      </c>
      <c r="N17" s="329" t="e">
        <f t="shared" si="40"/>
        <v>#DIV/0!</v>
      </c>
      <c r="O17" s="329" t="e">
        <f t="shared" si="40"/>
        <v>#DIV/0!</v>
      </c>
      <c r="P17" s="329" t="e">
        <f t="shared" si="40"/>
        <v>#DIV/0!</v>
      </c>
      <c r="Q17" s="329" t="e">
        <f t="shared" si="40"/>
        <v>#DIV/0!</v>
      </c>
      <c r="R17" s="329">
        <f>(R15+R50)/R13*100</f>
        <v>9.7295369501087574</v>
      </c>
      <c r="S17" s="329">
        <f>(S15+S50)/S13*100</f>
        <v>10.202774890390543</v>
      </c>
      <c r="T17" s="329">
        <f>(T15+T50)/T13*100</f>
        <v>10.202774890390549</v>
      </c>
      <c r="U17" s="110">
        <v>15.504203241707904</v>
      </c>
      <c r="V17" s="110">
        <v>12.235920406713225</v>
      </c>
      <c r="W17" s="111">
        <v>23.050571393080723</v>
      </c>
      <c r="X17" s="110">
        <v>18.120699056520341</v>
      </c>
      <c r="Y17" s="329">
        <v>17.390910624597755</v>
      </c>
      <c r="Z17" s="329">
        <v>18.471858167770954</v>
      </c>
      <c r="AA17" s="327">
        <v>24.18450331810703</v>
      </c>
      <c r="AB17" s="329">
        <v>20.201060290818333</v>
      </c>
      <c r="AC17" s="329">
        <v>20.778053340123176</v>
      </c>
      <c r="AD17" s="329">
        <v>13.41334773339214</v>
      </c>
      <c r="AE17" s="329">
        <v>14.382793731033111</v>
      </c>
      <c r="AF17" s="329">
        <v>15.872617144418074</v>
      </c>
      <c r="AG17" s="329">
        <v>14.172980677945274</v>
      </c>
      <c r="AH17" s="327">
        <v>13.110515521765533</v>
      </c>
      <c r="AI17" s="327">
        <v>16.265261466068957</v>
      </c>
      <c r="AJ17" s="329">
        <v>14.757338925173476</v>
      </c>
      <c r="AK17" s="329">
        <v>19.201129443975891</v>
      </c>
      <c r="AL17" s="329">
        <v>18.000309565072989</v>
      </c>
      <c r="AM17" s="329">
        <v>17.01001684447651</v>
      </c>
      <c r="AN17" s="112">
        <v>0.20416586818109891</v>
      </c>
      <c r="AO17" s="112">
        <v>0.10294566899858937</v>
      </c>
      <c r="AP17" s="112">
        <v>0.16580122083117957</v>
      </c>
      <c r="AQ17" s="112">
        <v>0.15655080290359769</v>
      </c>
      <c r="AR17" s="112">
        <v>0.1325257760355521</v>
      </c>
      <c r="AS17" s="112">
        <v>0.11589750972449826</v>
      </c>
      <c r="AT17" s="112">
        <v>0.19647015853344069</v>
      </c>
      <c r="AU17" s="112">
        <v>0.1553820184295667</v>
      </c>
      <c r="AV17" s="112">
        <v>0.16878718439498219</v>
      </c>
      <c r="AW17" s="112">
        <v>0.16450444887031926</v>
      </c>
      <c r="AX17" s="112">
        <v>0.1998969896279422</v>
      </c>
      <c r="AY17" s="112">
        <v>0.17892908511320213</v>
      </c>
      <c r="AZ17" s="112">
        <v>0.24106236458333627</v>
      </c>
      <c r="BA17" s="113">
        <v>0.15193686766891074</v>
      </c>
      <c r="BB17" s="113">
        <v>0.1867215485782546</v>
      </c>
      <c r="BC17" s="112">
        <v>0.19047212576969433</v>
      </c>
      <c r="BD17" s="112">
        <v>0.15589243488572671</v>
      </c>
      <c r="BE17" s="112">
        <v>0.16172683673881011</v>
      </c>
      <c r="BF17" s="112">
        <v>0.16980910914776429</v>
      </c>
      <c r="BG17" s="114">
        <v>0.26375346872493804</v>
      </c>
      <c r="BH17" s="114">
        <v>0.20182271441632121</v>
      </c>
      <c r="BI17" s="114">
        <v>0.28511251221426159</v>
      </c>
      <c r="BJ17" s="114">
        <v>0.25759828946032881</v>
      </c>
      <c r="BK17" s="114">
        <v>0.28554014324871507</v>
      </c>
      <c r="BL17" s="114">
        <v>0.23074907515723939</v>
      </c>
      <c r="BM17" s="114">
        <v>0.24538193452192755</v>
      </c>
      <c r="BN17" s="114">
        <v>0.24523113710658462</v>
      </c>
      <c r="BO17" s="114"/>
      <c r="BP17" s="114"/>
      <c r="BQ17" s="114"/>
      <c r="BR17" s="114">
        <v>0.25080500685126139</v>
      </c>
      <c r="BS17" s="114">
        <v>0.22965400234973438</v>
      </c>
      <c r="BT17" s="114">
        <v>0.18004204842409621</v>
      </c>
      <c r="BU17" s="114">
        <v>0.19447705829075501</v>
      </c>
      <c r="BV17" s="114">
        <v>0.19534450953422405</v>
      </c>
      <c r="BW17" s="114">
        <v>0.2502668536796579</v>
      </c>
      <c r="BX17" s="114">
        <v>0.25044069932392837</v>
      </c>
      <c r="BY17" s="114">
        <v>0.23668524074444022</v>
      </c>
      <c r="BZ17" s="114">
        <v>0.22552895497742259</v>
      </c>
      <c r="CA17" s="114">
        <v>0.16916939206787523</v>
      </c>
      <c r="CB17" s="114">
        <v>0.22102633993125692</v>
      </c>
      <c r="CC17" s="114">
        <v>0.21291633548261213</v>
      </c>
      <c r="CD17" s="114">
        <v>0.23776330347156591</v>
      </c>
      <c r="CE17" s="114">
        <v>0.22501942783966644</v>
      </c>
      <c r="CF17" s="114">
        <v>0.24001178491719405</v>
      </c>
      <c r="CG17" s="114">
        <v>0.23491990152509382</v>
      </c>
      <c r="CH17" s="112"/>
      <c r="CI17" s="112"/>
      <c r="CJ17" s="112"/>
      <c r="CK17" s="114">
        <v>0.23961397715065563</v>
      </c>
      <c r="CL17" s="112">
        <v>0.16594513064854333</v>
      </c>
      <c r="CM17" s="112">
        <v>0.19743229537905171</v>
      </c>
      <c r="CN17" s="112">
        <v>0.28282911183797727</v>
      </c>
      <c r="CO17" s="114">
        <v>0.22236306779364315</v>
      </c>
      <c r="CP17" s="114">
        <v>0.22442302402094191</v>
      </c>
      <c r="CQ17" s="114">
        <v>0.2286326154183223</v>
      </c>
      <c r="CR17" s="114">
        <v>0.22733334244358464</v>
      </c>
      <c r="CS17" s="112"/>
      <c r="CT17" s="112"/>
      <c r="CU17" s="112"/>
      <c r="CV17" s="112"/>
      <c r="CW17" s="112"/>
      <c r="CX17" s="108"/>
      <c r="CY17" s="108"/>
      <c r="CZ17" s="108"/>
      <c r="DA17" s="108"/>
      <c r="DB17" s="108"/>
      <c r="DC17" s="108"/>
      <c r="DD17" s="108"/>
      <c r="DE17" s="108"/>
      <c r="DF17" s="108"/>
      <c r="DG17" s="108"/>
      <c r="DH17" s="108"/>
      <c r="DI17" s="108"/>
      <c r="DJ17" s="108"/>
      <c r="DK17" s="112">
        <f>(DK15+DK50)/DK13</f>
        <v>-0.39945094070646425</v>
      </c>
      <c r="DL17" s="112">
        <f>CR17-DK17</f>
        <v>0.62678428315004886</v>
      </c>
      <c r="DM17" s="109"/>
      <c r="DN17" s="108">
        <f>BY17-CR17</f>
        <v>9.3518983008555878E-3</v>
      </c>
      <c r="DO17" s="109"/>
      <c r="DP17" s="108">
        <f t="shared" si="22"/>
        <v>-6.6876131596675936E-2</v>
      </c>
      <c r="DQ17" s="112"/>
      <c r="DR17" s="390">
        <f t="shared" si="39"/>
        <v>16.848290007737699</v>
      </c>
      <c r="DS17" s="112"/>
      <c r="DT17" s="1100">
        <f t="shared" si="27"/>
        <v>-5.6131567765162265</v>
      </c>
      <c r="DU17" s="112"/>
    </row>
    <row r="18" spans="1:125" ht="14" thickTop="1">
      <c r="A18" s="83" t="s">
        <v>978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378"/>
      <c r="AN18" s="85"/>
      <c r="AO18" s="85"/>
      <c r="AP18" s="85"/>
      <c r="AQ18" s="86"/>
      <c r="AR18" s="87"/>
      <c r="AS18" s="87"/>
      <c r="AT18" s="87"/>
      <c r="AU18" s="86"/>
      <c r="AV18" s="87"/>
      <c r="AW18" s="87"/>
      <c r="AX18" s="87"/>
      <c r="AY18" s="86"/>
      <c r="AZ18" s="87"/>
      <c r="BA18" s="87"/>
      <c r="BB18" s="87"/>
      <c r="BC18" s="86"/>
      <c r="BD18" s="86"/>
      <c r="BE18" s="86"/>
      <c r="BF18" s="86"/>
      <c r="BG18" s="88"/>
      <c r="BH18" s="88"/>
      <c r="BI18" s="88"/>
      <c r="BJ18" s="89"/>
      <c r="BK18" s="88"/>
      <c r="BL18" s="88"/>
      <c r="BM18" s="88"/>
      <c r="BN18" s="89"/>
      <c r="BO18" s="88"/>
      <c r="BP18" s="88"/>
      <c r="BQ18" s="88"/>
      <c r="BR18" s="89"/>
      <c r="BS18" s="88"/>
      <c r="BT18" s="88"/>
      <c r="BU18" s="88"/>
      <c r="BV18" s="89"/>
      <c r="BW18" s="89"/>
      <c r="BX18" s="89"/>
      <c r="BY18" s="49"/>
      <c r="BZ18" s="115"/>
      <c r="CA18" s="115"/>
      <c r="CB18" s="115"/>
      <c r="CC18" s="116"/>
      <c r="CD18" s="51"/>
      <c r="CE18" s="51"/>
      <c r="CF18" s="51"/>
      <c r="CG18" s="52"/>
      <c r="CH18" s="51"/>
      <c r="CI18" s="51"/>
      <c r="CJ18" s="51"/>
      <c r="CK18" s="52"/>
      <c r="CL18" s="51"/>
      <c r="CM18" s="51"/>
      <c r="CN18" s="51"/>
      <c r="CO18" s="52"/>
      <c r="CP18" s="52"/>
      <c r="CQ18" s="52"/>
      <c r="CR18" s="53"/>
      <c r="CS18" s="115"/>
      <c r="CT18" s="115"/>
      <c r="CU18" s="115"/>
      <c r="CV18" s="117"/>
      <c r="CW18" s="51"/>
      <c r="CX18" s="51"/>
      <c r="CY18" s="51"/>
      <c r="CZ18" s="55"/>
      <c r="DA18" s="115"/>
      <c r="DB18" s="115"/>
      <c r="DC18" s="115"/>
      <c r="DD18" s="117"/>
      <c r="DE18" s="115"/>
      <c r="DF18" s="115"/>
      <c r="DG18" s="115"/>
      <c r="DH18" s="117"/>
      <c r="DI18" s="55"/>
      <c r="DJ18" s="55"/>
      <c r="DK18" s="55"/>
      <c r="DL18" s="56"/>
      <c r="DN18" s="57"/>
      <c r="DP18" s="118"/>
      <c r="DR18" s="118"/>
      <c r="DT18" s="118"/>
    </row>
    <row r="19" spans="1:125">
      <c r="A19" s="119" t="s">
        <v>979</v>
      </c>
      <c r="B19" s="43">
        <f>'2017 預算'!C18</f>
        <v>2682181</v>
      </c>
      <c r="C19" s="43">
        <f>'2017 預算'!F18</f>
        <v>3034578</v>
      </c>
      <c r="D19" s="43">
        <f>'2017 預算'!I18</f>
        <v>2064980</v>
      </c>
      <c r="E19" s="121">
        <f>SUM(B19:D19)</f>
        <v>7781739</v>
      </c>
      <c r="F19" s="120">
        <f>'2017 預算'!O18</f>
        <v>2828716</v>
      </c>
      <c r="G19" s="120">
        <f>'2017 預算'!R18</f>
        <v>2899107</v>
      </c>
      <c r="H19" s="121">
        <f>'2017 預算'!U18</f>
        <v>3746561</v>
      </c>
      <c r="I19" s="121">
        <f>SUM(F19:H19)</f>
        <v>9474384</v>
      </c>
      <c r="J19" s="121">
        <f>'2017 預算'!AA18</f>
        <v>3694714</v>
      </c>
      <c r="K19" s="121">
        <f>'2017 預算'!AD18</f>
        <v>3586817</v>
      </c>
      <c r="L19" s="121">
        <f>'2017 預算'!AG18</f>
        <v>0</v>
      </c>
      <c r="M19" s="121">
        <f>SUM(J19:L19)</f>
        <v>7281531</v>
      </c>
      <c r="N19" s="121">
        <f>'2017 預算'!AM18</f>
        <v>0</v>
      </c>
      <c r="O19" s="121">
        <f>'2017 預算'!AP18</f>
        <v>0</v>
      </c>
      <c r="P19" s="121">
        <f>'2017 預算'!AS18</f>
        <v>0</v>
      </c>
      <c r="Q19" s="121">
        <f>SUM(N19:P19)</f>
        <v>0</v>
      </c>
      <c r="R19" s="121">
        <f>E19+I19</f>
        <v>17256123</v>
      </c>
      <c r="S19" s="121">
        <f>E19+I19+M19</f>
        <v>24537654</v>
      </c>
      <c r="T19" s="121">
        <f>E19+I19+M19+Q19</f>
        <v>24537654</v>
      </c>
      <c r="U19" s="43">
        <v>2459333</v>
      </c>
      <c r="V19" s="43">
        <v>2826212</v>
      </c>
      <c r="W19" s="120">
        <v>2965358</v>
      </c>
      <c r="X19" s="121">
        <v>8250903</v>
      </c>
      <c r="Y19" s="121">
        <v>3069079</v>
      </c>
      <c r="Z19" s="121">
        <v>2976654</v>
      </c>
      <c r="AA19" s="121">
        <v>2698890</v>
      </c>
      <c r="AB19" s="121">
        <v>8744623</v>
      </c>
      <c r="AC19" s="121">
        <v>2959846</v>
      </c>
      <c r="AD19" s="121">
        <v>2138563</v>
      </c>
      <c r="AE19" s="121">
        <v>1289282</v>
      </c>
      <c r="AF19" s="121">
        <v>6387691</v>
      </c>
      <c r="AG19" s="121">
        <v>2838978</v>
      </c>
      <c r="AH19" s="121">
        <v>3089256</v>
      </c>
      <c r="AI19" s="121">
        <f>286031+4103644</f>
        <v>4389675</v>
      </c>
      <c r="AJ19" s="121">
        <f>6214265+4103644</f>
        <v>10317909</v>
      </c>
      <c r="AK19" s="121">
        <v>16995526</v>
      </c>
      <c r="AL19" s="121">
        <f>23383217</f>
        <v>23383217</v>
      </c>
      <c r="AM19" s="379">
        <f>29597482+4103644</f>
        <v>33701126</v>
      </c>
      <c r="AN19" s="85">
        <v>1283568</v>
      </c>
      <c r="AO19" s="85">
        <v>1374819</v>
      </c>
      <c r="AP19" s="85">
        <v>1404605</v>
      </c>
      <c r="AQ19" s="122">
        <v>4062992</v>
      </c>
      <c r="AR19" s="85">
        <v>1943674</v>
      </c>
      <c r="AS19" s="85">
        <v>1819649</v>
      </c>
      <c r="AT19" s="85">
        <v>6876572</v>
      </c>
      <c r="AU19" s="122">
        <v>10639895</v>
      </c>
      <c r="AV19" s="85">
        <v>23001712</v>
      </c>
      <c r="AW19" s="85">
        <v>1344597</v>
      </c>
      <c r="AX19" s="85">
        <v>1872372</v>
      </c>
      <c r="AY19" s="122">
        <v>26218681</v>
      </c>
      <c r="AZ19" s="31">
        <v>3235759</v>
      </c>
      <c r="BA19" s="31">
        <v>2913406</v>
      </c>
      <c r="BB19" s="31">
        <v>5724127</v>
      </c>
      <c r="BC19" s="122">
        <v>11873292</v>
      </c>
      <c r="BD19" s="122">
        <v>14702887</v>
      </c>
      <c r="BE19" s="122">
        <v>40921568</v>
      </c>
      <c r="BF19" s="122">
        <v>52794860</v>
      </c>
      <c r="BG19" s="121">
        <v>1364416</v>
      </c>
      <c r="BH19" s="121">
        <v>1307027</v>
      </c>
      <c r="BI19" s="121">
        <v>2108408</v>
      </c>
      <c r="BJ19" s="123">
        <v>4779851</v>
      </c>
      <c r="BK19" s="121">
        <v>1438051</v>
      </c>
      <c r="BL19" s="121">
        <v>1376748</v>
      </c>
      <c r="BM19" s="121">
        <v>1556292</v>
      </c>
      <c r="BN19" s="123">
        <v>4371091</v>
      </c>
      <c r="BO19" s="121">
        <v>702717</v>
      </c>
      <c r="BP19" s="121">
        <v>1445924</v>
      </c>
      <c r="BQ19" s="121">
        <v>1381829</v>
      </c>
      <c r="BR19" s="123">
        <v>3530470</v>
      </c>
      <c r="BS19" s="121">
        <v>1147933</v>
      </c>
      <c r="BT19" s="121">
        <v>1570325</v>
      </c>
      <c r="BU19" s="121">
        <v>997814</v>
      </c>
      <c r="BV19" s="34">
        <v>3716072</v>
      </c>
      <c r="BW19" s="123">
        <v>9150942</v>
      </c>
      <c r="BX19" s="123">
        <v>12681412</v>
      </c>
      <c r="BY19" s="124">
        <v>16397484</v>
      </c>
      <c r="BZ19" s="47">
        <v>1540319</v>
      </c>
      <c r="CA19" s="47">
        <v>1086538</v>
      </c>
      <c r="CB19" s="47">
        <v>1084529</v>
      </c>
      <c r="CC19" s="50">
        <v>3711386</v>
      </c>
      <c r="CD19" s="47">
        <v>1289944</v>
      </c>
      <c r="CE19" s="51">
        <v>1323887</v>
      </c>
      <c r="CF19" s="51">
        <v>1614484</v>
      </c>
      <c r="CG19" s="52">
        <v>4228315</v>
      </c>
      <c r="CH19" s="47">
        <v>1652194</v>
      </c>
      <c r="CI19" s="51">
        <v>1719947</v>
      </c>
      <c r="CJ19" s="51">
        <v>1689550</v>
      </c>
      <c r="CK19" s="52">
        <v>5061691</v>
      </c>
      <c r="CL19" s="51">
        <v>1712496</v>
      </c>
      <c r="CM19" s="51">
        <v>1462349</v>
      </c>
      <c r="CN19" s="51">
        <v>1889648</v>
      </c>
      <c r="CO19" s="52">
        <v>5064493</v>
      </c>
      <c r="CP19" s="52">
        <v>7939701</v>
      </c>
      <c r="CQ19" s="52">
        <v>13001392</v>
      </c>
      <c r="CR19" s="53">
        <v>18065885</v>
      </c>
      <c r="CS19" s="47">
        <v>1573425</v>
      </c>
      <c r="CT19" s="47">
        <v>1984506</v>
      </c>
      <c r="CU19" s="47">
        <f>[1]TWN_IS!F133</f>
        <v>2409569</v>
      </c>
      <c r="CV19" s="54">
        <f t="shared" si="8"/>
        <v>5967500</v>
      </c>
      <c r="CW19" s="47">
        <v>1555775</v>
      </c>
      <c r="CX19" s="51">
        <v>2063374</v>
      </c>
      <c r="CY19" s="51">
        <v>2768247</v>
      </c>
      <c r="CZ19" s="55">
        <f>SUM(CW19:CY19)</f>
        <v>6387396</v>
      </c>
      <c r="DA19" s="47">
        <v>1779022</v>
      </c>
      <c r="DB19" s="47">
        <v>1589081</v>
      </c>
      <c r="DC19" s="47">
        <v>1805551</v>
      </c>
      <c r="DD19" s="54">
        <f>SUM(DA19:DC19)</f>
        <v>5173654</v>
      </c>
      <c r="DE19" s="47">
        <v>2120284</v>
      </c>
      <c r="DF19" s="47">
        <v>1444010</v>
      </c>
      <c r="DG19" s="47">
        <v>-91619</v>
      </c>
      <c r="DH19" s="54">
        <f>SUM(DE19:DG19)</f>
        <v>3472675</v>
      </c>
      <c r="DI19" s="55">
        <f>CV19+CZ19</f>
        <v>12354896</v>
      </c>
      <c r="DJ19" s="55">
        <f>CV19+CZ19+DD19</f>
        <v>17528550</v>
      </c>
      <c r="DK19" s="55">
        <f>DH19+DJ19</f>
        <v>21001225</v>
      </c>
      <c r="DL19" s="56">
        <f>CR19-DK19</f>
        <v>-2935340</v>
      </c>
      <c r="DM19" s="4">
        <f>DL19/DK19</f>
        <v>-0.13976994199147907</v>
      </c>
      <c r="DN19" s="57">
        <f>BY19-CR19</f>
        <v>-1668401</v>
      </c>
      <c r="DO19" s="4">
        <f>DN19/CR19</f>
        <v>-9.2350914444545615E-2</v>
      </c>
      <c r="DP19" s="118">
        <f>BF19-BY19</f>
        <v>36397376</v>
      </c>
      <c r="DQ19" s="4">
        <f>DP19/BY19</f>
        <v>2.2196927284698069</v>
      </c>
      <c r="DR19" s="118">
        <f t="shared" ref="DR19:DR23" si="41">AM19-BE19</f>
        <v>-7220442</v>
      </c>
      <c r="DS19" s="4">
        <f t="shared" ref="DS19:DS23" si="42">DR19/BF19</f>
        <v>-0.13676410923336096</v>
      </c>
      <c r="DT19" s="118">
        <f t="shared" si="27"/>
        <v>208366</v>
      </c>
      <c r="DU19" s="4">
        <f t="shared" ref="DU19:DU23" si="43">DT19/BH19</f>
        <v>0.15941981305665454</v>
      </c>
    </row>
    <row r="20" spans="1:125">
      <c r="A20" s="119" t="s">
        <v>980</v>
      </c>
      <c r="B20" s="43">
        <f>'2017 預算'!C19</f>
        <v>1755765</v>
      </c>
      <c r="C20" s="43">
        <f>'2017 預算'!F19</f>
        <v>2075875</v>
      </c>
      <c r="D20" s="43">
        <f>'2017 預算'!I19</f>
        <v>1882646</v>
      </c>
      <c r="E20" s="121">
        <f>SUM(B20:D20)</f>
        <v>5714286</v>
      </c>
      <c r="F20" s="120">
        <f>'2017 預算'!O19</f>
        <v>1770950</v>
      </c>
      <c r="G20" s="120">
        <f>'2017 預算'!R19</f>
        <v>1871563</v>
      </c>
      <c r="H20" s="121">
        <f>'2017 預算'!U19</f>
        <v>1797661</v>
      </c>
      <c r="I20" s="121">
        <f>SUM(F20:H20)</f>
        <v>5440174</v>
      </c>
      <c r="J20" s="121">
        <f>'2017 預算'!AA19</f>
        <v>3498119</v>
      </c>
      <c r="K20" s="121">
        <f>'2017 預算'!AD19</f>
        <v>1755224</v>
      </c>
      <c r="L20" s="121">
        <f>'2017 預算'!AG19</f>
        <v>0</v>
      </c>
      <c r="M20" s="121">
        <f>SUM(J20:L20)</f>
        <v>5253343</v>
      </c>
      <c r="N20" s="121">
        <f>'2017 預算'!AM19</f>
        <v>0</v>
      </c>
      <c r="O20" s="121">
        <f>'2017 預算'!AP19</f>
        <v>0</v>
      </c>
      <c r="P20" s="121">
        <f>'2017 預算'!AS19</f>
        <v>0</v>
      </c>
      <c r="Q20" s="121">
        <f>SUM(N20:P20)</f>
        <v>0</v>
      </c>
      <c r="R20" s="121">
        <f>E20+I20</f>
        <v>11154460</v>
      </c>
      <c r="S20" s="121">
        <f>E20+I20+M20</f>
        <v>16407803</v>
      </c>
      <c r="T20" s="121">
        <f>E20+I20+M20+Q20</f>
        <v>16407803</v>
      </c>
      <c r="U20" s="43">
        <v>2234226</v>
      </c>
      <c r="V20" s="43">
        <v>1643974</v>
      </c>
      <c r="W20" s="120">
        <v>2044943</v>
      </c>
      <c r="X20" s="121">
        <v>5923143</v>
      </c>
      <c r="Y20" s="121">
        <v>1736598</v>
      </c>
      <c r="Z20" s="121">
        <v>1895472</v>
      </c>
      <c r="AA20" s="121">
        <v>1827592</v>
      </c>
      <c r="AB20" s="121">
        <v>5459662</v>
      </c>
      <c r="AC20" s="121">
        <v>2349662</v>
      </c>
      <c r="AD20" s="121">
        <v>1786527</v>
      </c>
      <c r="AE20" s="121">
        <v>1612591</v>
      </c>
      <c r="AF20" s="121">
        <v>5748780</v>
      </c>
      <c r="AG20" s="121">
        <v>1658767</v>
      </c>
      <c r="AH20" s="121">
        <v>1610671</v>
      </c>
      <c r="AI20" s="121">
        <f>1273127+1575403</f>
        <v>2848530</v>
      </c>
      <c r="AJ20" s="121">
        <f>4542565+1575403</f>
        <v>6117968</v>
      </c>
      <c r="AK20" s="121">
        <v>11382805</v>
      </c>
      <c r="AL20" s="121">
        <f>17131585</f>
        <v>17131585</v>
      </c>
      <c r="AM20" s="379">
        <f>21674150+1575403</f>
        <v>23249553</v>
      </c>
      <c r="AN20" s="85">
        <v>1762901</v>
      </c>
      <c r="AO20" s="85">
        <v>2584452</v>
      </c>
      <c r="AP20" s="85">
        <v>1964971</v>
      </c>
      <c r="AQ20" s="122">
        <v>6312324</v>
      </c>
      <c r="AR20" s="85">
        <v>2617103</v>
      </c>
      <c r="AS20" s="85">
        <v>1871651</v>
      </c>
      <c r="AT20" s="85">
        <v>2003843</v>
      </c>
      <c r="AU20" s="122">
        <v>6492597</v>
      </c>
      <c r="AV20" s="85">
        <v>809714</v>
      </c>
      <c r="AW20" s="85">
        <v>1836978</v>
      </c>
      <c r="AX20" s="85">
        <v>1698177</v>
      </c>
      <c r="AY20" s="122">
        <v>4344869</v>
      </c>
      <c r="AZ20" s="31">
        <v>1696811</v>
      </c>
      <c r="BA20" s="31">
        <v>1753506</v>
      </c>
      <c r="BB20" s="31">
        <v>369588</v>
      </c>
      <c r="BC20" s="122">
        <v>3819905</v>
      </c>
      <c r="BD20" s="122">
        <v>12804921</v>
      </c>
      <c r="BE20" s="122">
        <v>17149790</v>
      </c>
      <c r="BF20" s="122">
        <v>20969695</v>
      </c>
      <c r="BG20" s="121">
        <v>1618375</v>
      </c>
      <c r="BH20" s="121">
        <v>1562878</v>
      </c>
      <c r="BI20" s="121">
        <v>1627110</v>
      </c>
      <c r="BJ20" s="123">
        <v>4808363</v>
      </c>
      <c r="BK20" s="121">
        <v>2791737</v>
      </c>
      <c r="BL20" s="121">
        <v>1687914</v>
      </c>
      <c r="BM20" s="121">
        <v>1683059</v>
      </c>
      <c r="BN20" s="123">
        <v>6162710</v>
      </c>
      <c r="BO20" s="121">
        <v>1581044</v>
      </c>
      <c r="BP20" s="121">
        <v>1536597</v>
      </c>
      <c r="BQ20" s="121">
        <v>1633501</v>
      </c>
      <c r="BR20" s="123">
        <v>4751142</v>
      </c>
      <c r="BS20" s="121">
        <v>1955586</v>
      </c>
      <c r="BT20" s="121">
        <v>1582156</v>
      </c>
      <c r="BU20" s="121">
        <v>610730</v>
      </c>
      <c r="BV20" s="34">
        <v>4148472</v>
      </c>
      <c r="BW20" s="123">
        <v>10971073</v>
      </c>
      <c r="BX20" s="123">
        <v>15722215</v>
      </c>
      <c r="BY20" s="124">
        <v>19870687</v>
      </c>
      <c r="BZ20" s="47">
        <v>1718116</v>
      </c>
      <c r="CA20" s="47">
        <v>1638839</v>
      </c>
      <c r="CB20" s="47">
        <v>1784191</v>
      </c>
      <c r="CC20" s="50">
        <v>5141146</v>
      </c>
      <c r="CD20" s="47">
        <v>1579660</v>
      </c>
      <c r="CE20" s="51">
        <v>1838434</v>
      </c>
      <c r="CF20" s="51">
        <v>2045584</v>
      </c>
      <c r="CG20" s="52">
        <v>5463678</v>
      </c>
      <c r="CH20" s="47">
        <v>1809532</v>
      </c>
      <c r="CI20" s="51">
        <v>1595935</v>
      </c>
      <c r="CJ20" s="51">
        <v>1776790</v>
      </c>
      <c r="CK20" s="52">
        <v>5182257</v>
      </c>
      <c r="CL20" s="51">
        <v>1657010</v>
      </c>
      <c r="CM20" s="51">
        <v>1711369</v>
      </c>
      <c r="CN20" s="51">
        <v>1219212</v>
      </c>
      <c r="CO20" s="52">
        <v>4587591</v>
      </c>
      <c r="CP20" s="52">
        <v>10604824</v>
      </c>
      <c r="CQ20" s="52">
        <v>15787081</v>
      </c>
      <c r="CR20" s="53">
        <v>20374672</v>
      </c>
      <c r="CS20" s="47">
        <v>1113637</v>
      </c>
      <c r="CT20" s="47">
        <v>947216</v>
      </c>
      <c r="CU20" s="47">
        <f>[1]TWN_IS!F171</f>
        <v>1006350</v>
      </c>
      <c r="CV20" s="54">
        <f t="shared" si="8"/>
        <v>3067203</v>
      </c>
      <c r="CW20" s="47">
        <v>1081393</v>
      </c>
      <c r="CX20" s="51">
        <v>934670</v>
      </c>
      <c r="CY20" s="51">
        <v>959121</v>
      </c>
      <c r="CZ20" s="55">
        <f>SUM(CW20:CY20)</f>
        <v>2975184</v>
      </c>
      <c r="DA20" s="47">
        <v>932722</v>
      </c>
      <c r="DB20" s="47">
        <v>946381</v>
      </c>
      <c r="DC20" s="47">
        <v>903914</v>
      </c>
      <c r="DD20" s="54">
        <f>SUM(DA20:DC20)</f>
        <v>2783017</v>
      </c>
      <c r="DE20" s="47">
        <v>1213932</v>
      </c>
      <c r="DF20" s="47">
        <v>1653241</v>
      </c>
      <c r="DG20" s="47">
        <v>1079582</v>
      </c>
      <c r="DH20" s="54">
        <f>SUM(DE20:DG20)</f>
        <v>3946755</v>
      </c>
      <c r="DI20" s="55">
        <f>CV20+CZ20</f>
        <v>6042387</v>
      </c>
      <c r="DJ20" s="55">
        <f>CV20+CZ20+DD20</f>
        <v>8825404</v>
      </c>
      <c r="DK20" s="55">
        <f>DH20+DJ20</f>
        <v>12772159</v>
      </c>
      <c r="DL20" s="56">
        <f>CR20-DK20</f>
        <v>7602513</v>
      </c>
      <c r="DM20" s="4">
        <f>DL20/DK20</f>
        <v>0.59524102385508981</v>
      </c>
      <c r="DN20" s="57">
        <f>BY20-CR20</f>
        <v>-503985</v>
      </c>
      <c r="DO20" s="4">
        <f>DN20/CR20</f>
        <v>-2.473585832449229E-2</v>
      </c>
      <c r="DP20" s="118">
        <f>BF20-BY20</f>
        <v>1099008</v>
      </c>
      <c r="DQ20" s="4">
        <f t="shared" ref="DQ20:DQ22" si="44">DP20/BY20</f>
        <v>5.5308002184323066E-2</v>
      </c>
      <c r="DR20" s="118">
        <f t="shared" si="41"/>
        <v>6099763</v>
      </c>
      <c r="DS20" s="4">
        <f t="shared" si="42"/>
        <v>0.29088467905708693</v>
      </c>
      <c r="DT20" s="118">
        <f t="shared" si="27"/>
        <v>431901</v>
      </c>
      <c r="DU20" s="4">
        <f t="shared" si="43"/>
        <v>0.27634978545990152</v>
      </c>
    </row>
    <row r="21" spans="1:125">
      <c r="A21" s="119" t="s">
        <v>981</v>
      </c>
      <c r="B21" s="60">
        <f>'2017 預算'!C20</f>
        <v>2937856</v>
      </c>
      <c r="C21" s="60">
        <f>'2017 預算'!F20</f>
        <v>2632242</v>
      </c>
      <c r="D21" s="60">
        <f>'2017 預算'!I20</f>
        <v>3208223</v>
      </c>
      <c r="E21" s="121">
        <f>SUM(B21:D21)</f>
        <v>8778321</v>
      </c>
      <c r="F21" s="899">
        <f>'2017 預算'!O20</f>
        <v>3367941</v>
      </c>
      <c r="G21" s="899">
        <f>'2017 預算'!R20</f>
        <v>2995265</v>
      </c>
      <c r="H21" s="125">
        <f>'2017 預算'!U20</f>
        <v>3153532</v>
      </c>
      <c r="I21" s="121">
        <f>SUM(F21:H21)</f>
        <v>9516738</v>
      </c>
      <c r="J21" s="125">
        <f>'2017 預算'!AA20</f>
        <v>3165352</v>
      </c>
      <c r="K21" s="125">
        <f>'2017 預算'!AD20</f>
        <v>3319491</v>
      </c>
      <c r="L21" s="125">
        <f>'2017 預算'!AG20</f>
        <v>0</v>
      </c>
      <c r="M21" s="121">
        <f>SUM(J21:L21)</f>
        <v>6484843</v>
      </c>
      <c r="N21" s="125">
        <f>'2017 預算'!AM20</f>
        <v>0</v>
      </c>
      <c r="O21" s="125">
        <f>'2017 預算'!AP20</f>
        <v>0</v>
      </c>
      <c r="P21" s="125">
        <f>'2017 預算'!AS20</f>
        <v>0</v>
      </c>
      <c r="Q21" s="121">
        <f>SUM(N21:P21)</f>
        <v>0</v>
      </c>
      <c r="R21" s="121">
        <f>E21+I21</f>
        <v>18295059</v>
      </c>
      <c r="S21" s="121">
        <f>E21+I21+M21</f>
        <v>24779902</v>
      </c>
      <c r="T21" s="121">
        <f>E21+I21+M21+Q21</f>
        <v>24779902</v>
      </c>
      <c r="U21" s="43">
        <v>2442035</v>
      </c>
      <c r="V21" s="43">
        <v>2634465</v>
      </c>
      <c r="W21" s="120">
        <v>2160422</v>
      </c>
      <c r="X21" s="121">
        <v>7236922</v>
      </c>
      <c r="Y21" s="121">
        <v>4308942</v>
      </c>
      <c r="Z21" s="121">
        <v>3656178</v>
      </c>
      <c r="AA21" s="121">
        <v>4425308</v>
      </c>
      <c r="AB21" s="121">
        <v>12390428</v>
      </c>
      <c r="AC21" s="121">
        <v>3618100</v>
      </c>
      <c r="AD21" s="121">
        <v>3061104</v>
      </c>
      <c r="AE21" s="121">
        <v>2873853</v>
      </c>
      <c r="AF21" s="121">
        <v>9553057</v>
      </c>
      <c r="AG21" s="121">
        <v>2726807</v>
      </c>
      <c r="AH21" s="121">
        <v>3337104</v>
      </c>
      <c r="AI21" s="121">
        <f>31975371-499772</f>
        <v>31475599</v>
      </c>
      <c r="AJ21" s="121">
        <f>8039282-499772</f>
        <v>7539510</v>
      </c>
      <c r="AK21" s="121">
        <v>19627350</v>
      </c>
      <c r="AL21" s="121">
        <f>29180407</f>
        <v>29180407</v>
      </c>
      <c r="AM21" s="379">
        <f>37219689-499772</f>
        <v>36719917</v>
      </c>
      <c r="AN21" s="85">
        <v>2910670</v>
      </c>
      <c r="AO21" s="85">
        <v>3444523</v>
      </c>
      <c r="AP21" s="85">
        <v>3684419</v>
      </c>
      <c r="AQ21" s="122">
        <v>10039612</v>
      </c>
      <c r="AR21" s="85">
        <v>3019120</v>
      </c>
      <c r="AS21" s="85">
        <v>3428280</v>
      </c>
      <c r="AT21" s="85">
        <v>4776909</v>
      </c>
      <c r="AU21" s="122">
        <v>11224309</v>
      </c>
      <c r="AV21" s="85">
        <v>2025847</v>
      </c>
      <c r="AW21" s="85">
        <v>3242345</v>
      </c>
      <c r="AX21" s="85">
        <v>3331627</v>
      </c>
      <c r="AY21" s="122">
        <v>8599819</v>
      </c>
      <c r="AZ21" s="61">
        <v>3225958</v>
      </c>
      <c r="BA21" s="61">
        <v>2820055</v>
      </c>
      <c r="BB21" s="61">
        <v>377947</v>
      </c>
      <c r="BC21" s="122">
        <v>6423960</v>
      </c>
      <c r="BD21" s="122">
        <v>21263921</v>
      </c>
      <c r="BE21" s="122">
        <v>29863740</v>
      </c>
      <c r="BF21" s="122">
        <v>36287700</v>
      </c>
      <c r="BG21" s="121">
        <v>1911347</v>
      </c>
      <c r="BH21" s="121">
        <v>2121988</v>
      </c>
      <c r="BI21" s="121">
        <v>2913268</v>
      </c>
      <c r="BJ21" s="123">
        <v>6946603</v>
      </c>
      <c r="BK21" s="121">
        <v>2225040</v>
      </c>
      <c r="BL21" s="121">
        <v>2903290</v>
      </c>
      <c r="BM21" s="121">
        <v>2903012</v>
      </c>
      <c r="BN21" s="123">
        <v>8031342</v>
      </c>
      <c r="BO21" s="121">
        <v>2703680</v>
      </c>
      <c r="BP21" s="121">
        <v>1899527</v>
      </c>
      <c r="BQ21" s="121">
        <v>2788059</v>
      </c>
      <c r="BR21" s="123">
        <v>7391266</v>
      </c>
      <c r="BS21" s="121">
        <v>2546454</v>
      </c>
      <c r="BT21" s="121">
        <v>2627696</v>
      </c>
      <c r="BU21" s="125">
        <v>1299213</v>
      </c>
      <c r="BV21" s="126">
        <v>6473363</v>
      </c>
      <c r="BW21" s="123">
        <v>14977945</v>
      </c>
      <c r="BX21" s="123">
        <v>22369211</v>
      </c>
      <c r="BY21" s="124">
        <v>28842574</v>
      </c>
      <c r="BZ21" s="47">
        <v>1400314</v>
      </c>
      <c r="CA21" s="47">
        <v>1421109</v>
      </c>
      <c r="CB21" s="47">
        <v>1841554</v>
      </c>
      <c r="CC21" s="50">
        <v>4662977</v>
      </c>
      <c r="CD21" s="47">
        <v>1749976</v>
      </c>
      <c r="CE21" s="51">
        <v>2233196</v>
      </c>
      <c r="CF21" s="51">
        <v>2235893</v>
      </c>
      <c r="CG21" s="52">
        <v>6219065</v>
      </c>
      <c r="CH21" s="47">
        <v>1949186</v>
      </c>
      <c r="CI21" s="51">
        <v>2276031</v>
      </c>
      <c r="CJ21" s="51">
        <v>2056502</v>
      </c>
      <c r="CK21" s="52">
        <v>6281719</v>
      </c>
      <c r="CL21" s="51">
        <v>2285323</v>
      </c>
      <c r="CM21" s="51">
        <v>2201203</v>
      </c>
      <c r="CN21" s="51">
        <v>780427</v>
      </c>
      <c r="CO21" s="52">
        <v>5266953</v>
      </c>
      <c r="CP21" s="52">
        <v>10882042</v>
      </c>
      <c r="CQ21" s="52">
        <v>17163761</v>
      </c>
      <c r="CR21" s="53">
        <v>22430714</v>
      </c>
      <c r="CS21" s="47">
        <v>2932853</v>
      </c>
      <c r="CT21" s="47">
        <v>2609909</v>
      </c>
      <c r="CU21" s="47">
        <f>[1]TWN_IS!F208</f>
        <v>2380502</v>
      </c>
      <c r="CV21" s="54">
        <f t="shared" si="8"/>
        <v>7923264</v>
      </c>
      <c r="CW21" s="47">
        <v>2754521</v>
      </c>
      <c r="CX21" s="51">
        <v>2409919</v>
      </c>
      <c r="CY21" s="51">
        <v>2308627</v>
      </c>
      <c r="CZ21" s="55">
        <f>SUM(CW21:CY21)</f>
        <v>7473067</v>
      </c>
      <c r="DA21" s="47">
        <v>2670939</v>
      </c>
      <c r="DB21" s="47">
        <v>2454486</v>
      </c>
      <c r="DC21" s="47">
        <v>3401061</v>
      </c>
      <c r="DD21" s="54">
        <f>SUM(DA21:DC21)</f>
        <v>8526486</v>
      </c>
      <c r="DE21" s="47">
        <v>2570156</v>
      </c>
      <c r="DF21" s="47">
        <v>1311167</v>
      </c>
      <c r="DG21" s="47">
        <v>-1546310</v>
      </c>
      <c r="DH21" s="54">
        <f>SUM(DE21:DG21)</f>
        <v>2335013</v>
      </c>
      <c r="DI21" s="55">
        <f>CV21+CZ21</f>
        <v>15396331</v>
      </c>
      <c r="DJ21" s="55">
        <f>CV21+CZ21+DD21</f>
        <v>23922817</v>
      </c>
      <c r="DK21" s="55">
        <f>DH21+DJ21</f>
        <v>26257830</v>
      </c>
      <c r="DL21" s="56">
        <f>CR21-DK21</f>
        <v>-3827116</v>
      </c>
      <c r="DM21" s="75">
        <f>DL21/DK21</f>
        <v>-0.1457514196717703</v>
      </c>
      <c r="DN21" s="57">
        <f>BY21-CR21</f>
        <v>6411860</v>
      </c>
      <c r="DO21" s="75">
        <f>DN21/CR21</f>
        <v>0.28585180124003184</v>
      </c>
      <c r="DP21" s="118">
        <f>BF21-BY21</f>
        <v>7445126</v>
      </c>
      <c r="DQ21" s="4">
        <f t="shared" si="44"/>
        <v>0.25812973557769153</v>
      </c>
      <c r="DR21" s="118">
        <f t="shared" si="41"/>
        <v>6856177</v>
      </c>
      <c r="DS21" s="4">
        <f t="shared" si="42"/>
        <v>0.18893942024432522</v>
      </c>
      <c r="DT21" s="118">
        <f t="shared" si="27"/>
        <v>-2223</v>
      </c>
      <c r="DU21" s="4">
        <f t="shared" si="43"/>
        <v>-1.0476025312112982E-3</v>
      </c>
    </row>
    <row r="22" spans="1:125">
      <c r="A22" s="127" t="s">
        <v>982</v>
      </c>
      <c r="B22" s="128">
        <f t="shared" ref="B22:D22" si="45">SUM(B19:B21)</f>
        <v>7375802</v>
      </c>
      <c r="C22" s="128">
        <f t="shared" si="45"/>
        <v>7742695</v>
      </c>
      <c r="D22" s="128">
        <f t="shared" si="45"/>
        <v>7155849</v>
      </c>
      <c r="E22" s="130">
        <f>SUM(B22:D22)</f>
        <v>22274346</v>
      </c>
      <c r="F22" s="130">
        <f t="shared" ref="F22:H22" si="46">SUM(F19:F21)</f>
        <v>7967607</v>
      </c>
      <c r="G22" s="130">
        <f t="shared" si="46"/>
        <v>7765935</v>
      </c>
      <c r="H22" s="130">
        <f t="shared" si="46"/>
        <v>8697754</v>
      </c>
      <c r="I22" s="130">
        <f>SUM(I19:I21)</f>
        <v>24431296</v>
      </c>
      <c r="J22" s="130">
        <f t="shared" ref="J22:Q22" si="47">SUM(J19:J21)</f>
        <v>10358185</v>
      </c>
      <c r="K22" s="130">
        <f t="shared" si="47"/>
        <v>8661532</v>
      </c>
      <c r="L22" s="130">
        <f t="shared" si="47"/>
        <v>0</v>
      </c>
      <c r="M22" s="130">
        <f t="shared" si="47"/>
        <v>19019717</v>
      </c>
      <c r="N22" s="130">
        <f t="shared" si="47"/>
        <v>0</v>
      </c>
      <c r="O22" s="130">
        <f t="shared" si="47"/>
        <v>0</v>
      </c>
      <c r="P22" s="130">
        <f t="shared" si="47"/>
        <v>0</v>
      </c>
      <c r="Q22" s="130">
        <f t="shared" si="47"/>
        <v>0</v>
      </c>
      <c r="R22" s="130">
        <f>SUM(R19:R21)</f>
        <v>46705642</v>
      </c>
      <c r="S22" s="130">
        <f t="shared" ref="S22" si="48">SUM(S19:S21)</f>
        <v>65725359</v>
      </c>
      <c r="T22" s="130">
        <f>E22+I22+M22+Q22</f>
        <v>65725359</v>
      </c>
      <c r="U22" s="128">
        <v>7135594</v>
      </c>
      <c r="V22" s="128">
        <v>7104651</v>
      </c>
      <c r="W22" s="129">
        <v>7170723</v>
      </c>
      <c r="X22" s="130">
        <v>21410968</v>
      </c>
      <c r="Y22" s="130">
        <v>9114619</v>
      </c>
      <c r="Z22" s="130">
        <v>8528304</v>
      </c>
      <c r="AA22" s="130">
        <v>8951790</v>
      </c>
      <c r="AB22" s="130">
        <v>26594713</v>
      </c>
      <c r="AC22" s="130">
        <v>8927608</v>
      </c>
      <c r="AD22" s="130">
        <v>6986194</v>
      </c>
      <c r="AE22" s="130">
        <v>5775726</v>
      </c>
      <c r="AF22" s="130">
        <v>21689528</v>
      </c>
      <c r="AG22" s="130">
        <v>7224552</v>
      </c>
      <c r="AH22" s="130">
        <v>8037031</v>
      </c>
      <c r="AI22" s="130">
        <f t="shared" ref="AI22:AL22" si="49">SUM(AI19:AI21)</f>
        <v>38713804</v>
      </c>
      <c r="AJ22" s="130">
        <f t="shared" si="49"/>
        <v>23975387</v>
      </c>
      <c r="AK22" s="130">
        <f t="shared" si="49"/>
        <v>48005681</v>
      </c>
      <c r="AL22" s="130">
        <f t="shared" si="49"/>
        <v>69695209</v>
      </c>
      <c r="AM22" s="380">
        <f>SUM(AM19:AM21)</f>
        <v>93670596</v>
      </c>
      <c r="AN22" s="131">
        <v>5957139</v>
      </c>
      <c r="AO22" s="131">
        <v>7403794</v>
      </c>
      <c r="AP22" s="131">
        <v>7053995</v>
      </c>
      <c r="AQ22" s="132">
        <v>20414928</v>
      </c>
      <c r="AR22" s="131">
        <v>7579897</v>
      </c>
      <c r="AS22" s="131">
        <v>7119580</v>
      </c>
      <c r="AT22" s="131">
        <v>13657324</v>
      </c>
      <c r="AU22" s="132">
        <v>28356801</v>
      </c>
      <c r="AV22" s="131">
        <v>25837273</v>
      </c>
      <c r="AW22" s="131">
        <v>6423920</v>
      </c>
      <c r="AX22" s="131">
        <v>6902176</v>
      </c>
      <c r="AY22" s="132">
        <v>39163369</v>
      </c>
      <c r="AZ22" s="131">
        <v>8158528</v>
      </c>
      <c r="BA22" s="131">
        <v>7486967</v>
      </c>
      <c r="BB22" s="131">
        <v>6471662</v>
      </c>
      <c r="BC22" s="132">
        <v>22117157</v>
      </c>
      <c r="BD22" s="132">
        <v>48771729</v>
      </c>
      <c r="BE22" s="132">
        <v>87935098</v>
      </c>
      <c r="BF22" s="132">
        <v>110052255</v>
      </c>
      <c r="BG22" s="130">
        <v>4894138</v>
      </c>
      <c r="BH22" s="130">
        <v>4991893</v>
      </c>
      <c r="BI22" s="130">
        <v>6648786</v>
      </c>
      <c r="BJ22" s="133">
        <v>16534817</v>
      </c>
      <c r="BK22" s="130">
        <v>6454828</v>
      </c>
      <c r="BL22" s="130">
        <v>5967952</v>
      </c>
      <c r="BM22" s="130">
        <v>6142363</v>
      </c>
      <c r="BN22" s="133">
        <v>18565143</v>
      </c>
      <c r="BO22" s="130">
        <v>4987441</v>
      </c>
      <c r="BP22" s="130">
        <v>4882048</v>
      </c>
      <c r="BQ22" s="130">
        <v>5803389</v>
      </c>
      <c r="BR22" s="133">
        <v>15672878</v>
      </c>
      <c r="BS22" s="130">
        <v>5649973</v>
      </c>
      <c r="BT22" s="130">
        <v>5780177</v>
      </c>
      <c r="BU22" s="130">
        <v>2907757</v>
      </c>
      <c r="BV22" s="134">
        <v>14337907</v>
      </c>
      <c r="BW22" s="133">
        <v>35099960</v>
      </c>
      <c r="BX22" s="133">
        <v>50772838</v>
      </c>
      <c r="BY22" s="135">
        <v>65110745</v>
      </c>
      <c r="BZ22" s="136">
        <v>4658749</v>
      </c>
      <c r="CA22" s="136">
        <v>4146486</v>
      </c>
      <c r="CB22" s="136">
        <v>4710274</v>
      </c>
      <c r="CC22" s="137">
        <v>13515509</v>
      </c>
      <c r="CD22" s="138">
        <v>4619580</v>
      </c>
      <c r="CE22" s="138">
        <v>5395517</v>
      </c>
      <c r="CF22" s="138">
        <v>5895961</v>
      </c>
      <c r="CG22" s="139">
        <v>15911058</v>
      </c>
      <c r="CH22" s="138">
        <v>5410912</v>
      </c>
      <c r="CI22" s="138">
        <v>5591913</v>
      </c>
      <c r="CJ22" s="138">
        <v>5522842</v>
      </c>
      <c r="CK22" s="139">
        <v>16525667</v>
      </c>
      <c r="CL22" s="138">
        <v>5654829</v>
      </c>
      <c r="CM22" s="138">
        <v>5374921</v>
      </c>
      <c r="CN22" s="138">
        <v>3889287</v>
      </c>
      <c r="CO22" s="139">
        <v>14919037</v>
      </c>
      <c r="CP22" s="139">
        <v>29426567</v>
      </c>
      <c r="CQ22" s="139">
        <v>45952234</v>
      </c>
      <c r="CR22" s="140">
        <v>60871271</v>
      </c>
      <c r="CS22" s="136">
        <v>5619915</v>
      </c>
      <c r="CT22" s="136">
        <v>5541631</v>
      </c>
      <c r="CU22" s="136">
        <f>CU19+CU20+CU21</f>
        <v>5796421</v>
      </c>
      <c r="CV22" s="141">
        <f t="shared" si="8"/>
        <v>16957967</v>
      </c>
      <c r="CW22" s="138">
        <v>5391689</v>
      </c>
      <c r="CX22" s="138">
        <v>5407963</v>
      </c>
      <c r="CY22" s="138">
        <f>SUM(CY19:CY21)</f>
        <v>6035995</v>
      </c>
      <c r="CZ22" s="142">
        <f>SUM(CW22:CY22)</f>
        <v>16835647</v>
      </c>
      <c r="DA22" s="136">
        <f>SUM(DA19:DA21)</f>
        <v>5382683</v>
      </c>
      <c r="DB22" s="136">
        <f>SUM(DB19:DB21)</f>
        <v>4989948</v>
      </c>
      <c r="DC22" s="136">
        <f>SUM(DC19:DC21)</f>
        <v>6110526</v>
      </c>
      <c r="DD22" s="141">
        <f>SUM(DA22:DC22)</f>
        <v>16483157</v>
      </c>
      <c r="DE22" s="136">
        <f>SUM(DE19:DE21)</f>
        <v>5904372</v>
      </c>
      <c r="DF22" s="136">
        <f>SUM(DF19:DF21)</f>
        <v>4408418</v>
      </c>
      <c r="DG22" s="136">
        <f>SUM(DG19:DG21)</f>
        <v>-558347</v>
      </c>
      <c r="DH22" s="141">
        <f>SUM(DE22:DG22)</f>
        <v>9754443</v>
      </c>
      <c r="DI22" s="142">
        <f>CV22+CZ22</f>
        <v>33793614</v>
      </c>
      <c r="DJ22" s="142">
        <f>CV22+CZ22+DD22</f>
        <v>50276771</v>
      </c>
      <c r="DK22" s="142">
        <f>DH22+DJ22</f>
        <v>60031214</v>
      </c>
      <c r="DL22" s="97">
        <f>CR22-DK22</f>
        <v>840057</v>
      </c>
      <c r="DM22" s="98">
        <f>DL22/DK22</f>
        <v>1.3993670026396602E-2</v>
      </c>
      <c r="DN22" s="143">
        <f>BY22-CR22</f>
        <v>4239474</v>
      </c>
      <c r="DO22" s="98">
        <f>DN22/CR22</f>
        <v>6.9646549683511624E-2</v>
      </c>
      <c r="DP22" s="144">
        <f>BF22-BY22</f>
        <v>44941510</v>
      </c>
      <c r="DQ22" s="98">
        <f t="shared" si="44"/>
        <v>0.69023185036509715</v>
      </c>
      <c r="DR22" s="144">
        <f t="shared" si="41"/>
        <v>5735498</v>
      </c>
      <c r="DS22" s="98">
        <f t="shared" si="42"/>
        <v>5.2116133376821763E-2</v>
      </c>
      <c r="DT22" s="144">
        <f t="shared" si="27"/>
        <v>638044</v>
      </c>
      <c r="DU22" s="98">
        <f t="shared" si="43"/>
        <v>0.12781604092876189</v>
      </c>
    </row>
    <row r="23" spans="1:125" ht="15" customHeight="1" thickBot="1">
      <c r="A23" s="145" t="s">
        <v>929</v>
      </c>
      <c r="B23" s="146">
        <f t="shared" ref="B23:D23" si="50">B15-B22</f>
        <v>-2775720</v>
      </c>
      <c r="C23" s="146">
        <f t="shared" si="50"/>
        <v>-6991366</v>
      </c>
      <c r="D23" s="146">
        <f t="shared" si="50"/>
        <v>3103719</v>
      </c>
      <c r="E23" s="148">
        <f>SUM(B23:D23)</f>
        <v>-6663367</v>
      </c>
      <c r="F23" s="148">
        <f t="shared" ref="F23:H23" si="51">F15-F22</f>
        <v>-549242</v>
      </c>
      <c r="G23" s="148">
        <f t="shared" si="51"/>
        <v>-1423493.2299999967</v>
      </c>
      <c r="H23" s="148">
        <f t="shared" si="51"/>
        <v>2233732</v>
      </c>
      <c r="I23" s="148">
        <f>I15-I22</f>
        <v>260996.77000001073</v>
      </c>
      <c r="J23" s="148">
        <f t="shared" ref="J23:Q23" si="52">J15-J22</f>
        <v>691351</v>
      </c>
      <c r="K23" s="148">
        <f t="shared" si="52"/>
        <v>2522739</v>
      </c>
      <c r="L23" s="148">
        <f t="shared" si="52"/>
        <v>0</v>
      </c>
      <c r="M23" s="148">
        <f t="shared" si="52"/>
        <v>3214090</v>
      </c>
      <c r="N23" s="148">
        <f t="shared" si="52"/>
        <v>0</v>
      </c>
      <c r="O23" s="148">
        <f t="shared" si="52"/>
        <v>0</v>
      </c>
      <c r="P23" s="148">
        <f t="shared" si="52"/>
        <v>0</v>
      </c>
      <c r="Q23" s="148">
        <f t="shared" si="52"/>
        <v>0</v>
      </c>
      <c r="R23" s="148">
        <f>R15-R22</f>
        <v>-6402370.2300000191</v>
      </c>
      <c r="S23" s="148">
        <f t="shared" ref="S23" si="53">S15-S22</f>
        <v>-3188280.2300000191</v>
      </c>
      <c r="T23" s="148">
        <f>E23+I23+M23+Q23</f>
        <v>-3188280.2299999893</v>
      </c>
      <c r="U23" s="146">
        <v>-1423925</v>
      </c>
      <c r="V23" s="146">
        <v>-5457767</v>
      </c>
      <c r="W23" s="147">
        <v>8935438</v>
      </c>
      <c r="X23" s="148">
        <v>2053746</v>
      </c>
      <c r="Y23" s="148">
        <v>-1247516</v>
      </c>
      <c r="Z23" s="148">
        <v>6433759</v>
      </c>
      <c r="AA23" s="148">
        <v>5719568</v>
      </c>
      <c r="AB23" s="148">
        <v>10905811</v>
      </c>
      <c r="AC23" s="148">
        <v>-363743</v>
      </c>
      <c r="AD23" s="148">
        <v>5457223</v>
      </c>
      <c r="AE23" s="148">
        <v>2245724</v>
      </c>
      <c r="AF23" s="148">
        <v>7339204</v>
      </c>
      <c r="AG23" s="148">
        <v>-1815292</v>
      </c>
      <c r="AH23" s="148">
        <v>5059382</v>
      </c>
      <c r="AI23" s="148">
        <f t="shared" ref="AI23:AL23" si="54">AI15-AI22</f>
        <v>-22028645</v>
      </c>
      <c r="AJ23" s="148">
        <f t="shared" si="54"/>
        <v>11215445</v>
      </c>
      <c r="AK23" s="148">
        <f t="shared" si="54"/>
        <v>12959557</v>
      </c>
      <c r="AL23" s="148">
        <f t="shared" si="54"/>
        <v>20298761</v>
      </c>
      <c r="AM23" s="381">
        <f>AM15-AM22</f>
        <v>31514206</v>
      </c>
      <c r="AN23" s="149">
        <v>-2528516</v>
      </c>
      <c r="AO23" s="149">
        <v>-6036424</v>
      </c>
      <c r="AP23" s="149">
        <v>1131978</v>
      </c>
      <c r="AQ23" s="150">
        <v>-7432962</v>
      </c>
      <c r="AR23" s="149">
        <v>259950</v>
      </c>
      <c r="AS23" s="149">
        <v>-1917606</v>
      </c>
      <c r="AT23" s="149">
        <v>-2577416</v>
      </c>
      <c r="AU23" s="150">
        <v>-4235072</v>
      </c>
      <c r="AV23" s="149">
        <v>-21784226</v>
      </c>
      <c r="AW23" s="149">
        <v>-4561616</v>
      </c>
      <c r="AX23" s="149">
        <v>-2169610</v>
      </c>
      <c r="AY23" s="150">
        <v>-28515452</v>
      </c>
      <c r="AZ23" s="149">
        <v>-5304937</v>
      </c>
      <c r="BA23" s="149">
        <v>-4731023</v>
      </c>
      <c r="BB23" s="149">
        <v>16574429</v>
      </c>
      <c r="BC23" s="150">
        <v>6538469</v>
      </c>
      <c r="BD23" s="150">
        <v>-11668034</v>
      </c>
      <c r="BE23" s="150">
        <v>-40183486</v>
      </c>
      <c r="BF23" s="150">
        <v>-33645017</v>
      </c>
      <c r="BG23" s="148">
        <v>-477779</v>
      </c>
      <c r="BH23" s="148">
        <v>-4861017</v>
      </c>
      <c r="BI23" s="148">
        <v>-126693</v>
      </c>
      <c r="BJ23" s="151">
        <v>-5465489</v>
      </c>
      <c r="BK23" s="152">
        <v>-3273659</v>
      </c>
      <c r="BL23" s="152">
        <v>2057514</v>
      </c>
      <c r="BM23" s="152">
        <v>-830366</v>
      </c>
      <c r="BN23" s="151">
        <v>-2046511</v>
      </c>
      <c r="BO23" s="152">
        <v>548272</v>
      </c>
      <c r="BP23" s="152">
        <v>-166942</v>
      </c>
      <c r="BQ23" s="152">
        <v>507205</v>
      </c>
      <c r="BR23" s="151">
        <v>888535</v>
      </c>
      <c r="BS23" s="152">
        <v>-3936238</v>
      </c>
      <c r="BT23" s="152">
        <v>-4268528</v>
      </c>
      <c r="BU23" s="153">
        <v>8399082</v>
      </c>
      <c r="BV23" s="154">
        <v>194316</v>
      </c>
      <c r="BW23" s="151">
        <v>-7512000</v>
      </c>
      <c r="BX23" s="151">
        <v>-6623465</v>
      </c>
      <c r="BY23" s="155">
        <v>-6429149</v>
      </c>
      <c r="BZ23" s="156">
        <v>4110796</v>
      </c>
      <c r="CA23" s="156">
        <v>-1856866</v>
      </c>
      <c r="CB23" s="156">
        <v>2399862</v>
      </c>
      <c r="CC23" s="157">
        <v>4653792</v>
      </c>
      <c r="CD23" s="158">
        <v>1165094</v>
      </c>
      <c r="CE23" s="158">
        <v>-1844324</v>
      </c>
      <c r="CF23" s="158">
        <v>2423278</v>
      </c>
      <c r="CG23" s="159">
        <v>1744048</v>
      </c>
      <c r="CH23" s="158">
        <v>-94107</v>
      </c>
      <c r="CI23" s="158">
        <v>581173</v>
      </c>
      <c r="CJ23" s="158">
        <v>-4679220</v>
      </c>
      <c r="CK23" s="159">
        <v>-4192154</v>
      </c>
      <c r="CL23" s="158">
        <v>-9312227</v>
      </c>
      <c r="CM23" s="158">
        <v>-1456736</v>
      </c>
      <c r="CN23" s="158">
        <v>5309987</v>
      </c>
      <c r="CO23" s="159">
        <v>-5458976</v>
      </c>
      <c r="CP23" s="159">
        <v>6397840</v>
      </c>
      <c r="CQ23" s="159">
        <v>2205686</v>
      </c>
      <c r="CR23" s="160">
        <v>-3253290</v>
      </c>
      <c r="CS23" s="161">
        <v>-4426153</v>
      </c>
      <c r="CT23" s="161">
        <v>-740005</v>
      </c>
      <c r="CU23" s="161">
        <f>CU15-CU22</f>
        <v>-9172930</v>
      </c>
      <c r="CV23" s="162">
        <f t="shared" si="8"/>
        <v>-14339088</v>
      </c>
      <c r="CW23" s="158">
        <v>-1312761</v>
      </c>
      <c r="CX23" s="158">
        <v>-2364596</v>
      </c>
      <c r="CY23" s="158">
        <f>CY15-CY22</f>
        <v>-13549516</v>
      </c>
      <c r="CZ23" s="163">
        <f>SUM(CW23:CY23)</f>
        <v>-17226873</v>
      </c>
      <c r="DA23" s="161">
        <f>DA15-DA22</f>
        <v>-3759952</v>
      </c>
      <c r="DB23" s="161">
        <f>DB15-DB22</f>
        <v>-12446982</v>
      </c>
      <c r="DC23" s="161">
        <f>DC15-DC22</f>
        <v>-16717906</v>
      </c>
      <c r="DD23" s="162">
        <f>SUM(DA23:DC23)</f>
        <v>-32924840</v>
      </c>
      <c r="DE23" s="161">
        <f>DE15-DE22</f>
        <v>-17294645</v>
      </c>
      <c r="DF23" s="161">
        <f>DF15-DF22</f>
        <v>-10368404</v>
      </c>
      <c r="DG23" s="161">
        <f>DG15-DG22</f>
        <v>-258984</v>
      </c>
      <c r="DH23" s="162">
        <f>SUM(DE23:DG23)</f>
        <v>-27922033</v>
      </c>
      <c r="DI23" s="163">
        <f>CV23+CZ23</f>
        <v>-31565961</v>
      </c>
      <c r="DJ23" s="163">
        <f>CV23+CZ23+DD23</f>
        <v>-64490801</v>
      </c>
      <c r="DK23" s="163">
        <f>DH23+DJ23</f>
        <v>-92412834</v>
      </c>
      <c r="DL23" s="164">
        <f>CR23-DK23</f>
        <v>89159544</v>
      </c>
      <c r="DM23" s="165">
        <f>DL23/DK23</f>
        <v>-0.96479612344752896</v>
      </c>
      <c r="DN23" s="166">
        <f>BY23-CR23</f>
        <v>-3175859</v>
      </c>
      <c r="DO23" s="165">
        <f>DN23/CR23</f>
        <v>0.97619917068567508</v>
      </c>
      <c r="DP23" s="167">
        <f>BF23-BY23</f>
        <v>-27215868</v>
      </c>
      <c r="DQ23" s="165">
        <f>DP23/BY23</f>
        <v>4.2331991372419582</v>
      </c>
      <c r="DR23" s="167">
        <f t="shared" si="41"/>
        <v>71697692</v>
      </c>
      <c r="DS23" s="165">
        <f t="shared" si="42"/>
        <v>-2.1310047785085082</v>
      </c>
      <c r="DT23" s="167">
        <f t="shared" si="27"/>
        <v>-1533599</v>
      </c>
      <c r="DU23" s="165">
        <f t="shared" si="43"/>
        <v>0.31548933073058583</v>
      </c>
    </row>
    <row r="24" spans="1:125" ht="14.25" customHeight="1" outlineLevel="1" thickTop="1">
      <c r="A24" s="2" t="s">
        <v>983</v>
      </c>
      <c r="AM24" s="382"/>
      <c r="AN24" s="168"/>
      <c r="AO24" s="168"/>
      <c r="AP24" s="168"/>
      <c r="AQ24" s="169"/>
      <c r="AR24" s="170"/>
      <c r="AS24" s="170"/>
      <c r="AT24" s="170"/>
      <c r="AU24" s="169"/>
      <c r="AV24" s="170"/>
      <c r="AW24" s="170"/>
      <c r="AX24" s="170"/>
      <c r="AY24" s="169"/>
      <c r="AZ24" s="170"/>
      <c r="BA24" s="170"/>
      <c r="BB24" s="170"/>
      <c r="BC24" s="169"/>
      <c r="BD24" s="169"/>
      <c r="BE24" s="169"/>
      <c r="BF24" s="169"/>
      <c r="BG24" s="51"/>
      <c r="BH24" s="51"/>
      <c r="BI24" s="51"/>
      <c r="BJ24" s="49"/>
      <c r="BK24" s="51"/>
      <c r="BL24" s="51"/>
      <c r="BM24" s="51"/>
      <c r="BN24" s="49"/>
      <c r="BO24" s="51"/>
      <c r="BP24" s="51"/>
      <c r="BQ24" s="51"/>
      <c r="BR24" s="49"/>
      <c r="BS24" s="51"/>
      <c r="BT24" s="51"/>
      <c r="BU24" s="51"/>
      <c r="BV24" s="49"/>
      <c r="BW24" s="49"/>
      <c r="BX24" s="49"/>
      <c r="BY24" s="49"/>
      <c r="BZ24" s="51"/>
      <c r="CA24" s="51"/>
      <c r="CB24" s="51"/>
      <c r="CC24" s="52"/>
      <c r="CD24" s="51"/>
      <c r="CE24" s="51"/>
      <c r="CF24" s="51"/>
      <c r="CG24" s="52"/>
      <c r="CH24" s="51"/>
      <c r="CI24" s="51"/>
      <c r="CJ24" s="51"/>
      <c r="CK24" s="52"/>
      <c r="CL24" s="51"/>
      <c r="CM24" s="51"/>
      <c r="CN24" s="51"/>
      <c r="CO24" s="52"/>
      <c r="CP24" s="52"/>
      <c r="CQ24" s="52"/>
      <c r="CR24" s="53"/>
      <c r="CS24" s="51"/>
      <c r="CT24" s="51"/>
      <c r="CU24" s="51"/>
      <c r="CV24" s="55"/>
      <c r="CW24" s="51"/>
      <c r="CX24" s="51"/>
      <c r="CY24" s="51"/>
      <c r="CZ24" s="55"/>
      <c r="DA24" s="51"/>
      <c r="DB24" s="51"/>
      <c r="DC24" s="51"/>
      <c r="DD24" s="55"/>
      <c r="DE24" s="51"/>
      <c r="DF24" s="51"/>
      <c r="DG24" s="51"/>
      <c r="DH24" s="55"/>
      <c r="DI24" s="55"/>
      <c r="DJ24" s="55"/>
      <c r="DK24" s="55"/>
      <c r="DL24" s="56"/>
      <c r="DN24" s="57"/>
      <c r="DP24" s="118"/>
      <c r="DR24" s="118"/>
      <c r="DT24" s="118"/>
    </row>
    <row r="25" spans="1:125" ht="14.25" customHeight="1" outlineLevel="1">
      <c r="A25" s="171" t="s">
        <v>984</v>
      </c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  <c r="AK25" s="171"/>
      <c r="AL25" s="171"/>
      <c r="AM25" s="383"/>
      <c r="AN25" s="172"/>
      <c r="AO25" s="172"/>
      <c r="AP25" s="172"/>
      <c r="AQ25" s="173"/>
      <c r="AR25" s="174"/>
      <c r="AS25" s="174"/>
      <c r="AT25" s="174"/>
      <c r="AU25" s="173"/>
      <c r="AV25" s="174"/>
      <c r="AW25" s="174"/>
      <c r="AX25" s="174"/>
      <c r="AY25" s="173"/>
      <c r="AZ25" s="174"/>
      <c r="BA25" s="174"/>
      <c r="BB25" s="174"/>
      <c r="BC25" s="173"/>
      <c r="BD25" s="173"/>
      <c r="BE25" s="173"/>
      <c r="BF25" s="173"/>
      <c r="BG25" s="175"/>
      <c r="BH25" s="175"/>
      <c r="BI25" s="175"/>
      <c r="BJ25" s="176"/>
      <c r="BK25" s="175"/>
      <c r="BL25" s="175"/>
      <c r="BM25" s="175"/>
      <c r="BN25" s="176"/>
      <c r="BO25" s="175"/>
      <c r="BP25" s="175"/>
      <c r="BQ25" s="175"/>
      <c r="BR25" s="176"/>
      <c r="BS25" s="175"/>
      <c r="BT25" s="175"/>
      <c r="BU25" s="175"/>
      <c r="BV25" s="176"/>
      <c r="BW25" s="176"/>
      <c r="BX25" s="176"/>
      <c r="BY25" s="49"/>
      <c r="BZ25" s="51"/>
      <c r="CA25" s="51"/>
      <c r="CB25" s="51"/>
      <c r="CC25" s="52"/>
      <c r="CD25" s="51"/>
      <c r="CE25" s="51"/>
      <c r="CF25" s="51"/>
      <c r="CG25" s="52"/>
      <c r="CH25" s="51"/>
      <c r="CI25" s="51"/>
      <c r="CJ25" s="51"/>
      <c r="CK25" s="52"/>
      <c r="CL25" s="51"/>
      <c r="CM25" s="51"/>
      <c r="CN25" s="51"/>
      <c r="CO25" s="52"/>
      <c r="CP25" s="52"/>
      <c r="CQ25" s="52"/>
      <c r="CR25" s="53"/>
      <c r="CS25" s="51"/>
      <c r="CT25" s="51"/>
      <c r="CU25" s="51"/>
      <c r="CV25" s="55"/>
      <c r="CW25" s="51"/>
      <c r="CX25" s="51"/>
      <c r="CY25" s="51"/>
      <c r="CZ25" s="55"/>
      <c r="DA25" s="51"/>
      <c r="DB25" s="51"/>
      <c r="DC25" s="51"/>
      <c r="DD25" s="55"/>
      <c r="DE25" s="51"/>
      <c r="DF25" s="51"/>
      <c r="DG25" s="51"/>
      <c r="DH25" s="55"/>
      <c r="DI25" s="55"/>
      <c r="DJ25" s="55"/>
      <c r="DK25" s="55"/>
      <c r="DL25" s="56"/>
      <c r="DN25" s="57"/>
      <c r="DP25" s="118"/>
      <c r="DR25" s="118"/>
      <c r="DT25" s="118"/>
    </row>
    <row r="26" spans="1:125" ht="14.25" customHeight="1" outlineLevel="1">
      <c r="A26" s="177" t="s">
        <v>985</v>
      </c>
      <c r="B26" s="172">
        <f>'2017 預算'!C25</f>
        <v>1250</v>
      </c>
      <c r="C26" s="178">
        <f>'2017 預算'!F25</f>
        <v>1250</v>
      </c>
      <c r="D26" s="179">
        <f>'2017 預算'!I25</f>
        <v>1250</v>
      </c>
      <c r="E26" s="180">
        <f t="shared" ref="E26:E36" si="55">SUM(B26:D26)</f>
        <v>3750</v>
      </c>
      <c r="F26" s="179">
        <f>'2017 預算'!O25</f>
        <v>1250</v>
      </c>
      <c r="G26" s="179">
        <f>'2017 預算'!R25</f>
        <v>1250</v>
      </c>
      <c r="H26" s="179">
        <f>'2017 預算'!U25</f>
        <v>61835</v>
      </c>
      <c r="I26" s="179">
        <f t="shared" ref="I26:I35" si="56">SUM(F26:H26)</f>
        <v>64335</v>
      </c>
      <c r="J26" s="179">
        <f>'2017 預算'!AA25</f>
        <v>1250</v>
      </c>
      <c r="K26" s="179">
        <f>'2017 預算'!AD25</f>
        <v>1250</v>
      </c>
      <c r="L26" s="179">
        <f>'2017 預算'!AG25</f>
        <v>0</v>
      </c>
      <c r="M26" s="179">
        <f>SUM(J26:L26)</f>
        <v>2500</v>
      </c>
      <c r="N26" s="179">
        <f>'2017 預算'!AM25</f>
        <v>0</v>
      </c>
      <c r="O26" s="179">
        <f>'2017 預算'!AP25</f>
        <v>0</v>
      </c>
      <c r="P26" s="179">
        <f>'2017 預算'!AS25</f>
        <v>0</v>
      </c>
      <c r="Q26" s="179">
        <f t="shared" ref="Q26:Q35" si="57">SUM(N26:P26)</f>
        <v>0</v>
      </c>
      <c r="R26" s="179">
        <f t="shared" ref="R26:R35" si="58">E26+I26</f>
        <v>68085</v>
      </c>
      <c r="S26" s="179">
        <f t="shared" ref="S26:S35" si="59">E26+I26+M26</f>
        <v>70585</v>
      </c>
      <c r="T26" s="179">
        <f t="shared" ref="T26:T36" si="60">E26+I26+M26+Q26</f>
        <v>70585</v>
      </c>
      <c r="U26" s="172">
        <v>1598</v>
      </c>
      <c r="V26" s="178">
        <v>1542</v>
      </c>
      <c r="W26" s="179">
        <v>1542</v>
      </c>
      <c r="X26" s="180">
        <v>4682</v>
      </c>
      <c r="Y26" s="179">
        <v>1466</v>
      </c>
      <c r="Z26" s="179">
        <v>1396</v>
      </c>
      <c r="AA26" s="179">
        <v>35801</v>
      </c>
      <c r="AB26" s="179">
        <v>38663</v>
      </c>
      <c r="AC26" s="179">
        <v>1352</v>
      </c>
      <c r="AD26" s="179">
        <v>1250</v>
      </c>
      <c r="AE26" s="179">
        <v>1250</v>
      </c>
      <c r="AF26" s="179">
        <v>3852</v>
      </c>
      <c r="AG26" s="179">
        <v>1250</v>
      </c>
      <c r="AH26" s="179">
        <v>1250</v>
      </c>
      <c r="AI26" s="179">
        <v>32926</v>
      </c>
      <c r="AJ26" s="179">
        <v>35426</v>
      </c>
      <c r="AK26" s="179">
        <v>43345</v>
      </c>
      <c r="AL26" s="179">
        <v>47197</v>
      </c>
      <c r="AM26" s="384">
        <v>82623</v>
      </c>
      <c r="AN26" s="172">
        <v>71934</v>
      </c>
      <c r="AO26" s="172">
        <v>71933</v>
      </c>
      <c r="AP26" s="172">
        <v>71935</v>
      </c>
      <c r="AQ26" s="173">
        <v>215802</v>
      </c>
      <c r="AR26" s="174">
        <v>71934</v>
      </c>
      <c r="AS26" s="174">
        <v>50375</v>
      </c>
      <c r="AT26" s="174">
        <v>65030</v>
      </c>
      <c r="AU26" s="173">
        <v>187339</v>
      </c>
      <c r="AV26" s="87">
        <v>28818</v>
      </c>
      <c r="AW26" s="87">
        <v>1833</v>
      </c>
      <c r="AX26" s="87">
        <v>1834</v>
      </c>
      <c r="AY26" s="173">
        <v>32485</v>
      </c>
      <c r="AZ26" s="45">
        <v>1790</v>
      </c>
      <c r="BA26" s="45">
        <v>1811</v>
      </c>
      <c r="BB26" s="45">
        <v>38407</v>
      </c>
      <c r="BC26" s="173">
        <v>42008</v>
      </c>
      <c r="BD26" s="173">
        <v>403141</v>
      </c>
      <c r="BE26" s="86">
        <v>435626</v>
      </c>
      <c r="BF26" s="173">
        <v>477634</v>
      </c>
      <c r="BG26" s="175">
        <v>71933</v>
      </c>
      <c r="BH26" s="175">
        <v>71934</v>
      </c>
      <c r="BI26" s="175">
        <v>71935</v>
      </c>
      <c r="BJ26" s="176">
        <v>215802</v>
      </c>
      <c r="BK26" s="175">
        <v>71934</v>
      </c>
      <c r="BL26" s="175">
        <v>71934</v>
      </c>
      <c r="BM26" s="175">
        <v>89981</v>
      </c>
      <c r="BN26" s="176">
        <v>233849</v>
      </c>
      <c r="BO26" s="175">
        <v>71934</v>
      </c>
      <c r="BP26" s="175">
        <v>71933</v>
      </c>
      <c r="BQ26" s="175">
        <v>71935</v>
      </c>
      <c r="BR26" s="176">
        <v>215802</v>
      </c>
      <c r="BS26" s="175">
        <v>71934</v>
      </c>
      <c r="BT26" s="175">
        <v>71933</v>
      </c>
      <c r="BU26" s="47">
        <v>94685</v>
      </c>
      <c r="BV26" s="48">
        <v>238552</v>
      </c>
      <c r="BW26" s="176">
        <v>449651</v>
      </c>
      <c r="BX26" s="176">
        <v>665453</v>
      </c>
      <c r="BY26" s="49">
        <v>904005</v>
      </c>
      <c r="BZ26" s="51">
        <v>71933</v>
      </c>
      <c r="CA26" s="51">
        <v>72181</v>
      </c>
      <c r="CB26" s="51">
        <v>71933</v>
      </c>
      <c r="CC26" s="52">
        <v>216047</v>
      </c>
      <c r="CD26" s="51">
        <v>71933</v>
      </c>
      <c r="CE26" s="51">
        <v>71933</v>
      </c>
      <c r="CF26" s="51">
        <v>97149</v>
      </c>
      <c r="CG26" s="52">
        <v>241015</v>
      </c>
      <c r="CH26" s="51">
        <v>71935</v>
      </c>
      <c r="CI26" s="51">
        <v>71934</v>
      </c>
      <c r="CJ26" s="51">
        <v>71934</v>
      </c>
      <c r="CK26" s="52">
        <v>215803</v>
      </c>
      <c r="CL26" s="51">
        <v>71934</v>
      </c>
      <c r="CM26" s="51">
        <v>71933</v>
      </c>
      <c r="CN26" s="51">
        <v>94581</v>
      </c>
      <c r="CO26" s="52">
        <v>238448</v>
      </c>
      <c r="CP26" s="52">
        <v>457062</v>
      </c>
      <c r="CQ26" s="52">
        <v>672865</v>
      </c>
      <c r="CR26" s="53">
        <v>911313</v>
      </c>
      <c r="CS26" s="51">
        <v>66732</v>
      </c>
      <c r="CT26" s="51">
        <v>72157</v>
      </c>
      <c r="CU26" s="51">
        <v>72158</v>
      </c>
      <c r="CV26" s="55">
        <f t="shared" si="8"/>
        <v>211047</v>
      </c>
      <c r="CW26" s="51">
        <v>72157</v>
      </c>
      <c r="CX26" s="51">
        <v>72158</v>
      </c>
      <c r="CY26" s="51">
        <v>88326</v>
      </c>
      <c r="CZ26" s="55">
        <f>SUM(CW26:CY26)</f>
        <v>232641</v>
      </c>
      <c r="DA26" s="51">
        <v>72158</v>
      </c>
      <c r="DB26" s="51">
        <v>72157</v>
      </c>
      <c r="DC26" s="51">
        <v>72157</v>
      </c>
      <c r="DD26" s="55">
        <f t="shared" ref="DD26:DD36" si="61">SUM(DA26:DC26)</f>
        <v>216472</v>
      </c>
      <c r="DE26" s="51">
        <v>72158</v>
      </c>
      <c r="DF26" s="51">
        <v>72157</v>
      </c>
      <c r="DG26" s="51">
        <v>93631</v>
      </c>
      <c r="DH26" s="55">
        <f t="shared" ref="DH26:DH49" si="62">SUM(DE26:DG26)</f>
        <v>237946</v>
      </c>
      <c r="DI26" s="55">
        <f t="shared" ref="DI26:DI36" si="63">CV26+CZ26</f>
        <v>443688</v>
      </c>
      <c r="DJ26" s="55">
        <f t="shared" ref="DJ26:DJ49" si="64">CV26+CZ26+DD26</f>
        <v>660160</v>
      </c>
      <c r="DK26" s="55">
        <f t="shared" ref="DK26:DK49" si="65">DH26+DJ26</f>
        <v>898106</v>
      </c>
      <c r="DL26" s="56">
        <f t="shared" ref="DL26:DL49" si="66">CR26-DK26</f>
        <v>13207</v>
      </c>
      <c r="DM26" s="4">
        <f>DL26/DK26</f>
        <v>1.4705391123096828E-2</v>
      </c>
      <c r="DN26" s="57">
        <f t="shared" ref="DN26:DN36" si="67">BY26-CR26</f>
        <v>-7308</v>
      </c>
      <c r="DO26" s="4">
        <f>BY26/CR26</f>
        <v>0.9919808013273157</v>
      </c>
      <c r="DP26" s="118">
        <f>BF26-BY26</f>
        <v>-426371</v>
      </c>
      <c r="DQ26" s="4">
        <f>DP26/BY26</f>
        <v>-0.47164672761765697</v>
      </c>
      <c r="DR26" s="118">
        <f t="shared" ref="DR26:DR36" si="68">AM26-BE26</f>
        <v>-353003</v>
      </c>
      <c r="DS26" s="4">
        <f t="shared" ref="DS26:DS36" si="69">DR26/BF26</f>
        <v>-0.73906589564394498</v>
      </c>
      <c r="DT26" s="118">
        <f t="shared" ref="DT26:DT36" si="70">C26-V26</f>
        <v>-292</v>
      </c>
      <c r="DU26" s="4">
        <f t="shared" ref="DU26" si="71">DT26/BH26</f>
        <v>-4.0592765590680346E-3</v>
      </c>
    </row>
    <row r="27" spans="1:125" ht="14.25" customHeight="1" outlineLevel="1">
      <c r="A27" s="177" t="s">
        <v>986</v>
      </c>
      <c r="B27" s="172">
        <f>'2017 預算'!C26</f>
        <v>0</v>
      </c>
      <c r="C27" s="178">
        <f>'2017 預算'!F26</f>
        <v>0</v>
      </c>
      <c r="D27" s="179">
        <f>'2017 預算'!I26</f>
        <v>0</v>
      </c>
      <c r="E27" s="180">
        <f t="shared" si="55"/>
        <v>0</v>
      </c>
      <c r="F27" s="179">
        <f>'2017 預算'!O26</f>
        <v>0</v>
      </c>
      <c r="G27" s="179">
        <f>'2017 預算'!R26</f>
        <v>0</v>
      </c>
      <c r="H27" s="179">
        <f>'2017 預算'!U26</f>
        <v>0</v>
      </c>
      <c r="I27" s="179">
        <f t="shared" si="56"/>
        <v>0</v>
      </c>
      <c r="J27" s="179">
        <f>'2017 預算'!AA26</f>
        <v>0</v>
      </c>
      <c r="K27" s="179">
        <f>'2017 預算'!AD26</f>
        <v>0</v>
      </c>
      <c r="L27" s="179">
        <f>'2017 預算'!AG26</f>
        <v>0</v>
      </c>
      <c r="M27" s="179">
        <f t="shared" ref="M27:M35" si="72">SUM(J27:L27)</f>
        <v>0</v>
      </c>
      <c r="N27" s="179">
        <f>'2017 預算'!AM26</f>
        <v>0</v>
      </c>
      <c r="O27" s="179">
        <f>'2017 預算'!AP26</f>
        <v>0</v>
      </c>
      <c r="P27" s="179">
        <f>'2017 預算'!AS26</f>
        <v>0</v>
      </c>
      <c r="Q27" s="179">
        <f t="shared" si="57"/>
        <v>0</v>
      </c>
      <c r="R27" s="179">
        <f t="shared" si="58"/>
        <v>0</v>
      </c>
      <c r="S27" s="179">
        <f t="shared" si="59"/>
        <v>0</v>
      </c>
      <c r="T27" s="179">
        <f t="shared" si="60"/>
        <v>0</v>
      </c>
      <c r="U27" s="172">
        <v>0</v>
      </c>
      <c r="V27" s="178">
        <v>0</v>
      </c>
      <c r="W27" s="179">
        <v>0</v>
      </c>
      <c r="X27" s="180">
        <v>0</v>
      </c>
      <c r="Y27" s="179">
        <v>0</v>
      </c>
      <c r="Z27" s="179">
        <v>0</v>
      </c>
      <c r="AA27" s="179">
        <v>0</v>
      </c>
      <c r="AB27" s="179">
        <v>0</v>
      </c>
      <c r="AC27" s="179">
        <v>0</v>
      </c>
      <c r="AD27" s="179">
        <v>0</v>
      </c>
      <c r="AE27" s="179">
        <v>0</v>
      </c>
      <c r="AF27" s="179">
        <v>0</v>
      </c>
      <c r="AG27" s="179">
        <v>0</v>
      </c>
      <c r="AH27" s="179">
        <v>0</v>
      </c>
      <c r="AI27" s="179">
        <v>0</v>
      </c>
      <c r="AJ27" s="179">
        <v>0</v>
      </c>
      <c r="AK27" s="179">
        <v>0</v>
      </c>
      <c r="AL27" s="179">
        <v>0</v>
      </c>
      <c r="AM27" s="384">
        <v>0</v>
      </c>
      <c r="AN27" s="172">
        <v>0</v>
      </c>
      <c r="AO27" s="172">
        <v>0</v>
      </c>
      <c r="AP27" s="172">
        <v>0</v>
      </c>
      <c r="AQ27" s="173">
        <v>0</v>
      </c>
      <c r="AR27" s="174">
        <v>0</v>
      </c>
      <c r="AS27" s="174">
        <v>0</v>
      </c>
      <c r="AT27" s="174">
        <v>0</v>
      </c>
      <c r="AU27" s="173">
        <v>0</v>
      </c>
      <c r="AV27" s="87">
        <v>0</v>
      </c>
      <c r="AW27" s="87">
        <v>0</v>
      </c>
      <c r="AX27" s="87">
        <v>0</v>
      </c>
      <c r="AY27" s="173">
        <v>0</v>
      </c>
      <c r="AZ27" s="45">
        <v>0</v>
      </c>
      <c r="BA27" s="45">
        <v>0</v>
      </c>
      <c r="BB27" s="45">
        <v>0</v>
      </c>
      <c r="BC27" s="173">
        <v>0</v>
      </c>
      <c r="BD27" s="173">
        <v>0</v>
      </c>
      <c r="BE27" s="86">
        <v>0</v>
      </c>
      <c r="BF27" s="173">
        <v>0</v>
      </c>
      <c r="BG27" s="175"/>
      <c r="BH27" s="175"/>
      <c r="BI27" s="175">
        <v>0</v>
      </c>
      <c r="BJ27" s="176">
        <v>0</v>
      </c>
      <c r="BK27" s="175">
        <v>0</v>
      </c>
      <c r="BL27" s="175"/>
      <c r="BM27" s="175"/>
      <c r="BN27" s="176">
        <v>0</v>
      </c>
      <c r="BO27" s="175"/>
      <c r="BP27" s="175"/>
      <c r="BQ27" s="175"/>
      <c r="BR27" s="176">
        <v>0</v>
      </c>
      <c r="BS27" s="175"/>
      <c r="BT27" s="175"/>
      <c r="BU27" s="47"/>
      <c r="BV27" s="48">
        <v>0</v>
      </c>
      <c r="BW27" s="176">
        <v>0</v>
      </c>
      <c r="BX27" s="176">
        <v>0</v>
      </c>
      <c r="BY27" s="49">
        <v>0</v>
      </c>
      <c r="BZ27" s="51">
        <v>0</v>
      </c>
      <c r="CA27" s="51">
        <v>0</v>
      </c>
      <c r="CB27" s="51">
        <v>0</v>
      </c>
      <c r="CC27" s="52">
        <v>0</v>
      </c>
      <c r="CD27" s="51">
        <v>0</v>
      </c>
      <c r="CE27" s="51">
        <v>0</v>
      </c>
      <c r="CF27" s="51">
        <v>0</v>
      </c>
      <c r="CG27" s="52">
        <v>0</v>
      </c>
      <c r="CH27" s="51">
        <v>0</v>
      </c>
      <c r="CI27" s="51">
        <v>0</v>
      </c>
      <c r="CJ27" s="51">
        <v>0</v>
      </c>
      <c r="CK27" s="52">
        <v>0</v>
      </c>
      <c r="CL27" s="51"/>
      <c r="CM27" s="51"/>
      <c r="CN27" s="51"/>
      <c r="CO27" s="52">
        <v>0</v>
      </c>
      <c r="CP27" s="52">
        <v>0</v>
      </c>
      <c r="CQ27" s="52">
        <v>0</v>
      </c>
      <c r="CR27" s="53">
        <v>0</v>
      </c>
      <c r="CS27" s="51">
        <v>0</v>
      </c>
      <c r="CT27" s="51">
        <v>0</v>
      </c>
      <c r="CU27" s="51">
        <v>0</v>
      </c>
      <c r="CV27" s="55">
        <f t="shared" si="8"/>
        <v>0</v>
      </c>
      <c r="CW27" s="51">
        <v>0</v>
      </c>
      <c r="CX27" s="51">
        <v>0</v>
      </c>
      <c r="CY27" s="51">
        <v>0</v>
      </c>
      <c r="CZ27" s="55">
        <f t="shared" ref="CZ27:CZ36" si="73">SUM(CW27:CY27)</f>
        <v>0</v>
      </c>
      <c r="DA27" s="51">
        <v>0</v>
      </c>
      <c r="DB27" s="51">
        <v>0</v>
      </c>
      <c r="DC27" s="51">
        <v>0</v>
      </c>
      <c r="DD27" s="55">
        <f t="shared" si="61"/>
        <v>0</v>
      </c>
      <c r="DE27" s="51"/>
      <c r="DF27" s="51"/>
      <c r="DG27" s="51"/>
      <c r="DH27" s="55">
        <f t="shared" si="62"/>
        <v>0</v>
      </c>
      <c r="DI27" s="55">
        <f t="shared" si="63"/>
        <v>0</v>
      </c>
      <c r="DJ27" s="55">
        <f t="shared" si="64"/>
        <v>0</v>
      </c>
      <c r="DK27" s="55">
        <f t="shared" si="65"/>
        <v>0</v>
      </c>
      <c r="DL27" s="56">
        <f t="shared" si="66"/>
        <v>0</v>
      </c>
      <c r="DN27" s="57">
        <f t="shared" si="67"/>
        <v>0</v>
      </c>
      <c r="DP27" s="118">
        <f t="shared" ref="DP27:DP50" si="74">BF27-BY27</f>
        <v>0</v>
      </c>
      <c r="DR27" s="118">
        <f t="shared" si="68"/>
        <v>0</v>
      </c>
      <c r="DT27" s="118">
        <f t="shared" si="70"/>
        <v>0</v>
      </c>
    </row>
    <row r="28" spans="1:125" ht="14.25" customHeight="1" outlineLevel="1">
      <c r="A28" s="177" t="s">
        <v>987</v>
      </c>
      <c r="B28" s="172">
        <f>'2017 預算'!C27</f>
        <v>0</v>
      </c>
      <c r="C28" s="178">
        <f>'2017 預算'!F27</f>
        <v>0</v>
      </c>
      <c r="D28" s="179">
        <f>'2017 預算'!I27</f>
        <v>0</v>
      </c>
      <c r="E28" s="180">
        <f t="shared" si="55"/>
        <v>0</v>
      </c>
      <c r="F28" s="179">
        <f>'2017 預算'!O27</f>
        <v>0</v>
      </c>
      <c r="G28" s="179">
        <f>'2017 預算'!R27</f>
        <v>0</v>
      </c>
      <c r="H28" s="179">
        <f>'2017 預算'!U27</f>
        <v>0</v>
      </c>
      <c r="I28" s="179">
        <f t="shared" si="56"/>
        <v>0</v>
      </c>
      <c r="J28" s="179">
        <f>'2017 預算'!AA27</f>
        <v>0</v>
      </c>
      <c r="K28" s="179">
        <f>'2017 預算'!AD27</f>
        <v>0</v>
      </c>
      <c r="L28" s="179">
        <f>'2017 預算'!AG27</f>
        <v>0</v>
      </c>
      <c r="M28" s="179">
        <f t="shared" si="72"/>
        <v>0</v>
      </c>
      <c r="N28" s="179">
        <f>'2017 預算'!AM27</f>
        <v>0</v>
      </c>
      <c r="O28" s="179">
        <f>'2017 預算'!AP27</f>
        <v>0</v>
      </c>
      <c r="P28" s="179">
        <f>'2017 預算'!AS27</f>
        <v>0</v>
      </c>
      <c r="Q28" s="179">
        <f t="shared" si="57"/>
        <v>0</v>
      </c>
      <c r="R28" s="179">
        <f t="shared" si="58"/>
        <v>0</v>
      </c>
      <c r="S28" s="179">
        <f t="shared" si="59"/>
        <v>0</v>
      </c>
      <c r="T28" s="179">
        <f t="shared" si="60"/>
        <v>0</v>
      </c>
      <c r="U28" s="172">
        <v>0</v>
      </c>
      <c r="V28" s="178">
        <v>0</v>
      </c>
      <c r="W28" s="179">
        <v>6480</v>
      </c>
      <c r="X28" s="180">
        <v>6480</v>
      </c>
      <c r="Y28" s="179">
        <v>0</v>
      </c>
      <c r="Z28" s="179">
        <v>0</v>
      </c>
      <c r="AA28" s="179">
        <v>0</v>
      </c>
      <c r="AB28" s="179">
        <v>0</v>
      </c>
      <c r="AC28" s="179">
        <v>0</v>
      </c>
      <c r="AD28" s="179">
        <v>0</v>
      </c>
      <c r="AE28" s="179">
        <v>0</v>
      </c>
      <c r="AF28" s="179">
        <v>0</v>
      </c>
      <c r="AG28" s="179">
        <v>0</v>
      </c>
      <c r="AH28" s="179">
        <v>0</v>
      </c>
      <c r="AI28" s="179">
        <v>0</v>
      </c>
      <c r="AJ28" s="179">
        <v>0</v>
      </c>
      <c r="AK28" s="179">
        <v>6480</v>
      </c>
      <c r="AL28" s="179">
        <v>6480</v>
      </c>
      <c r="AM28" s="384">
        <v>6480</v>
      </c>
      <c r="AN28" s="172">
        <v>0</v>
      </c>
      <c r="AO28" s="172">
        <v>0</v>
      </c>
      <c r="AP28" s="172">
        <v>30762</v>
      </c>
      <c r="AQ28" s="173">
        <v>30762</v>
      </c>
      <c r="AR28" s="174">
        <v>0</v>
      </c>
      <c r="AS28" s="174">
        <v>20766</v>
      </c>
      <c r="AT28" s="174">
        <v>0</v>
      </c>
      <c r="AU28" s="173">
        <v>20766</v>
      </c>
      <c r="AV28" s="87">
        <v>0</v>
      </c>
      <c r="AW28" s="87">
        <v>0</v>
      </c>
      <c r="AX28" s="87">
        <v>0</v>
      </c>
      <c r="AY28" s="173">
        <v>0</v>
      </c>
      <c r="AZ28" s="45">
        <v>0</v>
      </c>
      <c r="BA28" s="45">
        <v>5909</v>
      </c>
      <c r="BB28" s="45">
        <v>0</v>
      </c>
      <c r="BC28" s="173">
        <v>5909</v>
      </c>
      <c r="BD28" s="173">
        <v>51528</v>
      </c>
      <c r="BE28" s="86">
        <v>51528</v>
      </c>
      <c r="BF28" s="173">
        <v>57437</v>
      </c>
      <c r="BG28" s="175">
        <v>4190</v>
      </c>
      <c r="BH28" s="175"/>
      <c r="BI28" s="175">
        <v>4857</v>
      </c>
      <c r="BJ28" s="176">
        <v>9047</v>
      </c>
      <c r="BK28" s="175">
        <v>0</v>
      </c>
      <c r="BL28" s="175"/>
      <c r="BM28" s="175"/>
      <c r="BN28" s="176">
        <v>0</v>
      </c>
      <c r="BO28" s="175"/>
      <c r="BP28" s="175"/>
      <c r="BQ28" s="175"/>
      <c r="BR28" s="176">
        <v>0</v>
      </c>
      <c r="BS28" s="175"/>
      <c r="BT28" s="175"/>
      <c r="BU28" s="47"/>
      <c r="BV28" s="48">
        <v>0</v>
      </c>
      <c r="BW28" s="176">
        <v>9047</v>
      </c>
      <c r="BX28" s="176">
        <v>9047</v>
      </c>
      <c r="BY28" s="49">
        <v>9047</v>
      </c>
      <c r="BZ28" s="51">
        <v>0</v>
      </c>
      <c r="CA28" s="51">
        <v>0</v>
      </c>
      <c r="CB28" s="51">
        <v>0</v>
      </c>
      <c r="CC28" s="52">
        <v>0</v>
      </c>
      <c r="CD28" s="51">
        <v>0</v>
      </c>
      <c r="CE28" s="51">
        <v>0</v>
      </c>
      <c r="CF28" s="51">
        <v>0</v>
      </c>
      <c r="CG28" s="52">
        <v>0</v>
      </c>
      <c r="CH28" s="51">
        <v>0</v>
      </c>
      <c r="CI28" s="51">
        <v>0</v>
      </c>
      <c r="CJ28" s="51">
        <v>0</v>
      </c>
      <c r="CK28" s="52">
        <v>0</v>
      </c>
      <c r="CL28" s="51"/>
      <c r="CM28" s="51"/>
      <c r="CN28" s="51">
        <v>914</v>
      </c>
      <c r="CO28" s="52">
        <v>914</v>
      </c>
      <c r="CP28" s="52">
        <v>0</v>
      </c>
      <c r="CQ28" s="52">
        <v>0</v>
      </c>
      <c r="CR28" s="53">
        <v>914</v>
      </c>
      <c r="CS28" s="51">
        <v>0</v>
      </c>
      <c r="CT28" s="51">
        <v>0</v>
      </c>
      <c r="CU28" s="51">
        <v>0</v>
      </c>
      <c r="CV28" s="55">
        <f t="shared" si="8"/>
        <v>0</v>
      </c>
      <c r="CW28" s="51">
        <v>0</v>
      </c>
      <c r="CX28" s="51">
        <v>0</v>
      </c>
      <c r="CY28" s="51">
        <v>0</v>
      </c>
      <c r="CZ28" s="55">
        <f t="shared" si="73"/>
        <v>0</v>
      </c>
      <c r="DA28" s="51">
        <v>0</v>
      </c>
      <c r="DB28" s="51">
        <v>0</v>
      </c>
      <c r="DC28" s="51">
        <v>0</v>
      </c>
      <c r="DD28" s="55">
        <f t="shared" si="61"/>
        <v>0</v>
      </c>
      <c r="DE28" s="51"/>
      <c r="DF28" s="51"/>
      <c r="DG28" s="51"/>
      <c r="DH28" s="55">
        <f t="shared" si="62"/>
        <v>0</v>
      </c>
      <c r="DI28" s="55">
        <f t="shared" si="63"/>
        <v>0</v>
      </c>
      <c r="DJ28" s="55">
        <f t="shared" si="64"/>
        <v>0</v>
      </c>
      <c r="DK28" s="55">
        <f t="shared" si="65"/>
        <v>0</v>
      </c>
      <c r="DL28" s="56">
        <f t="shared" si="66"/>
        <v>914</v>
      </c>
      <c r="DN28" s="57">
        <f t="shared" si="67"/>
        <v>8133</v>
      </c>
      <c r="DO28" s="4">
        <f t="shared" ref="DO28:DO47" si="75">BY28/CR28-1</f>
        <v>8.8982494529540475</v>
      </c>
      <c r="DP28" s="118">
        <f t="shared" si="74"/>
        <v>48390</v>
      </c>
      <c r="DQ28" s="4">
        <f t="shared" ref="DQ28:DQ49" si="76">DP28/BY28</f>
        <v>5.3487343870896433</v>
      </c>
      <c r="DR28" s="118">
        <f t="shared" si="68"/>
        <v>-45048</v>
      </c>
      <c r="DS28" s="4">
        <f t="shared" si="69"/>
        <v>-0.78430280133015307</v>
      </c>
      <c r="DT28" s="118">
        <f t="shared" si="70"/>
        <v>0</v>
      </c>
      <c r="DU28" s="4" t="e">
        <f t="shared" ref="DU28" si="77">DT28/BH28</f>
        <v>#DIV/0!</v>
      </c>
    </row>
    <row r="29" spans="1:125" ht="14.25" customHeight="1" outlineLevel="1">
      <c r="A29" s="177" t="s">
        <v>988</v>
      </c>
      <c r="B29" s="172">
        <f>'2017 預算'!C28</f>
        <v>0</v>
      </c>
      <c r="C29" s="178">
        <f>'2017 預算'!F28</f>
        <v>0</v>
      </c>
      <c r="D29" s="179">
        <f>'2017 預算'!I28</f>
        <v>0</v>
      </c>
      <c r="E29" s="180">
        <f t="shared" si="55"/>
        <v>0</v>
      </c>
      <c r="F29" s="179">
        <f>'2017 預算'!O28</f>
        <v>0</v>
      </c>
      <c r="G29" s="179">
        <f>'2017 預算'!R28</f>
        <v>0</v>
      </c>
      <c r="H29" s="179">
        <f>'2017 預算'!U28</f>
        <v>0</v>
      </c>
      <c r="I29" s="179">
        <f t="shared" si="56"/>
        <v>0</v>
      </c>
      <c r="J29" s="179">
        <f>'2017 預算'!AA28</f>
        <v>0</v>
      </c>
      <c r="K29" s="179">
        <f>'2017 預算'!AD28</f>
        <v>0</v>
      </c>
      <c r="L29" s="179">
        <f>'2017 預算'!AG28</f>
        <v>0</v>
      </c>
      <c r="M29" s="179">
        <f t="shared" si="72"/>
        <v>0</v>
      </c>
      <c r="N29" s="179">
        <f>'2017 預算'!AM28</f>
        <v>0</v>
      </c>
      <c r="O29" s="179">
        <f>'2017 預算'!AP28</f>
        <v>0</v>
      </c>
      <c r="P29" s="179">
        <f>'2017 預算'!AS28</f>
        <v>0</v>
      </c>
      <c r="Q29" s="179">
        <f t="shared" si="57"/>
        <v>0</v>
      </c>
      <c r="R29" s="179">
        <f t="shared" si="58"/>
        <v>0</v>
      </c>
      <c r="S29" s="179">
        <f t="shared" si="59"/>
        <v>0</v>
      </c>
      <c r="T29" s="179">
        <f t="shared" si="60"/>
        <v>0</v>
      </c>
      <c r="U29" s="172">
        <v>0</v>
      </c>
      <c r="V29" s="178">
        <v>0</v>
      </c>
      <c r="W29" s="179">
        <v>0</v>
      </c>
      <c r="X29" s="180">
        <v>0</v>
      </c>
      <c r="Y29" s="179">
        <v>0</v>
      </c>
      <c r="Z29" s="179">
        <v>0</v>
      </c>
      <c r="AA29" s="179">
        <v>0</v>
      </c>
      <c r="AB29" s="179">
        <v>0</v>
      </c>
      <c r="AC29" s="179">
        <v>0</v>
      </c>
      <c r="AD29" s="179">
        <v>0</v>
      </c>
      <c r="AE29" s="179">
        <v>0</v>
      </c>
      <c r="AF29" s="179">
        <v>0</v>
      </c>
      <c r="AG29" s="179">
        <v>0</v>
      </c>
      <c r="AH29" s="179">
        <v>0</v>
      </c>
      <c r="AI29" s="179">
        <v>0</v>
      </c>
      <c r="AJ29" s="179">
        <v>0</v>
      </c>
      <c r="AK29" s="179">
        <v>0</v>
      </c>
      <c r="AL29" s="179">
        <v>0</v>
      </c>
      <c r="AM29" s="384">
        <v>0</v>
      </c>
      <c r="AN29" s="172">
        <v>0</v>
      </c>
      <c r="AO29" s="172">
        <v>0</v>
      </c>
      <c r="AP29" s="172">
        <v>0</v>
      </c>
      <c r="AQ29" s="173">
        <v>0</v>
      </c>
      <c r="AR29" s="174">
        <v>0</v>
      </c>
      <c r="AS29" s="174">
        <v>0</v>
      </c>
      <c r="AT29" s="174">
        <v>0</v>
      </c>
      <c r="AU29" s="173">
        <v>0</v>
      </c>
      <c r="AV29" s="87">
        <v>0</v>
      </c>
      <c r="AW29" s="87">
        <v>0</v>
      </c>
      <c r="AX29" s="87">
        <v>0</v>
      </c>
      <c r="AY29" s="173">
        <v>0</v>
      </c>
      <c r="AZ29" s="45">
        <v>0</v>
      </c>
      <c r="BA29" s="45">
        <v>0</v>
      </c>
      <c r="BB29" s="45">
        <v>0</v>
      </c>
      <c r="BC29" s="173">
        <v>0</v>
      </c>
      <c r="BD29" s="173">
        <v>0</v>
      </c>
      <c r="BE29" s="86">
        <v>0</v>
      </c>
      <c r="BF29" s="173">
        <v>0</v>
      </c>
      <c r="BG29" s="175"/>
      <c r="BH29" s="175"/>
      <c r="BI29" s="175">
        <v>0</v>
      </c>
      <c r="BJ29" s="176">
        <v>0</v>
      </c>
      <c r="BK29" s="175">
        <v>0</v>
      </c>
      <c r="BL29" s="175"/>
      <c r="BM29" s="175"/>
      <c r="BN29" s="176">
        <v>0</v>
      </c>
      <c r="BO29" s="175"/>
      <c r="BP29" s="175"/>
      <c r="BQ29" s="175"/>
      <c r="BR29" s="176">
        <v>0</v>
      </c>
      <c r="BS29" s="175"/>
      <c r="BT29" s="175"/>
      <c r="BU29" s="47"/>
      <c r="BV29" s="48">
        <v>0</v>
      </c>
      <c r="BW29" s="176">
        <v>0</v>
      </c>
      <c r="BX29" s="176">
        <v>0</v>
      </c>
      <c r="BY29" s="49">
        <v>0</v>
      </c>
      <c r="BZ29" s="51">
        <v>0</v>
      </c>
      <c r="CA29" s="51">
        <v>0</v>
      </c>
      <c r="CB29" s="51">
        <v>0</v>
      </c>
      <c r="CC29" s="52">
        <v>0</v>
      </c>
      <c r="CD29" s="51">
        <v>0</v>
      </c>
      <c r="CE29" s="51">
        <v>0</v>
      </c>
      <c r="CF29" s="51">
        <v>0</v>
      </c>
      <c r="CG29" s="52">
        <v>0</v>
      </c>
      <c r="CH29" s="51">
        <v>0</v>
      </c>
      <c r="CI29" s="51">
        <v>0</v>
      </c>
      <c r="CJ29" s="51">
        <v>0</v>
      </c>
      <c r="CK29" s="52">
        <v>0</v>
      </c>
      <c r="CL29" s="51"/>
      <c r="CM29" s="51"/>
      <c r="CN29" s="51"/>
      <c r="CO29" s="52">
        <v>0</v>
      </c>
      <c r="CP29" s="52">
        <v>0</v>
      </c>
      <c r="CQ29" s="52">
        <v>0</v>
      </c>
      <c r="CR29" s="53">
        <v>0</v>
      </c>
      <c r="CS29" s="51">
        <v>0</v>
      </c>
      <c r="CT29" s="51">
        <v>0</v>
      </c>
      <c r="CU29" s="51">
        <v>0</v>
      </c>
      <c r="CV29" s="55">
        <f t="shared" si="8"/>
        <v>0</v>
      </c>
      <c r="CW29" s="51">
        <v>0</v>
      </c>
      <c r="CX29" s="51">
        <v>0</v>
      </c>
      <c r="CY29" s="51">
        <v>0</v>
      </c>
      <c r="CZ29" s="55">
        <f t="shared" si="73"/>
        <v>0</v>
      </c>
      <c r="DA29" s="51">
        <v>0</v>
      </c>
      <c r="DB29" s="51">
        <v>0</v>
      </c>
      <c r="DC29" s="51">
        <v>0</v>
      </c>
      <c r="DD29" s="55">
        <f t="shared" si="61"/>
        <v>0</v>
      </c>
      <c r="DE29" s="51"/>
      <c r="DF29" s="51"/>
      <c r="DG29" s="51"/>
      <c r="DH29" s="55">
        <f t="shared" si="62"/>
        <v>0</v>
      </c>
      <c r="DI29" s="55">
        <f t="shared" si="63"/>
        <v>0</v>
      </c>
      <c r="DJ29" s="55">
        <f t="shared" si="64"/>
        <v>0</v>
      </c>
      <c r="DK29" s="55">
        <f t="shared" si="65"/>
        <v>0</v>
      </c>
      <c r="DL29" s="56">
        <f t="shared" si="66"/>
        <v>0</v>
      </c>
      <c r="DN29" s="57">
        <f t="shared" si="67"/>
        <v>0</v>
      </c>
      <c r="DP29" s="118">
        <f t="shared" si="74"/>
        <v>0</v>
      </c>
      <c r="DR29" s="118">
        <f t="shared" si="68"/>
        <v>0</v>
      </c>
      <c r="DT29" s="118">
        <f t="shared" si="70"/>
        <v>0</v>
      </c>
    </row>
    <row r="30" spans="1:125" ht="14.25" customHeight="1" outlineLevel="1">
      <c r="A30" s="177" t="s">
        <v>989</v>
      </c>
      <c r="B30" s="172">
        <f>'2017 預算'!C29</f>
        <v>0</v>
      </c>
      <c r="C30" s="178">
        <f>'2017 預算'!F29</f>
        <v>0</v>
      </c>
      <c r="D30" s="179">
        <f>'2017 預算'!I29</f>
        <v>0</v>
      </c>
      <c r="E30" s="180">
        <f t="shared" si="55"/>
        <v>0</v>
      </c>
      <c r="F30" s="179">
        <f>'2017 預算'!O29</f>
        <v>0</v>
      </c>
      <c r="G30" s="179">
        <f>'2017 預算'!R29</f>
        <v>0</v>
      </c>
      <c r="H30" s="179">
        <f>'2017 預算'!U29</f>
        <v>0</v>
      </c>
      <c r="I30" s="179">
        <f t="shared" si="56"/>
        <v>0</v>
      </c>
      <c r="J30" s="179">
        <f>'2017 預算'!AA29</f>
        <v>0</v>
      </c>
      <c r="K30" s="179">
        <f>'2017 預算'!AD29</f>
        <v>0</v>
      </c>
      <c r="L30" s="179">
        <f>'2017 預算'!AG29</f>
        <v>0</v>
      </c>
      <c r="M30" s="179">
        <f t="shared" si="72"/>
        <v>0</v>
      </c>
      <c r="N30" s="179">
        <f>'2017 預算'!AM29</f>
        <v>0</v>
      </c>
      <c r="O30" s="179">
        <f>'2017 預算'!AP29</f>
        <v>0</v>
      </c>
      <c r="P30" s="179">
        <f>'2017 預算'!AS29</f>
        <v>0</v>
      </c>
      <c r="Q30" s="179">
        <f t="shared" si="57"/>
        <v>0</v>
      </c>
      <c r="R30" s="179">
        <f t="shared" si="58"/>
        <v>0</v>
      </c>
      <c r="S30" s="179">
        <f t="shared" si="59"/>
        <v>0</v>
      </c>
      <c r="T30" s="179">
        <f t="shared" si="60"/>
        <v>0</v>
      </c>
      <c r="U30" s="172">
        <v>0</v>
      </c>
      <c r="V30" s="178">
        <v>0</v>
      </c>
      <c r="W30" s="179">
        <v>0</v>
      </c>
      <c r="X30" s="180">
        <v>0</v>
      </c>
      <c r="Y30" s="179">
        <v>0</v>
      </c>
      <c r="Z30" s="179">
        <v>0</v>
      </c>
      <c r="AA30" s="179">
        <v>0</v>
      </c>
      <c r="AB30" s="179">
        <v>0</v>
      </c>
      <c r="AC30" s="179">
        <v>0</v>
      </c>
      <c r="AD30" s="179">
        <v>0</v>
      </c>
      <c r="AE30" s="179">
        <v>0</v>
      </c>
      <c r="AF30" s="179">
        <v>0</v>
      </c>
      <c r="AG30" s="179">
        <v>0</v>
      </c>
      <c r="AH30" s="179">
        <v>0</v>
      </c>
      <c r="AI30" s="179">
        <v>0</v>
      </c>
      <c r="AJ30" s="179">
        <v>0</v>
      </c>
      <c r="AK30" s="179">
        <v>0</v>
      </c>
      <c r="AL30" s="179">
        <v>0</v>
      </c>
      <c r="AM30" s="384">
        <v>0</v>
      </c>
      <c r="AN30" s="172">
        <v>0</v>
      </c>
      <c r="AO30" s="172">
        <v>0</v>
      </c>
      <c r="AP30" s="172">
        <v>0</v>
      </c>
      <c r="AQ30" s="173">
        <v>0</v>
      </c>
      <c r="AR30" s="174">
        <v>0</v>
      </c>
      <c r="AS30" s="174">
        <v>0</v>
      </c>
      <c r="AT30" s="174">
        <v>0</v>
      </c>
      <c r="AU30" s="173">
        <v>0</v>
      </c>
      <c r="AV30" s="87">
        <v>0</v>
      </c>
      <c r="AW30" s="87">
        <v>0</v>
      </c>
      <c r="AX30" s="87">
        <v>0</v>
      </c>
      <c r="AY30" s="173">
        <v>0</v>
      </c>
      <c r="AZ30" s="45">
        <v>0</v>
      </c>
      <c r="BA30" s="45">
        <v>0</v>
      </c>
      <c r="BB30" s="45">
        <v>0</v>
      </c>
      <c r="BC30" s="173">
        <v>0</v>
      </c>
      <c r="BD30" s="173">
        <v>0</v>
      </c>
      <c r="BE30" s="86">
        <v>0</v>
      </c>
      <c r="BF30" s="173">
        <v>0</v>
      </c>
      <c r="BG30" s="175"/>
      <c r="BH30" s="175"/>
      <c r="BI30" s="175">
        <v>0</v>
      </c>
      <c r="BJ30" s="176">
        <v>0</v>
      </c>
      <c r="BK30" s="175">
        <v>0</v>
      </c>
      <c r="BL30" s="175"/>
      <c r="BM30" s="175"/>
      <c r="BN30" s="176">
        <v>0</v>
      </c>
      <c r="BO30" s="175"/>
      <c r="BP30" s="175"/>
      <c r="BQ30" s="175"/>
      <c r="BR30" s="176">
        <v>0</v>
      </c>
      <c r="BS30" s="175"/>
      <c r="BT30" s="175"/>
      <c r="BU30" s="47"/>
      <c r="BV30" s="48">
        <v>0</v>
      </c>
      <c r="BW30" s="176">
        <v>0</v>
      </c>
      <c r="BX30" s="176">
        <v>0</v>
      </c>
      <c r="BY30" s="49">
        <v>0</v>
      </c>
      <c r="BZ30" s="51">
        <v>0</v>
      </c>
      <c r="CA30" s="51">
        <v>0</v>
      </c>
      <c r="CB30" s="51">
        <v>0</v>
      </c>
      <c r="CC30" s="52">
        <v>0</v>
      </c>
      <c r="CD30" s="51">
        <v>0</v>
      </c>
      <c r="CE30" s="51">
        <v>0</v>
      </c>
      <c r="CF30" s="51">
        <v>0</v>
      </c>
      <c r="CG30" s="52">
        <v>0</v>
      </c>
      <c r="CH30" s="51">
        <v>0</v>
      </c>
      <c r="CI30" s="51">
        <v>0</v>
      </c>
      <c r="CJ30" s="51">
        <v>0</v>
      </c>
      <c r="CK30" s="52">
        <v>0</v>
      </c>
      <c r="CL30" s="51"/>
      <c r="CM30" s="51"/>
      <c r="CN30" s="51"/>
      <c r="CO30" s="52">
        <v>0</v>
      </c>
      <c r="CP30" s="52">
        <v>0</v>
      </c>
      <c r="CQ30" s="52">
        <v>0</v>
      </c>
      <c r="CR30" s="53">
        <v>0</v>
      </c>
      <c r="CS30" s="51">
        <v>0</v>
      </c>
      <c r="CT30" s="51">
        <v>0</v>
      </c>
      <c r="CU30" s="51">
        <v>0</v>
      </c>
      <c r="CV30" s="55">
        <f t="shared" si="8"/>
        <v>0</v>
      </c>
      <c r="CW30" s="51">
        <v>0</v>
      </c>
      <c r="CX30" s="51">
        <v>0</v>
      </c>
      <c r="CY30" s="51">
        <v>0</v>
      </c>
      <c r="CZ30" s="55">
        <f t="shared" si="73"/>
        <v>0</v>
      </c>
      <c r="DA30" s="51">
        <v>0</v>
      </c>
      <c r="DB30" s="51">
        <v>0</v>
      </c>
      <c r="DC30" s="51">
        <v>0</v>
      </c>
      <c r="DD30" s="55">
        <f t="shared" si="61"/>
        <v>0</v>
      </c>
      <c r="DE30" s="51"/>
      <c r="DF30" s="51"/>
      <c r="DG30" s="51"/>
      <c r="DH30" s="55">
        <f t="shared" si="62"/>
        <v>0</v>
      </c>
      <c r="DI30" s="55">
        <f t="shared" si="63"/>
        <v>0</v>
      </c>
      <c r="DJ30" s="55">
        <f t="shared" si="64"/>
        <v>0</v>
      </c>
      <c r="DK30" s="55">
        <f t="shared" si="65"/>
        <v>0</v>
      </c>
      <c r="DL30" s="56">
        <f t="shared" si="66"/>
        <v>0</v>
      </c>
      <c r="DN30" s="57">
        <f t="shared" si="67"/>
        <v>0</v>
      </c>
      <c r="DP30" s="118">
        <f t="shared" si="74"/>
        <v>0</v>
      </c>
      <c r="DR30" s="118">
        <f t="shared" si="68"/>
        <v>0</v>
      </c>
      <c r="DT30" s="118">
        <f t="shared" si="70"/>
        <v>0</v>
      </c>
    </row>
    <row r="31" spans="1:125" ht="14.25" customHeight="1" outlineLevel="1">
      <c r="A31" s="177" t="s">
        <v>990</v>
      </c>
      <c r="B31" s="172">
        <f>'2017 預算'!C30</f>
        <v>860624</v>
      </c>
      <c r="C31" s="178">
        <f>'2017 預算'!F30</f>
        <v>930103</v>
      </c>
      <c r="D31" s="179">
        <f>'2017 預算'!I30</f>
        <v>2946964</v>
      </c>
      <c r="E31" s="180">
        <f t="shared" si="55"/>
        <v>4737691</v>
      </c>
      <c r="F31" s="179">
        <f>'2017 預算'!O30</f>
        <v>3612795</v>
      </c>
      <c r="G31" s="179">
        <f>'2017 預算'!R30</f>
        <v>1971131</v>
      </c>
      <c r="H31" s="179">
        <f>'2017 預算'!U30</f>
        <v>3773237</v>
      </c>
      <c r="I31" s="179">
        <f t="shared" si="56"/>
        <v>9357163</v>
      </c>
      <c r="J31" s="179">
        <f>'2017 預算'!AA30</f>
        <v>1126662</v>
      </c>
      <c r="K31" s="179">
        <f>'2017 預算'!AD30</f>
        <v>739833</v>
      </c>
      <c r="L31" s="179">
        <f>'2017 預算'!AG30</f>
        <v>0</v>
      </c>
      <c r="M31" s="179">
        <f t="shared" si="72"/>
        <v>1866495</v>
      </c>
      <c r="N31" s="179">
        <f>'2017 預算'!AM30</f>
        <v>0</v>
      </c>
      <c r="O31" s="179">
        <f>'2017 預算'!AP30</f>
        <v>0</v>
      </c>
      <c r="P31" s="179">
        <f>'2017 預算'!AS30</f>
        <v>0</v>
      </c>
      <c r="Q31" s="179">
        <f t="shared" si="57"/>
        <v>0</v>
      </c>
      <c r="R31" s="179">
        <f t="shared" si="58"/>
        <v>14094854</v>
      </c>
      <c r="S31" s="179">
        <f t="shared" si="59"/>
        <v>15961349</v>
      </c>
      <c r="T31" s="179">
        <f t="shared" si="60"/>
        <v>15961349</v>
      </c>
      <c r="U31" s="172">
        <v>2693672</v>
      </c>
      <c r="V31" s="178">
        <v>2124541</v>
      </c>
      <c r="W31" s="179">
        <v>914162</v>
      </c>
      <c r="X31" s="180">
        <v>5732375</v>
      </c>
      <c r="Y31" s="179">
        <v>2826308</v>
      </c>
      <c r="Z31" s="179">
        <v>2021649</v>
      </c>
      <c r="AA31" s="179">
        <v>594478</v>
      </c>
      <c r="AB31" s="179">
        <v>5442435</v>
      </c>
      <c r="AC31" s="179">
        <v>36207</v>
      </c>
      <c r="AD31" s="179">
        <v>1578743</v>
      </c>
      <c r="AE31" s="179">
        <v>1322573</v>
      </c>
      <c r="AF31" s="179">
        <v>2937523</v>
      </c>
      <c r="AG31" s="179">
        <v>1590892</v>
      </c>
      <c r="AH31" s="179">
        <v>1952388</v>
      </c>
      <c r="AI31" s="179">
        <v>2621871</v>
      </c>
      <c r="AJ31" s="179">
        <v>6165151</v>
      </c>
      <c r="AK31" s="179">
        <v>11174810</v>
      </c>
      <c r="AL31" s="179">
        <v>14112333</v>
      </c>
      <c r="AM31" s="384">
        <v>20277484</v>
      </c>
      <c r="AN31" s="172">
        <v>2016454</v>
      </c>
      <c r="AO31" s="172">
        <v>971858</v>
      </c>
      <c r="AP31" s="172">
        <v>389450</v>
      </c>
      <c r="AQ31" s="173">
        <v>3377762</v>
      </c>
      <c r="AR31" s="174">
        <v>1156880</v>
      </c>
      <c r="AS31" s="174">
        <v>2189799</v>
      </c>
      <c r="AT31" s="174">
        <v>1616760</v>
      </c>
      <c r="AU31" s="173">
        <v>4963439</v>
      </c>
      <c r="AV31" s="87">
        <v>2656680</v>
      </c>
      <c r="AW31" s="87">
        <v>5099592</v>
      </c>
      <c r="AX31" s="87">
        <v>4000727</v>
      </c>
      <c r="AY31" s="173">
        <v>11756999</v>
      </c>
      <c r="AZ31" s="45">
        <v>1820220</v>
      </c>
      <c r="BA31" s="45">
        <v>1588224</v>
      </c>
      <c r="BB31" s="45">
        <v>1090974</v>
      </c>
      <c r="BC31" s="173">
        <v>4499418</v>
      </c>
      <c r="BD31" s="173">
        <v>8341201</v>
      </c>
      <c r="BE31" s="86">
        <v>20098200</v>
      </c>
      <c r="BF31" s="173">
        <v>24597618</v>
      </c>
      <c r="BG31" s="175">
        <v>1244092</v>
      </c>
      <c r="BH31" s="175">
        <v>1274263</v>
      </c>
      <c r="BI31" s="175">
        <v>890875</v>
      </c>
      <c r="BJ31" s="176">
        <v>3409230</v>
      </c>
      <c r="BK31" s="175">
        <v>454351</v>
      </c>
      <c r="BL31" s="175">
        <v>33842</v>
      </c>
      <c r="BM31" s="175">
        <v>437724</v>
      </c>
      <c r="BN31" s="176">
        <v>925917</v>
      </c>
      <c r="BO31" s="175">
        <v>705066</v>
      </c>
      <c r="BP31" s="175">
        <v>239930</v>
      </c>
      <c r="BQ31" s="175">
        <v>1819616</v>
      </c>
      <c r="BR31" s="176">
        <v>2764612</v>
      </c>
      <c r="BS31" s="175">
        <v>1310425</v>
      </c>
      <c r="BT31" s="175">
        <v>1331589</v>
      </c>
      <c r="BU31" s="47">
        <v>2367453</v>
      </c>
      <c r="BV31" s="48">
        <v>5009467</v>
      </c>
      <c r="BW31" s="176">
        <v>4335147</v>
      </c>
      <c r="BX31" s="176">
        <v>7099759</v>
      </c>
      <c r="BY31" s="49">
        <v>12109226</v>
      </c>
      <c r="BZ31" s="51">
        <v>1559367</v>
      </c>
      <c r="CA31" s="51">
        <v>1742044</v>
      </c>
      <c r="CB31" s="51">
        <v>663010</v>
      </c>
      <c r="CC31" s="52">
        <v>3964421</v>
      </c>
      <c r="CD31" s="51">
        <v>1003807</v>
      </c>
      <c r="CE31" s="51">
        <v>2173671</v>
      </c>
      <c r="CF31" s="51">
        <v>1077115</v>
      </c>
      <c r="CG31" s="52">
        <v>4254593</v>
      </c>
      <c r="CH31" s="51">
        <v>318652</v>
      </c>
      <c r="CI31" s="51">
        <v>158556</v>
      </c>
      <c r="CJ31" s="51">
        <v>231081</v>
      </c>
      <c r="CK31" s="52">
        <v>708289</v>
      </c>
      <c r="CL31" s="51">
        <v>800699</v>
      </c>
      <c r="CM31" s="51">
        <v>1010043</v>
      </c>
      <c r="CN31" s="51">
        <v>865399</v>
      </c>
      <c r="CO31" s="52">
        <v>2676141</v>
      </c>
      <c r="CP31" s="52">
        <v>8219014</v>
      </c>
      <c r="CQ31" s="52">
        <v>8927303</v>
      </c>
      <c r="CR31" s="53">
        <v>11603444</v>
      </c>
      <c r="CS31" s="51">
        <v>886004</v>
      </c>
      <c r="CT31" s="51">
        <v>1360909</v>
      </c>
      <c r="CU31" s="51">
        <v>851406</v>
      </c>
      <c r="CV31" s="55">
        <f t="shared" si="8"/>
        <v>3098319</v>
      </c>
      <c r="CW31" s="51">
        <v>834778</v>
      </c>
      <c r="CX31" s="51">
        <v>1934883</v>
      </c>
      <c r="CY31" s="51">
        <v>1181696</v>
      </c>
      <c r="CZ31" s="55">
        <f>SUM(CW31:CY31)</f>
        <v>3951357</v>
      </c>
      <c r="DA31" s="51">
        <v>678875</v>
      </c>
      <c r="DB31" s="51">
        <v>301077</v>
      </c>
      <c r="DC31" s="51">
        <v>34353</v>
      </c>
      <c r="DD31" s="55">
        <f t="shared" si="61"/>
        <v>1014305</v>
      </c>
      <c r="DE31" s="51">
        <v>1206134</v>
      </c>
      <c r="DF31" s="51">
        <v>87171</v>
      </c>
      <c r="DG31" s="51">
        <v>286929</v>
      </c>
      <c r="DH31" s="55">
        <f t="shared" si="62"/>
        <v>1580234</v>
      </c>
      <c r="DI31" s="55">
        <f t="shared" si="63"/>
        <v>7049676</v>
      </c>
      <c r="DJ31" s="55">
        <f t="shared" si="64"/>
        <v>8063981</v>
      </c>
      <c r="DK31" s="55">
        <f t="shared" si="65"/>
        <v>9644215</v>
      </c>
      <c r="DL31" s="56">
        <f t="shared" si="66"/>
        <v>1959229</v>
      </c>
      <c r="DM31" s="4">
        <f>DL31/DK31</f>
        <v>0.20315069707591546</v>
      </c>
      <c r="DN31" s="57">
        <f t="shared" si="67"/>
        <v>505782</v>
      </c>
      <c r="DO31" s="4">
        <f t="shared" si="75"/>
        <v>4.3588955141249386E-2</v>
      </c>
      <c r="DP31" s="118">
        <f t="shared" si="74"/>
        <v>12488392</v>
      </c>
      <c r="DQ31" s="4">
        <f t="shared" si="76"/>
        <v>1.0313121581841813</v>
      </c>
      <c r="DR31" s="118">
        <f t="shared" si="68"/>
        <v>179284</v>
      </c>
      <c r="DS31" s="4">
        <f t="shared" si="69"/>
        <v>7.2886732365711185E-3</v>
      </c>
      <c r="DT31" s="118">
        <f t="shared" si="70"/>
        <v>-1194438</v>
      </c>
      <c r="DU31" s="4">
        <f t="shared" ref="DU31" si="78">DT31/BH31</f>
        <v>-0.93735594614298623</v>
      </c>
    </row>
    <row r="32" spans="1:125" ht="14.25" customHeight="1" outlineLevel="1">
      <c r="A32" s="177" t="s">
        <v>991</v>
      </c>
      <c r="B32" s="172">
        <f>'2017 預算'!C31</f>
        <v>0</v>
      </c>
      <c r="C32" s="178">
        <f>'2017 預算'!F31</f>
        <v>0</v>
      </c>
      <c r="D32" s="179">
        <f>'2017 預算'!I31</f>
        <v>0</v>
      </c>
      <c r="E32" s="180">
        <f t="shared" si="55"/>
        <v>0</v>
      </c>
      <c r="F32" s="179">
        <f>'2017 預算'!O31</f>
        <v>0</v>
      </c>
      <c r="G32" s="179">
        <f>'2017 預算'!R31</f>
        <v>0</v>
      </c>
      <c r="H32" s="179">
        <f>'2017 預算'!U31</f>
        <v>0</v>
      </c>
      <c r="I32" s="179">
        <f t="shared" si="56"/>
        <v>0</v>
      </c>
      <c r="J32" s="179">
        <f>'2017 預算'!AA31</f>
        <v>0</v>
      </c>
      <c r="K32" s="179">
        <f>'2017 預算'!AD31</f>
        <v>0</v>
      </c>
      <c r="L32" s="179">
        <f>'2017 預算'!AG31</f>
        <v>0</v>
      </c>
      <c r="M32" s="179">
        <f t="shared" si="72"/>
        <v>0</v>
      </c>
      <c r="N32" s="179">
        <f>'2017 預算'!AM31</f>
        <v>0</v>
      </c>
      <c r="O32" s="179">
        <f>'2017 預算'!AP31</f>
        <v>0</v>
      </c>
      <c r="P32" s="179">
        <f>'2017 預算'!AS31</f>
        <v>0</v>
      </c>
      <c r="Q32" s="179">
        <f t="shared" si="57"/>
        <v>0</v>
      </c>
      <c r="R32" s="179">
        <f t="shared" si="58"/>
        <v>0</v>
      </c>
      <c r="S32" s="179">
        <f t="shared" si="59"/>
        <v>0</v>
      </c>
      <c r="T32" s="179">
        <f t="shared" si="60"/>
        <v>0</v>
      </c>
      <c r="U32" s="172">
        <v>0</v>
      </c>
      <c r="V32" s="178">
        <v>0</v>
      </c>
      <c r="W32" s="179">
        <v>0</v>
      </c>
      <c r="X32" s="180">
        <v>0</v>
      </c>
      <c r="Y32" s="179">
        <v>0</v>
      </c>
      <c r="Z32" s="179">
        <v>0</v>
      </c>
      <c r="AA32" s="179">
        <v>0</v>
      </c>
      <c r="AB32" s="179">
        <v>0</v>
      </c>
      <c r="AC32" s="179">
        <v>0</v>
      </c>
      <c r="AD32" s="179">
        <v>0</v>
      </c>
      <c r="AE32" s="179">
        <v>0</v>
      </c>
      <c r="AF32" s="179">
        <v>0</v>
      </c>
      <c r="AG32" s="179">
        <v>0</v>
      </c>
      <c r="AH32" s="179">
        <v>0</v>
      </c>
      <c r="AI32" s="179">
        <v>0</v>
      </c>
      <c r="AJ32" s="179">
        <v>0</v>
      </c>
      <c r="AK32" s="179">
        <v>0</v>
      </c>
      <c r="AL32" s="179">
        <v>0</v>
      </c>
      <c r="AM32" s="384">
        <v>0</v>
      </c>
      <c r="AN32" s="172">
        <v>0</v>
      </c>
      <c r="AO32" s="172">
        <v>0</v>
      </c>
      <c r="AP32" s="172">
        <v>0</v>
      </c>
      <c r="AQ32" s="173">
        <v>0</v>
      </c>
      <c r="AR32" s="174">
        <v>0</v>
      </c>
      <c r="AS32" s="174">
        <v>0</v>
      </c>
      <c r="AT32" s="174">
        <v>0</v>
      </c>
      <c r="AU32" s="173">
        <v>0</v>
      </c>
      <c r="AV32" s="87">
        <v>0</v>
      </c>
      <c r="AW32" s="87">
        <v>0</v>
      </c>
      <c r="AX32" s="87">
        <v>0</v>
      </c>
      <c r="AY32" s="173">
        <v>0</v>
      </c>
      <c r="AZ32" s="45">
        <v>0</v>
      </c>
      <c r="BA32" s="45">
        <v>0</v>
      </c>
      <c r="BB32" s="45">
        <v>0</v>
      </c>
      <c r="BC32" s="173">
        <v>0</v>
      </c>
      <c r="BD32" s="173">
        <v>0</v>
      </c>
      <c r="BE32" s="86">
        <v>0</v>
      </c>
      <c r="BF32" s="173">
        <v>0</v>
      </c>
      <c r="BG32" s="175"/>
      <c r="BH32" s="175"/>
      <c r="BI32" s="175">
        <v>0</v>
      </c>
      <c r="BJ32" s="176">
        <v>0</v>
      </c>
      <c r="BK32" s="175">
        <v>0</v>
      </c>
      <c r="BL32" s="175"/>
      <c r="BM32" s="175"/>
      <c r="BN32" s="176">
        <v>0</v>
      </c>
      <c r="BO32" s="175"/>
      <c r="BP32" s="175"/>
      <c r="BQ32" s="175"/>
      <c r="BR32" s="176">
        <v>0</v>
      </c>
      <c r="BS32" s="175"/>
      <c r="BT32" s="175"/>
      <c r="BU32" s="47"/>
      <c r="BV32" s="48">
        <v>0</v>
      </c>
      <c r="BW32" s="176">
        <v>0</v>
      </c>
      <c r="BX32" s="176">
        <v>0</v>
      </c>
      <c r="BY32" s="49">
        <v>0</v>
      </c>
      <c r="BZ32" s="51">
        <v>0</v>
      </c>
      <c r="CA32" s="51">
        <v>0</v>
      </c>
      <c r="CB32" s="51">
        <v>0</v>
      </c>
      <c r="CC32" s="52">
        <v>0</v>
      </c>
      <c r="CD32" s="51">
        <v>0</v>
      </c>
      <c r="CE32" s="51">
        <v>0</v>
      </c>
      <c r="CF32" s="51">
        <v>0</v>
      </c>
      <c r="CG32" s="52">
        <v>0</v>
      </c>
      <c r="CH32" s="51">
        <v>0</v>
      </c>
      <c r="CI32" s="51">
        <v>0</v>
      </c>
      <c r="CJ32" s="51">
        <v>0</v>
      </c>
      <c r="CK32" s="52">
        <v>0</v>
      </c>
      <c r="CL32" s="51"/>
      <c r="CM32" s="51"/>
      <c r="CN32" s="51"/>
      <c r="CO32" s="52">
        <v>0</v>
      </c>
      <c r="CP32" s="52">
        <v>0</v>
      </c>
      <c r="CQ32" s="52">
        <v>0</v>
      </c>
      <c r="CR32" s="53">
        <v>0</v>
      </c>
      <c r="CS32" s="51">
        <v>0</v>
      </c>
      <c r="CT32" s="51">
        <v>0</v>
      </c>
      <c r="CU32" s="51">
        <v>0</v>
      </c>
      <c r="CV32" s="55">
        <f t="shared" si="8"/>
        <v>0</v>
      </c>
      <c r="CW32" s="51">
        <v>0</v>
      </c>
      <c r="CX32" s="51">
        <v>0</v>
      </c>
      <c r="CY32" s="51">
        <v>0</v>
      </c>
      <c r="CZ32" s="55">
        <f>SUM(CW32:CY32)</f>
        <v>0</v>
      </c>
      <c r="DA32" s="51">
        <v>0</v>
      </c>
      <c r="DB32" s="51">
        <v>0</v>
      </c>
      <c r="DC32" s="51">
        <v>0</v>
      </c>
      <c r="DD32" s="55">
        <f t="shared" si="61"/>
        <v>0</v>
      </c>
      <c r="DE32" s="51"/>
      <c r="DF32" s="51"/>
      <c r="DG32" s="51"/>
      <c r="DH32" s="55">
        <f t="shared" si="62"/>
        <v>0</v>
      </c>
      <c r="DI32" s="55">
        <f t="shared" si="63"/>
        <v>0</v>
      </c>
      <c r="DJ32" s="55">
        <f t="shared" si="64"/>
        <v>0</v>
      </c>
      <c r="DK32" s="55">
        <f t="shared" si="65"/>
        <v>0</v>
      </c>
      <c r="DL32" s="56">
        <f t="shared" si="66"/>
        <v>0</v>
      </c>
      <c r="DN32" s="57">
        <f t="shared" si="67"/>
        <v>0</v>
      </c>
      <c r="DP32" s="118">
        <f t="shared" si="74"/>
        <v>0</v>
      </c>
      <c r="DR32" s="118">
        <f t="shared" si="68"/>
        <v>0</v>
      </c>
      <c r="DT32" s="118">
        <f t="shared" si="70"/>
        <v>0</v>
      </c>
    </row>
    <row r="33" spans="1:125" ht="14.25" customHeight="1" outlineLevel="1">
      <c r="A33" s="177" t="s">
        <v>992</v>
      </c>
      <c r="B33" s="172">
        <f>'2017 預算'!C32</f>
        <v>0</v>
      </c>
      <c r="C33" s="178">
        <f>'2017 預算'!F32</f>
        <v>0</v>
      </c>
      <c r="D33" s="179">
        <f>'2017 預算'!I32</f>
        <v>0</v>
      </c>
      <c r="E33" s="180">
        <f t="shared" si="55"/>
        <v>0</v>
      </c>
      <c r="F33" s="179">
        <f>'2017 預算'!O32</f>
        <v>0</v>
      </c>
      <c r="G33" s="179">
        <f>'2017 預算'!R32</f>
        <v>0</v>
      </c>
      <c r="H33" s="179">
        <f>'2017 預算'!U32</f>
        <v>0</v>
      </c>
      <c r="I33" s="179">
        <f t="shared" si="56"/>
        <v>0</v>
      </c>
      <c r="J33" s="179">
        <f>'2017 預算'!AA32</f>
        <v>0</v>
      </c>
      <c r="K33" s="179">
        <f>'2017 預算'!AD32</f>
        <v>0</v>
      </c>
      <c r="L33" s="179">
        <f>'2017 預算'!AG32</f>
        <v>0</v>
      </c>
      <c r="M33" s="179">
        <f t="shared" si="72"/>
        <v>0</v>
      </c>
      <c r="N33" s="179">
        <f>'2017 預算'!AM32</f>
        <v>0</v>
      </c>
      <c r="O33" s="179">
        <f>'2017 預算'!AP32</f>
        <v>0</v>
      </c>
      <c r="P33" s="179">
        <f>'2017 預算'!AS32</f>
        <v>0</v>
      </c>
      <c r="Q33" s="179">
        <f t="shared" si="57"/>
        <v>0</v>
      </c>
      <c r="R33" s="179">
        <f t="shared" si="58"/>
        <v>0</v>
      </c>
      <c r="S33" s="179">
        <f t="shared" si="59"/>
        <v>0</v>
      </c>
      <c r="T33" s="179">
        <f t="shared" si="60"/>
        <v>0</v>
      </c>
      <c r="U33" s="172">
        <v>0</v>
      </c>
      <c r="V33" s="178">
        <v>0</v>
      </c>
      <c r="W33" s="179">
        <v>0</v>
      </c>
      <c r="X33" s="180">
        <v>0</v>
      </c>
      <c r="Y33" s="179">
        <v>0</v>
      </c>
      <c r="Z33" s="179">
        <v>0</v>
      </c>
      <c r="AA33" s="179">
        <v>0</v>
      </c>
      <c r="AB33" s="179">
        <v>0</v>
      </c>
      <c r="AC33" s="179">
        <v>0</v>
      </c>
      <c r="AD33" s="179">
        <v>0</v>
      </c>
      <c r="AE33" s="179">
        <v>0</v>
      </c>
      <c r="AF33" s="179">
        <v>0</v>
      </c>
      <c r="AG33" s="179">
        <v>0</v>
      </c>
      <c r="AH33" s="179">
        <v>0</v>
      </c>
      <c r="AI33" s="179">
        <v>0</v>
      </c>
      <c r="AJ33" s="179">
        <v>0</v>
      </c>
      <c r="AK33" s="179">
        <v>0</v>
      </c>
      <c r="AL33" s="179">
        <v>0</v>
      </c>
      <c r="AM33" s="384">
        <v>0</v>
      </c>
      <c r="AN33" s="172">
        <v>0</v>
      </c>
      <c r="AO33" s="172">
        <v>0</v>
      </c>
      <c r="AP33" s="172">
        <v>0</v>
      </c>
      <c r="AQ33" s="173">
        <v>0</v>
      </c>
      <c r="AR33" s="174">
        <v>0</v>
      </c>
      <c r="AS33" s="174">
        <v>0</v>
      </c>
      <c r="AT33" s="174">
        <v>0</v>
      </c>
      <c r="AU33" s="173">
        <v>0</v>
      </c>
      <c r="AV33" s="87">
        <v>0</v>
      </c>
      <c r="AW33" s="87">
        <v>0</v>
      </c>
      <c r="AX33" s="87">
        <v>0</v>
      </c>
      <c r="AY33" s="173">
        <v>0</v>
      </c>
      <c r="AZ33" s="45">
        <v>0</v>
      </c>
      <c r="BA33" s="45">
        <v>0</v>
      </c>
      <c r="BB33" s="45">
        <v>0</v>
      </c>
      <c r="BC33" s="173">
        <v>0</v>
      </c>
      <c r="BD33" s="173">
        <v>0</v>
      </c>
      <c r="BE33" s="86">
        <v>0</v>
      </c>
      <c r="BF33" s="173">
        <v>0</v>
      </c>
      <c r="BG33" s="175"/>
      <c r="BH33" s="175"/>
      <c r="BI33" s="175">
        <v>0</v>
      </c>
      <c r="BJ33" s="176">
        <v>0</v>
      </c>
      <c r="BK33" s="175">
        <v>0</v>
      </c>
      <c r="BL33" s="175"/>
      <c r="BM33" s="175"/>
      <c r="BN33" s="176">
        <v>0</v>
      </c>
      <c r="BO33" s="175"/>
      <c r="BP33" s="175"/>
      <c r="BQ33" s="175"/>
      <c r="BR33" s="176">
        <v>0</v>
      </c>
      <c r="BS33" s="175"/>
      <c r="BT33" s="175"/>
      <c r="BU33" s="47"/>
      <c r="BV33" s="48">
        <v>0</v>
      </c>
      <c r="BW33" s="176">
        <v>0</v>
      </c>
      <c r="BX33" s="176">
        <v>0</v>
      </c>
      <c r="BY33" s="49">
        <v>0</v>
      </c>
      <c r="BZ33" s="51">
        <v>0</v>
      </c>
      <c r="CA33" s="51">
        <v>0</v>
      </c>
      <c r="CB33" s="51">
        <v>0</v>
      </c>
      <c r="CC33" s="52">
        <v>0</v>
      </c>
      <c r="CD33" s="51">
        <v>0</v>
      </c>
      <c r="CE33" s="51">
        <v>0</v>
      </c>
      <c r="CF33" s="51">
        <v>0</v>
      </c>
      <c r="CG33" s="52">
        <v>0</v>
      </c>
      <c r="CH33" s="51">
        <v>0</v>
      </c>
      <c r="CI33" s="51">
        <v>0</v>
      </c>
      <c r="CJ33" s="51">
        <v>0</v>
      </c>
      <c r="CK33" s="52">
        <v>0</v>
      </c>
      <c r="CL33" s="51"/>
      <c r="CM33" s="51"/>
      <c r="CN33" s="51"/>
      <c r="CO33" s="52">
        <v>0</v>
      </c>
      <c r="CP33" s="52">
        <v>0</v>
      </c>
      <c r="CQ33" s="52">
        <v>0</v>
      </c>
      <c r="CR33" s="53">
        <v>0</v>
      </c>
      <c r="CS33" s="51">
        <v>0</v>
      </c>
      <c r="CT33" s="51">
        <v>0</v>
      </c>
      <c r="CU33" s="51">
        <v>0</v>
      </c>
      <c r="CV33" s="55">
        <f t="shared" si="8"/>
        <v>0</v>
      </c>
      <c r="CW33" s="51">
        <v>0</v>
      </c>
      <c r="CX33" s="51">
        <v>0</v>
      </c>
      <c r="CY33" s="51">
        <v>0</v>
      </c>
      <c r="CZ33" s="55">
        <f t="shared" si="73"/>
        <v>0</v>
      </c>
      <c r="DA33" s="51">
        <v>0</v>
      </c>
      <c r="DB33" s="51">
        <v>0</v>
      </c>
      <c r="DC33" s="51">
        <v>0</v>
      </c>
      <c r="DD33" s="55">
        <f t="shared" si="61"/>
        <v>0</v>
      </c>
      <c r="DE33" s="51"/>
      <c r="DF33" s="51"/>
      <c r="DG33" s="51"/>
      <c r="DH33" s="55">
        <f t="shared" si="62"/>
        <v>0</v>
      </c>
      <c r="DI33" s="55">
        <f t="shared" si="63"/>
        <v>0</v>
      </c>
      <c r="DJ33" s="55">
        <f t="shared" si="64"/>
        <v>0</v>
      </c>
      <c r="DK33" s="55">
        <f t="shared" si="65"/>
        <v>0</v>
      </c>
      <c r="DL33" s="56">
        <f t="shared" si="66"/>
        <v>0</v>
      </c>
      <c r="DN33" s="57">
        <f t="shared" si="67"/>
        <v>0</v>
      </c>
      <c r="DP33" s="118">
        <f t="shared" si="74"/>
        <v>0</v>
      </c>
      <c r="DR33" s="118">
        <f t="shared" si="68"/>
        <v>0</v>
      </c>
      <c r="DT33" s="118">
        <f t="shared" si="70"/>
        <v>0</v>
      </c>
    </row>
    <row r="34" spans="1:125" ht="14.25" customHeight="1" outlineLevel="1">
      <c r="A34" s="177" t="s">
        <v>993</v>
      </c>
      <c r="B34" s="172">
        <f>'2017 預算'!C33</f>
        <v>0</v>
      </c>
      <c r="C34" s="178">
        <f>'2017 預算'!F33</f>
        <v>0</v>
      </c>
      <c r="D34" s="179">
        <f>'2017 預算'!I33</f>
        <v>0</v>
      </c>
      <c r="E34" s="180">
        <f t="shared" si="55"/>
        <v>0</v>
      </c>
      <c r="F34" s="179">
        <f>'2017 預算'!O33</f>
        <v>0</v>
      </c>
      <c r="G34" s="179">
        <f>'2017 預算'!R33</f>
        <v>0</v>
      </c>
      <c r="H34" s="179">
        <f>'2017 預算'!U33</f>
        <v>0</v>
      </c>
      <c r="I34" s="179">
        <f t="shared" si="56"/>
        <v>0</v>
      </c>
      <c r="J34" s="179">
        <f>'2017 預算'!AA33</f>
        <v>0</v>
      </c>
      <c r="K34" s="179">
        <f>'2017 預算'!AD33</f>
        <v>0</v>
      </c>
      <c r="L34" s="179">
        <f>'2017 預算'!AG33</f>
        <v>0</v>
      </c>
      <c r="M34" s="179">
        <f t="shared" si="72"/>
        <v>0</v>
      </c>
      <c r="N34" s="179">
        <f>'2017 預算'!AM33</f>
        <v>0</v>
      </c>
      <c r="O34" s="179">
        <f>'2017 預算'!AP33</f>
        <v>0</v>
      </c>
      <c r="P34" s="179">
        <f>'2017 預算'!AS33</f>
        <v>0</v>
      </c>
      <c r="Q34" s="179">
        <f t="shared" si="57"/>
        <v>0</v>
      </c>
      <c r="R34" s="179">
        <f t="shared" si="58"/>
        <v>0</v>
      </c>
      <c r="S34" s="179">
        <f t="shared" si="59"/>
        <v>0</v>
      </c>
      <c r="T34" s="179">
        <f t="shared" si="60"/>
        <v>0</v>
      </c>
      <c r="U34" s="172">
        <v>0</v>
      </c>
      <c r="V34" s="178">
        <v>0</v>
      </c>
      <c r="W34" s="179">
        <v>0</v>
      </c>
      <c r="X34" s="180">
        <v>0</v>
      </c>
      <c r="Y34" s="179">
        <v>0</v>
      </c>
      <c r="Z34" s="179">
        <v>0</v>
      </c>
      <c r="AA34" s="179">
        <v>0</v>
      </c>
      <c r="AB34" s="179">
        <v>0</v>
      </c>
      <c r="AC34" s="179">
        <v>0</v>
      </c>
      <c r="AD34" s="179">
        <v>0</v>
      </c>
      <c r="AE34" s="179">
        <v>0</v>
      </c>
      <c r="AF34" s="179">
        <v>0</v>
      </c>
      <c r="AG34" s="179">
        <v>0</v>
      </c>
      <c r="AH34" s="179">
        <v>0</v>
      </c>
      <c r="AI34" s="179">
        <v>0</v>
      </c>
      <c r="AJ34" s="179">
        <v>0</v>
      </c>
      <c r="AK34" s="179">
        <v>0</v>
      </c>
      <c r="AL34" s="179">
        <v>0</v>
      </c>
      <c r="AM34" s="384">
        <v>0</v>
      </c>
      <c r="AN34" s="172">
        <v>0</v>
      </c>
      <c r="AO34" s="172">
        <v>0</v>
      </c>
      <c r="AP34" s="172">
        <v>0</v>
      </c>
      <c r="AQ34" s="173">
        <v>0</v>
      </c>
      <c r="AR34" s="174">
        <v>0</v>
      </c>
      <c r="AS34" s="174">
        <v>0</v>
      </c>
      <c r="AT34" s="174">
        <v>0</v>
      </c>
      <c r="AU34" s="173">
        <v>0</v>
      </c>
      <c r="AV34" s="87">
        <v>0</v>
      </c>
      <c r="AW34" s="87">
        <v>0</v>
      </c>
      <c r="AX34" s="87">
        <v>0</v>
      </c>
      <c r="AY34" s="173">
        <v>0</v>
      </c>
      <c r="AZ34" s="45">
        <v>0</v>
      </c>
      <c r="BA34" s="45">
        <v>0</v>
      </c>
      <c r="BB34" s="45">
        <v>0</v>
      </c>
      <c r="BC34" s="173">
        <v>0</v>
      </c>
      <c r="BD34" s="173">
        <v>0</v>
      </c>
      <c r="BE34" s="86">
        <v>0</v>
      </c>
      <c r="BF34" s="173">
        <v>0</v>
      </c>
      <c r="BG34" s="175"/>
      <c r="BH34" s="175"/>
      <c r="BI34" s="175">
        <v>0</v>
      </c>
      <c r="BJ34" s="176">
        <v>0</v>
      </c>
      <c r="BK34" s="175">
        <v>0</v>
      </c>
      <c r="BL34" s="175"/>
      <c r="BM34" s="175"/>
      <c r="BN34" s="176">
        <v>0</v>
      </c>
      <c r="BO34" s="175"/>
      <c r="BP34" s="175"/>
      <c r="BQ34" s="175"/>
      <c r="BR34" s="176">
        <v>0</v>
      </c>
      <c r="BS34" s="175"/>
      <c r="BT34" s="175"/>
      <c r="BU34" s="47"/>
      <c r="BV34" s="48">
        <v>0</v>
      </c>
      <c r="BW34" s="176">
        <v>0</v>
      </c>
      <c r="BX34" s="176">
        <v>0</v>
      </c>
      <c r="BY34" s="49">
        <v>0</v>
      </c>
      <c r="BZ34" s="51">
        <v>0</v>
      </c>
      <c r="CA34" s="51">
        <v>0</v>
      </c>
      <c r="CB34" s="51">
        <v>0</v>
      </c>
      <c r="CC34" s="52">
        <v>0</v>
      </c>
      <c r="CD34" s="51">
        <v>0</v>
      </c>
      <c r="CE34" s="51">
        <v>0</v>
      </c>
      <c r="CF34" s="51">
        <v>0</v>
      </c>
      <c r="CG34" s="52">
        <v>0</v>
      </c>
      <c r="CH34" s="51">
        <v>0</v>
      </c>
      <c r="CI34" s="51">
        <v>0</v>
      </c>
      <c r="CJ34" s="51">
        <v>0</v>
      </c>
      <c r="CK34" s="52">
        <v>0</v>
      </c>
      <c r="CL34" s="51"/>
      <c r="CM34" s="51"/>
      <c r="CN34" s="51"/>
      <c r="CO34" s="52">
        <v>0</v>
      </c>
      <c r="CP34" s="52">
        <v>0</v>
      </c>
      <c r="CQ34" s="52">
        <v>0</v>
      </c>
      <c r="CR34" s="53">
        <v>0</v>
      </c>
      <c r="CS34" s="51">
        <v>0</v>
      </c>
      <c r="CT34" s="51">
        <v>0</v>
      </c>
      <c r="CU34" s="51">
        <v>0</v>
      </c>
      <c r="CV34" s="55">
        <f t="shared" si="8"/>
        <v>0</v>
      </c>
      <c r="CW34" s="51">
        <v>0</v>
      </c>
      <c r="CX34" s="51">
        <v>0</v>
      </c>
      <c r="CY34" s="51">
        <v>0</v>
      </c>
      <c r="CZ34" s="55">
        <f t="shared" si="73"/>
        <v>0</v>
      </c>
      <c r="DA34" s="51">
        <v>0</v>
      </c>
      <c r="DB34" s="51">
        <v>0</v>
      </c>
      <c r="DC34" s="51">
        <v>0</v>
      </c>
      <c r="DD34" s="55">
        <f t="shared" si="61"/>
        <v>0</v>
      </c>
      <c r="DE34" s="51"/>
      <c r="DF34" s="51"/>
      <c r="DG34" s="51"/>
      <c r="DH34" s="55">
        <f t="shared" si="62"/>
        <v>0</v>
      </c>
      <c r="DI34" s="55">
        <f t="shared" si="63"/>
        <v>0</v>
      </c>
      <c r="DJ34" s="55">
        <f t="shared" si="64"/>
        <v>0</v>
      </c>
      <c r="DK34" s="55">
        <f t="shared" si="65"/>
        <v>0</v>
      </c>
      <c r="DL34" s="56">
        <f t="shared" si="66"/>
        <v>0</v>
      </c>
      <c r="DN34" s="57">
        <f t="shared" si="67"/>
        <v>0</v>
      </c>
      <c r="DP34" s="118">
        <f t="shared" si="74"/>
        <v>0</v>
      </c>
      <c r="DR34" s="118">
        <f t="shared" si="68"/>
        <v>0</v>
      </c>
      <c r="DT34" s="118">
        <f t="shared" si="70"/>
        <v>0</v>
      </c>
    </row>
    <row r="35" spans="1:125" ht="14.25" customHeight="1" outlineLevel="1">
      <c r="A35" s="177" t="s">
        <v>994</v>
      </c>
      <c r="B35" s="896">
        <f>'2017 預算'!C34</f>
        <v>151618</v>
      </c>
      <c r="C35" s="897">
        <f>'2017 預算'!F34</f>
        <v>59477</v>
      </c>
      <c r="D35" s="898">
        <f>'2017 預算'!I34</f>
        <v>53695</v>
      </c>
      <c r="E35" s="180">
        <f t="shared" si="55"/>
        <v>264790</v>
      </c>
      <c r="F35" s="898">
        <f>'2017 預算'!O34</f>
        <v>277576</v>
      </c>
      <c r="G35" s="898">
        <f>'2017 預算'!R34</f>
        <v>239006</v>
      </c>
      <c r="H35" s="898">
        <f>'2017 預算'!U34</f>
        <v>88951</v>
      </c>
      <c r="I35" s="179">
        <f t="shared" si="56"/>
        <v>605533</v>
      </c>
      <c r="J35" s="179">
        <f>'2017 預算'!AA34</f>
        <v>70176</v>
      </c>
      <c r="K35" s="179">
        <f>'2017 預算'!AD34</f>
        <v>264338</v>
      </c>
      <c r="L35" s="179">
        <f>'2017 預算'!AG34</f>
        <v>0</v>
      </c>
      <c r="M35" s="179">
        <f t="shared" si="72"/>
        <v>334514</v>
      </c>
      <c r="N35" s="898">
        <f>'2017 預算'!AM34</f>
        <v>0</v>
      </c>
      <c r="O35" s="898">
        <f>'2017 預算'!AP34</f>
        <v>0</v>
      </c>
      <c r="P35" s="898">
        <f>'2017 預算'!AS34</f>
        <v>0</v>
      </c>
      <c r="Q35" s="179">
        <f t="shared" si="57"/>
        <v>0</v>
      </c>
      <c r="R35" s="179">
        <f t="shared" si="58"/>
        <v>870323</v>
      </c>
      <c r="S35" s="179">
        <f t="shared" si="59"/>
        <v>1204837</v>
      </c>
      <c r="T35" s="179">
        <f t="shared" si="60"/>
        <v>1204837</v>
      </c>
      <c r="U35" s="172">
        <v>316554</v>
      </c>
      <c r="V35" s="178">
        <v>17278</v>
      </c>
      <c r="W35" s="179">
        <v>59891</v>
      </c>
      <c r="X35" s="180">
        <v>393723</v>
      </c>
      <c r="Y35" s="179">
        <v>26161</v>
      </c>
      <c r="Z35" s="179">
        <v>30609</v>
      </c>
      <c r="AA35" s="179">
        <v>363717</v>
      </c>
      <c r="AB35" s="179">
        <v>420487</v>
      </c>
      <c r="AC35" s="179">
        <v>52290</v>
      </c>
      <c r="AD35" s="179">
        <v>254108</v>
      </c>
      <c r="AE35" s="179">
        <v>86845</v>
      </c>
      <c r="AF35" s="179">
        <v>393243</v>
      </c>
      <c r="AG35" s="179">
        <v>200602</v>
      </c>
      <c r="AH35" s="179">
        <v>136446</v>
      </c>
      <c r="AI35" s="179">
        <f>192813+4506014</f>
        <v>4698827</v>
      </c>
      <c r="AJ35" s="179">
        <f>529861+4506014</f>
        <v>5035875</v>
      </c>
      <c r="AK35" s="179">
        <v>814210</v>
      </c>
      <c r="AL35" s="179">
        <f>1207453</f>
        <v>1207453</v>
      </c>
      <c r="AM35" s="384">
        <f>1737314+4506014</f>
        <v>6243328</v>
      </c>
      <c r="AN35" s="172">
        <v>15073</v>
      </c>
      <c r="AO35" s="172">
        <v>316952</v>
      </c>
      <c r="AP35" s="172">
        <v>169202</v>
      </c>
      <c r="AQ35" s="173">
        <v>501227</v>
      </c>
      <c r="AR35" s="174">
        <v>16367</v>
      </c>
      <c r="AS35" s="174">
        <v>9525</v>
      </c>
      <c r="AT35" s="174">
        <v>11230</v>
      </c>
      <c r="AU35" s="173">
        <v>37122</v>
      </c>
      <c r="AV35" s="87">
        <v>25340</v>
      </c>
      <c r="AW35" s="87">
        <v>273025</v>
      </c>
      <c r="AX35" s="87">
        <v>9216</v>
      </c>
      <c r="AY35" s="173">
        <v>307581</v>
      </c>
      <c r="AZ35" s="45">
        <v>7620</v>
      </c>
      <c r="BA35" s="45">
        <v>19106</v>
      </c>
      <c r="BB35" s="45">
        <v>26458</v>
      </c>
      <c r="BC35" s="173">
        <v>53184</v>
      </c>
      <c r="BD35" s="173">
        <v>538349</v>
      </c>
      <c r="BE35" s="86">
        <v>845930</v>
      </c>
      <c r="BF35" s="173">
        <v>899114</v>
      </c>
      <c r="BG35" s="175">
        <v>29130</v>
      </c>
      <c r="BH35" s="175">
        <v>93336</v>
      </c>
      <c r="BI35" s="175">
        <v>27340</v>
      </c>
      <c r="BJ35" s="176">
        <v>149806</v>
      </c>
      <c r="BK35" s="175">
        <v>53409</v>
      </c>
      <c r="BL35" s="175">
        <v>173225</v>
      </c>
      <c r="BM35" s="175">
        <v>608202</v>
      </c>
      <c r="BN35" s="176">
        <v>834836</v>
      </c>
      <c r="BO35" s="175">
        <v>65715</v>
      </c>
      <c r="BP35" s="175">
        <v>541206</v>
      </c>
      <c r="BQ35" s="175">
        <v>10315</v>
      </c>
      <c r="BR35" s="176">
        <v>617236</v>
      </c>
      <c r="BS35" s="175">
        <v>109511</v>
      </c>
      <c r="BT35" s="175">
        <v>14275</v>
      </c>
      <c r="BU35" s="47">
        <v>21505</v>
      </c>
      <c r="BV35" s="48">
        <v>145291</v>
      </c>
      <c r="BW35" s="176">
        <v>984642</v>
      </c>
      <c r="BX35" s="176">
        <v>1601878</v>
      </c>
      <c r="BY35" s="49">
        <v>1747169</v>
      </c>
      <c r="BZ35" s="51">
        <v>34721</v>
      </c>
      <c r="CA35" s="51">
        <v>6283</v>
      </c>
      <c r="CB35" s="51">
        <v>78067</v>
      </c>
      <c r="CC35" s="52">
        <v>119071</v>
      </c>
      <c r="CD35" s="51">
        <v>369105</v>
      </c>
      <c r="CE35" s="51">
        <v>160457</v>
      </c>
      <c r="CF35" s="51">
        <v>116734</v>
      </c>
      <c r="CG35" s="52">
        <v>646296</v>
      </c>
      <c r="CH35" s="51">
        <v>38077</v>
      </c>
      <c r="CI35" s="51">
        <v>147416</v>
      </c>
      <c r="CJ35" s="51">
        <v>22196</v>
      </c>
      <c r="CK35" s="52">
        <v>207689</v>
      </c>
      <c r="CL35" s="51">
        <v>129784</v>
      </c>
      <c r="CM35" s="51">
        <v>257694</v>
      </c>
      <c r="CN35" s="51">
        <v>149822</v>
      </c>
      <c r="CO35" s="52">
        <v>537300</v>
      </c>
      <c r="CP35" s="52">
        <v>765367</v>
      </c>
      <c r="CQ35" s="52">
        <v>973056</v>
      </c>
      <c r="CR35" s="53">
        <v>1510356</v>
      </c>
      <c r="CS35" s="51">
        <v>134662</v>
      </c>
      <c r="CT35" s="51">
        <v>55454</v>
      </c>
      <c r="CU35" s="51">
        <v>228604</v>
      </c>
      <c r="CV35" s="55">
        <f t="shared" si="8"/>
        <v>418720</v>
      </c>
      <c r="CW35" s="51">
        <v>310500</v>
      </c>
      <c r="CX35" s="51">
        <v>36511</v>
      </c>
      <c r="CY35" s="51">
        <v>155005</v>
      </c>
      <c r="CZ35" s="55">
        <f>SUM(CW35:CY35)</f>
        <v>502016</v>
      </c>
      <c r="DA35" s="51">
        <v>15926</v>
      </c>
      <c r="DB35" s="51">
        <v>205279</v>
      </c>
      <c r="DC35" s="51">
        <v>153300</v>
      </c>
      <c r="DD35" s="55">
        <f t="shared" si="61"/>
        <v>374505</v>
      </c>
      <c r="DE35" s="51">
        <v>67513</v>
      </c>
      <c r="DF35" s="51">
        <v>40935</v>
      </c>
      <c r="DG35" s="51">
        <v>188307</v>
      </c>
      <c r="DH35" s="55">
        <f t="shared" si="62"/>
        <v>296755</v>
      </c>
      <c r="DI35" s="55">
        <f t="shared" si="63"/>
        <v>920736</v>
      </c>
      <c r="DJ35" s="55">
        <f t="shared" si="64"/>
        <v>1295241</v>
      </c>
      <c r="DK35" s="55">
        <f t="shared" si="65"/>
        <v>1591996</v>
      </c>
      <c r="DL35" s="56">
        <f t="shared" si="66"/>
        <v>-81640</v>
      </c>
      <c r="DM35" s="4">
        <f>DL35/DK35</f>
        <v>-5.1281535883255985E-2</v>
      </c>
      <c r="DN35" s="57">
        <f t="shared" si="67"/>
        <v>236813</v>
      </c>
      <c r="DO35" s="4">
        <f t="shared" si="75"/>
        <v>0.15679283559637591</v>
      </c>
      <c r="DP35" s="118">
        <f t="shared" si="74"/>
        <v>-848055</v>
      </c>
      <c r="DQ35" s="4">
        <f t="shared" si="76"/>
        <v>-0.48538807636811321</v>
      </c>
      <c r="DR35" s="118">
        <f t="shared" si="68"/>
        <v>5397398</v>
      </c>
      <c r="DS35" s="4">
        <f t="shared" si="69"/>
        <v>6.0030185271278169</v>
      </c>
      <c r="DT35" s="118">
        <f t="shared" si="70"/>
        <v>42199</v>
      </c>
      <c r="DU35" s="4">
        <f t="shared" ref="DU35:DU36" si="79">DT35/BH35</f>
        <v>0.45211922516499531</v>
      </c>
    </row>
    <row r="36" spans="1:125" ht="14.25" customHeight="1" outlineLevel="1">
      <c r="A36" s="181" t="s">
        <v>995</v>
      </c>
      <c r="B36" s="182">
        <f t="shared" ref="B36:D36" si="80">SUM(B26:B35)</f>
        <v>1013492</v>
      </c>
      <c r="C36" s="183">
        <f t="shared" si="80"/>
        <v>990830</v>
      </c>
      <c r="D36" s="184">
        <f t="shared" si="80"/>
        <v>3001909</v>
      </c>
      <c r="E36" s="184">
        <f t="shared" si="55"/>
        <v>5006231</v>
      </c>
      <c r="F36" s="184">
        <f t="shared" ref="F36:H36" si="81">SUM(F26:F35)</f>
        <v>3891621</v>
      </c>
      <c r="G36" s="184">
        <f t="shared" si="81"/>
        <v>2211387</v>
      </c>
      <c r="H36" s="184">
        <f t="shared" si="81"/>
        <v>3924023</v>
      </c>
      <c r="I36" s="184">
        <f>SUM(I26:I35)</f>
        <v>10027031</v>
      </c>
      <c r="J36" s="184">
        <f t="shared" ref="J36:S36" si="82">SUM(J26:J35)</f>
        <v>1198088</v>
      </c>
      <c r="K36" s="184">
        <f t="shared" si="82"/>
        <v>1005421</v>
      </c>
      <c r="L36" s="184">
        <f t="shared" si="82"/>
        <v>0</v>
      </c>
      <c r="M36" s="184">
        <f t="shared" si="82"/>
        <v>2203509</v>
      </c>
      <c r="N36" s="184">
        <f t="shared" si="82"/>
        <v>0</v>
      </c>
      <c r="O36" s="184">
        <f t="shared" si="82"/>
        <v>0</v>
      </c>
      <c r="P36" s="184">
        <f t="shared" si="82"/>
        <v>0</v>
      </c>
      <c r="Q36" s="184">
        <f t="shared" si="82"/>
        <v>0</v>
      </c>
      <c r="R36" s="184">
        <f t="shared" si="82"/>
        <v>15033262</v>
      </c>
      <c r="S36" s="184">
        <f t="shared" si="82"/>
        <v>17236771</v>
      </c>
      <c r="T36" s="184">
        <f t="shared" si="60"/>
        <v>17236771</v>
      </c>
      <c r="U36" s="182">
        <v>3011824</v>
      </c>
      <c r="V36" s="183">
        <v>2143361</v>
      </c>
      <c r="W36" s="184">
        <v>982075</v>
      </c>
      <c r="X36" s="184">
        <v>6137260</v>
      </c>
      <c r="Y36" s="184">
        <v>2853935</v>
      </c>
      <c r="Z36" s="184">
        <v>2053654</v>
      </c>
      <c r="AA36" s="184">
        <v>993996</v>
      </c>
      <c r="AB36" s="184">
        <v>5901585</v>
      </c>
      <c r="AC36" s="184">
        <v>89849</v>
      </c>
      <c r="AD36" s="184">
        <v>1834101</v>
      </c>
      <c r="AE36" s="184">
        <v>1410668</v>
      </c>
      <c r="AF36" s="184">
        <v>3334618</v>
      </c>
      <c r="AG36" s="184">
        <v>1792744</v>
      </c>
      <c r="AH36" s="184">
        <v>2090084</v>
      </c>
      <c r="AI36" s="184">
        <f t="shared" ref="AI36:AL36" si="83">SUM(AI26:AI35)</f>
        <v>7353624</v>
      </c>
      <c r="AJ36" s="184">
        <f t="shared" si="83"/>
        <v>11236452</v>
      </c>
      <c r="AK36" s="184">
        <f t="shared" si="83"/>
        <v>12038845</v>
      </c>
      <c r="AL36" s="184">
        <f t="shared" si="83"/>
        <v>15373463</v>
      </c>
      <c r="AM36" s="385">
        <f>SUM(AM26:AM35)</f>
        <v>26609915</v>
      </c>
      <c r="AN36" s="182">
        <v>2103461</v>
      </c>
      <c r="AO36" s="182">
        <v>1360743</v>
      </c>
      <c r="AP36" s="182">
        <v>661349</v>
      </c>
      <c r="AQ36" s="185">
        <v>4125553</v>
      </c>
      <c r="AR36" s="186">
        <v>1245181</v>
      </c>
      <c r="AS36" s="186">
        <v>2270465</v>
      </c>
      <c r="AT36" s="186">
        <v>1693020</v>
      </c>
      <c r="AU36" s="185">
        <v>5208666</v>
      </c>
      <c r="AV36" s="186">
        <v>2710838</v>
      </c>
      <c r="AW36" s="186">
        <v>5374450</v>
      </c>
      <c r="AX36" s="186">
        <v>4011777</v>
      </c>
      <c r="AY36" s="185">
        <v>12097065</v>
      </c>
      <c r="AZ36" s="186">
        <v>1829630</v>
      </c>
      <c r="BA36" s="186">
        <v>1615050</v>
      </c>
      <c r="BB36" s="186">
        <v>1155839</v>
      </c>
      <c r="BC36" s="185">
        <v>4600519</v>
      </c>
      <c r="BD36" s="185">
        <v>9334219</v>
      </c>
      <c r="BE36" s="185">
        <v>21431284</v>
      </c>
      <c r="BF36" s="185">
        <v>26031803</v>
      </c>
      <c r="BG36" s="138">
        <v>1349345</v>
      </c>
      <c r="BH36" s="138">
        <v>1439533</v>
      </c>
      <c r="BI36" s="138">
        <v>995007</v>
      </c>
      <c r="BJ36" s="187">
        <v>3783885</v>
      </c>
      <c r="BK36" s="138">
        <v>579694</v>
      </c>
      <c r="BL36" s="138">
        <v>279001</v>
      </c>
      <c r="BM36" s="138">
        <v>1135907</v>
      </c>
      <c r="BN36" s="187">
        <v>1994602</v>
      </c>
      <c r="BO36" s="138">
        <v>842715</v>
      </c>
      <c r="BP36" s="138">
        <v>853069</v>
      </c>
      <c r="BQ36" s="138">
        <v>1901866</v>
      </c>
      <c r="BR36" s="187">
        <v>3597650</v>
      </c>
      <c r="BS36" s="138">
        <v>1491870</v>
      </c>
      <c r="BT36" s="138">
        <v>1417797</v>
      </c>
      <c r="BU36" s="136">
        <v>2483643</v>
      </c>
      <c r="BV36" s="188">
        <v>5393310</v>
      </c>
      <c r="BW36" s="187">
        <v>5778487</v>
      </c>
      <c r="BX36" s="187">
        <v>9376137</v>
      </c>
      <c r="BY36" s="187">
        <v>14769447</v>
      </c>
      <c r="BZ36" s="138">
        <v>1666021</v>
      </c>
      <c r="CA36" s="138">
        <v>1820508</v>
      </c>
      <c r="CB36" s="138">
        <v>813010</v>
      </c>
      <c r="CC36" s="139">
        <v>4299539</v>
      </c>
      <c r="CD36" s="138">
        <v>1444845</v>
      </c>
      <c r="CE36" s="138">
        <v>2406061</v>
      </c>
      <c r="CF36" s="138">
        <v>1290998</v>
      </c>
      <c r="CG36" s="139">
        <v>5141904</v>
      </c>
      <c r="CH36" s="138">
        <v>428664</v>
      </c>
      <c r="CI36" s="138">
        <v>377906</v>
      </c>
      <c r="CJ36" s="138">
        <v>325211</v>
      </c>
      <c r="CK36" s="139">
        <v>1131781</v>
      </c>
      <c r="CL36" s="138">
        <v>1002417</v>
      </c>
      <c r="CM36" s="138">
        <v>1339670</v>
      </c>
      <c r="CN36" s="138">
        <v>1110716</v>
      </c>
      <c r="CO36" s="139">
        <v>3452803</v>
      </c>
      <c r="CP36" s="139">
        <v>9441443</v>
      </c>
      <c r="CQ36" s="139">
        <v>10573224</v>
      </c>
      <c r="CR36" s="140">
        <v>14026027</v>
      </c>
      <c r="CS36" s="138">
        <v>1087398</v>
      </c>
      <c r="CT36" s="138">
        <v>1488520</v>
      </c>
      <c r="CU36" s="138">
        <f>SUM(CU26:CU35)</f>
        <v>1152168</v>
      </c>
      <c r="CV36" s="142">
        <f t="shared" si="8"/>
        <v>3728086</v>
      </c>
      <c r="CW36" s="138">
        <v>1217435</v>
      </c>
      <c r="CX36" s="138">
        <v>2043552</v>
      </c>
      <c r="CY36" s="138">
        <f>SUM(CY26:CY35)</f>
        <v>1425027</v>
      </c>
      <c r="CZ36" s="142">
        <f t="shared" si="73"/>
        <v>4686014</v>
      </c>
      <c r="DA36" s="138">
        <f>SUM(DA26:DA35)</f>
        <v>766959</v>
      </c>
      <c r="DB36" s="138">
        <f>SUM(DB26:DB35)</f>
        <v>578513</v>
      </c>
      <c r="DC36" s="138">
        <f>SUM(DC26:DC35)</f>
        <v>259810</v>
      </c>
      <c r="DD36" s="142">
        <f t="shared" si="61"/>
        <v>1605282</v>
      </c>
      <c r="DE36" s="138">
        <f>SUM(DE26:DE35)</f>
        <v>1345805</v>
      </c>
      <c r="DF36" s="138">
        <f>SUM(DF26:DF35)</f>
        <v>200263</v>
      </c>
      <c r="DG36" s="138">
        <f>SUM(DG26:DG35)</f>
        <v>568867</v>
      </c>
      <c r="DH36" s="142">
        <f t="shared" si="62"/>
        <v>2114935</v>
      </c>
      <c r="DI36" s="142">
        <f t="shared" si="63"/>
        <v>8414100</v>
      </c>
      <c r="DJ36" s="142">
        <f t="shared" si="64"/>
        <v>10019382</v>
      </c>
      <c r="DK36" s="142">
        <f t="shared" si="65"/>
        <v>12134317</v>
      </c>
      <c r="DL36" s="97">
        <f t="shared" si="66"/>
        <v>1891710</v>
      </c>
      <c r="DM36" s="98">
        <f>DL36/DK36</f>
        <v>0.15589752600002127</v>
      </c>
      <c r="DN36" s="143">
        <f t="shared" si="67"/>
        <v>743420</v>
      </c>
      <c r="DO36" s="98">
        <f t="shared" si="75"/>
        <v>5.3002892408520186E-2</v>
      </c>
      <c r="DP36" s="144">
        <f t="shared" si="74"/>
        <v>11262356</v>
      </c>
      <c r="DQ36" s="98">
        <f t="shared" si="76"/>
        <v>0.76254419004313434</v>
      </c>
      <c r="DR36" s="144">
        <f t="shared" si="68"/>
        <v>5178631</v>
      </c>
      <c r="DS36" s="98">
        <f t="shared" si="69"/>
        <v>0.19893477989211888</v>
      </c>
      <c r="DT36" s="144">
        <f t="shared" si="70"/>
        <v>-1152531</v>
      </c>
      <c r="DU36" s="98">
        <f t="shared" si="79"/>
        <v>-0.800628398237484</v>
      </c>
    </row>
    <row r="37" spans="1:125" ht="14.25" customHeight="1" outlineLevel="1">
      <c r="A37" s="171" t="s">
        <v>996</v>
      </c>
      <c r="B37" s="189"/>
      <c r="C37" s="189"/>
      <c r="D37" s="17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7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386"/>
      <c r="AN37" s="172"/>
      <c r="AO37" s="172"/>
      <c r="AP37" s="172"/>
      <c r="AQ37" s="173"/>
      <c r="AR37" s="174"/>
      <c r="AS37" s="174"/>
      <c r="AT37" s="174"/>
      <c r="AU37" s="173"/>
      <c r="AV37" s="174"/>
      <c r="AW37" s="174"/>
      <c r="AX37" s="174"/>
      <c r="AY37" s="173"/>
      <c r="AZ37" s="174"/>
      <c r="BA37" s="174"/>
      <c r="BB37" s="174"/>
      <c r="BC37" s="173"/>
      <c r="BD37" s="173"/>
      <c r="BE37" s="173"/>
      <c r="BF37" s="173"/>
      <c r="BG37" s="175"/>
      <c r="BH37" s="175"/>
      <c r="BI37" s="175"/>
      <c r="BJ37" s="176"/>
      <c r="BK37" s="175"/>
      <c r="BL37" s="175"/>
      <c r="BM37" s="175"/>
      <c r="BN37" s="176"/>
      <c r="BO37" s="175"/>
      <c r="BP37" s="175"/>
      <c r="BQ37" s="175"/>
      <c r="BR37" s="176"/>
      <c r="BS37" s="175"/>
      <c r="BT37" s="175"/>
      <c r="BU37" s="47"/>
      <c r="BV37" s="48"/>
      <c r="BW37" s="176"/>
      <c r="BX37" s="176">
        <v>0</v>
      </c>
      <c r="BY37" s="49"/>
      <c r="BZ37" s="51"/>
      <c r="CA37" s="51"/>
      <c r="CB37" s="51"/>
      <c r="CC37" s="52"/>
      <c r="CD37" s="51"/>
      <c r="CE37" s="51"/>
      <c r="CF37" s="51"/>
      <c r="CG37" s="52"/>
      <c r="CH37" s="51"/>
      <c r="CI37" s="51"/>
      <c r="CJ37" s="51"/>
      <c r="CK37" s="52"/>
      <c r="CL37" s="51"/>
      <c r="CM37" s="51"/>
      <c r="CN37" s="51"/>
      <c r="CO37" s="52">
        <v>0</v>
      </c>
      <c r="CP37" s="52"/>
      <c r="CQ37" s="52"/>
      <c r="CR37" s="53"/>
      <c r="CS37" s="51"/>
      <c r="CT37" s="51"/>
      <c r="CU37" s="51"/>
      <c r="CV37" s="55"/>
      <c r="CW37" s="51"/>
      <c r="CX37" s="51"/>
      <c r="CY37" s="51"/>
      <c r="CZ37" s="55"/>
      <c r="DA37" s="51"/>
      <c r="DB37" s="51"/>
      <c r="DC37" s="51"/>
      <c r="DD37" s="55"/>
      <c r="DE37" s="51"/>
      <c r="DF37" s="51"/>
      <c r="DG37" s="51"/>
      <c r="DH37" s="55"/>
      <c r="DI37" s="55"/>
      <c r="DJ37" s="55"/>
      <c r="DK37" s="55"/>
      <c r="DL37" s="56"/>
      <c r="DN37" s="57"/>
      <c r="DP37" s="118"/>
      <c r="DR37" s="118"/>
      <c r="DT37" s="118"/>
    </row>
    <row r="38" spans="1:125" ht="14.25" customHeight="1" outlineLevel="1">
      <c r="A38" s="177" t="s">
        <v>997</v>
      </c>
      <c r="B38" s="172">
        <f>'2017 預算'!C37</f>
        <v>26301</v>
      </c>
      <c r="C38" s="179">
        <f>'2017 預算'!F37</f>
        <v>74827</v>
      </c>
      <c r="D38" s="179">
        <f>'2017 預算'!I37</f>
        <v>69962</v>
      </c>
      <c r="E38" s="180">
        <f t="shared" ref="E38:E49" si="84">SUM(B38:D38)</f>
        <v>171090</v>
      </c>
      <c r="F38" s="179">
        <f>'2017 預算'!O37</f>
        <v>93988</v>
      </c>
      <c r="G38" s="179">
        <f>'2017 預算'!R37</f>
        <v>91944</v>
      </c>
      <c r="H38" s="179">
        <f>'2017 預算'!U37</f>
        <v>112861</v>
      </c>
      <c r="I38" s="179">
        <f t="shared" ref="I38:I46" si="85">SUM(F38:H38)</f>
        <v>298793</v>
      </c>
      <c r="J38" s="179">
        <f>'2017 預算'!AA37</f>
        <v>96752</v>
      </c>
      <c r="K38" s="179">
        <f>'2017 預算'!AD37</f>
        <v>117626</v>
      </c>
      <c r="L38" s="179">
        <f>'2017 預算'!AG37</f>
        <v>0</v>
      </c>
      <c r="M38" s="179">
        <f t="shared" ref="M38:M46" si="86">SUM(J38:L38)</f>
        <v>214378</v>
      </c>
      <c r="N38" s="179">
        <f>'2017 預算'!AM37</f>
        <v>0</v>
      </c>
      <c r="O38" s="179">
        <f>'2017 預算'!AP37</f>
        <v>0</v>
      </c>
      <c r="P38" s="179">
        <f>'2017 預算'!AS37</f>
        <v>0</v>
      </c>
      <c r="Q38" s="179">
        <f t="shared" ref="Q38:Q46" si="87">SUM(N38:P38)</f>
        <v>0</v>
      </c>
      <c r="R38" s="179">
        <f t="shared" ref="R38:R46" si="88">E38+I38</f>
        <v>469883</v>
      </c>
      <c r="S38" s="179">
        <f t="shared" ref="S38:S46" si="89">E38+I38+M38</f>
        <v>684261</v>
      </c>
      <c r="T38" s="179">
        <f t="shared" ref="T38:T50" si="90">E38+I38+M38+Q38</f>
        <v>684261</v>
      </c>
      <c r="U38" s="172">
        <v>25944</v>
      </c>
      <c r="V38" s="179">
        <v>0</v>
      </c>
      <c r="W38" s="179">
        <v>0</v>
      </c>
      <c r="X38" s="180">
        <v>25944</v>
      </c>
      <c r="Y38" s="179">
        <v>0</v>
      </c>
      <c r="Z38" s="179">
        <v>23548</v>
      </c>
      <c r="AA38" s="179">
        <v>63676</v>
      </c>
      <c r="AB38" s="179">
        <v>87224</v>
      </c>
      <c r="AC38" s="179">
        <v>88995</v>
      </c>
      <c r="AD38" s="179">
        <v>62155</v>
      </c>
      <c r="AE38" s="179">
        <v>30610</v>
      </c>
      <c r="AF38" s="179">
        <v>181760</v>
      </c>
      <c r="AG38" s="179">
        <v>24394</v>
      </c>
      <c r="AH38" s="179">
        <v>1563</v>
      </c>
      <c r="AI38" s="179">
        <v>89640</v>
      </c>
      <c r="AJ38" s="179">
        <v>115597</v>
      </c>
      <c r="AK38" s="179">
        <v>113168</v>
      </c>
      <c r="AL38" s="179">
        <v>294928</v>
      </c>
      <c r="AM38" s="384">
        <v>410525</v>
      </c>
      <c r="AN38" s="172">
        <v>0</v>
      </c>
      <c r="AO38" s="172">
        <v>0</v>
      </c>
      <c r="AP38" s="172">
        <v>14575</v>
      </c>
      <c r="AQ38" s="173">
        <v>14575</v>
      </c>
      <c r="AR38" s="174">
        <v>0</v>
      </c>
      <c r="AS38" s="174">
        <v>0</v>
      </c>
      <c r="AT38" s="174">
        <v>0</v>
      </c>
      <c r="AU38" s="173">
        <v>0</v>
      </c>
      <c r="AV38" s="87">
        <v>15616</v>
      </c>
      <c r="AW38" s="87">
        <v>0</v>
      </c>
      <c r="AX38" s="87">
        <v>14575</v>
      </c>
      <c r="AY38" s="173">
        <v>30191</v>
      </c>
      <c r="AZ38" s="45">
        <v>90575</v>
      </c>
      <c r="BA38" s="45">
        <v>51326</v>
      </c>
      <c r="BB38" s="45">
        <v>37167</v>
      </c>
      <c r="BC38" s="173">
        <v>179068</v>
      </c>
      <c r="BD38" s="173">
        <v>14575</v>
      </c>
      <c r="BE38" s="86">
        <v>44766</v>
      </c>
      <c r="BF38" s="173">
        <v>223834</v>
      </c>
      <c r="BG38" s="175"/>
      <c r="BH38" s="175"/>
      <c r="BI38" s="175">
        <v>0</v>
      </c>
      <c r="BJ38" s="176">
        <v>0</v>
      </c>
      <c r="BK38" s="175">
        <v>0</v>
      </c>
      <c r="BL38" s="175"/>
      <c r="BM38" s="175"/>
      <c r="BN38" s="176">
        <v>0</v>
      </c>
      <c r="BO38" s="175"/>
      <c r="BP38" s="175"/>
      <c r="BQ38" s="175"/>
      <c r="BR38" s="176">
        <v>0</v>
      </c>
      <c r="BS38" s="175"/>
      <c r="BT38" s="175"/>
      <c r="BU38" s="47"/>
      <c r="BV38" s="48">
        <v>0</v>
      </c>
      <c r="BW38" s="176">
        <v>0</v>
      </c>
      <c r="BX38" s="176">
        <v>0</v>
      </c>
      <c r="BY38" s="49">
        <v>0</v>
      </c>
      <c r="BZ38" s="51">
        <v>0</v>
      </c>
      <c r="CA38" s="51">
        <v>0</v>
      </c>
      <c r="CB38" s="51">
        <v>0</v>
      </c>
      <c r="CC38" s="52">
        <v>0</v>
      </c>
      <c r="CD38" s="51">
        <v>0</v>
      </c>
      <c r="CE38" s="51">
        <v>0</v>
      </c>
      <c r="CF38" s="51">
        <v>0</v>
      </c>
      <c r="CG38" s="52">
        <v>0</v>
      </c>
      <c r="CH38" s="51">
        <v>0</v>
      </c>
      <c r="CI38" s="51">
        <v>0</v>
      </c>
      <c r="CJ38" s="51">
        <v>0</v>
      </c>
      <c r="CK38" s="52">
        <v>0</v>
      </c>
      <c r="CL38" s="51"/>
      <c r="CM38" s="51"/>
      <c r="CN38" s="51"/>
      <c r="CO38" s="52">
        <v>0</v>
      </c>
      <c r="CP38" s="52">
        <v>0</v>
      </c>
      <c r="CQ38" s="52">
        <v>0</v>
      </c>
      <c r="CR38" s="53">
        <v>0</v>
      </c>
      <c r="CS38" s="51">
        <v>0</v>
      </c>
      <c r="CT38" s="51">
        <v>1712</v>
      </c>
      <c r="CU38" s="51">
        <v>0</v>
      </c>
      <c r="CV38" s="55">
        <f t="shared" si="8"/>
        <v>1712</v>
      </c>
      <c r="CW38" s="51">
        <v>0</v>
      </c>
      <c r="CX38" s="51">
        <v>0</v>
      </c>
      <c r="CY38" s="51">
        <v>0</v>
      </c>
      <c r="CZ38" s="55">
        <f t="shared" ref="CZ38:CZ49" si="91">SUM(CW38:CY38)</f>
        <v>0</v>
      </c>
      <c r="DA38" s="51">
        <v>0</v>
      </c>
      <c r="DB38" s="51">
        <v>0</v>
      </c>
      <c r="DC38" s="51">
        <v>0</v>
      </c>
      <c r="DD38" s="55">
        <f t="shared" ref="DD38:DD49" si="92">SUM(DA38:DC38)</f>
        <v>0</v>
      </c>
      <c r="DE38" s="51"/>
      <c r="DF38" s="51"/>
      <c r="DG38" s="51"/>
      <c r="DH38" s="55">
        <f t="shared" si="62"/>
        <v>0</v>
      </c>
      <c r="DI38" s="55">
        <f t="shared" ref="DI38:DI47" si="93">CV38+CZ38</f>
        <v>1712</v>
      </c>
      <c r="DJ38" s="55">
        <f t="shared" si="64"/>
        <v>1712</v>
      </c>
      <c r="DK38" s="55">
        <f t="shared" si="65"/>
        <v>1712</v>
      </c>
      <c r="DL38" s="56">
        <f t="shared" si="66"/>
        <v>-1712</v>
      </c>
      <c r="DM38" s="4">
        <f>DL38/DK38</f>
        <v>-1</v>
      </c>
      <c r="DN38" s="57">
        <f t="shared" ref="DN38:DN50" si="94">BY38-CR38</f>
        <v>0</v>
      </c>
      <c r="DP38" s="118">
        <f t="shared" si="74"/>
        <v>223834</v>
      </c>
      <c r="DR38" s="118">
        <f t="shared" ref="DR38:DR50" si="95">AM38-BE38</f>
        <v>365759</v>
      </c>
      <c r="DS38" s="4">
        <f t="shared" ref="DS38:DS50" si="96">DR38/BF38</f>
        <v>1.6340636364448653</v>
      </c>
      <c r="DT38" s="118">
        <f t="shared" ref="DT38:DT50" si="97">C38-V38</f>
        <v>74827</v>
      </c>
      <c r="DU38" s="4" t="e">
        <f t="shared" ref="DU38" si="98">DT38/BH38</f>
        <v>#DIV/0!</v>
      </c>
    </row>
    <row r="39" spans="1:125" ht="14.25" customHeight="1" outlineLevel="1">
      <c r="A39" s="177" t="s">
        <v>998</v>
      </c>
      <c r="B39" s="172">
        <f>'2017 預算'!C38</f>
        <v>0</v>
      </c>
      <c r="C39" s="179">
        <f>'2017 預算'!F38</f>
        <v>0</v>
      </c>
      <c r="D39" s="179">
        <f>'2017 預算'!I38</f>
        <v>0</v>
      </c>
      <c r="E39" s="180">
        <f t="shared" si="84"/>
        <v>0</v>
      </c>
      <c r="F39" s="179">
        <f>'2017 預算'!O38</f>
        <v>0</v>
      </c>
      <c r="G39" s="179">
        <f>'2017 預算'!R38</f>
        <v>0</v>
      </c>
      <c r="H39" s="179">
        <f>'2017 預算'!U38</f>
        <v>0</v>
      </c>
      <c r="I39" s="179">
        <f t="shared" si="85"/>
        <v>0</v>
      </c>
      <c r="J39" s="179">
        <f>'2017 預算'!AA38</f>
        <v>0</v>
      </c>
      <c r="K39" s="179">
        <f>'2017 預算'!AD38</f>
        <v>0</v>
      </c>
      <c r="L39" s="179">
        <f>'2017 預算'!AG38</f>
        <v>0</v>
      </c>
      <c r="M39" s="179">
        <f t="shared" si="86"/>
        <v>0</v>
      </c>
      <c r="N39" s="179">
        <f>'2017 預算'!AM38</f>
        <v>0</v>
      </c>
      <c r="O39" s="179">
        <f>'2017 預算'!AP38</f>
        <v>0</v>
      </c>
      <c r="P39" s="179">
        <f>'2017 預算'!AS38</f>
        <v>0</v>
      </c>
      <c r="Q39" s="179">
        <f t="shared" si="87"/>
        <v>0</v>
      </c>
      <c r="R39" s="179">
        <f t="shared" si="88"/>
        <v>0</v>
      </c>
      <c r="S39" s="179">
        <f t="shared" si="89"/>
        <v>0</v>
      </c>
      <c r="T39" s="179">
        <f t="shared" si="90"/>
        <v>0</v>
      </c>
      <c r="U39" s="172">
        <v>0</v>
      </c>
      <c r="V39" s="179">
        <v>0</v>
      </c>
      <c r="W39" s="179">
        <v>0</v>
      </c>
      <c r="X39" s="180">
        <v>0</v>
      </c>
      <c r="Y39" s="179">
        <v>0</v>
      </c>
      <c r="Z39" s="179">
        <v>0</v>
      </c>
      <c r="AA39" s="179">
        <v>0</v>
      </c>
      <c r="AB39" s="179">
        <v>0</v>
      </c>
      <c r="AC39" s="179">
        <v>0</v>
      </c>
      <c r="AD39" s="179">
        <v>0</v>
      </c>
      <c r="AE39" s="179">
        <v>0</v>
      </c>
      <c r="AF39" s="179">
        <v>0</v>
      </c>
      <c r="AG39" s="179">
        <v>0</v>
      </c>
      <c r="AH39" s="179">
        <v>0</v>
      </c>
      <c r="AI39" s="179">
        <v>0</v>
      </c>
      <c r="AJ39" s="179">
        <v>0</v>
      </c>
      <c r="AK39" s="179">
        <v>0</v>
      </c>
      <c r="AL39" s="179">
        <v>0</v>
      </c>
      <c r="AM39" s="384">
        <v>0</v>
      </c>
      <c r="AN39" s="172">
        <v>0</v>
      </c>
      <c r="AO39" s="172">
        <v>0</v>
      </c>
      <c r="AP39" s="172">
        <v>0</v>
      </c>
      <c r="AQ39" s="173">
        <v>0</v>
      </c>
      <c r="AR39" s="174">
        <v>0</v>
      </c>
      <c r="AS39" s="174">
        <v>0</v>
      </c>
      <c r="AT39" s="174">
        <v>0</v>
      </c>
      <c r="AU39" s="173">
        <v>0</v>
      </c>
      <c r="AV39" s="87">
        <v>0</v>
      </c>
      <c r="AW39" s="87">
        <v>0</v>
      </c>
      <c r="AX39" s="87">
        <v>0</v>
      </c>
      <c r="AY39" s="173">
        <v>0</v>
      </c>
      <c r="AZ39" s="45">
        <v>0</v>
      </c>
      <c r="BA39" s="45">
        <v>0</v>
      </c>
      <c r="BB39" s="45">
        <v>0</v>
      </c>
      <c r="BC39" s="173">
        <v>0</v>
      </c>
      <c r="BD39" s="173">
        <v>0</v>
      </c>
      <c r="BE39" s="86">
        <v>0</v>
      </c>
      <c r="BF39" s="173">
        <v>0</v>
      </c>
      <c r="BG39" s="175"/>
      <c r="BH39" s="175"/>
      <c r="BI39" s="175">
        <v>0</v>
      </c>
      <c r="BJ39" s="176">
        <v>0</v>
      </c>
      <c r="BK39" s="175">
        <v>0</v>
      </c>
      <c r="BL39" s="175"/>
      <c r="BM39" s="175"/>
      <c r="BN39" s="176">
        <v>0</v>
      </c>
      <c r="BO39" s="175"/>
      <c r="BP39" s="175"/>
      <c r="BQ39" s="175"/>
      <c r="BR39" s="176">
        <v>0</v>
      </c>
      <c r="BS39" s="175"/>
      <c r="BT39" s="175"/>
      <c r="BU39" s="47"/>
      <c r="BV39" s="48">
        <v>0</v>
      </c>
      <c r="BW39" s="176">
        <v>0</v>
      </c>
      <c r="BX39" s="176">
        <v>0</v>
      </c>
      <c r="BY39" s="49">
        <v>0</v>
      </c>
      <c r="BZ39" s="51">
        <v>0</v>
      </c>
      <c r="CA39" s="51">
        <v>0</v>
      </c>
      <c r="CB39" s="51">
        <v>0</v>
      </c>
      <c r="CC39" s="52">
        <v>0</v>
      </c>
      <c r="CD39" s="51">
        <v>0</v>
      </c>
      <c r="CE39" s="51">
        <v>0</v>
      </c>
      <c r="CF39" s="51">
        <v>0</v>
      </c>
      <c r="CG39" s="52">
        <v>0</v>
      </c>
      <c r="CH39" s="51">
        <v>0</v>
      </c>
      <c r="CI39" s="51">
        <v>0</v>
      </c>
      <c r="CJ39" s="51">
        <v>0</v>
      </c>
      <c r="CK39" s="52">
        <v>0</v>
      </c>
      <c r="CL39" s="51"/>
      <c r="CM39" s="51"/>
      <c r="CN39" s="51"/>
      <c r="CO39" s="52">
        <v>0</v>
      </c>
      <c r="CP39" s="52">
        <v>0</v>
      </c>
      <c r="CQ39" s="52">
        <v>0</v>
      </c>
      <c r="CR39" s="53">
        <v>0</v>
      </c>
      <c r="CS39" s="51">
        <v>0</v>
      </c>
      <c r="CT39" s="51">
        <v>0</v>
      </c>
      <c r="CU39" s="51">
        <v>0</v>
      </c>
      <c r="CV39" s="55">
        <f t="shared" si="8"/>
        <v>0</v>
      </c>
      <c r="CW39" s="51">
        <v>0</v>
      </c>
      <c r="CX39" s="51">
        <v>0</v>
      </c>
      <c r="CY39" s="51">
        <v>0</v>
      </c>
      <c r="CZ39" s="55">
        <f t="shared" si="91"/>
        <v>0</v>
      </c>
      <c r="DA39" s="51">
        <v>0</v>
      </c>
      <c r="DB39" s="51">
        <v>0</v>
      </c>
      <c r="DC39" s="51">
        <v>0</v>
      </c>
      <c r="DD39" s="55">
        <f t="shared" si="92"/>
        <v>0</v>
      </c>
      <c r="DE39" s="51"/>
      <c r="DF39" s="51"/>
      <c r="DG39" s="51"/>
      <c r="DH39" s="55">
        <f t="shared" si="62"/>
        <v>0</v>
      </c>
      <c r="DI39" s="55">
        <f t="shared" si="93"/>
        <v>0</v>
      </c>
      <c r="DJ39" s="55">
        <f t="shared" si="64"/>
        <v>0</v>
      </c>
      <c r="DK39" s="55">
        <f t="shared" si="65"/>
        <v>0</v>
      </c>
      <c r="DL39" s="56">
        <f t="shared" si="66"/>
        <v>0</v>
      </c>
      <c r="DN39" s="57">
        <f t="shared" si="94"/>
        <v>0</v>
      </c>
      <c r="DP39" s="118">
        <f t="shared" si="74"/>
        <v>0</v>
      </c>
      <c r="DR39" s="118">
        <f t="shared" si="95"/>
        <v>0</v>
      </c>
      <c r="DT39" s="118">
        <f t="shared" si="97"/>
        <v>0</v>
      </c>
    </row>
    <row r="40" spans="1:125" ht="14.25" customHeight="1" outlineLevel="1">
      <c r="A40" s="177" t="s">
        <v>999</v>
      </c>
      <c r="B40" s="172">
        <f>'2017 預算'!C39</f>
        <v>0</v>
      </c>
      <c r="C40" s="179">
        <f>'2017 預算'!F39</f>
        <v>0</v>
      </c>
      <c r="D40" s="179">
        <f>'2017 預算'!I39</f>
        <v>0</v>
      </c>
      <c r="E40" s="180">
        <f t="shared" si="84"/>
        <v>0</v>
      </c>
      <c r="F40" s="179">
        <f>'2017 預算'!O39</f>
        <v>0</v>
      </c>
      <c r="G40" s="179">
        <f>'2017 預算'!R39</f>
        <v>0</v>
      </c>
      <c r="H40" s="179">
        <f>'2017 預算'!U39</f>
        <v>0</v>
      </c>
      <c r="I40" s="179">
        <f t="shared" si="85"/>
        <v>0</v>
      </c>
      <c r="J40" s="179">
        <f>'2017 預算'!AA39</f>
        <v>0</v>
      </c>
      <c r="K40" s="179">
        <f>'2017 預算'!AD39</f>
        <v>0</v>
      </c>
      <c r="L40" s="179">
        <f>'2017 預算'!AG39</f>
        <v>0</v>
      </c>
      <c r="M40" s="179">
        <f t="shared" si="86"/>
        <v>0</v>
      </c>
      <c r="N40" s="179">
        <f>'2017 預算'!AM39</f>
        <v>0</v>
      </c>
      <c r="O40" s="179">
        <f>'2017 預算'!AP39</f>
        <v>0</v>
      </c>
      <c r="P40" s="179">
        <f>'2017 預算'!AS39</f>
        <v>0</v>
      </c>
      <c r="Q40" s="179">
        <f t="shared" si="87"/>
        <v>0</v>
      </c>
      <c r="R40" s="179">
        <f t="shared" si="88"/>
        <v>0</v>
      </c>
      <c r="S40" s="179">
        <f t="shared" si="89"/>
        <v>0</v>
      </c>
      <c r="T40" s="179">
        <f t="shared" si="90"/>
        <v>0</v>
      </c>
      <c r="U40" s="172">
        <v>0</v>
      </c>
      <c r="V40" s="179">
        <v>0</v>
      </c>
      <c r="W40" s="179">
        <v>0</v>
      </c>
      <c r="X40" s="180">
        <v>0</v>
      </c>
      <c r="Y40" s="179">
        <v>0</v>
      </c>
      <c r="Z40" s="179">
        <v>0</v>
      </c>
      <c r="AA40" s="179">
        <v>0</v>
      </c>
      <c r="AB40" s="179">
        <v>0</v>
      </c>
      <c r="AC40" s="179">
        <v>0</v>
      </c>
      <c r="AD40" s="179">
        <v>0</v>
      </c>
      <c r="AE40" s="179">
        <v>0</v>
      </c>
      <c r="AF40" s="179">
        <v>0</v>
      </c>
      <c r="AG40" s="179">
        <v>0</v>
      </c>
      <c r="AH40" s="179">
        <v>0</v>
      </c>
      <c r="AI40" s="179">
        <v>0</v>
      </c>
      <c r="AJ40" s="179">
        <v>0</v>
      </c>
      <c r="AK40" s="179">
        <v>0</v>
      </c>
      <c r="AL40" s="179">
        <v>0</v>
      </c>
      <c r="AM40" s="384">
        <v>0</v>
      </c>
      <c r="AN40" s="172">
        <v>0</v>
      </c>
      <c r="AO40" s="172">
        <v>0</v>
      </c>
      <c r="AP40" s="172">
        <v>0</v>
      </c>
      <c r="AQ40" s="173">
        <v>0</v>
      </c>
      <c r="AR40" s="174">
        <v>0</v>
      </c>
      <c r="AS40" s="174">
        <v>0</v>
      </c>
      <c r="AT40" s="174">
        <v>0</v>
      </c>
      <c r="AU40" s="173">
        <v>0</v>
      </c>
      <c r="AV40" s="87">
        <v>0</v>
      </c>
      <c r="AW40" s="87">
        <v>0</v>
      </c>
      <c r="AX40" s="87">
        <v>0</v>
      </c>
      <c r="AY40" s="173">
        <v>0</v>
      </c>
      <c r="AZ40" s="45">
        <v>0</v>
      </c>
      <c r="BA40" s="45">
        <v>0</v>
      </c>
      <c r="BB40" s="45">
        <v>0</v>
      </c>
      <c r="BC40" s="173">
        <v>0</v>
      </c>
      <c r="BD40" s="173">
        <v>0</v>
      </c>
      <c r="BE40" s="86">
        <v>0</v>
      </c>
      <c r="BF40" s="173">
        <v>0</v>
      </c>
      <c r="BG40" s="175"/>
      <c r="BH40" s="175"/>
      <c r="BI40" s="175">
        <v>0</v>
      </c>
      <c r="BJ40" s="176">
        <v>0</v>
      </c>
      <c r="BK40" s="175">
        <v>0</v>
      </c>
      <c r="BL40" s="175"/>
      <c r="BM40" s="175"/>
      <c r="BN40" s="176">
        <v>0</v>
      </c>
      <c r="BO40" s="175"/>
      <c r="BP40" s="175"/>
      <c r="BQ40" s="175"/>
      <c r="BR40" s="176">
        <v>0</v>
      </c>
      <c r="BS40" s="175"/>
      <c r="BT40" s="175"/>
      <c r="BU40" s="47"/>
      <c r="BV40" s="48">
        <v>0</v>
      </c>
      <c r="BW40" s="176">
        <v>0</v>
      </c>
      <c r="BX40" s="176">
        <v>0</v>
      </c>
      <c r="BY40" s="49">
        <v>0</v>
      </c>
      <c r="BZ40" s="51">
        <v>540000</v>
      </c>
      <c r="CA40" s="51">
        <v>0</v>
      </c>
      <c r="CB40" s="51">
        <v>0</v>
      </c>
      <c r="CC40" s="52">
        <v>540000</v>
      </c>
      <c r="CD40" s="51">
        <v>0</v>
      </c>
      <c r="CE40" s="51">
        <v>0</v>
      </c>
      <c r="CF40" s="51">
        <v>0</v>
      </c>
      <c r="CG40" s="52">
        <v>0</v>
      </c>
      <c r="CH40" s="51">
        <v>0</v>
      </c>
      <c r="CI40" s="51">
        <v>0</v>
      </c>
      <c r="CJ40" s="51">
        <v>0</v>
      </c>
      <c r="CK40" s="52">
        <v>0</v>
      </c>
      <c r="CL40" s="51"/>
      <c r="CM40" s="51"/>
      <c r="CN40" s="51"/>
      <c r="CO40" s="52">
        <v>0</v>
      </c>
      <c r="CP40" s="52">
        <v>540000</v>
      </c>
      <c r="CQ40" s="52">
        <v>540000</v>
      </c>
      <c r="CR40" s="53">
        <v>540000</v>
      </c>
      <c r="CS40" s="51">
        <v>0</v>
      </c>
      <c r="CT40" s="51">
        <v>0</v>
      </c>
      <c r="CU40" s="51">
        <v>0</v>
      </c>
      <c r="CV40" s="55">
        <f t="shared" si="8"/>
        <v>0</v>
      </c>
      <c r="CW40" s="51">
        <v>0</v>
      </c>
      <c r="CX40" s="51">
        <v>0</v>
      </c>
      <c r="CY40" s="51">
        <v>0</v>
      </c>
      <c r="CZ40" s="55">
        <f t="shared" si="91"/>
        <v>0</v>
      </c>
      <c r="DA40" s="51">
        <v>0</v>
      </c>
      <c r="DB40" s="51">
        <v>0</v>
      </c>
      <c r="DC40" s="51">
        <v>0</v>
      </c>
      <c r="DD40" s="55">
        <f t="shared" si="92"/>
        <v>0</v>
      </c>
      <c r="DE40" s="51"/>
      <c r="DF40" s="51"/>
      <c r="DG40" s="51"/>
      <c r="DH40" s="55">
        <f t="shared" si="62"/>
        <v>0</v>
      </c>
      <c r="DI40" s="55">
        <f t="shared" si="93"/>
        <v>0</v>
      </c>
      <c r="DJ40" s="55">
        <f t="shared" si="64"/>
        <v>0</v>
      </c>
      <c r="DK40" s="55">
        <f t="shared" si="65"/>
        <v>0</v>
      </c>
      <c r="DL40" s="56">
        <f t="shared" si="66"/>
        <v>540000</v>
      </c>
      <c r="DN40" s="57">
        <f t="shared" si="94"/>
        <v>-540000</v>
      </c>
      <c r="DO40" s="4">
        <f t="shared" si="75"/>
        <v>-1</v>
      </c>
      <c r="DP40" s="118">
        <f t="shared" si="74"/>
        <v>0</v>
      </c>
      <c r="DR40" s="118">
        <f t="shared" si="95"/>
        <v>0</v>
      </c>
      <c r="DT40" s="118">
        <f t="shared" si="97"/>
        <v>0</v>
      </c>
    </row>
    <row r="41" spans="1:125" ht="14.25" customHeight="1" outlineLevel="1">
      <c r="A41" s="177" t="s">
        <v>1000</v>
      </c>
      <c r="B41" s="172">
        <f>'2017 預算'!C40</f>
        <v>0</v>
      </c>
      <c r="C41" s="179">
        <f>'2017 預算'!F40</f>
        <v>0</v>
      </c>
      <c r="D41" s="179">
        <f>'2017 預算'!I40</f>
        <v>0</v>
      </c>
      <c r="E41" s="180">
        <f t="shared" si="84"/>
        <v>0</v>
      </c>
      <c r="F41" s="179">
        <f>'2017 預算'!O40</f>
        <v>0</v>
      </c>
      <c r="G41" s="179">
        <f>'2017 預算'!R40</f>
        <v>0</v>
      </c>
      <c r="H41" s="179">
        <f>'2017 預算'!U40</f>
        <v>0</v>
      </c>
      <c r="I41" s="179">
        <f t="shared" si="85"/>
        <v>0</v>
      </c>
      <c r="J41" s="179">
        <f>'2017 預算'!AA40</f>
        <v>0</v>
      </c>
      <c r="K41" s="179">
        <f>'2017 預算'!AD40</f>
        <v>0</v>
      </c>
      <c r="L41" s="179">
        <f>'2017 預算'!AG40</f>
        <v>0</v>
      </c>
      <c r="M41" s="179">
        <f t="shared" si="86"/>
        <v>0</v>
      </c>
      <c r="N41" s="179">
        <f>'2017 預算'!AM40</f>
        <v>0</v>
      </c>
      <c r="O41" s="179">
        <f>'2017 預算'!AP40</f>
        <v>0</v>
      </c>
      <c r="P41" s="179">
        <f>'2017 預算'!AS40</f>
        <v>0</v>
      </c>
      <c r="Q41" s="179">
        <f t="shared" si="87"/>
        <v>0</v>
      </c>
      <c r="R41" s="179">
        <f t="shared" si="88"/>
        <v>0</v>
      </c>
      <c r="S41" s="179">
        <f t="shared" si="89"/>
        <v>0</v>
      </c>
      <c r="T41" s="179">
        <f t="shared" si="90"/>
        <v>0</v>
      </c>
      <c r="U41" s="172">
        <v>0</v>
      </c>
      <c r="V41" s="179">
        <v>0</v>
      </c>
      <c r="W41" s="179">
        <v>0</v>
      </c>
      <c r="X41" s="180">
        <v>0</v>
      </c>
      <c r="Y41" s="179">
        <v>0</v>
      </c>
      <c r="Z41" s="179">
        <v>0</v>
      </c>
      <c r="AA41" s="179">
        <v>0</v>
      </c>
      <c r="AB41" s="179">
        <v>0</v>
      </c>
      <c r="AC41" s="179">
        <v>0</v>
      </c>
      <c r="AD41" s="179">
        <v>0</v>
      </c>
      <c r="AE41" s="179">
        <v>0</v>
      </c>
      <c r="AF41" s="179">
        <v>0</v>
      </c>
      <c r="AG41" s="179">
        <v>0</v>
      </c>
      <c r="AH41" s="179">
        <v>0</v>
      </c>
      <c r="AI41" s="179">
        <v>0</v>
      </c>
      <c r="AJ41" s="179">
        <v>0</v>
      </c>
      <c r="AK41" s="179">
        <v>0</v>
      </c>
      <c r="AL41" s="179">
        <v>0</v>
      </c>
      <c r="AM41" s="384">
        <v>0</v>
      </c>
      <c r="AN41" s="172">
        <v>0</v>
      </c>
      <c r="AO41" s="172">
        <v>0</v>
      </c>
      <c r="AP41" s="172">
        <v>0</v>
      </c>
      <c r="AQ41" s="173">
        <v>0</v>
      </c>
      <c r="AR41" s="174">
        <v>0</v>
      </c>
      <c r="AS41" s="174">
        <v>0</v>
      </c>
      <c r="AT41" s="174">
        <v>0</v>
      </c>
      <c r="AU41" s="173">
        <v>0</v>
      </c>
      <c r="AV41" s="87">
        <v>0</v>
      </c>
      <c r="AW41" s="87">
        <v>0</v>
      </c>
      <c r="AX41" s="87">
        <v>0</v>
      </c>
      <c r="AY41" s="173">
        <v>0</v>
      </c>
      <c r="AZ41" s="45">
        <v>0</v>
      </c>
      <c r="BA41" s="45">
        <v>0</v>
      </c>
      <c r="BB41" s="45">
        <v>0</v>
      </c>
      <c r="BC41" s="173">
        <v>0</v>
      </c>
      <c r="BD41" s="173">
        <v>0</v>
      </c>
      <c r="BE41" s="86">
        <v>0</v>
      </c>
      <c r="BF41" s="173">
        <v>0</v>
      </c>
      <c r="BG41" s="175"/>
      <c r="BH41" s="175"/>
      <c r="BI41" s="175">
        <v>0</v>
      </c>
      <c r="BJ41" s="176">
        <v>0</v>
      </c>
      <c r="BK41" s="175">
        <v>0</v>
      </c>
      <c r="BL41" s="175"/>
      <c r="BM41" s="175"/>
      <c r="BN41" s="176">
        <v>0</v>
      </c>
      <c r="BO41" s="175"/>
      <c r="BP41" s="175"/>
      <c r="BQ41" s="175"/>
      <c r="BR41" s="176">
        <v>0</v>
      </c>
      <c r="BS41" s="175"/>
      <c r="BT41" s="175"/>
      <c r="BU41" s="47"/>
      <c r="BV41" s="48">
        <v>0</v>
      </c>
      <c r="BW41" s="176">
        <v>0</v>
      </c>
      <c r="BX41" s="176">
        <v>0</v>
      </c>
      <c r="BY41" s="49">
        <v>0</v>
      </c>
      <c r="BZ41" s="51">
        <v>0</v>
      </c>
      <c r="CA41" s="51">
        <v>0</v>
      </c>
      <c r="CB41" s="51">
        <v>0</v>
      </c>
      <c r="CC41" s="52">
        <v>0</v>
      </c>
      <c r="CD41" s="51">
        <v>0</v>
      </c>
      <c r="CE41" s="51">
        <v>0</v>
      </c>
      <c r="CF41" s="51">
        <v>0</v>
      </c>
      <c r="CG41" s="52">
        <v>0</v>
      </c>
      <c r="CH41" s="51">
        <v>0</v>
      </c>
      <c r="CI41" s="51">
        <v>0</v>
      </c>
      <c r="CJ41" s="51">
        <v>0</v>
      </c>
      <c r="CK41" s="52">
        <v>0</v>
      </c>
      <c r="CL41" s="51"/>
      <c r="CM41" s="51"/>
      <c r="CN41" s="51"/>
      <c r="CO41" s="52">
        <v>0</v>
      </c>
      <c r="CP41" s="52">
        <v>0</v>
      </c>
      <c r="CQ41" s="52">
        <v>0</v>
      </c>
      <c r="CR41" s="53">
        <v>0</v>
      </c>
      <c r="CS41" s="51">
        <v>0</v>
      </c>
      <c r="CT41" s="51">
        <v>0</v>
      </c>
      <c r="CU41" s="51">
        <v>0</v>
      </c>
      <c r="CV41" s="55">
        <f t="shared" si="8"/>
        <v>0</v>
      </c>
      <c r="CW41" s="51">
        <v>0</v>
      </c>
      <c r="CX41" s="51">
        <v>0</v>
      </c>
      <c r="CY41" s="51">
        <v>0</v>
      </c>
      <c r="CZ41" s="55">
        <f t="shared" si="91"/>
        <v>0</v>
      </c>
      <c r="DA41" s="51">
        <v>0</v>
      </c>
      <c r="DB41" s="51">
        <v>0</v>
      </c>
      <c r="DC41" s="51">
        <v>0</v>
      </c>
      <c r="DD41" s="55">
        <f t="shared" si="92"/>
        <v>0</v>
      </c>
      <c r="DE41" s="51"/>
      <c r="DF41" s="51"/>
      <c r="DG41" s="51"/>
      <c r="DH41" s="55">
        <f t="shared" si="62"/>
        <v>0</v>
      </c>
      <c r="DI41" s="55">
        <f t="shared" si="93"/>
        <v>0</v>
      </c>
      <c r="DJ41" s="55">
        <f t="shared" si="64"/>
        <v>0</v>
      </c>
      <c r="DK41" s="55">
        <f t="shared" si="65"/>
        <v>0</v>
      </c>
      <c r="DL41" s="56">
        <f t="shared" si="66"/>
        <v>0</v>
      </c>
      <c r="DN41" s="57">
        <f t="shared" si="94"/>
        <v>0</v>
      </c>
      <c r="DP41" s="118">
        <f t="shared" si="74"/>
        <v>0</v>
      </c>
      <c r="DR41" s="118">
        <f t="shared" si="95"/>
        <v>0</v>
      </c>
      <c r="DT41" s="118">
        <f t="shared" si="97"/>
        <v>0</v>
      </c>
    </row>
    <row r="42" spans="1:125" ht="14.25" customHeight="1" outlineLevel="1">
      <c r="A42" s="177" t="s">
        <v>1001</v>
      </c>
      <c r="B42" s="172">
        <f>'2017 預算'!C41</f>
        <v>0</v>
      </c>
      <c r="C42" s="179">
        <f>'2017 預算'!F41</f>
        <v>0</v>
      </c>
      <c r="D42" s="179">
        <f>'2017 預算'!I41</f>
        <v>0</v>
      </c>
      <c r="E42" s="180">
        <f t="shared" si="84"/>
        <v>0</v>
      </c>
      <c r="F42" s="179">
        <f>'2017 預算'!O41</f>
        <v>0</v>
      </c>
      <c r="G42" s="179">
        <f>'2017 預算'!R41</f>
        <v>0</v>
      </c>
      <c r="H42" s="179">
        <f>'2017 預算'!U41</f>
        <v>0</v>
      </c>
      <c r="I42" s="179">
        <f t="shared" si="85"/>
        <v>0</v>
      </c>
      <c r="J42" s="179">
        <f>'2017 預算'!AA41</f>
        <v>0</v>
      </c>
      <c r="K42" s="179">
        <f>'2017 預算'!AD41</f>
        <v>0</v>
      </c>
      <c r="L42" s="179">
        <f>'2017 預算'!AG41</f>
        <v>0</v>
      </c>
      <c r="M42" s="179">
        <f t="shared" si="86"/>
        <v>0</v>
      </c>
      <c r="N42" s="179">
        <f>'2017 預算'!AM41</f>
        <v>0</v>
      </c>
      <c r="O42" s="179">
        <f>'2017 預算'!AP41</f>
        <v>0</v>
      </c>
      <c r="P42" s="179">
        <f>'2017 預算'!AS41</f>
        <v>0</v>
      </c>
      <c r="Q42" s="179">
        <f t="shared" si="87"/>
        <v>0</v>
      </c>
      <c r="R42" s="179">
        <f t="shared" si="88"/>
        <v>0</v>
      </c>
      <c r="S42" s="179">
        <f t="shared" si="89"/>
        <v>0</v>
      </c>
      <c r="T42" s="179">
        <f t="shared" si="90"/>
        <v>0</v>
      </c>
      <c r="U42" s="172">
        <v>0</v>
      </c>
      <c r="V42" s="179">
        <v>0</v>
      </c>
      <c r="W42" s="179">
        <v>0</v>
      </c>
      <c r="X42" s="180">
        <v>0</v>
      </c>
      <c r="Y42" s="179">
        <v>0</v>
      </c>
      <c r="Z42" s="179">
        <v>0</v>
      </c>
      <c r="AA42" s="179">
        <v>0</v>
      </c>
      <c r="AB42" s="179">
        <v>0</v>
      </c>
      <c r="AC42" s="179">
        <v>0</v>
      </c>
      <c r="AD42" s="179">
        <v>0</v>
      </c>
      <c r="AE42" s="179">
        <v>0</v>
      </c>
      <c r="AF42" s="179">
        <v>0</v>
      </c>
      <c r="AG42" s="179">
        <v>0</v>
      </c>
      <c r="AH42" s="179">
        <v>0</v>
      </c>
      <c r="AI42" s="179">
        <v>0</v>
      </c>
      <c r="AJ42" s="179">
        <v>0</v>
      </c>
      <c r="AK42" s="179">
        <v>0</v>
      </c>
      <c r="AL42" s="179">
        <v>0</v>
      </c>
      <c r="AM42" s="384">
        <v>0</v>
      </c>
      <c r="AN42" s="172">
        <v>0</v>
      </c>
      <c r="AO42" s="172">
        <v>0</v>
      </c>
      <c r="AP42" s="172">
        <v>0</v>
      </c>
      <c r="AQ42" s="173">
        <v>0</v>
      </c>
      <c r="AR42" s="174">
        <v>0</v>
      </c>
      <c r="AS42" s="174">
        <v>0</v>
      </c>
      <c r="AT42" s="174">
        <v>0</v>
      </c>
      <c r="AU42" s="173">
        <v>0</v>
      </c>
      <c r="AV42" s="87">
        <v>0</v>
      </c>
      <c r="AW42" s="87">
        <v>0</v>
      </c>
      <c r="AX42" s="87">
        <v>0</v>
      </c>
      <c r="AY42" s="173">
        <v>0</v>
      </c>
      <c r="AZ42" s="45">
        <v>0</v>
      </c>
      <c r="BA42" s="45">
        <v>0</v>
      </c>
      <c r="BB42" s="45">
        <v>0</v>
      </c>
      <c r="BC42" s="173">
        <v>0</v>
      </c>
      <c r="BD42" s="173">
        <v>0</v>
      </c>
      <c r="BE42" s="86">
        <v>0</v>
      </c>
      <c r="BF42" s="173">
        <v>0</v>
      </c>
      <c r="BG42" s="175"/>
      <c r="BH42" s="175"/>
      <c r="BI42" s="175">
        <v>0</v>
      </c>
      <c r="BJ42" s="176">
        <v>0</v>
      </c>
      <c r="BK42" s="175">
        <v>0</v>
      </c>
      <c r="BL42" s="175"/>
      <c r="BM42" s="175"/>
      <c r="BN42" s="176">
        <v>0</v>
      </c>
      <c r="BO42" s="175"/>
      <c r="BP42" s="175"/>
      <c r="BQ42" s="175"/>
      <c r="BR42" s="176">
        <v>0</v>
      </c>
      <c r="BS42" s="175"/>
      <c r="BT42" s="175"/>
      <c r="BU42" s="47"/>
      <c r="BV42" s="48">
        <v>0</v>
      </c>
      <c r="BW42" s="176">
        <v>0</v>
      </c>
      <c r="BX42" s="176">
        <v>0</v>
      </c>
      <c r="BY42" s="49">
        <v>0</v>
      </c>
      <c r="BZ42" s="51">
        <v>0</v>
      </c>
      <c r="CA42" s="51">
        <v>0</v>
      </c>
      <c r="CB42" s="51">
        <v>0</v>
      </c>
      <c r="CC42" s="52">
        <v>0</v>
      </c>
      <c r="CD42" s="51">
        <v>0</v>
      </c>
      <c r="CE42" s="51">
        <v>0</v>
      </c>
      <c r="CF42" s="51">
        <v>0</v>
      </c>
      <c r="CG42" s="52">
        <v>0</v>
      </c>
      <c r="CH42" s="51">
        <v>0</v>
      </c>
      <c r="CI42" s="51">
        <v>0</v>
      </c>
      <c r="CJ42" s="51">
        <v>0</v>
      </c>
      <c r="CK42" s="52">
        <v>0</v>
      </c>
      <c r="CL42" s="51"/>
      <c r="CM42" s="51"/>
      <c r="CN42" s="51"/>
      <c r="CO42" s="52">
        <v>0</v>
      </c>
      <c r="CP42" s="52">
        <v>0</v>
      </c>
      <c r="CQ42" s="52">
        <v>0</v>
      </c>
      <c r="CR42" s="53">
        <v>0</v>
      </c>
      <c r="CS42" s="51">
        <v>0</v>
      </c>
      <c r="CT42" s="51">
        <v>0</v>
      </c>
      <c r="CU42" s="51">
        <v>0</v>
      </c>
      <c r="CV42" s="55">
        <f t="shared" si="8"/>
        <v>0</v>
      </c>
      <c r="CW42" s="51">
        <v>0</v>
      </c>
      <c r="CX42" s="51">
        <v>0</v>
      </c>
      <c r="CY42" s="51">
        <v>0</v>
      </c>
      <c r="CZ42" s="55">
        <f t="shared" si="91"/>
        <v>0</v>
      </c>
      <c r="DA42" s="51">
        <v>0</v>
      </c>
      <c r="DB42" s="51">
        <v>0</v>
      </c>
      <c r="DC42" s="51">
        <v>0</v>
      </c>
      <c r="DD42" s="55">
        <f t="shared" si="92"/>
        <v>0</v>
      </c>
      <c r="DE42" s="51"/>
      <c r="DF42" s="51"/>
      <c r="DG42" s="51"/>
      <c r="DH42" s="55">
        <f t="shared" si="62"/>
        <v>0</v>
      </c>
      <c r="DI42" s="55">
        <f t="shared" si="93"/>
        <v>0</v>
      </c>
      <c r="DJ42" s="55">
        <f t="shared" si="64"/>
        <v>0</v>
      </c>
      <c r="DK42" s="55">
        <f t="shared" si="65"/>
        <v>0</v>
      </c>
      <c r="DL42" s="56">
        <f t="shared" si="66"/>
        <v>0</v>
      </c>
      <c r="DN42" s="57">
        <f t="shared" si="94"/>
        <v>0</v>
      </c>
      <c r="DP42" s="118">
        <f t="shared" si="74"/>
        <v>0</v>
      </c>
      <c r="DR42" s="118">
        <f t="shared" si="95"/>
        <v>0</v>
      </c>
      <c r="DT42" s="118">
        <f t="shared" si="97"/>
        <v>0</v>
      </c>
    </row>
    <row r="43" spans="1:125" ht="14.25" customHeight="1" outlineLevel="1">
      <c r="A43" s="177" t="s">
        <v>1002</v>
      </c>
      <c r="B43" s="172">
        <f>'2017 預算'!C42</f>
        <v>5599361</v>
      </c>
      <c r="C43" s="179">
        <f>'2017 預算'!F42</f>
        <v>4644987</v>
      </c>
      <c r="D43" s="179">
        <f>'2017 預算'!I42</f>
        <v>3836889</v>
      </c>
      <c r="E43" s="180">
        <f t="shared" si="84"/>
        <v>14081237</v>
      </c>
      <c r="F43" s="179">
        <f>'2017 預算'!O42</f>
        <v>3895955</v>
      </c>
      <c r="G43" s="179">
        <f>'2017 預算'!R42</f>
        <v>2165183</v>
      </c>
      <c r="H43" s="179">
        <f>'2017 預算'!U42</f>
        <v>1755192</v>
      </c>
      <c r="I43" s="179">
        <f t="shared" si="85"/>
        <v>7816330</v>
      </c>
      <c r="J43" s="179">
        <f>'2017 預算'!AA42</f>
        <v>2260251</v>
      </c>
      <c r="K43" s="179">
        <f>'2017 預算'!AD42</f>
        <v>704027</v>
      </c>
      <c r="L43" s="179">
        <f>'2017 預算'!AG42</f>
        <v>0</v>
      </c>
      <c r="M43" s="179">
        <f t="shared" si="86"/>
        <v>2964278</v>
      </c>
      <c r="N43" s="179">
        <f>'2017 預算'!AM42</f>
        <v>0</v>
      </c>
      <c r="O43" s="179">
        <f>'2017 預算'!AP42</f>
        <v>0</v>
      </c>
      <c r="P43" s="179">
        <f>'2017 預算'!AS42</f>
        <v>0</v>
      </c>
      <c r="Q43" s="179">
        <f t="shared" si="87"/>
        <v>0</v>
      </c>
      <c r="R43" s="179">
        <f t="shared" si="88"/>
        <v>21897567</v>
      </c>
      <c r="S43" s="179">
        <f t="shared" si="89"/>
        <v>24861845</v>
      </c>
      <c r="T43" s="179">
        <f t="shared" si="90"/>
        <v>24861845</v>
      </c>
      <c r="U43" s="172">
        <v>19615</v>
      </c>
      <c r="V43" s="179">
        <v>2502663</v>
      </c>
      <c r="W43" s="179">
        <v>4209814</v>
      </c>
      <c r="X43" s="180">
        <v>6732092</v>
      </c>
      <c r="Y43" s="179">
        <v>2443825</v>
      </c>
      <c r="Z43" s="179">
        <v>608760</v>
      </c>
      <c r="AA43" s="179">
        <v>2095018</v>
      </c>
      <c r="AB43" s="179">
        <v>5147603</v>
      </c>
      <c r="AC43" s="179">
        <v>1708754</v>
      </c>
      <c r="AD43" s="179">
        <v>2330212</v>
      </c>
      <c r="AE43" s="179">
        <v>2630390</v>
      </c>
      <c r="AF43" s="179">
        <v>6669356</v>
      </c>
      <c r="AG43" s="179">
        <v>666357</v>
      </c>
      <c r="AH43" s="179">
        <v>592629</v>
      </c>
      <c r="AI43" s="179">
        <v>807763</v>
      </c>
      <c r="AJ43" s="179">
        <v>2066749</v>
      </c>
      <c r="AK43" s="179">
        <v>11879695</v>
      </c>
      <c r="AL43" s="179">
        <v>18549051</v>
      </c>
      <c r="AM43" s="384">
        <v>20615800</v>
      </c>
      <c r="AN43" s="172">
        <v>2780615</v>
      </c>
      <c r="AO43" s="172">
        <v>1118466</v>
      </c>
      <c r="AP43" s="172">
        <v>997749</v>
      </c>
      <c r="AQ43" s="173">
        <v>4896830</v>
      </c>
      <c r="AR43" s="174">
        <v>2473689</v>
      </c>
      <c r="AS43" s="174">
        <v>1892170</v>
      </c>
      <c r="AT43" s="174">
        <v>1041341</v>
      </c>
      <c r="AU43" s="173">
        <v>5407200</v>
      </c>
      <c r="AV43" s="87">
        <v>649885</v>
      </c>
      <c r="AW43" s="87">
        <v>2326972</v>
      </c>
      <c r="AX43" s="87">
        <v>2698283</v>
      </c>
      <c r="AY43" s="173">
        <v>5675140</v>
      </c>
      <c r="AZ43" s="45">
        <v>3439049</v>
      </c>
      <c r="BA43" s="45">
        <v>987461</v>
      </c>
      <c r="BB43" s="45">
        <v>98328</v>
      </c>
      <c r="BC43" s="173">
        <v>4524838</v>
      </c>
      <c r="BD43" s="173">
        <v>10304030</v>
      </c>
      <c r="BE43" s="86">
        <v>15979170</v>
      </c>
      <c r="BF43" s="173">
        <v>20504008</v>
      </c>
      <c r="BG43" s="175">
        <v>17319</v>
      </c>
      <c r="BH43" s="175">
        <v>1221200</v>
      </c>
      <c r="BI43" s="175">
        <v>373865</v>
      </c>
      <c r="BJ43" s="176">
        <v>1612384</v>
      </c>
      <c r="BK43" s="175">
        <v>1029079</v>
      </c>
      <c r="BL43" s="175">
        <v>532553</v>
      </c>
      <c r="BM43" s="175">
        <v>791422</v>
      </c>
      <c r="BN43" s="176">
        <v>2353054</v>
      </c>
      <c r="BO43" s="175">
        <v>317277</v>
      </c>
      <c r="BP43" s="175">
        <v>479471</v>
      </c>
      <c r="BQ43" s="175">
        <v>325014</v>
      </c>
      <c r="BR43" s="176">
        <v>1121762</v>
      </c>
      <c r="BS43" s="175">
        <v>1275906</v>
      </c>
      <c r="BT43" s="175">
        <v>37088</v>
      </c>
      <c r="BU43" s="47">
        <v>682840</v>
      </c>
      <c r="BV43" s="48">
        <v>1995834</v>
      </c>
      <c r="BW43" s="176">
        <v>3965438</v>
      </c>
      <c r="BX43" s="176">
        <v>5087200</v>
      </c>
      <c r="BY43" s="49">
        <v>7083034</v>
      </c>
      <c r="BZ43" s="51">
        <v>189678</v>
      </c>
      <c r="CA43" s="51">
        <v>1531918</v>
      </c>
      <c r="CB43" s="51">
        <v>219132</v>
      </c>
      <c r="CC43" s="52">
        <v>1940728</v>
      </c>
      <c r="CD43" s="51">
        <v>1677255</v>
      </c>
      <c r="CE43" s="51">
        <v>957140</v>
      </c>
      <c r="CF43" s="51">
        <v>777360</v>
      </c>
      <c r="CG43" s="52">
        <v>3411755</v>
      </c>
      <c r="CH43" s="51">
        <v>259142</v>
      </c>
      <c r="CI43" s="51">
        <v>284834</v>
      </c>
      <c r="CJ43" s="51">
        <v>1076333</v>
      </c>
      <c r="CK43" s="52">
        <v>1620309</v>
      </c>
      <c r="CL43" s="51">
        <v>1146111</v>
      </c>
      <c r="CM43" s="51">
        <v>480583</v>
      </c>
      <c r="CN43" s="51">
        <v>74132</v>
      </c>
      <c r="CO43" s="52">
        <v>1700826</v>
      </c>
      <c r="CP43" s="52">
        <v>5352483</v>
      </c>
      <c r="CQ43" s="52">
        <v>6972792</v>
      </c>
      <c r="CR43" s="53">
        <v>8673618</v>
      </c>
      <c r="CS43" s="51">
        <v>2007504</v>
      </c>
      <c r="CT43" s="51">
        <v>1520436</v>
      </c>
      <c r="CU43" s="51">
        <v>612724</v>
      </c>
      <c r="CV43" s="55">
        <f t="shared" si="8"/>
        <v>4140664</v>
      </c>
      <c r="CW43" s="51">
        <v>1406207</v>
      </c>
      <c r="CX43" s="51">
        <v>769310</v>
      </c>
      <c r="CY43" s="51">
        <v>1105201</v>
      </c>
      <c r="CZ43" s="55">
        <f>SUM(CW43:CY43)</f>
        <v>3280718</v>
      </c>
      <c r="DA43" s="51">
        <v>302045</v>
      </c>
      <c r="DB43" s="51">
        <v>368375</v>
      </c>
      <c r="DC43" s="51">
        <v>1121176</v>
      </c>
      <c r="DD43" s="55">
        <f t="shared" si="92"/>
        <v>1791596</v>
      </c>
      <c r="DE43" s="51">
        <v>1223402</v>
      </c>
      <c r="DF43" s="51">
        <v>320402</v>
      </c>
      <c r="DG43" s="51">
        <v>250230</v>
      </c>
      <c r="DH43" s="55">
        <f t="shared" si="62"/>
        <v>1794034</v>
      </c>
      <c r="DI43" s="55">
        <f t="shared" si="93"/>
        <v>7421382</v>
      </c>
      <c r="DJ43" s="55">
        <f t="shared" si="64"/>
        <v>9212978</v>
      </c>
      <c r="DK43" s="55">
        <f t="shared" si="65"/>
        <v>11007012</v>
      </c>
      <c r="DL43" s="56">
        <f t="shared" si="66"/>
        <v>-2333394</v>
      </c>
      <c r="DM43" s="4">
        <f>DL43/DK43</f>
        <v>-0.21199159226863748</v>
      </c>
      <c r="DN43" s="57">
        <f t="shared" si="94"/>
        <v>-1590584</v>
      </c>
      <c r="DO43" s="4">
        <f t="shared" si="75"/>
        <v>-0.18338183673756436</v>
      </c>
      <c r="DP43" s="118">
        <f t="shared" si="74"/>
        <v>13420974</v>
      </c>
      <c r="DQ43" s="4">
        <f t="shared" si="76"/>
        <v>1.8948058134409633</v>
      </c>
      <c r="DR43" s="118">
        <f t="shared" si="95"/>
        <v>4636630</v>
      </c>
      <c r="DS43" s="4">
        <f t="shared" si="96"/>
        <v>0.22613286143860264</v>
      </c>
      <c r="DT43" s="118">
        <f t="shared" si="97"/>
        <v>2142324</v>
      </c>
      <c r="DU43" s="4">
        <f t="shared" ref="DU43:DU44" si="99">DT43/BH43</f>
        <v>1.7542777595807402</v>
      </c>
    </row>
    <row r="44" spans="1:125" ht="14.25" customHeight="1" outlineLevel="1">
      <c r="A44" s="177" t="s">
        <v>1003</v>
      </c>
      <c r="B44" s="172">
        <f>'2017 預算'!C43</f>
        <v>368283</v>
      </c>
      <c r="C44" s="179">
        <f>'2017 預算'!F43</f>
        <v>252106</v>
      </c>
      <c r="D44" s="179">
        <f>'2017 預算'!I43</f>
        <v>140305</v>
      </c>
      <c r="E44" s="180">
        <f t="shared" si="84"/>
        <v>760694</v>
      </c>
      <c r="F44" s="179">
        <f>'2017 預算'!O43</f>
        <v>118770</v>
      </c>
      <c r="G44" s="179">
        <f>'2017 預算'!R43</f>
        <v>230411</v>
      </c>
      <c r="H44" s="179">
        <f>'2017 預算'!U43</f>
        <v>277435</v>
      </c>
      <c r="I44" s="179">
        <f t="shared" si="85"/>
        <v>626616</v>
      </c>
      <c r="J44" s="179">
        <f>'2017 預算'!AA43</f>
        <v>178264</v>
      </c>
      <c r="K44" s="179">
        <f>'2017 預算'!AD43</f>
        <v>416667</v>
      </c>
      <c r="L44" s="179">
        <f>'2017 預算'!AG43</f>
        <v>0</v>
      </c>
      <c r="M44" s="179">
        <f t="shared" si="86"/>
        <v>594931</v>
      </c>
      <c r="N44" s="179">
        <f>'2017 預算'!AM43</f>
        <v>0</v>
      </c>
      <c r="O44" s="179">
        <f>'2017 預算'!AP43</f>
        <v>0</v>
      </c>
      <c r="P44" s="179">
        <f>'2017 預算'!AS43</f>
        <v>0</v>
      </c>
      <c r="Q44" s="179">
        <f t="shared" si="87"/>
        <v>0</v>
      </c>
      <c r="R44" s="179">
        <f t="shared" si="88"/>
        <v>1387310</v>
      </c>
      <c r="S44" s="179">
        <f t="shared" si="89"/>
        <v>1982241</v>
      </c>
      <c r="T44" s="179">
        <f t="shared" si="90"/>
        <v>1982241</v>
      </c>
      <c r="U44" s="172">
        <v>202020</v>
      </c>
      <c r="V44" s="179">
        <v>134886</v>
      </c>
      <c r="W44" s="179">
        <v>236582</v>
      </c>
      <c r="X44" s="180">
        <v>573488</v>
      </c>
      <c r="Y44" s="179">
        <v>144646</v>
      </c>
      <c r="Z44" s="179">
        <v>172593</v>
      </c>
      <c r="AA44" s="179">
        <v>272892</v>
      </c>
      <c r="AB44" s="179">
        <v>590131</v>
      </c>
      <c r="AC44" s="179">
        <v>234369</v>
      </c>
      <c r="AD44" s="179">
        <v>147568</v>
      </c>
      <c r="AE44" s="179">
        <v>145610</v>
      </c>
      <c r="AF44" s="179">
        <v>527547</v>
      </c>
      <c r="AG44" s="179">
        <v>223107</v>
      </c>
      <c r="AH44" s="179">
        <v>293346</v>
      </c>
      <c r="AI44" s="179">
        <v>198750</v>
      </c>
      <c r="AJ44" s="179">
        <v>715203</v>
      </c>
      <c r="AK44" s="179">
        <v>1163619</v>
      </c>
      <c r="AL44" s="179">
        <v>1691166</v>
      </c>
      <c r="AM44" s="384">
        <v>2406369</v>
      </c>
      <c r="AN44" s="172">
        <v>53875</v>
      </c>
      <c r="AO44" s="172">
        <v>41285</v>
      </c>
      <c r="AP44" s="172">
        <v>266839</v>
      </c>
      <c r="AQ44" s="173">
        <v>361999</v>
      </c>
      <c r="AR44" s="174">
        <v>247053</v>
      </c>
      <c r="AS44" s="174">
        <v>164704</v>
      </c>
      <c r="AT44" s="174">
        <v>189360</v>
      </c>
      <c r="AU44" s="173">
        <v>601117</v>
      </c>
      <c r="AV44" s="87">
        <v>162011</v>
      </c>
      <c r="AW44" s="87">
        <v>86240</v>
      </c>
      <c r="AX44" s="87">
        <v>80408</v>
      </c>
      <c r="AY44" s="173">
        <v>328659</v>
      </c>
      <c r="AZ44" s="45">
        <v>133374</v>
      </c>
      <c r="BA44" s="45">
        <v>66607</v>
      </c>
      <c r="BB44" s="45">
        <v>200401</v>
      </c>
      <c r="BC44" s="173">
        <v>400382</v>
      </c>
      <c r="BD44" s="173">
        <v>963116</v>
      </c>
      <c r="BE44" s="86">
        <v>1291775</v>
      </c>
      <c r="BF44" s="173">
        <v>1692157</v>
      </c>
      <c r="BG44" s="175">
        <v>54579</v>
      </c>
      <c r="BH44" s="175">
        <v>80479</v>
      </c>
      <c r="BI44" s="175">
        <v>77281</v>
      </c>
      <c r="BJ44" s="176">
        <v>212339</v>
      </c>
      <c r="BK44" s="175">
        <v>61598</v>
      </c>
      <c r="BL44" s="175">
        <v>114405</v>
      </c>
      <c r="BM44" s="175">
        <v>143187</v>
      </c>
      <c r="BN44" s="176">
        <v>319190</v>
      </c>
      <c r="BO44" s="175">
        <v>221396</v>
      </c>
      <c r="BP44" s="175">
        <v>58806</v>
      </c>
      <c r="BQ44" s="175">
        <v>101358</v>
      </c>
      <c r="BR44" s="176">
        <v>381560</v>
      </c>
      <c r="BS44" s="175">
        <v>72996</v>
      </c>
      <c r="BT44" s="175">
        <v>57135</v>
      </c>
      <c r="BU44" s="47">
        <v>29357</v>
      </c>
      <c r="BV44" s="48">
        <v>159488</v>
      </c>
      <c r="BW44" s="176">
        <v>531529</v>
      </c>
      <c r="BX44" s="176">
        <v>913089</v>
      </c>
      <c r="BY44" s="49">
        <v>1072577</v>
      </c>
      <c r="BZ44" s="51">
        <v>130059</v>
      </c>
      <c r="CA44" s="51">
        <v>169680</v>
      </c>
      <c r="CB44" s="51">
        <v>97150</v>
      </c>
      <c r="CC44" s="52">
        <v>396889</v>
      </c>
      <c r="CD44" s="51">
        <v>99482</v>
      </c>
      <c r="CE44" s="51">
        <v>168683</v>
      </c>
      <c r="CF44" s="51">
        <v>120618</v>
      </c>
      <c r="CG44" s="52">
        <v>388783</v>
      </c>
      <c r="CH44" s="51">
        <v>115196</v>
      </c>
      <c r="CI44" s="51">
        <v>162767</v>
      </c>
      <c r="CJ44" s="51">
        <v>83171</v>
      </c>
      <c r="CK44" s="52">
        <v>361134</v>
      </c>
      <c r="CL44" s="51">
        <v>70915</v>
      </c>
      <c r="CM44" s="51">
        <v>47457</v>
      </c>
      <c r="CN44" s="51">
        <v>97345</v>
      </c>
      <c r="CO44" s="52">
        <v>215717</v>
      </c>
      <c r="CP44" s="52">
        <v>785672</v>
      </c>
      <c r="CQ44" s="52">
        <v>1146806</v>
      </c>
      <c r="CR44" s="53">
        <v>1362523</v>
      </c>
      <c r="CS44" s="51">
        <v>123728</v>
      </c>
      <c r="CT44" s="51">
        <v>78057</v>
      </c>
      <c r="CU44" s="51">
        <v>133736</v>
      </c>
      <c r="CV44" s="55">
        <f t="shared" si="8"/>
        <v>335521</v>
      </c>
      <c r="CW44" s="51">
        <v>126471</v>
      </c>
      <c r="CX44" s="51">
        <v>114013</v>
      </c>
      <c r="CY44" s="51">
        <v>59428</v>
      </c>
      <c r="CZ44" s="55">
        <f>SUM(CW44:CY44)</f>
        <v>299912</v>
      </c>
      <c r="DA44" s="51">
        <v>137538</v>
      </c>
      <c r="DB44" s="51">
        <v>66884</v>
      </c>
      <c r="DC44" s="51">
        <v>73526</v>
      </c>
      <c r="DD44" s="55">
        <f t="shared" si="92"/>
        <v>277948</v>
      </c>
      <c r="DE44" s="51">
        <v>141683</v>
      </c>
      <c r="DF44" s="51">
        <v>107034</v>
      </c>
      <c r="DG44" s="51">
        <v>81456</v>
      </c>
      <c r="DH44" s="55">
        <f t="shared" si="62"/>
        <v>330173</v>
      </c>
      <c r="DI44" s="55">
        <f t="shared" si="93"/>
        <v>635433</v>
      </c>
      <c r="DJ44" s="55">
        <f t="shared" si="64"/>
        <v>913381</v>
      </c>
      <c r="DK44" s="55">
        <f t="shared" si="65"/>
        <v>1243554</v>
      </c>
      <c r="DL44" s="56">
        <f t="shared" si="66"/>
        <v>118969</v>
      </c>
      <c r="DM44" s="4">
        <f>DL44/DK44</f>
        <v>9.5668543545354687E-2</v>
      </c>
      <c r="DN44" s="57">
        <f t="shared" si="94"/>
        <v>-289946</v>
      </c>
      <c r="DO44" s="4">
        <f t="shared" si="75"/>
        <v>-0.21280081143584362</v>
      </c>
      <c r="DP44" s="118">
        <f t="shared" si="74"/>
        <v>619580</v>
      </c>
      <c r="DQ44" s="4">
        <f t="shared" si="76"/>
        <v>0.57765549699462138</v>
      </c>
      <c r="DR44" s="118">
        <f t="shared" si="95"/>
        <v>1114594</v>
      </c>
      <c r="DS44" s="4">
        <f t="shared" si="96"/>
        <v>0.65868237994465051</v>
      </c>
      <c r="DT44" s="118">
        <f t="shared" si="97"/>
        <v>117220</v>
      </c>
      <c r="DU44" s="4">
        <f t="shared" si="99"/>
        <v>1.4565290324183948</v>
      </c>
    </row>
    <row r="45" spans="1:125" ht="14.25" customHeight="1" outlineLevel="1">
      <c r="A45" s="177" t="s">
        <v>1004</v>
      </c>
      <c r="B45" s="172">
        <f>'2017 預算'!C44</f>
        <v>0</v>
      </c>
      <c r="C45" s="179">
        <f>'2017 預算'!F44</f>
        <v>0</v>
      </c>
      <c r="D45" s="179">
        <f>'2017 預算'!I44</f>
        <v>0</v>
      </c>
      <c r="E45" s="180">
        <f t="shared" si="84"/>
        <v>0</v>
      </c>
      <c r="F45" s="179">
        <f>'2017 預算'!O44</f>
        <v>0</v>
      </c>
      <c r="G45" s="179">
        <f>'2017 預算'!R44</f>
        <v>0</v>
      </c>
      <c r="H45" s="179">
        <f>'2017 預算'!U44</f>
        <v>0</v>
      </c>
      <c r="I45" s="179">
        <f t="shared" si="85"/>
        <v>0</v>
      </c>
      <c r="J45" s="179">
        <f>'2017 預算'!AA44</f>
        <v>0</v>
      </c>
      <c r="K45" s="179">
        <f>'2017 預算'!AD44</f>
        <v>0</v>
      </c>
      <c r="L45" s="179">
        <f>'2017 預算'!AG44</f>
        <v>0</v>
      </c>
      <c r="M45" s="179">
        <f t="shared" si="86"/>
        <v>0</v>
      </c>
      <c r="N45" s="179">
        <f>'2017 預算'!AM44</f>
        <v>0</v>
      </c>
      <c r="O45" s="179">
        <f>'2017 預算'!AP44</f>
        <v>0</v>
      </c>
      <c r="P45" s="179">
        <f>'2017 預算'!AS44</f>
        <v>0</v>
      </c>
      <c r="Q45" s="179">
        <f t="shared" si="87"/>
        <v>0</v>
      </c>
      <c r="R45" s="179">
        <f t="shared" si="88"/>
        <v>0</v>
      </c>
      <c r="S45" s="179">
        <f t="shared" si="89"/>
        <v>0</v>
      </c>
      <c r="T45" s="179">
        <f t="shared" si="90"/>
        <v>0</v>
      </c>
      <c r="U45" s="172">
        <v>0</v>
      </c>
      <c r="V45" s="179">
        <v>0</v>
      </c>
      <c r="W45" s="179">
        <v>0</v>
      </c>
      <c r="X45" s="180">
        <v>0</v>
      </c>
      <c r="Y45" s="179">
        <v>0</v>
      </c>
      <c r="Z45" s="179">
        <v>0</v>
      </c>
      <c r="AA45" s="179">
        <v>0</v>
      </c>
      <c r="AB45" s="179">
        <v>0</v>
      </c>
      <c r="AC45" s="179">
        <v>0</v>
      </c>
      <c r="AD45" s="179">
        <v>0</v>
      </c>
      <c r="AE45" s="179">
        <v>0</v>
      </c>
      <c r="AF45" s="179">
        <v>0</v>
      </c>
      <c r="AG45" s="179">
        <v>0</v>
      </c>
      <c r="AH45" s="179">
        <v>0</v>
      </c>
      <c r="AI45" s="179">
        <v>0</v>
      </c>
      <c r="AJ45" s="179">
        <v>0</v>
      </c>
      <c r="AK45" s="179">
        <v>0</v>
      </c>
      <c r="AL45" s="179">
        <v>0</v>
      </c>
      <c r="AM45" s="384">
        <v>0</v>
      </c>
      <c r="AN45" s="172">
        <v>0</v>
      </c>
      <c r="AO45" s="172">
        <v>0</v>
      </c>
      <c r="AP45" s="172">
        <v>0</v>
      </c>
      <c r="AQ45" s="173">
        <v>0</v>
      </c>
      <c r="AR45" s="174">
        <v>0</v>
      </c>
      <c r="AS45" s="174">
        <v>0</v>
      </c>
      <c r="AT45" s="174">
        <v>0</v>
      </c>
      <c r="AU45" s="173">
        <v>0</v>
      </c>
      <c r="AV45" s="87">
        <v>0</v>
      </c>
      <c r="AW45" s="87">
        <v>0</v>
      </c>
      <c r="AX45" s="87">
        <v>0</v>
      </c>
      <c r="AY45" s="173">
        <v>0</v>
      </c>
      <c r="AZ45" s="45">
        <v>0</v>
      </c>
      <c r="BA45" s="45">
        <v>0</v>
      </c>
      <c r="BB45" s="45">
        <v>0</v>
      </c>
      <c r="BC45" s="173">
        <v>0</v>
      </c>
      <c r="BD45" s="173">
        <v>0</v>
      </c>
      <c r="BE45" s="86">
        <v>0</v>
      </c>
      <c r="BF45" s="173">
        <v>0</v>
      </c>
      <c r="BG45" s="175"/>
      <c r="BH45" s="175"/>
      <c r="BI45" s="175">
        <v>0</v>
      </c>
      <c r="BJ45" s="176">
        <v>0</v>
      </c>
      <c r="BK45" s="175">
        <v>0</v>
      </c>
      <c r="BL45" s="175"/>
      <c r="BM45" s="175"/>
      <c r="BN45" s="176">
        <v>0</v>
      </c>
      <c r="BO45" s="175"/>
      <c r="BP45" s="175"/>
      <c r="BQ45" s="175"/>
      <c r="BR45" s="176">
        <v>0</v>
      </c>
      <c r="BS45" s="175"/>
      <c r="BT45" s="175"/>
      <c r="BU45" s="47"/>
      <c r="BV45" s="48">
        <v>0</v>
      </c>
      <c r="BW45" s="176">
        <v>0</v>
      </c>
      <c r="BX45" s="176">
        <v>0</v>
      </c>
      <c r="BY45" s="49">
        <v>0</v>
      </c>
      <c r="BZ45" s="51">
        <v>0</v>
      </c>
      <c r="CA45" s="51">
        <v>0</v>
      </c>
      <c r="CB45" s="51">
        <v>0</v>
      </c>
      <c r="CC45" s="52">
        <v>0</v>
      </c>
      <c r="CD45" s="51">
        <v>0</v>
      </c>
      <c r="CE45" s="51">
        <v>0</v>
      </c>
      <c r="CF45" s="51">
        <v>0</v>
      </c>
      <c r="CG45" s="52">
        <v>0</v>
      </c>
      <c r="CH45" s="51">
        <v>0</v>
      </c>
      <c r="CI45" s="51">
        <v>0</v>
      </c>
      <c r="CJ45" s="51">
        <v>0</v>
      </c>
      <c r="CK45" s="52">
        <v>0</v>
      </c>
      <c r="CL45" s="51"/>
      <c r="CM45" s="51"/>
      <c r="CN45" s="51"/>
      <c r="CO45" s="52">
        <v>0</v>
      </c>
      <c r="CP45" s="52">
        <v>0</v>
      </c>
      <c r="CQ45" s="52">
        <v>0</v>
      </c>
      <c r="CR45" s="53">
        <v>0</v>
      </c>
      <c r="CS45" s="51">
        <v>0</v>
      </c>
      <c r="CT45" s="51">
        <v>0</v>
      </c>
      <c r="CU45" s="51">
        <v>0</v>
      </c>
      <c r="CV45" s="55">
        <f t="shared" si="8"/>
        <v>0</v>
      </c>
      <c r="CW45" s="51">
        <v>0</v>
      </c>
      <c r="CX45" s="51">
        <v>0</v>
      </c>
      <c r="CY45" s="51">
        <v>0</v>
      </c>
      <c r="CZ45" s="55">
        <f>SUM(CW45:CY45)</f>
        <v>0</v>
      </c>
      <c r="DA45" s="51">
        <v>0</v>
      </c>
      <c r="DB45" s="51">
        <v>0</v>
      </c>
      <c r="DC45" s="51">
        <v>0</v>
      </c>
      <c r="DD45" s="55">
        <f t="shared" si="92"/>
        <v>0</v>
      </c>
      <c r="DE45" s="51"/>
      <c r="DF45" s="51"/>
      <c r="DG45" s="51"/>
      <c r="DH45" s="55">
        <f t="shared" si="62"/>
        <v>0</v>
      </c>
      <c r="DI45" s="55">
        <f t="shared" si="93"/>
        <v>0</v>
      </c>
      <c r="DJ45" s="55">
        <f t="shared" si="64"/>
        <v>0</v>
      </c>
      <c r="DK45" s="55">
        <f t="shared" si="65"/>
        <v>0</v>
      </c>
      <c r="DL45" s="56">
        <f t="shared" si="66"/>
        <v>0</v>
      </c>
      <c r="DN45" s="57">
        <f t="shared" si="94"/>
        <v>0</v>
      </c>
      <c r="DP45" s="118">
        <f t="shared" si="74"/>
        <v>0</v>
      </c>
      <c r="DR45" s="118">
        <f t="shared" si="95"/>
        <v>0</v>
      </c>
      <c r="DT45" s="118">
        <f t="shared" si="97"/>
        <v>0</v>
      </c>
    </row>
    <row r="46" spans="1:125" ht="14.25" customHeight="1" outlineLevel="1">
      <c r="A46" s="177" t="s">
        <v>1005</v>
      </c>
      <c r="B46" s="896">
        <f>'2017 預算'!C45</f>
        <v>0</v>
      </c>
      <c r="C46" s="898">
        <f>'2017 預算'!F45</f>
        <v>0</v>
      </c>
      <c r="D46" s="898">
        <f>'2017 預算'!I45</f>
        <v>0</v>
      </c>
      <c r="E46" s="180">
        <f t="shared" si="84"/>
        <v>0</v>
      </c>
      <c r="F46" s="179">
        <f>'2017 預算'!O45</f>
        <v>133996</v>
      </c>
      <c r="G46" s="179">
        <f>'2017 預算'!R45</f>
        <v>0</v>
      </c>
      <c r="H46" s="898">
        <f>'2017 預算'!U45</f>
        <v>0</v>
      </c>
      <c r="I46" s="179">
        <f t="shared" si="85"/>
        <v>133996</v>
      </c>
      <c r="J46" s="179">
        <f>'2017 預算'!AA45</f>
        <v>0</v>
      </c>
      <c r="K46" s="179">
        <f>'2017 預算'!AD45</f>
        <v>0</v>
      </c>
      <c r="L46" s="179">
        <f>'2017 預算'!AG45</f>
        <v>0</v>
      </c>
      <c r="M46" s="179">
        <f t="shared" si="86"/>
        <v>0</v>
      </c>
      <c r="N46" s="179">
        <f>'2017 預算'!AM45</f>
        <v>0</v>
      </c>
      <c r="O46" s="179">
        <f>'2017 預算'!AP45</f>
        <v>0</v>
      </c>
      <c r="P46" s="179">
        <f>'2017 預算'!AS45</f>
        <v>0</v>
      </c>
      <c r="Q46" s="179">
        <f t="shared" si="87"/>
        <v>0</v>
      </c>
      <c r="R46" s="179">
        <f t="shared" si="88"/>
        <v>133996</v>
      </c>
      <c r="S46" s="179">
        <f t="shared" si="89"/>
        <v>133996</v>
      </c>
      <c r="T46" s="179">
        <f t="shared" si="90"/>
        <v>133996</v>
      </c>
      <c r="U46" s="172">
        <v>0</v>
      </c>
      <c r="V46" s="179">
        <v>0</v>
      </c>
      <c r="W46" s="179">
        <v>0</v>
      </c>
      <c r="X46" s="180">
        <v>0</v>
      </c>
      <c r="Y46" s="179">
        <v>0</v>
      </c>
      <c r="Z46" s="179">
        <v>0</v>
      </c>
      <c r="AA46" s="179">
        <v>0</v>
      </c>
      <c r="AB46" s="179">
        <v>0</v>
      </c>
      <c r="AC46" s="179">
        <v>0</v>
      </c>
      <c r="AD46" s="179">
        <v>0</v>
      </c>
      <c r="AE46" s="179">
        <v>0</v>
      </c>
      <c r="AF46" s="179">
        <v>0</v>
      </c>
      <c r="AG46" s="179">
        <v>0</v>
      </c>
      <c r="AH46" s="179">
        <v>0</v>
      </c>
      <c r="AI46" s="179">
        <f>19969-19969</f>
        <v>0</v>
      </c>
      <c r="AJ46" s="179">
        <f>19969-19969</f>
        <v>0</v>
      </c>
      <c r="AK46" s="179">
        <v>0</v>
      </c>
      <c r="AL46" s="179">
        <v>0</v>
      </c>
      <c r="AM46" s="384">
        <f>19969-19969</f>
        <v>0</v>
      </c>
      <c r="AN46" s="172">
        <v>0</v>
      </c>
      <c r="AO46" s="172">
        <v>0</v>
      </c>
      <c r="AP46" s="172">
        <v>0</v>
      </c>
      <c r="AQ46" s="173">
        <v>0</v>
      </c>
      <c r="AR46" s="174">
        <v>0</v>
      </c>
      <c r="AS46" s="174">
        <v>0</v>
      </c>
      <c r="AT46" s="174">
        <v>0</v>
      </c>
      <c r="AU46" s="173">
        <v>0</v>
      </c>
      <c r="AV46" s="87">
        <v>0</v>
      </c>
      <c r="AW46" s="87">
        <v>0</v>
      </c>
      <c r="AX46" s="87">
        <v>0</v>
      </c>
      <c r="AY46" s="173">
        <v>0</v>
      </c>
      <c r="AZ46" s="45">
        <v>0</v>
      </c>
      <c r="BA46" s="45">
        <v>0</v>
      </c>
      <c r="BB46" s="45">
        <v>0</v>
      </c>
      <c r="BC46" s="173">
        <v>0</v>
      </c>
      <c r="BD46" s="173">
        <v>0</v>
      </c>
      <c r="BE46" s="86">
        <v>0</v>
      </c>
      <c r="BF46" s="173">
        <v>0</v>
      </c>
      <c r="BG46" s="175"/>
      <c r="BH46" s="175"/>
      <c r="BI46" s="175">
        <v>0</v>
      </c>
      <c r="BJ46" s="176">
        <v>0</v>
      </c>
      <c r="BK46" s="175">
        <v>0</v>
      </c>
      <c r="BL46" s="175"/>
      <c r="BM46" s="175"/>
      <c r="BN46" s="176">
        <v>0</v>
      </c>
      <c r="BO46" s="175"/>
      <c r="BP46" s="175"/>
      <c r="BQ46" s="175"/>
      <c r="BR46" s="176">
        <v>0</v>
      </c>
      <c r="BS46" s="175"/>
      <c r="BT46" s="175"/>
      <c r="BU46" s="47">
        <v>0</v>
      </c>
      <c r="BV46" s="48">
        <v>0</v>
      </c>
      <c r="BW46" s="176">
        <v>0</v>
      </c>
      <c r="BX46" s="176">
        <v>0</v>
      </c>
      <c r="BY46" s="49">
        <v>0</v>
      </c>
      <c r="BZ46" s="51">
        <v>0</v>
      </c>
      <c r="CA46" s="51">
        <v>0</v>
      </c>
      <c r="CB46" s="51">
        <v>3540</v>
      </c>
      <c r="CC46" s="52">
        <v>3540</v>
      </c>
      <c r="CD46" s="51">
        <v>280</v>
      </c>
      <c r="CE46" s="51">
        <v>0</v>
      </c>
      <c r="CF46" s="51">
        <v>0</v>
      </c>
      <c r="CG46" s="52">
        <v>280</v>
      </c>
      <c r="CH46" s="51">
        <v>0</v>
      </c>
      <c r="CI46" s="51">
        <v>0</v>
      </c>
      <c r="CJ46" s="51">
        <v>0</v>
      </c>
      <c r="CK46" s="52">
        <v>0</v>
      </c>
      <c r="CL46" s="51"/>
      <c r="CM46" s="51"/>
      <c r="CN46" s="51"/>
      <c r="CO46" s="52">
        <v>0</v>
      </c>
      <c r="CP46" s="52">
        <v>3820</v>
      </c>
      <c r="CQ46" s="52">
        <v>3820</v>
      </c>
      <c r="CR46" s="53">
        <v>3820</v>
      </c>
      <c r="CS46" s="51">
        <v>0</v>
      </c>
      <c r="CT46" s="51">
        <v>0</v>
      </c>
      <c r="CU46" s="51">
        <v>0</v>
      </c>
      <c r="CV46" s="55">
        <f t="shared" si="8"/>
        <v>0</v>
      </c>
      <c r="CW46" s="51">
        <v>0</v>
      </c>
      <c r="CX46" s="51">
        <v>0</v>
      </c>
      <c r="CY46" s="51">
        <v>0</v>
      </c>
      <c r="CZ46" s="55">
        <f>SUM(CW46:CY46)</f>
        <v>0</v>
      </c>
      <c r="DA46" s="51">
        <v>0</v>
      </c>
      <c r="DB46" s="51">
        <v>0</v>
      </c>
      <c r="DC46" s="51">
        <v>0</v>
      </c>
      <c r="DD46" s="55">
        <f t="shared" si="92"/>
        <v>0</v>
      </c>
      <c r="DE46" s="51"/>
      <c r="DF46" s="51"/>
      <c r="DG46" s="51"/>
      <c r="DH46" s="55">
        <f t="shared" si="62"/>
        <v>0</v>
      </c>
      <c r="DI46" s="55">
        <f t="shared" si="93"/>
        <v>0</v>
      </c>
      <c r="DJ46" s="55">
        <f t="shared" si="64"/>
        <v>0</v>
      </c>
      <c r="DK46" s="55">
        <f t="shared" si="65"/>
        <v>0</v>
      </c>
      <c r="DL46" s="56">
        <f t="shared" si="66"/>
        <v>3820</v>
      </c>
      <c r="DN46" s="57">
        <f t="shared" si="94"/>
        <v>-3820</v>
      </c>
      <c r="DO46" s="4">
        <f t="shared" si="75"/>
        <v>-1</v>
      </c>
      <c r="DP46" s="118">
        <f t="shared" si="74"/>
        <v>0</v>
      </c>
      <c r="DR46" s="118">
        <f t="shared" si="95"/>
        <v>0</v>
      </c>
      <c r="DT46" s="118">
        <f t="shared" si="97"/>
        <v>0</v>
      </c>
    </row>
    <row r="47" spans="1:125" outlineLevel="1">
      <c r="A47" s="181" t="s">
        <v>995</v>
      </c>
      <c r="B47" s="182">
        <f t="shared" ref="B47:D47" si="100">SUM(B38:B46)</f>
        <v>5993945</v>
      </c>
      <c r="C47" s="184">
        <f t="shared" si="100"/>
        <v>4971920</v>
      </c>
      <c r="D47" s="184">
        <f t="shared" si="100"/>
        <v>4047156</v>
      </c>
      <c r="E47" s="184">
        <f t="shared" si="84"/>
        <v>15013021</v>
      </c>
      <c r="F47" s="184">
        <f t="shared" ref="F47:H47" si="101">SUM(F38:F46)</f>
        <v>4242709</v>
      </c>
      <c r="G47" s="184">
        <f t="shared" si="101"/>
        <v>2487538</v>
      </c>
      <c r="H47" s="184">
        <f t="shared" si="101"/>
        <v>2145488</v>
      </c>
      <c r="I47" s="184">
        <f>SUM(I38:I46)</f>
        <v>8875735</v>
      </c>
      <c r="J47" s="184">
        <f t="shared" ref="J47:S47" si="102">SUM(J38:J46)</f>
        <v>2535267</v>
      </c>
      <c r="K47" s="184">
        <f t="shared" si="102"/>
        <v>1238320</v>
      </c>
      <c r="L47" s="184">
        <f t="shared" si="102"/>
        <v>0</v>
      </c>
      <c r="M47" s="184">
        <f t="shared" si="102"/>
        <v>3773587</v>
      </c>
      <c r="N47" s="184">
        <f t="shared" si="102"/>
        <v>0</v>
      </c>
      <c r="O47" s="184">
        <f t="shared" si="102"/>
        <v>0</v>
      </c>
      <c r="P47" s="184">
        <f t="shared" si="102"/>
        <v>0</v>
      </c>
      <c r="Q47" s="184">
        <f t="shared" si="102"/>
        <v>0</v>
      </c>
      <c r="R47" s="184">
        <f t="shared" si="102"/>
        <v>23888756</v>
      </c>
      <c r="S47" s="184">
        <f t="shared" si="102"/>
        <v>27662343</v>
      </c>
      <c r="T47" s="184">
        <f t="shared" si="90"/>
        <v>27662343</v>
      </c>
      <c r="U47" s="182">
        <v>247579</v>
      </c>
      <c r="V47" s="184">
        <v>2637549</v>
      </c>
      <c r="W47" s="184">
        <v>4446396</v>
      </c>
      <c r="X47" s="184">
        <v>7331524</v>
      </c>
      <c r="Y47" s="184">
        <v>2588471</v>
      </c>
      <c r="Z47" s="184">
        <v>804901</v>
      </c>
      <c r="AA47" s="184">
        <v>2431586</v>
      </c>
      <c r="AB47" s="184">
        <v>5824958</v>
      </c>
      <c r="AC47" s="184">
        <v>2032118</v>
      </c>
      <c r="AD47" s="184">
        <v>2539935</v>
      </c>
      <c r="AE47" s="184">
        <v>2806610</v>
      </c>
      <c r="AF47" s="184">
        <v>7378663</v>
      </c>
      <c r="AG47" s="184">
        <v>913858</v>
      </c>
      <c r="AH47" s="184">
        <v>887538</v>
      </c>
      <c r="AI47" s="184">
        <f t="shared" ref="AI47:AL47" si="103">SUM(AI38:AI46)</f>
        <v>1096153</v>
      </c>
      <c r="AJ47" s="184">
        <f t="shared" si="103"/>
        <v>2897549</v>
      </c>
      <c r="AK47" s="184">
        <f t="shared" si="103"/>
        <v>13156482</v>
      </c>
      <c r="AL47" s="184">
        <f t="shared" si="103"/>
        <v>20535145</v>
      </c>
      <c r="AM47" s="385">
        <f>SUM(AM38:AM46)</f>
        <v>23432694</v>
      </c>
      <c r="AN47" s="182">
        <v>2834490</v>
      </c>
      <c r="AO47" s="182">
        <v>1159751</v>
      </c>
      <c r="AP47" s="182">
        <v>1279163</v>
      </c>
      <c r="AQ47" s="185">
        <v>5273404</v>
      </c>
      <c r="AR47" s="186">
        <v>2720742</v>
      </c>
      <c r="AS47" s="186">
        <v>2056874</v>
      </c>
      <c r="AT47" s="186">
        <v>1230701</v>
      </c>
      <c r="AU47" s="185">
        <v>6008317</v>
      </c>
      <c r="AV47" s="186">
        <v>827512</v>
      </c>
      <c r="AW47" s="186">
        <v>2413212</v>
      </c>
      <c r="AX47" s="186">
        <v>2793266</v>
      </c>
      <c r="AY47" s="185">
        <v>6033990</v>
      </c>
      <c r="AZ47" s="186">
        <v>3662998</v>
      </c>
      <c r="BA47" s="186">
        <v>1105394</v>
      </c>
      <c r="BB47" s="186">
        <v>335896</v>
      </c>
      <c r="BC47" s="185">
        <v>5104288</v>
      </c>
      <c r="BD47" s="185">
        <v>11281721</v>
      </c>
      <c r="BE47" s="185">
        <v>17315711</v>
      </c>
      <c r="BF47" s="185">
        <v>22419999</v>
      </c>
      <c r="BG47" s="138">
        <v>71898</v>
      </c>
      <c r="BH47" s="138">
        <v>1301679</v>
      </c>
      <c r="BI47" s="138">
        <v>451146</v>
      </c>
      <c r="BJ47" s="187">
        <v>1824723</v>
      </c>
      <c r="BK47" s="138">
        <v>1090677</v>
      </c>
      <c r="BL47" s="138">
        <v>646958</v>
      </c>
      <c r="BM47" s="138">
        <v>934609</v>
      </c>
      <c r="BN47" s="187">
        <v>2672244</v>
      </c>
      <c r="BO47" s="138">
        <v>538673</v>
      </c>
      <c r="BP47" s="138">
        <v>538277</v>
      </c>
      <c r="BQ47" s="138">
        <v>426372</v>
      </c>
      <c r="BR47" s="187">
        <v>1503322</v>
      </c>
      <c r="BS47" s="138">
        <v>1348902</v>
      </c>
      <c r="BT47" s="138">
        <v>94223</v>
      </c>
      <c r="BU47" s="136">
        <v>712197</v>
      </c>
      <c r="BV47" s="188">
        <v>2155322</v>
      </c>
      <c r="BW47" s="187">
        <v>4496967</v>
      </c>
      <c r="BX47" s="187">
        <v>6000289</v>
      </c>
      <c r="BY47" s="187">
        <v>8155611</v>
      </c>
      <c r="BZ47" s="138">
        <v>859737</v>
      </c>
      <c r="CA47" s="138">
        <v>1701598</v>
      </c>
      <c r="CB47" s="138">
        <v>319822</v>
      </c>
      <c r="CC47" s="139">
        <v>2881157</v>
      </c>
      <c r="CD47" s="138">
        <v>1777017</v>
      </c>
      <c r="CE47" s="138">
        <v>1125823</v>
      </c>
      <c r="CF47" s="138">
        <v>897978</v>
      </c>
      <c r="CG47" s="139">
        <v>3800818</v>
      </c>
      <c r="CH47" s="138">
        <v>374338</v>
      </c>
      <c r="CI47" s="138">
        <v>447601</v>
      </c>
      <c r="CJ47" s="138">
        <v>1159504</v>
      </c>
      <c r="CK47" s="139">
        <v>1981443</v>
      </c>
      <c r="CL47" s="138">
        <v>1217026</v>
      </c>
      <c r="CM47" s="138">
        <v>528040</v>
      </c>
      <c r="CN47" s="138">
        <v>171477</v>
      </c>
      <c r="CO47" s="139">
        <v>1916543</v>
      </c>
      <c r="CP47" s="139">
        <v>6681975</v>
      </c>
      <c r="CQ47" s="139">
        <v>8663418</v>
      </c>
      <c r="CR47" s="140">
        <v>10579961</v>
      </c>
      <c r="CS47" s="138">
        <v>2131232</v>
      </c>
      <c r="CT47" s="138">
        <v>1600205</v>
      </c>
      <c r="CU47" s="138">
        <f>SUM(CU38:CU46)</f>
        <v>746460</v>
      </c>
      <c r="CV47" s="142">
        <f t="shared" si="8"/>
        <v>4477897</v>
      </c>
      <c r="CW47" s="138">
        <v>1532678</v>
      </c>
      <c r="CX47" s="138">
        <v>883323</v>
      </c>
      <c r="CY47" s="138">
        <f>SUM(CY38:CY46)</f>
        <v>1164629</v>
      </c>
      <c r="CZ47" s="142">
        <f t="shared" si="91"/>
        <v>3580630</v>
      </c>
      <c r="DA47" s="138">
        <f>SUM(DA38:DA46)</f>
        <v>439583</v>
      </c>
      <c r="DB47" s="138">
        <f>SUM(DB38:DB46)</f>
        <v>435259</v>
      </c>
      <c r="DC47" s="138">
        <f>SUM(DC38:DC46)</f>
        <v>1194702</v>
      </c>
      <c r="DD47" s="142">
        <f t="shared" si="92"/>
        <v>2069544</v>
      </c>
      <c r="DE47" s="138">
        <f>SUM(DE38:DE46)</f>
        <v>1365085</v>
      </c>
      <c r="DF47" s="138">
        <f>SUM(DF38:DF46)</f>
        <v>427436</v>
      </c>
      <c r="DG47" s="138">
        <f>SUM(DG38:DG46)</f>
        <v>331686</v>
      </c>
      <c r="DH47" s="142">
        <f t="shared" si="62"/>
        <v>2124207</v>
      </c>
      <c r="DI47" s="142">
        <f t="shared" si="93"/>
        <v>8058527</v>
      </c>
      <c r="DJ47" s="142">
        <f t="shared" si="64"/>
        <v>10128071</v>
      </c>
      <c r="DK47" s="142">
        <f t="shared" si="65"/>
        <v>12252278</v>
      </c>
      <c r="DL47" s="97">
        <f t="shared" si="66"/>
        <v>-1672317</v>
      </c>
      <c r="DM47" s="98">
        <f>DL47/DK47</f>
        <v>-0.1364902918461367</v>
      </c>
      <c r="DN47" s="143">
        <f t="shared" si="94"/>
        <v>-2424350</v>
      </c>
      <c r="DO47" s="98">
        <f t="shared" si="75"/>
        <v>-0.22914545715244128</v>
      </c>
      <c r="DP47" s="144">
        <f t="shared" si="74"/>
        <v>14264388</v>
      </c>
      <c r="DQ47" s="98">
        <f t="shared" si="76"/>
        <v>1.7490275100173365</v>
      </c>
      <c r="DR47" s="144">
        <f t="shared" si="95"/>
        <v>6116983</v>
      </c>
      <c r="DS47" s="98">
        <f t="shared" si="96"/>
        <v>0.27283600681694947</v>
      </c>
      <c r="DT47" s="144">
        <f t="shared" si="97"/>
        <v>2334371</v>
      </c>
      <c r="DU47" s="98">
        <f t="shared" ref="DU47:DU50" si="104">DT47/BH47</f>
        <v>1.7933538145733319</v>
      </c>
    </row>
    <row r="48" spans="1:125">
      <c r="A48" s="190" t="s">
        <v>1006</v>
      </c>
      <c r="B48" s="191">
        <f t="shared" ref="B48:D48" si="105">B36-B47</f>
        <v>-4980453</v>
      </c>
      <c r="C48" s="36">
        <f t="shared" si="105"/>
        <v>-3981090</v>
      </c>
      <c r="D48" s="36">
        <f t="shared" si="105"/>
        <v>-1045247</v>
      </c>
      <c r="E48" s="36">
        <f t="shared" si="84"/>
        <v>-10006790</v>
      </c>
      <c r="F48" s="36">
        <f t="shared" ref="F48:H48" si="106">F36-F47</f>
        <v>-351088</v>
      </c>
      <c r="G48" s="36">
        <f t="shared" si="106"/>
        <v>-276151</v>
      </c>
      <c r="H48" s="36">
        <f t="shared" si="106"/>
        <v>1778535</v>
      </c>
      <c r="I48" s="36">
        <f>I36-I47</f>
        <v>1151296</v>
      </c>
      <c r="J48" s="36">
        <f t="shared" ref="J48:S48" si="107">J36-J47</f>
        <v>-1337179</v>
      </c>
      <c r="K48" s="36">
        <f t="shared" si="107"/>
        <v>-232899</v>
      </c>
      <c r="L48" s="36">
        <f t="shared" si="107"/>
        <v>0</v>
      </c>
      <c r="M48" s="36">
        <f t="shared" si="107"/>
        <v>-1570078</v>
      </c>
      <c r="N48" s="36">
        <f t="shared" si="107"/>
        <v>0</v>
      </c>
      <c r="O48" s="36">
        <f t="shared" si="107"/>
        <v>0</v>
      </c>
      <c r="P48" s="36">
        <f t="shared" si="107"/>
        <v>0</v>
      </c>
      <c r="Q48" s="36">
        <f t="shared" si="107"/>
        <v>0</v>
      </c>
      <c r="R48" s="36">
        <f t="shared" si="107"/>
        <v>-8855494</v>
      </c>
      <c r="S48" s="36">
        <f t="shared" si="107"/>
        <v>-10425572</v>
      </c>
      <c r="T48" s="36">
        <f t="shared" si="90"/>
        <v>-10425572</v>
      </c>
      <c r="U48" s="191">
        <v>2764245</v>
      </c>
      <c r="V48" s="36">
        <v>-494188</v>
      </c>
      <c r="W48" s="36">
        <v>-3464321</v>
      </c>
      <c r="X48" s="36">
        <v>-1194264</v>
      </c>
      <c r="Y48" s="36">
        <v>265464</v>
      </c>
      <c r="Z48" s="36">
        <v>1248753</v>
      </c>
      <c r="AA48" s="36">
        <v>-1437590</v>
      </c>
      <c r="AB48" s="36">
        <v>76627</v>
      </c>
      <c r="AC48" s="36">
        <v>-1942269</v>
      </c>
      <c r="AD48" s="36">
        <v>-705834</v>
      </c>
      <c r="AE48" s="36">
        <v>-1395942</v>
      </c>
      <c r="AF48" s="36">
        <v>-4044045</v>
      </c>
      <c r="AG48" s="36">
        <v>878886</v>
      </c>
      <c r="AH48" s="36">
        <v>1202546</v>
      </c>
      <c r="AI48" s="36">
        <f t="shared" ref="AI48:AL48" si="108">AI36-AI47</f>
        <v>6257471</v>
      </c>
      <c r="AJ48" s="36">
        <f t="shared" si="108"/>
        <v>8338903</v>
      </c>
      <c r="AK48" s="36">
        <f t="shared" si="108"/>
        <v>-1117637</v>
      </c>
      <c r="AL48" s="36">
        <f t="shared" si="108"/>
        <v>-5161682</v>
      </c>
      <c r="AM48" s="387">
        <f>AM36-AM47</f>
        <v>3177221</v>
      </c>
      <c r="AN48" s="168">
        <v>-731029</v>
      </c>
      <c r="AO48" s="168">
        <v>200992</v>
      </c>
      <c r="AP48" s="168">
        <v>-617814</v>
      </c>
      <c r="AQ48" s="169">
        <v>-1147851</v>
      </c>
      <c r="AR48" s="170">
        <v>-1475561</v>
      </c>
      <c r="AS48" s="170">
        <v>213591</v>
      </c>
      <c r="AT48" s="170">
        <v>462319</v>
      </c>
      <c r="AU48" s="169">
        <v>-799651</v>
      </c>
      <c r="AV48" s="170">
        <v>1883326</v>
      </c>
      <c r="AW48" s="170">
        <v>2961238</v>
      </c>
      <c r="AX48" s="170">
        <v>1218511</v>
      </c>
      <c r="AY48" s="169">
        <v>6063075</v>
      </c>
      <c r="AZ48" s="170">
        <v>-1833368</v>
      </c>
      <c r="BA48" s="170">
        <v>509656</v>
      </c>
      <c r="BB48" s="170">
        <v>819943</v>
      </c>
      <c r="BC48" s="169">
        <v>-503769</v>
      </c>
      <c r="BD48" s="169">
        <v>-1947502</v>
      </c>
      <c r="BE48" s="169">
        <v>4115573</v>
      </c>
      <c r="BF48" s="169">
        <v>3611804</v>
      </c>
      <c r="BG48" s="51">
        <v>1277447</v>
      </c>
      <c r="BH48" s="51">
        <v>137854</v>
      </c>
      <c r="BI48" s="51">
        <v>543861</v>
      </c>
      <c r="BJ48" s="49">
        <v>1959162</v>
      </c>
      <c r="BK48" s="51">
        <v>-510983</v>
      </c>
      <c r="BL48" s="51">
        <v>-367957</v>
      </c>
      <c r="BM48" s="51">
        <v>201298</v>
      </c>
      <c r="BN48" s="49">
        <v>-677642</v>
      </c>
      <c r="BO48" s="51">
        <v>304042</v>
      </c>
      <c r="BP48" s="51">
        <v>314792</v>
      </c>
      <c r="BQ48" s="51">
        <v>1475494</v>
      </c>
      <c r="BR48" s="49">
        <v>2094328</v>
      </c>
      <c r="BS48" s="51">
        <v>142968</v>
      </c>
      <c r="BT48" s="51">
        <v>1323574</v>
      </c>
      <c r="BU48" s="136">
        <v>1771446</v>
      </c>
      <c r="BV48" s="188">
        <v>3237988</v>
      </c>
      <c r="BW48" s="49">
        <v>1281520</v>
      </c>
      <c r="BX48" s="49">
        <v>3375848</v>
      </c>
      <c r="BY48" s="90">
        <v>6613836</v>
      </c>
      <c r="BZ48" s="81">
        <v>806284</v>
      </c>
      <c r="CA48" s="81">
        <v>118910</v>
      </c>
      <c r="CB48" s="81">
        <v>493188</v>
      </c>
      <c r="CC48" s="93">
        <v>1418382</v>
      </c>
      <c r="CD48" s="81">
        <v>-332172</v>
      </c>
      <c r="CE48" s="81">
        <v>1280238</v>
      </c>
      <c r="CF48" s="81">
        <v>393020</v>
      </c>
      <c r="CG48" s="93">
        <v>1341086</v>
      </c>
      <c r="CH48" s="81">
        <v>54326</v>
      </c>
      <c r="CI48" s="81">
        <v>-69695</v>
      </c>
      <c r="CJ48" s="81">
        <v>-834293</v>
      </c>
      <c r="CK48" s="93">
        <v>-849662</v>
      </c>
      <c r="CL48" s="81">
        <v>-214609</v>
      </c>
      <c r="CM48" s="81">
        <v>811630</v>
      </c>
      <c r="CN48" s="81">
        <v>939239</v>
      </c>
      <c r="CO48" s="93">
        <v>1536260</v>
      </c>
      <c r="CP48" s="93">
        <v>2759468</v>
      </c>
      <c r="CQ48" s="93">
        <v>1909806</v>
      </c>
      <c r="CR48" s="94">
        <v>3446066</v>
      </c>
      <c r="CS48" s="81">
        <f t="shared" ref="CS48:DL48" si="109">CS36-CS47</f>
        <v>-1043834</v>
      </c>
      <c r="CT48" s="81">
        <f t="shared" si="109"/>
        <v>-111685</v>
      </c>
      <c r="CU48" s="81">
        <f t="shared" si="109"/>
        <v>405708</v>
      </c>
      <c r="CV48" s="96">
        <f t="shared" si="109"/>
        <v>-749811</v>
      </c>
      <c r="CW48" s="81">
        <f t="shared" si="109"/>
        <v>-315243</v>
      </c>
      <c r="CX48" s="81">
        <f t="shared" si="109"/>
        <v>1160229</v>
      </c>
      <c r="CY48" s="81">
        <f t="shared" si="109"/>
        <v>260398</v>
      </c>
      <c r="CZ48" s="96">
        <f t="shared" si="109"/>
        <v>1105384</v>
      </c>
      <c r="DA48" s="81">
        <f t="shared" si="109"/>
        <v>327376</v>
      </c>
      <c r="DB48" s="81">
        <f t="shared" si="109"/>
        <v>143254</v>
      </c>
      <c r="DC48" s="81">
        <f t="shared" si="109"/>
        <v>-934892</v>
      </c>
      <c r="DD48" s="96">
        <f t="shared" si="109"/>
        <v>-464262</v>
      </c>
      <c r="DE48" s="81">
        <f t="shared" si="109"/>
        <v>-19280</v>
      </c>
      <c r="DF48" s="81">
        <f t="shared" si="109"/>
        <v>-227173</v>
      </c>
      <c r="DG48" s="81">
        <f t="shared" si="109"/>
        <v>237181</v>
      </c>
      <c r="DH48" s="96">
        <f t="shared" si="109"/>
        <v>-9272</v>
      </c>
      <c r="DI48" s="96">
        <f t="shared" si="109"/>
        <v>355573</v>
      </c>
      <c r="DJ48" s="96">
        <f t="shared" si="109"/>
        <v>-108689</v>
      </c>
      <c r="DK48" s="96">
        <f t="shared" si="109"/>
        <v>-117961</v>
      </c>
      <c r="DL48" s="192">
        <f t="shared" si="109"/>
        <v>3564027</v>
      </c>
      <c r="DM48" s="98">
        <f>DL48/DK48</f>
        <v>-30.213604496401352</v>
      </c>
      <c r="DN48" s="99">
        <f t="shared" si="94"/>
        <v>3167770</v>
      </c>
      <c r="DO48" s="98">
        <f>DN48/CR48</f>
        <v>0.91924240568810933</v>
      </c>
      <c r="DP48" s="193">
        <f t="shared" si="74"/>
        <v>-3002032</v>
      </c>
      <c r="DQ48" s="100">
        <f t="shared" si="76"/>
        <v>-0.45390179012603277</v>
      </c>
      <c r="DR48" s="193">
        <f t="shared" si="95"/>
        <v>-938352</v>
      </c>
      <c r="DS48" s="100">
        <f t="shared" si="96"/>
        <v>-0.25980147316964042</v>
      </c>
      <c r="DT48" s="193">
        <f t="shared" si="97"/>
        <v>-3486902</v>
      </c>
      <c r="DU48" s="100">
        <f t="shared" si="104"/>
        <v>-25.29416629187401</v>
      </c>
    </row>
    <row r="49" spans="1:125" ht="14" thickBot="1">
      <c r="A49" s="145" t="s">
        <v>930</v>
      </c>
      <c r="B49" s="194">
        <f t="shared" ref="B49:D49" si="110">B23+B48</f>
        <v>-7756173</v>
      </c>
      <c r="C49" s="194">
        <f t="shared" si="110"/>
        <v>-10972456</v>
      </c>
      <c r="D49" s="194">
        <f t="shared" si="110"/>
        <v>2058472</v>
      </c>
      <c r="E49" s="195">
        <f t="shared" si="84"/>
        <v>-16670157</v>
      </c>
      <c r="F49" s="195">
        <f t="shared" ref="F49:H49" si="111">F23+F48</f>
        <v>-900330</v>
      </c>
      <c r="G49" s="195">
        <f t="shared" si="111"/>
        <v>-1699644.2299999967</v>
      </c>
      <c r="H49" s="195">
        <f t="shared" si="111"/>
        <v>4012267</v>
      </c>
      <c r="I49" s="195">
        <f>I23+I48</f>
        <v>1412292.7700000107</v>
      </c>
      <c r="J49" s="195">
        <f t="shared" ref="J49:L49" si="112">J23+J48</f>
        <v>-645828</v>
      </c>
      <c r="K49" s="195">
        <f t="shared" si="112"/>
        <v>2289840</v>
      </c>
      <c r="L49" s="195">
        <f t="shared" si="112"/>
        <v>0</v>
      </c>
      <c r="M49" s="195">
        <f>M23+M48</f>
        <v>1644012</v>
      </c>
      <c r="N49" s="195">
        <f t="shared" ref="N49:R49" si="113">N23+N48</f>
        <v>0</v>
      </c>
      <c r="O49" s="195">
        <f t="shared" si="113"/>
        <v>0</v>
      </c>
      <c r="P49" s="195">
        <f t="shared" si="113"/>
        <v>0</v>
      </c>
      <c r="Q49" s="195">
        <f t="shared" si="113"/>
        <v>0</v>
      </c>
      <c r="R49" s="195">
        <f t="shared" si="113"/>
        <v>-15257864.230000019</v>
      </c>
      <c r="S49" s="195">
        <f>S23+S48</f>
        <v>-13613852.230000019</v>
      </c>
      <c r="T49" s="195">
        <f t="shared" si="90"/>
        <v>-13613852.229999989</v>
      </c>
      <c r="U49" s="194">
        <v>1340320</v>
      </c>
      <c r="V49" s="194">
        <v>-5951955</v>
      </c>
      <c r="W49" s="194">
        <v>5471117</v>
      </c>
      <c r="X49" s="195">
        <v>859482</v>
      </c>
      <c r="Y49" s="195">
        <v>-982052</v>
      </c>
      <c r="Z49" s="195">
        <v>7682512</v>
      </c>
      <c r="AA49" s="195">
        <v>4281978</v>
      </c>
      <c r="AB49" s="195">
        <v>10982438</v>
      </c>
      <c r="AC49" s="195">
        <v>-2306012</v>
      </c>
      <c r="AD49" s="195">
        <v>4751389</v>
      </c>
      <c r="AE49" s="195">
        <v>849782</v>
      </c>
      <c r="AF49" s="195">
        <v>3295159</v>
      </c>
      <c r="AG49" s="195">
        <v>-936406</v>
      </c>
      <c r="AH49" s="195">
        <v>6261928</v>
      </c>
      <c r="AI49" s="195">
        <f t="shared" ref="AI49:AL49" si="114">AI23+AI48</f>
        <v>-15771174</v>
      </c>
      <c r="AJ49" s="195">
        <f t="shared" si="114"/>
        <v>19554348</v>
      </c>
      <c r="AK49" s="195">
        <f t="shared" si="114"/>
        <v>11841920</v>
      </c>
      <c r="AL49" s="195">
        <f t="shared" si="114"/>
        <v>15137079</v>
      </c>
      <c r="AM49" s="388">
        <f>AM23+AM48</f>
        <v>34691427</v>
      </c>
      <c r="AN49" s="194">
        <v>-3259545</v>
      </c>
      <c r="AO49" s="194">
        <v>-5835432</v>
      </c>
      <c r="AP49" s="194">
        <v>514164</v>
      </c>
      <c r="AQ49" s="196">
        <v>-8580813</v>
      </c>
      <c r="AR49" s="197">
        <v>-1215611</v>
      </c>
      <c r="AS49" s="197">
        <v>-1704015</v>
      </c>
      <c r="AT49" s="197">
        <v>-2115097</v>
      </c>
      <c r="AU49" s="196">
        <v>-5034723</v>
      </c>
      <c r="AV49" s="197">
        <v>-19900900</v>
      </c>
      <c r="AW49" s="197">
        <v>-1600378</v>
      </c>
      <c r="AX49" s="197">
        <v>-951099</v>
      </c>
      <c r="AY49" s="196">
        <v>-22452377</v>
      </c>
      <c r="AZ49" s="197">
        <v>-7138305</v>
      </c>
      <c r="BA49" s="197">
        <v>-4221367</v>
      </c>
      <c r="BB49" s="197">
        <v>17394372</v>
      </c>
      <c r="BC49" s="196">
        <v>6034700</v>
      </c>
      <c r="BD49" s="196">
        <v>-13615536</v>
      </c>
      <c r="BE49" s="196">
        <v>-36067913</v>
      </c>
      <c r="BF49" s="196">
        <v>-30033213</v>
      </c>
      <c r="BG49" s="198">
        <v>799668</v>
      </c>
      <c r="BH49" s="198">
        <v>-4723163</v>
      </c>
      <c r="BI49" s="198">
        <v>417168</v>
      </c>
      <c r="BJ49" s="199">
        <v>-3506327</v>
      </c>
      <c r="BK49" s="200">
        <v>-3784642</v>
      </c>
      <c r="BL49" s="200">
        <v>1689557</v>
      </c>
      <c r="BM49" s="200">
        <v>-629068</v>
      </c>
      <c r="BN49" s="199">
        <v>-2724153</v>
      </c>
      <c r="BO49" s="200">
        <v>852314</v>
      </c>
      <c r="BP49" s="200">
        <v>147850</v>
      </c>
      <c r="BQ49" s="200">
        <v>1982699</v>
      </c>
      <c r="BR49" s="199">
        <v>2982863</v>
      </c>
      <c r="BS49" s="200">
        <v>-3793270</v>
      </c>
      <c r="BT49" s="200">
        <v>-2944954</v>
      </c>
      <c r="BU49" s="161">
        <v>10170528</v>
      </c>
      <c r="BV49" s="201">
        <v>3432304</v>
      </c>
      <c r="BW49" s="199">
        <v>-6230480</v>
      </c>
      <c r="BX49" s="199">
        <v>-3247617</v>
      </c>
      <c r="BY49" s="202">
        <v>184687</v>
      </c>
      <c r="BZ49" s="158">
        <v>4917080</v>
      </c>
      <c r="CA49" s="158">
        <v>-1737956</v>
      </c>
      <c r="CB49" s="158">
        <v>2893050</v>
      </c>
      <c r="CC49" s="159">
        <v>6072174</v>
      </c>
      <c r="CD49" s="158">
        <v>832922</v>
      </c>
      <c r="CE49" s="158">
        <v>-564086</v>
      </c>
      <c r="CF49" s="158">
        <v>2816298</v>
      </c>
      <c r="CG49" s="159">
        <v>3085134</v>
      </c>
      <c r="CH49" s="158">
        <v>-39781</v>
      </c>
      <c r="CI49" s="158">
        <v>511478</v>
      </c>
      <c r="CJ49" s="158">
        <v>-5513513</v>
      </c>
      <c r="CK49" s="159">
        <v>-5041816</v>
      </c>
      <c r="CL49" s="158">
        <v>-9526836</v>
      </c>
      <c r="CM49" s="158">
        <v>-645106</v>
      </c>
      <c r="CN49" s="158">
        <v>6249226</v>
      </c>
      <c r="CO49" s="159">
        <v>-3922716</v>
      </c>
      <c r="CP49" s="159">
        <v>9157308</v>
      </c>
      <c r="CQ49" s="159">
        <v>4115492</v>
      </c>
      <c r="CR49" s="160">
        <v>192776</v>
      </c>
      <c r="CS49" s="158">
        <v>-5469987</v>
      </c>
      <c r="CT49" s="158">
        <v>-851690</v>
      </c>
      <c r="CU49" s="158">
        <f>CU23+CU36-CU47</f>
        <v>-8767222</v>
      </c>
      <c r="CV49" s="163">
        <f t="shared" si="8"/>
        <v>-15088899</v>
      </c>
      <c r="CW49" s="158">
        <v>-1628004</v>
      </c>
      <c r="CX49" s="158">
        <v>-1204367</v>
      </c>
      <c r="CY49" s="158">
        <f>CY23+CY36-CY47</f>
        <v>-13289118</v>
      </c>
      <c r="CZ49" s="163">
        <f t="shared" si="91"/>
        <v>-16121489</v>
      </c>
      <c r="DA49" s="158">
        <f>DA23+DA36-DA47</f>
        <v>-3432576</v>
      </c>
      <c r="DB49" s="158">
        <f>DB23+DB36-DB47</f>
        <v>-12303728</v>
      </c>
      <c r="DC49" s="158">
        <f>DC23+DC36-DC47</f>
        <v>-17652798</v>
      </c>
      <c r="DD49" s="163">
        <f t="shared" si="92"/>
        <v>-33389102</v>
      </c>
      <c r="DE49" s="158">
        <f>DE23+DE36-DE47</f>
        <v>-17313925</v>
      </c>
      <c r="DF49" s="158">
        <f>DF23+DF36-DF47</f>
        <v>-10595577</v>
      </c>
      <c r="DG49" s="158">
        <f>DG23+DG36-DG47</f>
        <v>-21803</v>
      </c>
      <c r="DH49" s="163">
        <f t="shared" si="62"/>
        <v>-27931305</v>
      </c>
      <c r="DI49" s="163">
        <f>CV49+CZ49</f>
        <v>-31210388</v>
      </c>
      <c r="DJ49" s="163">
        <f t="shared" si="64"/>
        <v>-64599490</v>
      </c>
      <c r="DK49" s="163">
        <f t="shared" si="65"/>
        <v>-92530795</v>
      </c>
      <c r="DL49" s="164">
        <f t="shared" si="66"/>
        <v>92723571</v>
      </c>
      <c r="DM49" s="165">
        <f>DL49/DK49</f>
        <v>-1.0020833712711537</v>
      </c>
      <c r="DN49" s="166">
        <f t="shared" si="94"/>
        <v>-8089</v>
      </c>
      <c r="DO49" s="165">
        <f>DN49/CR49</f>
        <v>-4.1960617504253644E-2</v>
      </c>
      <c r="DP49" s="167">
        <f t="shared" si="74"/>
        <v>-30217900</v>
      </c>
      <c r="DQ49" s="165">
        <f t="shared" si="76"/>
        <v>-163.61682197447573</v>
      </c>
      <c r="DR49" s="167">
        <f t="shared" si="95"/>
        <v>70759340</v>
      </c>
      <c r="DS49" s="165">
        <f t="shared" si="96"/>
        <v>-2.3560362988801766</v>
      </c>
      <c r="DT49" s="167">
        <f t="shared" si="97"/>
        <v>-5020501</v>
      </c>
      <c r="DU49" s="165">
        <f t="shared" si="104"/>
        <v>1.0629531523684446</v>
      </c>
    </row>
    <row r="50" spans="1:125" ht="14" thickTop="1">
      <c r="A50" s="2" t="s">
        <v>931</v>
      </c>
      <c r="B50" s="168">
        <f>IS明細!D77</f>
        <v>2874749</v>
      </c>
      <c r="C50" s="168">
        <f>IS明細!F77</f>
        <v>2763471</v>
      </c>
      <c r="D50" s="168">
        <f>IS明細!H77</f>
        <v>-7456555</v>
      </c>
      <c r="E50" s="168">
        <f>SUM(B50:D50)</f>
        <v>-1818335</v>
      </c>
      <c r="F50" s="168">
        <f>IS明細!J77</f>
        <v>-591918</v>
      </c>
      <c r="G50" s="168">
        <f>IS明細!L77</f>
        <v>1054460</v>
      </c>
      <c r="H50" s="168">
        <f>IS明細!N77</f>
        <v>-1470722</v>
      </c>
      <c r="I50" s="168">
        <f>SUM(F50:H50)</f>
        <v>-1008180</v>
      </c>
      <c r="J50" s="168">
        <f>IS明細!P77</f>
        <v>-2031582</v>
      </c>
      <c r="K50" s="168">
        <f>IS明細!R77</f>
        <v>23984</v>
      </c>
      <c r="L50" s="168">
        <f>IS明細!T77</f>
        <v>0</v>
      </c>
      <c r="M50" s="168">
        <f>SUM(J50,K50,L50)</f>
        <v>-2007598</v>
      </c>
      <c r="N50" s="168">
        <f>IS明細!V77</f>
        <v>0</v>
      </c>
      <c r="O50" s="168">
        <f>IS明細!X77</f>
        <v>0</v>
      </c>
      <c r="P50" s="168">
        <f>IS明細!Z77</f>
        <v>0</v>
      </c>
      <c r="Q50" s="168">
        <f>SUM(N50,O50,P50)</f>
        <v>0</v>
      </c>
      <c r="R50" s="168">
        <f>E50+I50</f>
        <v>-2826515</v>
      </c>
      <c r="S50" s="168">
        <f>E50+I50+M50</f>
        <v>-4834113</v>
      </c>
      <c r="T50" s="168">
        <f t="shared" si="90"/>
        <v>-4834113</v>
      </c>
      <c r="U50" s="168">
        <v>18009</v>
      </c>
      <c r="V50" s="168">
        <v>3394765</v>
      </c>
      <c r="W50" s="168">
        <v>-247668</v>
      </c>
      <c r="X50" s="168">
        <v>3165106</v>
      </c>
      <c r="Y50" s="168">
        <v>-550181</v>
      </c>
      <c r="Z50" s="168">
        <v>-3751573</v>
      </c>
      <c r="AA50" s="168">
        <v>-1121731</v>
      </c>
      <c r="AB50" s="168">
        <v>-5423485</v>
      </c>
      <c r="AC50" s="168">
        <v>1930469</v>
      </c>
      <c r="AD50" s="168">
        <v>-3321881</v>
      </c>
      <c r="AE50" s="168">
        <v>-248102</v>
      </c>
      <c r="AF50" s="168">
        <v>-1639514</v>
      </c>
      <c r="AG50" s="168">
        <v>1489805</v>
      </c>
      <c r="AH50" s="168">
        <v>-4152418</v>
      </c>
      <c r="AI50" s="168">
        <v>-1597662</v>
      </c>
      <c r="AJ50" s="168">
        <v>-4260275</v>
      </c>
      <c r="AK50" s="168">
        <v>-2258379</v>
      </c>
      <c r="AL50" s="168">
        <v>-3897893</v>
      </c>
      <c r="AM50" s="168">
        <v>-8158168</v>
      </c>
      <c r="AN50" s="36">
        <v>679485</v>
      </c>
      <c r="AO50" s="36">
        <v>1557982</v>
      </c>
      <c r="AP50" s="36">
        <v>1944212</v>
      </c>
      <c r="AQ50" s="51">
        <v>4181679</v>
      </c>
      <c r="AR50" s="51">
        <v>-1335008</v>
      </c>
      <c r="AS50" s="51">
        <v>-1358656</v>
      </c>
      <c r="AT50" s="51">
        <v>545425</v>
      </c>
      <c r="AU50" s="51">
        <v>-2148239</v>
      </c>
      <c r="AV50" s="51">
        <v>889114</v>
      </c>
      <c r="AW50" s="51">
        <v>2202228</v>
      </c>
      <c r="AX50" s="51">
        <v>1496218</v>
      </c>
      <c r="AY50" s="51">
        <v>4587560</v>
      </c>
      <c r="AZ50" s="51">
        <v>3145858</v>
      </c>
      <c r="BA50" s="51">
        <v>996953</v>
      </c>
      <c r="BB50" s="51">
        <v>-7750654</v>
      </c>
      <c r="BC50" s="51">
        <v>-3607843</v>
      </c>
      <c r="BD50" s="51">
        <v>2033440</v>
      </c>
      <c r="BE50" s="51">
        <v>6621000</v>
      </c>
      <c r="BF50" s="51">
        <v>3013157</v>
      </c>
      <c r="BG50" s="51">
        <v>-368213</v>
      </c>
      <c r="BH50" s="51">
        <v>2682174</v>
      </c>
      <c r="BI50" s="51">
        <v>554797</v>
      </c>
      <c r="BJ50" s="51">
        <v>2868758</v>
      </c>
      <c r="BK50" s="51">
        <v>185823</v>
      </c>
      <c r="BL50" s="51">
        <v>-370904</v>
      </c>
      <c r="BM50" s="51">
        <v>2984510</v>
      </c>
      <c r="BN50" s="51">
        <v>2799429</v>
      </c>
      <c r="BO50" s="51">
        <v>-487879</v>
      </c>
      <c r="BP50" s="51">
        <v>622107</v>
      </c>
      <c r="BQ50" s="51">
        <v>-791857</v>
      </c>
      <c r="BR50" s="51">
        <v>-657629</v>
      </c>
      <c r="BS50" s="51">
        <v>619227</v>
      </c>
      <c r="BT50" s="51">
        <v>2238761</v>
      </c>
      <c r="BU50" s="51">
        <v>-4631568</v>
      </c>
      <c r="BV50" s="51">
        <v>-1773580</v>
      </c>
      <c r="BW50" s="51">
        <v>5668187</v>
      </c>
      <c r="BX50" s="51">
        <v>5010558</v>
      </c>
      <c r="BY50" s="51">
        <v>3236978</v>
      </c>
      <c r="BZ50" s="51">
        <v>249599</v>
      </c>
      <c r="CA50" s="51">
        <v>449900</v>
      </c>
      <c r="CB50" s="51">
        <v>-1549228</v>
      </c>
      <c r="CC50" s="51">
        <v>-849729</v>
      </c>
      <c r="CD50" s="51">
        <v>908426</v>
      </c>
      <c r="CE50" s="51">
        <v>2313514</v>
      </c>
      <c r="CF50" s="51">
        <v>70744</v>
      </c>
      <c r="CG50" s="51">
        <v>3292684</v>
      </c>
      <c r="CH50" s="51">
        <v>538753</v>
      </c>
      <c r="CI50" s="51">
        <v>-855830</v>
      </c>
      <c r="CJ50" s="51">
        <v>3645917</v>
      </c>
      <c r="CK50" s="51">
        <v>3328840</v>
      </c>
      <c r="CL50" s="51">
        <v>5848692</v>
      </c>
      <c r="CM50" s="51">
        <v>1133280</v>
      </c>
      <c r="CN50" s="51">
        <v>-2730923</v>
      </c>
      <c r="CO50" s="51">
        <v>4251049</v>
      </c>
      <c r="CP50" s="51">
        <v>2442955</v>
      </c>
      <c r="CQ50" s="51">
        <v>5771795</v>
      </c>
      <c r="CR50" s="51">
        <v>10022844</v>
      </c>
      <c r="CS50" s="51"/>
      <c r="CT50" s="51"/>
      <c r="CU50" s="51"/>
      <c r="CV50" s="51"/>
      <c r="CW50" s="51"/>
      <c r="CX50" s="51"/>
      <c r="CY50" s="51"/>
      <c r="CZ50" s="51"/>
      <c r="DA50" s="51"/>
      <c r="DB50" s="51"/>
      <c r="DC50" s="51"/>
      <c r="DD50" s="51"/>
      <c r="DE50" s="51"/>
      <c r="DF50" s="51"/>
      <c r="DG50" s="51"/>
      <c r="DH50" s="51"/>
      <c r="DI50" s="51"/>
      <c r="DJ50" s="51"/>
      <c r="DK50" s="51">
        <v>-1970062</v>
      </c>
      <c r="DL50" s="57">
        <f>CR50-DK50</f>
        <v>11992906</v>
      </c>
      <c r="DM50" s="4">
        <f>DL50/DK50</f>
        <v>-6.0875779543994044</v>
      </c>
      <c r="DN50" s="57">
        <f t="shared" si="94"/>
        <v>-6785866</v>
      </c>
      <c r="DO50" s="4">
        <f>DN50/CR50</f>
        <v>-0.67703996989277693</v>
      </c>
      <c r="DP50" s="57">
        <f t="shared" si="74"/>
        <v>-223821</v>
      </c>
      <c r="DQ50" s="4">
        <f>DP50/BY50</f>
        <v>-6.9145048251795349E-2</v>
      </c>
      <c r="DR50" s="57">
        <f t="shared" si="95"/>
        <v>-14779168</v>
      </c>
      <c r="DS50" s="4">
        <f t="shared" si="96"/>
        <v>-4.9048781726275799</v>
      </c>
      <c r="DT50" s="57">
        <f t="shared" si="97"/>
        <v>-631294</v>
      </c>
      <c r="DU50" s="4">
        <f t="shared" si="104"/>
        <v>-0.23536653475874422</v>
      </c>
    </row>
    <row r="51" spans="1:125"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118"/>
      <c r="DM51" s="118"/>
      <c r="DO51" s="118"/>
    </row>
  </sheetData>
  <mergeCells count="6">
    <mergeCell ref="B5:R5"/>
    <mergeCell ref="AN5:BD5"/>
    <mergeCell ref="CS5:DK5"/>
    <mergeCell ref="BG5:BW5"/>
    <mergeCell ref="BZ5:CP5"/>
    <mergeCell ref="U5:AK5"/>
  </mergeCells>
  <phoneticPr fontId="39" type="noConversion"/>
  <pageMargins left="0.70866141732283472" right="0.70866141732283472" top="0.62" bottom="0.54" header="0.31496062992125984" footer="0.16"/>
  <pageSetup paperSize="9"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Z100"/>
  <sheetViews>
    <sheetView view="pageBreakPreview" zoomScaleSheetLayoutView="100" workbookViewId="0">
      <pane xSplit="1" ySplit="6" topLeftCell="B17" activePane="bottomRight" state="frozen"/>
      <selection pane="topRight" activeCell="B1" sqref="B1"/>
      <selection pane="bottomLeft" activeCell="A7" sqref="A7"/>
      <selection pane="bottomRight" activeCell="C18" sqref="C18"/>
    </sheetView>
  </sheetViews>
  <sheetFormatPr baseColWidth="10" defaultColWidth="9.19921875" defaultRowHeight="19.5" customHeight="1" outlineLevelRow="1" outlineLevelCol="1"/>
  <cols>
    <col min="1" max="1" width="24.19921875" style="204" customWidth="1"/>
    <col min="2" max="2" width="11.19921875" style="204" customWidth="1" outlineLevel="1"/>
    <col min="3" max="3" width="11.796875" style="204" customWidth="1" outlineLevel="1"/>
    <col min="4" max="4" width="9.19921875" style="204" customWidth="1" outlineLevel="1"/>
    <col min="5" max="6" width="13" style="204" customWidth="1" outlineLevel="1"/>
    <col min="7" max="7" width="11" style="204" customWidth="1" outlineLevel="1"/>
    <col min="8" max="9" width="13" style="204" customWidth="1" outlineLevel="1"/>
    <col min="10" max="10" width="11.59765625" style="204" customWidth="1" outlineLevel="1"/>
    <col min="11" max="11" width="13.19921875" style="204" customWidth="1"/>
    <col min="12" max="12" width="13.3984375" style="204" customWidth="1"/>
    <col min="13" max="13" width="11" style="204" customWidth="1"/>
    <col min="14" max="15" width="13" style="204" hidden="1" customWidth="1" outlineLevel="1"/>
    <col min="16" max="16" width="11" style="204" hidden="1" customWidth="1" outlineLevel="1"/>
    <col min="17" max="18" width="13" style="204" hidden="1" customWidth="1" outlineLevel="1"/>
    <col min="19" max="19" width="11" style="204" hidden="1" customWidth="1" outlineLevel="1"/>
    <col min="20" max="20" width="13" style="204" hidden="1" customWidth="1" outlineLevel="1"/>
    <col min="21" max="21" width="13.3984375" style="204" hidden="1" customWidth="1" outlineLevel="1"/>
    <col min="22" max="22" width="13.796875" style="204" hidden="1" customWidth="1" outlineLevel="1"/>
    <col min="23" max="23" width="12.3984375" style="204" bestFit="1" customWidth="1" collapsed="1"/>
    <col min="24" max="24" width="13" style="204" bestFit="1" customWidth="1"/>
    <col min="25" max="25" width="11" style="204" customWidth="1"/>
    <col min="26" max="26" width="11.19921875" style="204" bestFit="1" customWidth="1"/>
    <col min="27" max="27" width="13.19921875" style="204" bestFit="1" customWidth="1"/>
    <col min="28" max="28" width="9.19921875" style="204" bestFit="1" customWidth="1"/>
    <col min="29" max="29" width="11.3984375" style="204" customWidth="1"/>
    <col min="30" max="30" width="11.796875" style="204" bestFit="1" customWidth="1"/>
    <col min="31" max="31" width="10.19921875" style="204" customWidth="1"/>
    <col min="32" max="32" width="11.3984375" style="204" customWidth="1" outlineLevel="1"/>
    <col min="33" max="33" width="14.796875" style="204" customWidth="1" outlineLevel="1"/>
    <col min="34" max="34" width="8.59765625" style="204" customWidth="1" outlineLevel="1"/>
    <col min="35" max="35" width="11.3984375" style="204" customWidth="1" outlineLevel="1"/>
    <col min="36" max="36" width="11.59765625" style="204" customWidth="1" outlineLevel="1"/>
    <col min="37" max="37" width="9.59765625" style="204" customWidth="1" outlineLevel="1"/>
    <col min="38" max="38" width="10.59765625" style="204" customWidth="1" outlineLevel="1"/>
    <col min="39" max="39" width="14.796875" style="204" customWidth="1" outlineLevel="1"/>
    <col min="40" max="40" width="9.59765625" style="204" customWidth="1" outlineLevel="1"/>
    <col min="41" max="41" width="10" style="204" customWidth="1" outlineLevel="1"/>
    <col min="42" max="42" width="12.3984375" style="204" customWidth="1" outlineLevel="1"/>
    <col min="43" max="43" width="8.59765625" style="204" customWidth="1" outlineLevel="1"/>
    <col min="44" max="44" width="10" style="204" customWidth="1" outlineLevel="1"/>
    <col min="45" max="45" width="13.59765625" style="204" customWidth="1" outlineLevel="1"/>
    <col min="46" max="46" width="8.59765625" style="204" customWidth="1" outlineLevel="1"/>
    <col min="47" max="47" width="12.59765625" style="204" customWidth="1" outlineLevel="1"/>
    <col min="48" max="48" width="12.3984375" style="204" customWidth="1" outlineLevel="1"/>
    <col min="49" max="49" width="9.59765625" style="204" customWidth="1" outlineLevel="1"/>
    <col min="50" max="50" width="12.59765625" style="204" bestFit="1" customWidth="1"/>
    <col min="51" max="51" width="13.19921875" style="204" bestFit="1" customWidth="1"/>
    <col min="52" max="52" width="13.796875" style="204" bestFit="1" customWidth="1"/>
    <col min="53" max="16384" width="9.19921875" style="204"/>
  </cols>
  <sheetData>
    <row r="1" spans="1:52" ht="19.5" customHeight="1">
      <c r="A1" s="203" t="s">
        <v>945</v>
      </c>
      <c r="B1" s="203"/>
      <c r="C1" s="203"/>
      <c r="D1" s="203"/>
      <c r="E1" s="203"/>
      <c r="F1" s="203"/>
      <c r="G1" s="203"/>
      <c r="H1" s="203"/>
      <c r="I1" s="203"/>
      <c r="J1" s="203"/>
      <c r="AU1" s="205"/>
      <c r="AV1" s="205"/>
      <c r="AW1" s="205"/>
      <c r="AX1" s="205"/>
    </row>
    <row r="2" spans="1:52" ht="19.5" customHeight="1">
      <c r="A2" s="203" t="s">
        <v>1007</v>
      </c>
      <c r="B2" s="203"/>
      <c r="C2" s="203"/>
      <c r="D2" s="203"/>
      <c r="E2" s="203"/>
      <c r="F2" s="206"/>
      <c r="G2" s="203"/>
      <c r="H2" s="203"/>
      <c r="I2" s="203"/>
      <c r="J2" s="203"/>
      <c r="U2" s="207"/>
      <c r="V2" s="207"/>
    </row>
    <row r="3" spans="1:52" ht="19.5" customHeight="1">
      <c r="A3" s="203" t="s">
        <v>1766</v>
      </c>
      <c r="B3" s="203"/>
      <c r="C3" s="203"/>
      <c r="D3" s="203"/>
      <c r="E3" s="203"/>
      <c r="F3" s="203"/>
      <c r="G3" s="203"/>
      <c r="H3" s="203"/>
      <c r="I3" s="203"/>
      <c r="J3" s="203"/>
    </row>
    <row r="4" spans="1:52" ht="15.75" customHeight="1" thickBot="1">
      <c r="A4" s="203"/>
      <c r="B4" s="208"/>
      <c r="C4" s="208"/>
      <c r="D4" s="208"/>
      <c r="E4" s="208"/>
      <c r="F4" s="208"/>
      <c r="G4" s="208"/>
      <c r="H4" s="208"/>
      <c r="I4" s="208"/>
      <c r="J4" s="208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9"/>
      <c r="AN4" s="209"/>
      <c r="AO4" s="209"/>
      <c r="AP4" s="209"/>
      <c r="AQ4" s="209"/>
      <c r="AR4" s="209"/>
      <c r="AS4" s="209"/>
      <c r="AT4" s="209"/>
      <c r="AU4" s="209"/>
      <c r="AV4" s="209"/>
      <c r="AW4" s="209"/>
      <c r="AX4" s="209"/>
      <c r="AY4" s="210"/>
      <c r="AZ4" s="210"/>
    </row>
    <row r="5" spans="1:52" s="211" customFormat="1" ht="19.5" customHeight="1">
      <c r="B5" s="1193" t="s">
        <v>1008</v>
      </c>
      <c r="C5" s="1193"/>
      <c r="D5" s="212"/>
      <c r="E5" s="1193" t="s">
        <v>1009</v>
      </c>
      <c r="F5" s="1193"/>
      <c r="G5" s="212"/>
      <c r="H5" s="1193" t="s">
        <v>1010</v>
      </c>
      <c r="I5" s="1193"/>
      <c r="K5" s="1194" t="s">
        <v>14</v>
      </c>
      <c r="L5" s="1194"/>
      <c r="M5" s="213"/>
      <c r="N5" s="1195" t="s">
        <v>1011</v>
      </c>
      <c r="O5" s="1195"/>
      <c r="Q5" s="1195" t="s">
        <v>1012</v>
      </c>
      <c r="R5" s="1195"/>
      <c r="T5" s="1195" t="s">
        <v>1013</v>
      </c>
      <c r="U5" s="1195"/>
      <c r="W5" s="1194" t="s">
        <v>15</v>
      </c>
      <c r="X5" s="1194"/>
      <c r="Y5" s="213"/>
      <c r="Z5" s="1195" t="s">
        <v>1014</v>
      </c>
      <c r="AA5" s="1195"/>
      <c r="AC5" s="1195" t="s">
        <v>1015</v>
      </c>
      <c r="AD5" s="1195"/>
      <c r="AF5" s="1195" t="s">
        <v>1016</v>
      </c>
      <c r="AG5" s="1195"/>
      <c r="AI5" s="1194" t="s">
        <v>16</v>
      </c>
      <c r="AJ5" s="1194"/>
      <c r="AK5" s="213"/>
      <c r="AL5" s="1195" t="s">
        <v>1017</v>
      </c>
      <c r="AM5" s="1195"/>
      <c r="AO5" s="1193" t="s">
        <v>1018</v>
      </c>
      <c r="AP5" s="1193"/>
      <c r="AR5" s="1195" t="s">
        <v>1019</v>
      </c>
      <c r="AS5" s="1195"/>
      <c r="AU5" s="1194" t="s">
        <v>17</v>
      </c>
      <c r="AV5" s="1194"/>
      <c r="AW5" s="213"/>
      <c r="AX5" s="1192" t="s">
        <v>1020</v>
      </c>
      <c r="AY5" s="1192"/>
    </row>
    <row r="6" spans="1:52" s="211" customFormat="1" ht="19.5" customHeight="1" thickBot="1">
      <c r="B6" s="214" t="s">
        <v>1021</v>
      </c>
      <c r="C6" s="214" t="s">
        <v>1022</v>
      </c>
      <c r="D6" s="215" t="s">
        <v>1023</v>
      </c>
      <c r="E6" s="214" t="s">
        <v>1021</v>
      </c>
      <c r="F6" s="214" t="s">
        <v>1022</v>
      </c>
      <c r="G6" s="215" t="s">
        <v>1023</v>
      </c>
      <c r="H6" s="214" t="s">
        <v>1021</v>
      </c>
      <c r="I6" s="214" t="s">
        <v>1022</v>
      </c>
      <c r="J6" s="215" t="s">
        <v>1023</v>
      </c>
      <c r="K6" s="214" t="s">
        <v>1021</v>
      </c>
      <c r="L6" s="214" t="s">
        <v>1022</v>
      </c>
      <c r="M6" s="215" t="s">
        <v>1024</v>
      </c>
      <c r="N6" s="214" t="s">
        <v>1025</v>
      </c>
      <c r="O6" s="214" t="s">
        <v>1026</v>
      </c>
      <c r="P6" s="215" t="s">
        <v>1027</v>
      </c>
      <c r="Q6" s="214" t="s">
        <v>1025</v>
      </c>
      <c r="R6" s="214" t="s">
        <v>1026</v>
      </c>
      <c r="S6" s="215" t="s">
        <v>1027</v>
      </c>
      <c r="T6" s="214" t="s">
        <v>1025</v>
      </c>
      <c r="U6" s="214" t="s">
        <v>1026</v>
      </c>
      <c r="V6" s="215" t="s">
        <v>1027</v>
      </c>
      <c r="W6" s="214" t="s">
        <v>1025</v>
      </c>
      <c r="X6" s="214" t="s">
        <v>1026</v>
      </c>
      <c r="Y6" s="215" t="s">
        <v>1028</v>
      </c>
      <c r="Z6" s="214" t="s">
        <v>1025</v>
      </c>
      <c r="AA6" s="214" t="s">
        <v>1026</v>
      </c>
      <c r="AB6" s="215" t="s">
        <v>1027</v>
      </c>
      <c r="AC6" s="214" t="s">
        <v>1025</v>
      </c>
      <c r="AD6" s="214" t="s">
        <v>1026</v>
      </c>
      <c r="AE6" s="215" t="s">
        <v>1027</v>
      </c>
      <c r="AF6" s="214" t="s">
        <v>1025</v>
      </c>
      <c r="AG6" s="214" t="s">
        <v>1026</v>
      </c>
      <c r="AH6" s="215" t="s">
        <v>1027</v>
      </c>
      <c r="AI6" s="214" t="s">
        <v>1025</v>
      </c>
      <c r="AJ6" s="214" t="s">
        <v>1026</v>
      </c>
      <c r="AK6" s="215" t="s">
        <v>1028</v>
      </c>
      <c r="AL6" s="214" t="s">
        <v>1025</v>
      </c>
      <c r="AM6" s="214" t="s">
        <v>1022</v>
      </c>
      <c r="AN6" s="215" t="s">
        <v>1027</v>
      </c>
      <c r="AO6" s="214" t="s">
        <v>1025</v>
      </c>
      <c r="AP6" s="214" t="s">
        <v>1026</v>
      </c>
      <c r="AQ6" s="215" t="s">
        <v>1027</v>
      </c>
      <c r="AR6" s="214" t="s">
        <v>1025</v>
      </c>
      <c r="AS6" s="214" t="s">
        <v>1026</v>
      </c>
      <c r="AT6" s="215" t="s">
        <v>1027</v>
      </c>
      <c r="AU6" s="214" t="s">
        <v>1025</v>
      </c>
      <c r="AV6" s="214" t="s">
        <v>1026</v>
      </c>
      <c r="AW6" s="215" t="s">
        <v>1028</v>
      </c>
      <c r="AX6" s="216" t="s">
        <v>1025</v>
      </c>
      <c r="AY6" s="216" t="s">
        <v>1026</v>
      </c>
      <c r="AZ6" s="215" t="s">
        <v>1029</v>
      </c>
    </row>
    <row r="7" spans="1:52" s="211" customFormat="1" ht="19.5" customHeight="1">
      <c r="A7" s="203" t="s">
        <v>1030</v>
      </c>
      <c r="B7" s="206"/>
      <c r="C7" s="206"/>
      <c r="D7" s="217"/>
      <c r="E7" s="206"/>
      <c r="F7" s="206"/>
      <c r="G7" s="217"/>
      <c r="H7" s="206"/>
      <c r="I7" s="206"/>
      <c r="J7" s="217"/>
      <c r="K7" s="207"/>
      <c r="L7" s="207"/>
      <c r="M7" s="218"/>
      <c r="N7" s="207"/>
      <c r="O7" s="206"/>
      <c r="P7" s="217"/>
      <c r="Q7" s="207"/>
      <c r="R7" s="207"/>
      <c r="S7" s="217"/>
      <c r="T7" s="207"/>
      <c r="U7" s="207"/>
      <c r="V7" s="217"/>
      <c r="W7" s="207"/>
      <c r="X7" s="207"/>
      <c r="Y7" s="217"/>
      <c r="Z7" s="207"/>
      <c r="AA7" s="207"/>
      <c r="AB7" s="217"/>
      <c r="AC7" s="207"/>
      <c r="AD7" s="207"/>
      <c r="AE7" s="217"/>
      <c r="AF7" s="207"/>
      <c r="AG7" s="207"/>
      <c r="AH7" s="217"/>
      <c r="AI7" s="207"/>
      <c r="AJ7" s="207"/>
      <c r="AK7" s="217"/>
      <c r="AL7" s="207"/>
      <c r="AM7" s="207"/>
      <c r="AN7" s="217"/>
      <c r="AO7" s="207"/>
      <c r="AP7" s="207"/>
      <c r="AQ7" s="217"/>
      <c r="AR7" s="207"/>
      <c r="AS7" s="207"/>
      <c r="AT7" s="217"/>
      <c r="AU7" s="207"/>
      <c r="AV7" s="207"/>
      <c r="AW7" s="217"/>
      <c r="AX7" s="219"/>
      <c r="AY7" s="219"/>
      <c r="AZ7" s="218"/>
    </row>
    <row r="8" spans="1:52" s="211" customFormat="1" ht="19.5" customHeight="1">
      <c r="A8" s="42" t="s">
        <v>1031</v>
      </c>
      <c r="B8" s="206">
        <v>16500000</v>
      </c>
      <c r="C8" s="206">
        <v>4501975</v>
      </c>
      <c r="D8" s="220">
        <f t="shared" ref="D8:D11" si="0">C8/B8</f>
        <v>0.2728469696969697</v>
      </c>
      <c r="E8" s="206">
        <v>16500000</v>
      </c>
      <c r="F8" s="206">
        <v>4505830</v>
      </c>
      <c r="G8" s="220">
        <f t="shared" ref="G8:G11" si="1">F8/E8</f>
        <v>0.27308060606060608</v>
      </c>
      <c r="H8" s="206">
        <v>16500000</v>
      </c>
      <c r="I8" s="206">
        <v>28499391</v>
      </c>
      <c r="J8" s="220">
        <f t="shared" ref="J8:J11" si="2">I8/H8</f>
        <v>1.7272358181818181</v>
      </c>
      <c r="K8" s="206">
        <f t="shared" ref="K8:K12" si="3">B8+E8+H8</f>
        <v>49500000</v>
      </c>
      <c r="L8" s="206">
        <f t="shared" ref="L8:L12" si="4">C8+F8+I8</f>
        <v>37507196</v>
      </c>
      <c r="M8" s="220">
        <f t="shared" ref="M8:M11" si="5">L8/K8</f>
        <v>0.75772113131313135</v>
      </c>
      <c r="N8" s="207">
        <v>16500000</v>
      </c>
      <c r="O8" s="206">
        <v>4764667</v>
      </c>
      <c r="P8" s="323">
        <f t="shared" ref="P8:P11" si="6">O8/N8</f>
        <v>0.28876769696969695</v>
      </c>
      <c r="Q8" s="207">
        <v>16500000</v>
      </c>
      <c r="R8" s="206">
        <v>12977408.770000001</v>
      </c>
      <c r="S8" s="323">
        <f t="shared" ref="S8:S11" si="7">R8/Q8</f>
        <v>0.78650962242424249</v>
      </c>
      <c r="T8" s="207">
        <v>16500000</v>
      </c>
      <c r="U8" s="206">
        <v>14460790</v>
      </c>
      <c r="V8" s="217">
        <f t="shared" ref="V8:V11" si="8">U8/T8</f>
        <v>0.87641151515151516</v>
      </c>
      <c r="W8" s="207">
        <f t="shared" ref="W8:W12" si="9">N8+Q8+T8</f>
        <v>49500000</v>
      </c>
      <c r="X8" s="207">
        <f t="shared" ref="X8:X12" si="10">O8+R8+U8</f>
        <v>32202865.770000003</v>
      </c>
      <c r="Y8" s="220">
        <f t="shared" ref="Y8:Y11" si="11">X8/W8</f>
        <v>0.65056294484848487</v>
      </c>
      <c r="Z8" s="207">
        <v>20166667</v>
      </c>
      <c r="AA8" s="206">
        <v>5214450</v>
      </c>
      <c r="AB8" s="220">
        <f t="shared" ref="AB8:AB11" si="12">AA8/Z8</f>
        <v>0.25856776432119399</v>
      </c>
      <c r="AC8" s="207">
        <v>20166667</v>
      </c>
      <c r="AD8" s="206">
        <v>9660426</v>
      </c>
      <c r="AE8" s="220">
        <f t="shared" ref="AE8:AE11" si="13">AD8/AC8</f>
        <v>0.47902938051191107</v>
      </c>
      <c r="AF8" s="207">
        <v>20166666</v>
      </c>
      <c r="AG8" s="206">
        <v>0</v>
      </c>
      <c r="AH8" s="220">
        <f t="shared" ref="AH8:AH11" si="14">AG8/AF8</f>
        <v>0</v>
      </c>
      <c r="AI8" s="207">
        <f>Z8+AC8+AF8</f>
        <v>60500000</v>
      </c>
      <c r="AJ8" s="207">
        <f>AA8+AD8+AG8</f>
        <v>14874876</v>
      </c>
      <c r="AK8" s="220">
        <f t="shared" ref="AK8:AK11" si="15">AJ8/AI8</f>
        <v>0.24586571900826446</v>
      </c>
      <c r="AL8" s="207">
        <v>20166666</v>
      </c>
      <c r="AM8" s="206">
        <v>0</v>
      </c>
      <c r="AN8" s="220">
        <f t="shared" ref="AN8:AN11" si="16">AM8/AL8</f>
        <v>0</v>
      </c>
      <c r="AO8" s="207">
        <v>20166667</v>
      </c>
      <c r="AP8" s="206">
        <v>0</v>
      </c>
      <c r="AQ8" s="220">
        <f t="shared" ref="AQ8:AQ11" si="17">AP8/AO8</f>
        <v>0</v>
      </c>
      <c r="AR8" s="207">
        <v>20166667</v>
      </c>
      <c r="AS8" s="206">
        <v>0</v>
      </c>
      <c r="AT8" s="220">
        <f t="shared" ref="AT8:AT11" si="18">AS8/AR8</f>
        <v>0</v>
      </c>
      <c r="AU8" s="207">
        <f t="shared" ref="AU8:AU12" si="19">AL8+AO8+AR8</f>
        <v>60500000</v>
      </c>
      <c r="AV8" s="207">
        <f t="shared" ref="AV8:AV12" si="20">AM8+AP8+AS8</f>
        <v>0</v>
      </c>
      <c r="AW8" s="220">
        <f t="shared" ref="AW8:AW11" si="21">AV8/AU8</f>
        <v>0</v>
      </c>
      <c r="AX8" s="219">
        <f t="shared" ref="AX8:AX12" si="22">K8+W8+AI8+AU8</f>
        <v>220000000</v>
      </c>
      <c r="AY8" s="219">
        <f t="shared" ref="AY8:AY12" si="23">L8+X8+AJ8+AV8</f>
        <v>84584937.770000011</v>
      </c>
      <c r="AZ8" s="220">
        <f t="shared" ref="AZ8:AZ11" si="24">AY8/AX8</f>
        <v>0.38447698986363643</v>
      </c>
    </row>
    <row r="9" spans="1:52" s="211" customFormat="1" ht="19.5" hidden="1" customHeight="1">
      <c r="A9" s="42" t="s">
        <v>1032</v>
      </c>
      <c r="B9" s="206">
        <v>0</v>
      </c>
      <c r="C9" s="206">
        <v>0</v>
      </c>
      <c r="D9" s="220" t="e">
        <f t="shared" si="0"/>
        <v>#DIV/0!</v>
      </c>
      <c r="E9" s="206">
        <v>0</v>
      </c>
      <c r="F9" s="206">
        <v>0</v>
      </c>
      <c r="G9" s="220" t="e">
        <f t="shared" si="1"/>
        <v>#DIV/0!</v>
      </c>
      <c r="H9" s="206">
        <v>0</v>
      </c>
      <c r="I9" s="206">
        <v>0</v>
      </c>
      <c r="J9" s="220" t="e">
        <f t="shared" si="2"/>
        <v>#DIV/0!</v>
      </c>
      <c r="K9" s="206">
        <f t="shared" si="3"/>
        <v>0</v>
      </c>
      <c r="L9" s="206">
        <f t="shared" si="4"/>
        <v>0</v>
      </c>
      <c r="M9" s="220" t="e">
        <f t="shared" si="5"/>
        <v>#DIV/0!</v>
      </c>
      <c r="N9" s="207">
        <v>0</v>
      </c>
      <c r="O9" s="206">
        <v>0</v>
      </c>
      <c r="P9" s="323" t="e">
        <f t="shared" si="6"/>
        <v>#DIV/0!</v>
      </c>
      <c r="Q9" s="207">
        <v>0</v>
      </c>
      <c r="R9" s="206">
        <v>0</v>
      </c>
      <c r="S9" s="323" t="e">
        <f t="shared" si="7"/>
        <v>#DIV/0!</v>
      </c>
      <c r="T9" s="207">
        <v>0</v>
      </c>
      <c r="U9" s="206">
        <v>0</v>
      </c>
      <c r="V9" s="217" t="e">
        <f t="shared" si="8"/>
        <v>#DIV/0!</v>
      </c>
      <c r="W9" s="207">
        <f t="shared" si="9"/>
        <v>0</v>
      </c>
      <c r="X9" s="207">
        <f t="shared" si="10"/>
        <v>0</v>
      </c>
      <c r="Y9" s="220" t="e">
        <f t="shared" si="11"/>
        <v>#DIV/0!</v>
      </c>
      <c r="Z9" s="207">
        <v>0</v>
      </c>
      <c r="AA9" s="206">
        <v>0</v>
      </c>
      <c r="AB9" s="220" t="e">
        <f t="shared" si="12"/>
        <v>#DIV/0!</v>
      </c>
      <c r="AC9" s="207">
        <v>0</v>
      </c>
      <c r="AD9" s="206">
        <v>0</v>
      </c>
      <c r="AE9" s="220">
        <v>0</v>
      </c>
      <c r="AF9" s="207">
        <v>0</v>
      </c>
      <c r="AG9" s="206">
        <v>0</v>
      </c>
      <c r="AH9" s="220">
        <v>0</v>
      </c>
      <c r="AI9" s="207">
        <f>Z9+AC9+AF9</f>
        <v>0</v>
      </c>
      <c r="AJ9" s="207">
        <f t="shared" ref="AJ9:AJ12" si="25">AA9+AD9+AG9</f>
        <v>0</v>
      </c>
      <c r="AK9" s="220" t="e">
        <f t="shared" si="15"/>
        <v>#DIV/0!</v>
      </c>
      <c r="AL9" s="207">
        <v>0</v>
      </c>
      <c r="AM9" s="206">
        <v>0</v>
      </c>
      <c r="AN9" s="220" t="e">
        <f t="shared" si="16"/>
        <v>#DIV/0!</v>
      </c>
      <c r="AO9" s="207">
        <v>0</v>
      </c>
      <c r="AP9" s="206">
        <v>0</v>
      </c>
      <c r="AQ9" s="220" t="e">
        <f t="shared" si="17"/>
        <v>#DIV/0!</v>
      </c>
      <c r="AR9" s="207">
        <v>0</v>
      </c>
      <c r="AS9" s="206">
        <v>0</v>
      </c>
      <c r="AT9" s="220" t="e">
        <f t="shared" si="18"/>
        <v>#DIV/0!</v>
      </c>
      <c r="AU9" s="207">
        <f t="shared" si="19"/>
        <v>0</v>
      </c>
      <c r="AV9" s="207">
        <f t="shared" si="20"/>
        <v>0</v>
      </c>
      <c r="AW9" s="220" t="e">
        <f t="shared" si="21"/>
        <v>#DIV/0!</v>
      </c>
      <c r="AX9" s="219">
        <f t="shared" si="22"/>
        <v>0</v>
      </c>
      <c r="AY9" s="219">
        <f t="shared" si="23"/>
        <v>0</v>
      </c>
      <c r="AZ9" s="220" t="e">
        <f t="shared" si="24"/>
        <v>#DIV/0!</v>
      </c>
    </row>
    <row r="10" spans="1:52" s="211" customFormat="1" ht="19.5" customHeight="1">
      <c r="A10" s="42" t="s">
        <v>1033</v>
      </c>
      <c r="B10" s="206">
        <v>55200000</v>
      </c>
      <c r="C10" s="206">
        <v>51078473</v>
      </c>
      <c r="D10" s="220">
        <f t="shared" si="0"/>
        <v>0.9253346557971015</v>
      </c>
      <c r="E10" s="206">
        <v>55200000</v>
      </c>
      <c r="F10" s="206">
        <v>42980961</v>
      </c>
      <c r="G10" s="220">
        <f t="shared" si="1"/>
        <v>0.77864059782608697</v>
      </c>
      <c r="H10" s="206">
        <v>55200000</v>
      </c>
      <c r="I10" s="206">
        <v>30561593</v>
      </c>
      <c r="J10" s="220">
        <f t="shared" si="2"/>
        <v>0.55365204710144933</v>
      </c>
      <c r="K10" s="206">
        <f t="shared" ref="K10" si="26">B10+E10+H10</f>
        <v>165600000</v>
      </c>
      <c r="L10" s="206">
        <f t="shared" ref="L10" si="27">C10+F10+I10</f>
        <v>124621027</v>
      </c>
      <c r="M10" s="220">
        <f t="shared" si="5"/>
        <v>0.75254243357487927</v>
      </c>
      <c r="N10" s="207">
        <v>55200000</v>
      </c>
      <c r="O10" s="206">
        <v>59543429</v>
      </c>
      <c r="P10" s="323">
        <f t="shared" si="6"/>
        <v>1.0786853079710146</v>
      </c>
      <c r="Q10" s="207">
        <v>55200000</v>
      </c>
      <c r="R10" s="206">
        <v>37166163</v>
      </c>
      <c r="S10" s="323">
        <f t="shared" si="7"/>
        <v>0.67330005434782614</v>
      </c>
      <c r="T10" s="207">
        <v>55200000</v>
      </c>
      <c r="U10" s="206">
        <v>69467942</v>
      </c>
      <c r="V10" s="217">
        <f t="shared" si="8"/>
        <v>1.2584772101449275</v>
      </c>
      <c r="W10" s="207">
        <f t="shared" ref="W10" si="28">N10+Q10+T10</f>
        <v>165600000</v>
      </c>
      <c r="X10" s="207">
        <f t="shared" ref="X10" si="29">O10+R10+U10</f>
        <v>166177534</v>
      </c>
      <c r="Y10" s="220">
        <f t="shared" si="11"/>
        <v>1.0034875241545893</v>
      </c>
      <c r="Z10" s="207">
        <v>59800000</v>
      </c>
      <c r="AA10" s="206">
        <v>85004893</v>
      </c>
      <c r="AB10" s="220">
        <f t="shared" si="12"/>
        <v>1.4214865050167225</v>
      </c>
      <c r="AC10" s="207">
        <v>59800000</v>
      </c>
      <c r="AD10" s="206">
        <v>65629388</v>
      </c>
      <c r="AE10" s="220">
        <f t="shared" si="13"/>
        <v>1.0974814046822743</v>
      </c>
      <c r="AF10" s="207">
        <v>59800000</v>
      </c>
      <c r="AG10" s="206">
        <v>0</v>
      </c>
      <c r="AH10" s="220">
        <f t="shared" si="14"/>
        <v>0</v>
      </c>
      <c r="AI10" s="207">
        <f t="shared" ref="AI10" si="30">Z10+AC10+AF10</f>
        <v>179400000</v>
      </c>
      <c r="AJ10" s="207">
        <f t="shared" si="25"/>
        <v>150634281</v>
      </c>
      <c r="AK10" s="220">
        <f t="shared" si="15"/>
        <v>0.83965596989966551</v>
      </c>
      <c r="AL10" s="207">
        <v>59800000</v>
      </c>
      <c r="AM10" s="206">
        <v>0</v>
      </c>
      <c r="AN10" s="220">
        <f t="shared" si="16"/>
        <v>0</v>
      </c>
      <c r="AO10" s="207">
        <v>59800000</v>
      </c>
      <c r="AP10" s="206">
        <v>0</v>
      </c>
      <c r="AQ10" s="220">
        <f t="shared" si="17"/>
        <v>0</v>
      </c>
      <c r="AR10" s="207">
        <v>59800000</v>
      </c>
      <c r="AS10" s="206">
        <v>0</v>
      </c>
      <c r="AT10" s="220">
        <f t="shared" si="18"/>
        <v>0</v>
      </c>
      <c r="AU10" s="207">
        <f t="shared" ref="AU10" si="31">AL10+AO10+AR10</f>
        <v>179400000</v>
      </c>
      <c r="AV10" s="207">
        <f t="shared" ref="AV10" si="32">AM10+AP10+AS10</f>
        <v>0</v>
      </c>
      <c r="AW10" s="220">
        <f t="shared" si="21"/>
        <v>0</v>
      </c>
      <c r="AX10" s="219">
        <f t="shared" ref="AX10" si="33">K10+W10+AI10+AU10</f>
        <v>690000000</v>
      </c>
      <c r="AY10" s="219">
        <f t="shared" ref="AY10" si="34">L10+X10+AJ10+AV10</f>
        <v>441432842</v>
      </c>
      <c r="AZ10" s="220">
        <f t="shared" si="24"/>
        <v>0.6397577420289855</v>
      </c>
    </row>
    <row r="11" spans="1:52" s="211" customFormat="1" ht="19.5" customHeight="1">
      <c r="A11" s="42" t="s">
        <v>1034</v>
      </c>
      <c r="B11" s="206">
        <v>5250000</v>
      </c>
      <c r="C11" s="206">
        <v>4662544</v>
      </c>
      <c r="D11" s="220">
        <f t="shared" si="0"/>
        <v>0.88810361904761903</v>
      </c>
      <c r="E11" s="206">
        <v>5250000</v>
      </c>
      <c r="F11" s="206">
        <v>5540923</v>
      </c>
      <c r="G11" s="220">
        <f t="shared" si="1"/>
        <v>1.0554139047619047</v>
      </c>
      <c r="H11" s="206">
        <v>5250000</v>
      </c>
      <c r="I11" s="206">
        <v>4643464</v>
      </c>
      <c r="J11" s="220">
        <f t="shared" si="2"/>
        <v>0.88446933333333333</v>
      </c>
      <c r="K11" s="206">
        <f t="shared" si="3"/>
        <v>15750000</v>
      </c>
      <c r="L11" s="206">
        <f t="shared" si="4"/>
        <v>14846931</v>
      </c>
      <c r="M11" s="220">
        <f t="shared" si="5"/>
        <v>0.94266228571428567</v>
      </c>
      <c r="N11" s="207">
        <v>5250000</v>
      </c>
      <c r="O11" s="206">
        <v>3036598</v>
      </c>
      <c r="P11" s="323">
        <f t="shared" si="6"/>
        <v>0.57839961904761905</v>
      </c>
      <c r="Q11" s="207">
        <v>5250000</v>
      </c>
      <c r="R11" s="206">
        <v>3094664</v>
      </c>
      <c r="S11" s="323">
        <f t="shared" si="7"/>
        <v>0.5894598095238095</v>
      </c>
      <c r="T11" s="207">
        <v>5250000</v>
      </c>
      <c r="U11" s="206">
        <v>3477355</v>
      </c>
      <c r="V11" s="217">
        <f t="shared" si="8"/>
        <v>0.66235333333333335</v>
      </c>
      <c r="W11" s="207">
        <f t="shared" si="9"/>
        <v>15750000</v>
      </c>
      <c r="X11" s="207">
        <f t="shared" si="10"/>
        <v>9608617</v>
      </c>
      <c r="Y11" s="220">
        <f t="shared" si="11"/>
        <v>0.61007092063492063</v>
      </c>
      <c r="Z11" s="207">
        <v>9750000</v>
      </c>
      <c r="AA11" s="206">
        <v>8018284</v>
      </c>
      <c r="AB11" s="220">
        <f t="shared" si="12"/>
        <v>0.82238810256410255</v>
      </c>
      <c r="AC11" s="207">
        <v>9750000</v>
      </c>
      <c r="AD11" s="206">
        <v>6841562</v>
      </c>
      <c r="AE11" s="220">
        <f t="shared" si="13"/>
        <v>0.70169866666666669</v>
      </c>
      <c r="AF11" s="207">
        <v>9750000</v>
      </c>
      <c r="AG11" s="206">
        <v>0</v>
      </c>
      <c r="AH11" s="220">
        <f t="shared" si="14"/>
        <v>0</v>
      </c>
      <c r="AI11" s="207">
        <f t="shared" ref="AI11:AI12" si="35">Z11+AC11+AF11</f>
        <v>29250000</v>
      </c>
      <c r="AJ11" s="207">
        <f t="shared" si="25"/>
        <v>14859846</v>
      </c>
      <c r="AK11" s="220">
        <f t="shared" si="15"/>
        <v>0.50802892307692304</v>
      </c>
      <c r="AL11" s="207">
        <v>9750000</v>
      </c>
      <c r="AM11" s="206">
        <v>0</v>
      </c>
      <c r="AN11" s="220">
        <f t="shared" si="16"/>
        <v>0</v>
      </c>
      <c r="AO11" s="207">
        <v>9750000</v>
      </c>
      <c r="AP11" s="206">
        <v>0</v>
      </c>
      <c r="AQ11" s="220">
        <f t="shared" si="17"/>
        <v>0</v>
      </c>
      <c r="AR11" s="207">
        <v>9750000</v>
      </c>
      <c r="AS11" s="206">
        <v>0</v>
      </c>
      <c r="AT11" s="220">
        <f t="shared" si="18"/>
        <v>0</v>
      </c>
      <c r="AU11" s="207">
        <f t="shared" si="19"/>
        <v>29250000</v>
      </c>
      <c r="AV11" s="207">
        <f t="shared" si="20"/>
        <v>0</v>
      </c>
      <c r="AW11" s="220">
        <f t="shared" si="21"/>
        <v>0</v>
      </c>
      <c r="AX11" s="219">
        <f t="shared" si="22"/>
        <v>90000000</v>
      </c>
      <c r="AY11" s="219">
        <f t="shared" si="23"/>
        <v>39315394</v>
      </c>
      <c r="AZ11" s="220">
        <f t="shared" si="24"/>
        <v>0.43683771111111114</v>
      </c>
    </row>
    <row r="12" spans="1:52" s="211" customFormat="1" ht="19.5" customHeight="1">
      <c r="A12" s="221" t="s">
        <v>594</v>
      </c>
      <c r="B12" s="224">
        <v>0</v>
      </c>
      <c r="C12" s="222">
        <f>IS明細!D20</f>
        <v>3959</v>
      </c>
      <c r="D12" s="223"/>
      <c r="E12" s="224">
        <v>0</v>
      </c>
      <c r="F12" s="222">
        <f>IS明細!F20</f>
        <v>43786</v>
      </c>
      <c r="G12" s="223"/>
      <c r="H12" s="224">
        <v>0</v>
      </c>
      <c r="I12" s="222">
        <f>IS明細!H20</f>
        <v>27522</v>
      </c>
      <c r="J12" s="223"/>
      <c r="K12" s="222">
        <f t="shared" si="3"/>
        <v>0</v>
      </c>
      <c r="L12" s="222">
        <f t="shared" si="4"/>
        <v>75267</v>
      </c>
      <c r="M12" s="225"/>
      <c r="N12" s="224">
        <v>0</v>
      </c>
      <c r="O12" s="222">
        <f>IS明細!J20</f>
        <v>20986</v>
      </c>
      <c r="P12" s="223"/>
      <c r="Q12" s="224">
        <v>0</v>
      </c>
      <c r="R12" s="222">
        <f>IS明細!L20</f>
        <v>43107</v>
      </c>
      <c r="S12" s="223"/>
      <c r="T12" s="224">
        <v>0</v>
      </c>
      <c r="U12" s="222">
        <f>IS明細!N20</f>
        <v>81879</v>
      </c>
      <c r="V12" s="223"/>
      <c r="W12" s="224">
        <f t="shared" si="9"/>
        <v>0</v>
      </c>
      <c r="X12" s="224">
        <f t="shared" si="10"/>
        <v>145972</v>
      </c>
      <c r="Y12" s="226"/>
      <c r="Z12" s="224">
        <v>0</v>
      </c>
      <c r="AA12" s="222">
        <f>IS明細!P20</f>
        <v>3539</v>
      </c>
      <c r="AB12" s="226"/>
      <c r="AC12" s="224">
        <v>0</v>
      </c>
      <c r="AD12" s="222">
        <f>IS明細!R20</f>
        <v>3539</v>
      </c>
      <c r="AE12" s="223"/>
      <c r="AF12" s="224">
        <v>0</v>
      </c>
      <c r="AG12" s="222">
        <f>IS明細!T20</f>
        <v>0</v>
      </c>
      <c r="AH12" s="223"/>
      <c r="AI12" s="224">
        <f t="shared" si="35"/>
        <v>0</v>
      </c>
      <c r="AJ12" s="224">
        <f t="shared" si="25"/>
        <v>7078</v>
      </c>
      <c r="AK12" s="223"/>
      <c r="AL12" s="224">
        <v>0</v>
      </c>
      <c r="AM12" s="222">
        <f>IS明細!V20</f>
        <v>0</v>
      </c>
      <c r="AN12" s="223"/>
      <c r="AO12" s="224">
        <v>0</v>
      </c>
      <c r="AP12" s="222">
        <f>IS明細!X20</f>
        <v>0</v>
      </c>
      <c r="AQ12" s="223"/>
      <c r="AR12" s="224">
        <v>0</v>
      </c>
      <c r="AS12" s="222">
        <f>IS明細!Z20</f>
        <v>0</v>
      </c>
      <c r="AT12" s="223"/>
      <c r="AU12" s="224">
        <f t="shared" si="19"/>
        <v>0</v>
      </c>
      <c r="AV12" s="224">
        <f t="shared" si="20"/>
        <v>0</v>
      </c>
      <c r="AW12" s="223"/>
      <c r="AX12" s="227">
        <f t="shared" si="22"/>
        <v>0</v>
      </c>
      <c r="AY12" s="227">
        <f t="shared" si="23"/>
        <v>228317</v>
      </c>
      <c r="AZ12" s="225"/>
    </row>
    <row r="13" spans="1:52" s="211" customFormat="1" ht="19.5" customHeight="1">
      <c r="A13" s="221" t="s">
        <v>1035</v>
      </c>
      <c r="B13" s="206">
        <f>SUM(B8:B12)</f>
        <v>76950000</v>
      </c>
      <c r="C13" s="206">
        <f>SUM(C8:C12)</f>
        <v>60246951</v>
      </c>
      <c r="D13" s="220">
        <f>C13/B13</f>
        <v>0.78293633528265105</v>
      </c>
      <c r="E13" s="206">
        <f>SUM(E8:E12)</f>
        <v>76950000</v>
      </c>
      <c r="F13" s="206">
        <f>SUM(F8:F12)</f>
        <v>53071500</v>
      </c>
      <c r="G13" s="220">
        <f>F13/E13</f>
        <v>0.68968810916179335</v>
      </c>
      <c r="H13" s="206">
        <f>SUM(H8:H12)</f>
        <v>76950000</v>
      </c>
      <c r="I13" s="206">
        <f>SUM(I8:I12)</f>
        <v>63731970</v>
      </c>
      <c r="J13" s="220">
        <f>I13/H13</f>
        <v>0.82822573099415209</v>
      </c>
      <c r="K13" s="206">
        <f>SUM(K8:K12)</f>
        <v>230850000</v>
      </c>
      <c r="L13" s="206">
        <f>SUM(L8:L12)</f>
        <v>177050421</v>
      </c>
      <c r="M13" s="220">
        <f>L13/K13</f>
        <v>0.76695005847953213</v>
      </c>
      <c r="N13" s="206">
        <f t="shared" ref="N13:AY13" si="36">SUM(N8:N12)</f>
        <v>76950000</v>
      </c>
      <c r="O13" s="206">
        <f t="shared" si="36"/>
        <v>67365680</v>
      </c>
      <c r="P13" s="220">
        <f>O13/N13</f>
        <v>0.87544743339831055</v>
      </c>
      <c r="Q13" s="206">
        <f t="shared" si="36"/>
        <v>76950000</v>
      </c>
      <c r="R13" s="206">
        <f>SUM(R8:R12)</f>
        <v>53281342.770000003</v>
      </c>
      <c r="S13" s="220">
        <f>R13/Q13</f>
        <v>0.69241511072124762</v>
      </c>
      <c r="T13" s="206">
        <f t="shared" si="36"/>
        <v>76950000</v>
      </c>
      <c r="U13" s="206">
        <f t="shared" si="36"/>
        <v>87487966</v>
      </c>
      <c r="V13" s="220">
        <f>U13/T13</f>
        <v>1.1369456270305394</v>
      </c>
      <c r="W13" s="206">
        <f t="shared" si="36"/>
        <v>230850000</v>
      </c>
      <c r="X13" s="206">
        <f t="shared" si="36"/>
        <v>208134988.77000001</v>
      </c>
      <c r="Y13" s="220">
        <f>X13/W13</f>
        <v>0.90160272371669925</v>
      </c>
      <c r="Z13" s="206">
        <f t="shared" si="36"/>
        <v>89716667</v>
      </c>
      <c r="AA13" s="206">
        <f t="shared" si="36"/>
        <v>98241166</v>
      </c>
      <c r="AB13" s="220">
        <f>AA13/Z13</f>
        <v>1.0950157789521984</v>
      </c>
      <c r="AC13" s="206">
        <f t="shared" si="36"/>
        <v>89716667</v>
      </c>
      <c r="AD13" s="206">
        <f t="shared" si="36"/>
        <v>82134915</v>
      </c>
      <c r="AE13" s="220">
        <f>AD13/AC13</f>
        <v>0.91549226856588417</v>
      </c>
      <c r="AF13" s="206">
        <f t="shared" si="36"/>
        <v>89716666</v>
      </c>
      <c r="AG13" s="206">
        <f t="shared" si="36"/>
        <v>0</v>
      </c>
      <c r="AH13" s="220">
        <f>AG13/AF13</f>
        <v>0</v>
      </c>
      <c r="AI13" s="206">
        <f t="shared" si="36"/>
        <v>269150000</v>
      </c>
      <c r="AJ13" s="206">
        <f t="shared" si="36"/>
        <v>180376081</v>
      </c>
      <c r="AK13" s="220">
        <f>AJ13/AI13</f>
        <v>0.67016935166264169</v>
      </c>
      <c r="AL13" s="206">
        <f t="shared" si="36"/>
        <v>89716666</v>
      </c>
      <c r="AM13" s="206">
        <f t="shared" si="36"/>
        <v>0</v>
      </c>
      <c r="AN13" s="220">
        <f>AM13/AL13</f>
        <v>0</v>
      </c>
      <c r="AO13" s="206">
        <f t="shared" si="36"/>
        <v>89716667</v>
      </c>
      <c r="AP13" s="206">
        <f t="shared" si="36"/>
        <v>0</v>
      </c>
      <c r="AQ13" s="220">
        <f>AP13/AO13</f>
        <v>0</v>
      </c>
      <c r="AR13" s="206">
        <f t="shared" si="36"/>
        <v>89716667</v>
      </c>
      <c r="AS13" s="206">
        <f t="shared" si="36"/>
        <v>0</v>
      </c>
      <c r="AT13" s="220">
        <f>AS13/AR13</f>
        <v>0</v>
      </c>
      <c r="AU13" s="206">
        <f t="shared" si="36"/>
        <v>269150000</v>
      </c>
      <c r="AV13" s="206">
        <f t="shared" si="36"/>
        <v>0</v>
      </c>
      <c r="AW13" s="220">
        <f>AV13/AU13</f>
        <v>0</v>
      </c>
      <c r="AX13" s="228">
        <f t="shared" si="36"/>
        <v>1000000000</v>
      </c>
      <c r="AY13" s="228">
        <f t="shared" si="36"/>
        <v>565561490.76999998</v>
      </c>
      <c r="AZ13" s="220">
        <f>AY13/AX13</f>
        <v>0.56556149076999995</v>
      </c>
    </row>
    <row r="14" spans="1:52" ht="19.5" customHeight="1">
      <c r="A14" s="203" t="s">
        <v>1036</v>
      </c>
      <c r="B14" s="206">
        <v>63669000</v>
      </c>
      <c r="C14" s="206">
        <f>IS明細!D89</f>
        <v>55646869</v>
      </c>
      <c r="D14" s="206"/>
      <c r="E14" s="206">
        <v>63669000</v>
      </c>
      <c r="F14" s="206">
        <f>IS明細!F89</f>
        <v>52320171</v>
      </c>
      <c r="G14" s="206"/>
      <c r="H14" s="206">
        <v>63669000</v>
      </c>
      <c r="I14" s="206">
        <f>IS明細!H89</f>
        <v>53472402</v>
      </c>
      <c r="J14" s="206"/>
      <c r="K14" s="206">
        <f>B14+E14+H14</f>
        <v>191007000</v>
      </c>
      <c r="L14" s="206">
        <f>C14+F14+I14</f>
        <v>161439442</v>
      </c>
      <c r="M14" s="207"/>
      <c r="N14" s="207">
        <v>63669000</v>
      </c>
      <c r="O14" s="206">
        <f>IS明細!J89</f>
        <v>59947315</v>
      </c>
      <c r="P14" s="206"/>
      <c r="Q14" s="207">
        <v>63669000</v>
      </c>
      <c r="R14" s="207">
        <f>IS明細!L89</f>
        <v>46938901</v>
      </c>
      <c r="S14" s="207"/>
      <c r="T14" s="207">
        <v>63669000</v>
      </c>
      <c r="U14" s="207">
        <f>IS明細!N89</f>
        <v>76556480</v>
      </c>
      <c r="V14" s="207"/>
      <c r="W14" s="207">
        <f>N14+Q14+T14</f>
        <v>191007000</v>
      </c>
      <c r="X14" s="207">
        <f>O14+R14+U14</f>
        <v>183442696</v>
      </c>
      <c r="Y14" s="207"/>
      <c r="Z14" s="207">
        <v>73390917</v>
      </c>
      <c r="AA14" s="207">
        <f>IS明細!P89</f>
        <v>87191630</v>
      </c>
      <c r="AB14" s="207"/>
      <c r="AC14" s="207">
        <v>73390917</v>
      </c>
      <c r="AD14" s="207">
        <f>IS明細!R89</f>
        <v>70950644</v>
      </c>
      <c r="AE14" s="207"/>
      <c r="AF14" s="207">
        <v>73390916</v>
      </c>
      <c r="AG14" s="207">
        <f>IS明細!T89</f>
        <v>0</v>
      </c>
      <c r="AH14" s="207"/>
      <c r="AI14" s="207">
        <f>Z14+AC14+AF14</f>
        <v>220172750</v>
      </c>
      <c r="AJ14" s="207">
        <f>AA14+AD14+AG14</f>
        <v>158142274</v>
      </c>
      <c r="AK14" s="207"/>
      <c r="AL14" s="207">
        <v>73390916</v>
      </c>
      <c r="AM14" s="207">
        <f>IS明細!V89</f>
        <v>0</v>
      </c>
      <c r="AN14" s="207"/>
      <c r="AO14" s="207">
        <v>73390917</v>
      </c>
      <c r="AP14" s="207">
        <f>IS明細!X89</f>
        <v>0</v>
      </c>
      <c r="AQ14" s="207"/>
      <c r="AR14" s="207">
        <v>73390917</v>
      </c>
      <c r="AS14" s="207">
        <f>IS明細!Z89</f>
        <v>0</v>
      </c>
      <c r="AT14" s="207"/>
      <c r="AU14" s="207">
        <f>AL14+AO14+AR14</f>
        <v>220172750</v>
      </c>
      <c r="AV14" s="207">
        <f>AM14+AP14+AS14</f>
        <v>0</v>
      </c>
      <c r="AW14" s="207"/>
      <c r="AX14" s="229">
        <f>K14+W14+AI14+AU14</f>
        <v>822359500</v>
      </c>
      <c r="AY14" s="229">
        <f>L14+X14+AJ14+AV14</f>
        <v>503024412</v>
      </c>
      <c r="AZ14" s="230"/>
    </row>
    <row r="15" spans="1:52" ht="19.5" customHeight="1">
      <c r="A15" s="231" t="s">
        <v>1037</v>
      </c>
      <c r="B15" s="232">
        <f>B13-B14</f>
        <v>13281000</v>
      </c>
      <c r="C15" s="232">
        <f>C13-C14</f>
        <v>4600082</v>
      </c>
      <c r="D15" s="232"/>
      <c r="E15" s="232">
        <f>E13-E14</f>
        <v>13281000</v>
      </c>
      <c r="F15" s="232">
        <f>F13-F14</f>
        <v>751329</v>
      </c>
      <c r="G15" s="232"/>
      <c r="H15" s="232">
        <f>H13-H14</f>
        <v>13281000</v>
      </c>
      <c r="I15" s="232">
        <f>I13-I14</f>
        <v>10259568</v>
      </c>
      <c r="J15" s="232"/>
      <c r="K15" s="232">
        <f>K13-K14</f>
        <v>39843000</v>
      </c>
      <c r="L15" s="232">
        <f>L13-L14</f>
        <v>15610979</v>
      </c>
      <c r="M15" s="233"/>
      <c r="N15" s="232">
        <f>N13-N14</f>
        <v>13281000</v>
      </c>
      <c r="O15" s="232">
        <f>O13-O14</f>
        <v>7418365</v>
      </c>
      <c r="P15" s="233"/>
      <c r="Q15" s="232">
        <f>Q13-Q14</f>
        <v>13281000</v>
      </c>
      <c r="R15" s="232">
        <f>R13-R14</f>
        <v>6342441.7700000033</v>
      </c>
      <c r="S15" s="233"/>
      <c r="T15" s="232">
        <f>T13-T14</f>
        <v>13281000</v>
      </c>
      <c r="U15" s="232">
        <f>U13-U14</f>
        <v>10931486</v>
      </c>
      <c r="V15" s="233"/>
      <c r="W15" s="232">
        <f>W13-W14</f>
        <v>39843000</v>
      </c>
      <c r="X15" s="232">
        <f>X13-X14</f>
        <v>24692292.770000011</v>
      </c>
      <c r="Y15" s="233"/>
      <c r="Z15" s="232">
        <f>Z13-Z14</f>
        <v>16325750</v>
      </c>
      <c r="AA15" s="232">
        <f>AA13-AA14</f>
        <v>11049536</v>
      </c>
      <c r="AB15" s="233"/>
      <c r="AC15" s="232">
        <f>AC13-AC14</f>
        <v>16325750</v>
      </c>
      <c r="AD15" s="232">
        <f>AD13-AD14</f>
        <v>11184271</v>
      </c>
      <c r="AE15" s="233"/>
      <c r="AF15" s="232">
        <f>AF13-AF14</f>
        <v>16325750</v>
      </c>
      <c r="AG15" s="232">
        <f>AG13-AG14</f>
        <v>0</v>
      </c>
      <c r="AH15" s="233"/>
      <c r="AI15" s="232">
        <f>AI13-AI14</f>
        <v>48977250</v>
      </c>
      <c r="AJ15" s="232">
        <f>AJ13-AJ14</f>
        <v>22233807</v>
      </c>
      <c r="AK15" s="233"/>
      <c r="AL15" s="232">
        <f>AL13-AL14</f>
        <v>16325750</v>
      </c>
      <c r="AM15" s="232">
        <f>AM13-AM14</f>
        <v>0</v>
      </c>
      <c r="AN15" s="233"/>
      <c r="AO15" s="232">
        <f>AO13-AO14</f>
        <v>16325750</v>
      </c>
      <c r="AP15" s="232">
        <f>AP13-AP14</f>
        <v>0</v>
      </c>
      <c r="AQ15" s="233"/>
      <c r="AR15" s="232">
        <f>AR13-AR14</f>
        <v>16325750</v>
      </c>
      <c r="AS15" s="232">
        <f>AS13-AS14</f>
        <v>0</v>
      </c>
      <c r="AT15" s="233"/>
      <c r="AU15" s="232">
        <f>AU13-AU14</f>
        <v>48977250</v>
      </c>
      <c r="AV15" s="232">
        <f>AV13-AV14</f>
        <v>0</v>
      </c>
      <c r="AW15" s="233"/>
      <c r="AX15" s="234">
        <f>AX13-AX14</f>
        <v>177640500</v>
      </c>
      <c r="AY15" s="234">
        <f>AY13-AY14</f>
        <v>62537078.769999981</v>
      </c>
      <c r="AZ15" s="235"/>
    </row>
    <row r="16" spans="1:52" ht="19.5" customHeight="1" thickBot="1">
      <c r="A16" s="236" t="s">
        <v>1038</v>
      </c>
      <c r="B16" s="237">
        <f>B15/B13</f>
        <v>0.1725925925925926</v>
      </c>
      <c r="C16" s="237">
        <f>C15/C13</f>
        <v>7.6353772658138336E-2</v>
      </c>
      <c r="D16" s="237"/>
      <c r="E16" s="237">
        <f>E15/E13</f>
        <v>0.1725925925925926</v>
      </c>
      <c r="F16" s="237">
        <f>F15/F13</f>
        <v>1.415692038099545E-2</v>
      </c>
      <c r="G16" s="237"/>
      <c r="H16" s="237">
        <f>H15/H13</f>
        <v>0.1725925925925926</v>
      </c>
      <c r="I16" s="237">
        <f>I15/I13</f>
        <v>0.16097992891165924</v>
      </c>
      <c r="J16" s="237"/>
      <c r="K16" s="237">
        <f>K15/K13</f>
        <v>0.1725925925925926</v>
      </c>
      <c r="L16" s="237">
        <f>L15/L13</f>
        <v>8.8172504260806028E-2</v>
      </c>
      <c r="M16" s="237"/>
      <c r="N16" s="237">
        <f>N15/N13</f>
        <v>0.1725925925925926</v>
      </c>
      <c r="O16" s="237">
        <f>O15/O13</f>
        <v>0.11012083601026516</v>
      </c>
      <c r="P16" s="237"/>
      <c r="Q16" s="237">
        <f>Q15/Q13</f>
        <v>0.1725925925925926</v>
      </c>
      <c r="R16" s="237">
        <f>R15/R13</f>
        <v>0.11903682302787436</v>
      </c>
      <c r="S16" s="237"/>
      <c r="T16" s="237">
        <f>T15/T13</f>
        <v>0.1725925925925926</v>
      </c>
      <c r="U16" s="237">
        <f>U15/U13</f>
        <v>0.12494845291065516</v>
      </c>
      <c r="V16" s="237"/>
      <c r="W16" s="237">
        <f>W15/W13</f>
        <v>0.1725925925925926</v>
      </c>
      <c r="X16" s="237">
        <f>X15/X13</f>
        <v>0.11863595311832111</v>
      </c>
      <c r="Y16" s="237"/>
      <c r="Z16" s="237">
        <f>Z15/Z13</f>
        <v>0.18197009035121645</v>
      </c>
      <c r="AA16" s="237">
        <f>AA15/AA13</f>
        <v>0.11247358362990113</v>
      </c>
      <c r="AB16" s="237"/>
      <c r="AC16" s="237">
        <f>AC15/AC13</f>
        <v>0.18197009035121645</v>
      </c>
      <c r="AD16" s="237">
        <f>AD15/AD13</f>
        <v>0.13616950842403625</v>
      </c>
      <c r="AE16" s="237"/>
      <c r="AF16" s="237">
        <f>AF15/AF13</f>
        <v>0.18197009237949169</v>
      </c>
      <c r="AG16" s="237" t="e">
        <f>AG15/AG13</f>
        <v>#DIV/0!</v>
      </c>
      <c r="AH16" s="237"/>
      <c r="AI16" s="237">
        <f>AI15/AI13</f>
        <v>0.18197009102730818</v>
      </c>
      <c r="AJ16" s="237">
        <f>AJ15/AJ13</f>
        <v>0.12326361054490367</v>
      </c>
      <c r="AK16" s="237"/>
      <c r="AL16" s="237">
        <f>AL15/AL13</f>
        <v>0.18197009237949169</v>
      </c>
      <c r="AM16" s="237" t="e">
        <f>AM15/AM13</f>
        <v>#DIV/0!</v>
      </c>
      <c r="AN16" s="237"/>
      <c r="AO16" s="237">
        <f>AO15/AO13</f>
        <v>0.18197009035121645</v>
      </c>
      <c r="AP16" s="237" t="e">
        <f>AP15/AP13</f>
        <v>#DIV/0!</v>
      </c>
      <c r="AQ16" s="237"/>
      <c r="AR16" s="237">
        <f>AR15/AR13</f>
        <v>0.18197009035121645</v>
      </c>
      <c r="AS16" s="237" t="e">
        <f>AS15/AS13</f>
        <v>#DIV/0!</v>
      </c>
      <c r="AT16" s="237"/>
      <c r="AU16" s="237">
        <f>AU15/AU13</f>
        <v>0.18197009102730818</v>
      </c>
      <c r="AV16" s="237" t="e">
        <f>AV15/AV13</f>
        <v>#DIV/0!</v>
      </c>
      <c r="AW16" s="237"/>
      <c r="AX16" s="237">
        <f>AX15/AX13</f>
        <v>0.17764050000000001</v>
      </c>
      <c r="AY16" s="237">
        <f>AY15/AY13</f>
        <v>0.11057520674693935</v>
      </c>
      <c r="AZ16" s="238"/>
    </row>
    <row r="17" spans="1:52" ht="19.5" customHeight="1" thickTop="1">
      <c r="A17" s="239" t="s">
        <v>1039</v>
      </c>
      <c r="B17" s="240"/>
      <c r="C17" s="240"/>
      <c r="D17" s="240"/>
      <c r="E17" s="240"/>
      <c r="F17" s="240"/>
      <c r="G17" s="240"/>
      <c r="H17" s="240"/>
      <c r="I17" s="240"/>
      <c r="J17" s="240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7"/>
      <c r="AW17" s="207"/>
      <c r="AX17" s="219"/>
      <c r="AY17" s="219"/>
      <c r="AZ17" s="230"/>
    </row>
    <row r="18" spans="1:52" ht="19.5" customHeight="1">
      <c r="A18" s="241" t="s">
        <v>1040</v>
      </c>
      <c r="B18" s="206">
        <v>2549980</v>
      </c>
      <c r="C18" s="206">
        <f>IS明細!D134</f>
        <v>2682181</v>
      </c>
      <c r="D18" s="206"/>
      <c r="E18" s="206">
        <v>2549048</v>
      </c>
      <c r="F18" s="206">
        <f>IS明細!F134</f>
        <v>3034578</v>
      </c>
      <c r="G18" s="206"/>
      <c r="H18" s="206">
        <v>2521014</v>
      </c>
      <c r="I18" s="206">
        <f>IS明細!H134</f>
        <v>2064980</v>
      </c>
      <c r="J18" s="206"/>
      <c r="K18" s="207">
        <f t="shared" ref="K18:L20" si="37">B18+E18+H18</f>
        <v>7620042</v>
      </c>
      <c r="L18" s="207">
        <f>C18+F18+I18</f>
        <v>7781739</v>
      </c>
      <c r="M18" s="207"/>
      <c r="N18" s="207">
        <v>2549323</v>
      </c>
      <c r="O18" s="206">
        <f>IS明細!J134</f>
        <v>2828716</v>
      </c>
      <c r="P18" s="206"/>
      <c r="Q18" s="207">
        <v>2340258</v>
      </c>
      <c r="R18" s="207">
        <f>IS明細!L134</f>
        <v>2899107</v>
      </c>
      <c r="S18" s="207"/>
      <c r="T18" s="207">
        <v>2486213</v>
      </c>
      <c r="U18" s="207">
        <f>IS明細!N134</f>
        <v>3746561</v>
      </c>
      <c r="V18" s="207"/>
      <c r="W18" s="207">
        <f t="shared" ref="W18:X20" si="38">N18+Q18+T18</f>
        <v>7375794</v>
      </c>
      <c r="X18" s="207">
        <f t="shared" si="38"/>
        <v>9474384</v>
      </c>
      <c r="Y18" s="207"/>
      <c r="Z18" s="207">
        <v>3998136</v>
      </c>
      <c r="AA18" s="207">
        <f>IS明細!P134</f>
        <v>3694714</v>
      </c>
      <c r="AB18" s="207"/>
      <c r="AC18" s="207">
        <v>4015058</v>
      </c>
      <c r="AD18" s="207">
        <f>IS明細!R134</f>
        <v>3586817</v>
      </c>
      <c r="AE18" s="207"/>
      <c r="AF18" s="207">
        <v>3978371</v>
      </c>
      <c r="AG18" s="207">
        <f>IS明細!T134</f>
        <v>0</v>
      </c>
      <c r="AH18" s="207"/>
      <c r="AI18" s="207">
        <f t="shared" ref="AI18:AJ20" si="39">Z18+AC18+AF18</f>
        <v>11991565</v>
      </c>
      <c r="AJ18" s="207">
        <f t="shared" si="39"/>
        <v>7281531</v>
      </c>
      <c r="AK18" s="207"/>
      <c r="AL18" s="207">
        <v>4015613</v>
      </c>
      <c r="AM18" s="207">
        <f>IS明細!V134</f>
        <v>0</v>
      </c>
      <c r="AN18" s="207"/>
      <c r="AO18" s="207">
        <v>4010829</v>
      </c>
      <c r="AP18" s="207">
        <f>IS明細!X134</f>
        <v>0</v>
      </c>
      <c r="AQ18" s="207"/>
      <c r="AR18" s="207">
        <v>3983074</v>
      </c>
      <c r="AS18" s="207">
        <f>IS明細!Z134</f>
        <v>0</v>
      </c>
      <c r="AT18" s="207"/>
      <c r="AU18" s="207">
        <f t="shared" ref="AU18:AV20" si="40">AL18+AO18+AR18</f>
        <v>12009516</v>
      </c>
      <c r="AV18" s="207">
        <f t="shared" si="40"/>
        <v>0</v>
      </c>
      <c r="AW18" s="207"/>
      <c r="AX18" s="219">
        <f t="shared" ref="AX18:AY20" si="41">K18+W18+AI18+AU18</f>
        <v>38996917</v>
      </c>
      <c r="AY18" s="219">
        <f t="shared" si="41"/>
        <v>24537654</v>
      </c>
      <c r="AZ18" s="230"/>
    </row>
    <row r="19" spans="1:52" ht="19.5" customHeight="1">
      <c r="A19" s="241" t="s">
        <v>1041</v>
      </c>
      <c r="B19" s="206">
        <v>1802773</v>
      </c>
      <c r="C19" s="206">
        <f>IS明細!D172</f>
        <v>1755765</v>
      </c>
      <c r="D19" s="206"/>
      <c r="E19" s="206">
        <v>1803705</v>
      </c>
      <c r="F19" s="206">
        <f>IS明細!F172</f>
        <v>2075875</v>
      </c>
      <c r="G19" s="206"/>
      <c r="H19" s="206">
        <v>1831739</v>
      </c>
      <c r="I19" s="206">
        <f>IS明細!H172</f>
        <v>1882646</v>
      </c>
      <c r="J19" s="206"/>
      <c r="K19" s="207">
        <f t="shared" si="37"/>
        <v>5438217</v>
      </c>
      <c r="L19" s="207">
        <f t="shared" si="37"/>
        <v>5714286</v>
      </c>
      <c r="M19" s="207"/>
      <c r="N19" s="207">
        <v>1803430</v>
      </c>
      <c r="O19" s="206">
        <f>IS明細!J172</f>
        <v>1770950</v>
      </c>
      <c r="P19" s="206"/>
      <c r="Q19" s="207">
        <v>2012495</v>
      </c>
      <c r="R19" s="207">
        <f>IS明細!L172</f>
        <v>1871563</v>
      </c>
      <c r="S19" s="207"/>
      <c r="T19" s="207">
        <v>1866540</v>
      </c>
      <c r="U19" s="207">
        <f>IS明細!N172</f>
        <v>1797661</v>
      </c>
      <c r="V19" s="207"/>
      <c r="W19" s="207">
        <f t="shared" si="38"/>
        <v>5682465</v>
      </c>
      <c r="X19" s="207">
        <f t="shared" si="38"/>
        <v>5440174</v>
      </c>
      <c r="Y19" s="207"/>
      <c r="Z19" s="207">
        <v>1821867</v>
      </c>
      <c r="AA19" s="207">
        <f>IS明細!P172</f>
        <v>3498119</v>
      </c>
      <c r="AB19" s="207"/>
      <c r="AC19" s="207">
        <v>1804945</v>
      </c>
      <c r="AD19" s="207">
        <f>IS明細!R172</f>
        <v>1755224</v>
      </c>
      <c r="AE19" s="207"/>
      <c r="AF19" s="207">
        <v>1841632</v>
      </c>
      <c r="AG19" s="207">
        <f>IS明細!T172</f>
        <v>0</v>
      </c>
      <c r="AH19" s="207"/>
      <c r="AI19" s="207">
        <f t="shared" si="39"/>
        <v>5468444</v>
      </c>
      <c r="AJ19" s="207">
        <f t="shared" si="39"/>
        <v>5253343</v>
      </c>
      <c r="AK19" s="207"/>
      <c r="AL19" s="207">
        <v>1804390</v>
      </c>
      <c r="AM19" s="207">
        <f>IS明細!V172</f>
        <v>0</v>
      </c>
      <c r="AN19" s="207"/>
      <c r="AO19" s="207">
        <v>1809174</v>
      </c>
      <c r="AP19" s="207">
        <f>IS明細!X172</f>
        <v>0</v>
      </c>
      <c r="AQ19" s="207"/>
      <c r="AR19" s="207">
        <v>1836929</v>
      </c>
      <c r="AS19" s="207">
        <f>IS明細!Z172</f>
        <v>0</v>
      </c>
      <c r="AT19" s="207"/>
      <c r="AU19" s="207">
        <f t="shared" si="40"/>
        <v>5450493</v>
      </c>
      <c r="AV19" s="207">
        <f t="shared" si="40"/>
        <v>0</v>
      </c>
      <c r="AW19" s="207"/>
      <c r="AX19" s="219">
        <f t="shared" si="41"/>
        <v>22039619</v>
      </c>
      <c r="AY19" s="219">
        <f t="shared" si="41"/>
        <v>16407803</v>
      </c>
      <c r="AZ19" s="230"/>
    </row>
    <row r="20" spans="1:52" ht="19.5" customHeight="1">
      <c r="A20" s="241" t="s">
        <v>1042</v>
      </c>
      <c r="B20" s="206">
        <v>3426247</v>
      </c>
      <c r="C20" s="206">
        <f>IS明細!D209</f>
        <v>2937856</v>
      </c>
      <c r="D20" s="206"/>
      <c r="E20" s="206">
        <v>3426247</v>
      </c>
      <c r="F20" s="206">
        <f>IS明細!F209</f>
        <v>2632242</v>
      </c>
      <c r="G20" s="206"/>
      <c r="H20" s="206">
        <v>3426247</v>
      </c>
      <c r="I20" s="206">
        <f>IS明細!H209</f>
        <v>3208223</v>
      </c>
      <c r="J20" s="206"/>
      <c r="K20" s="207">
        <f t="shared" si="37"/>
        <v>10278741</v>
      </c>
      <c r="L20" s="207">
        <f t="shared" si="37"/>
        <v>8778321</v>
      </c>
      <c r="M20" s="207"/>
      <c r="N20" s="207">
        <v>3426247</v>
      </c>
      <c r="O20" s="206">
        <f>IS明細!J209</f>
        <v>3367941</v>
      </c>
      <c r="P20" s="206"/>
      <c r="Q20" s="207">
        <v>3426247</v>
      </c>
      <c r="R20" s="207">
        <f>IS明細!L209</f>
        <v>2995265</v>
      </c>
      <c r="S20" s="207"/>
      <c r="T20" s="207">
        <v>3426247</v>
      </c>
      <c r="U20" s="207">
        <f>IS明細!N209</f>
        <v>3153532</v>
      </c>
      <c r="V20" s="207"/>
      <c r="W20" s="207">
        <f t="shared" si="38"/>
        <v>10278741</v>
      </c>
      <c r="X20" s="207">
        <f t="shared" si="38"/>
        <v>9516738</v>
      </c>
      <c r="Y20" s="207"/>
      <c r="Z20" s="207">
        <v>3408747</v>
      </c>
      <c r="AA20" s="207">
        <f>IS明細!P209</f>
        <v>3165352</v>
      </c>
      <c r="AB20" s="207"/>
      <c r="AC20" s="207">
        <v>3408747</v>
      </c>
      <c r="AD20" s="207">
        <f>IS明細!R209</f>
        <v>3319491</v>
      </c>
      <c r="AE20" s="207"/>
      <c r="AF20" s="207">
        <v>3408747</v>
      </c>
      <c r="AG20" s="207">
        <f>IS明細!T209</f>
        <v>0</v>
      </c>
      <c r="AH20" s="207"/>
      <c r="AI20" s="207">
        <f t="shared" si="39"/>
        <v>10226241</v>
      </c>
      <c r="AJ20" s="207">
        <f t="shared" si="39"/>
        <v>6484843</v>
      </c>
      <c r="AK20" s="207"/>
      <c r="AL20" s="207">
        <v>3408747</v>
      </c>
      <c r="AM20" s="207">
        <f>IS明細!V209</f>
        <v>0</v>
      </c>
      <c r="AN20" s="207"/>
      <c r="AO20" s="207">
        <v>3408747</v>
      </c>
      <c r="AP20" s="207">
        <f>IS明細!X209</f>
        <v>0</v>
      </c>
      <c r="AQ20" s="207"/>
      <c r="AR20" s="207">
        <v>3408747</v>
      </c>
      <c r="AS20" s="207">
        <f>IS明細!Z209</f>
        <v>0</v>
      </c>
      <c r="AT20" s="207"/>
      <c r="AU20" s="207">
        <f t="shared" si="40"/>
        <v>10226241</v>
      </c>
      <c r="AV20" s="207">
        <f t="shared" si="40"/>
        <v>0</v>
      </c>
      <c r="AW20" s="207"/>
      <c r="AX20" s="219">
        <f t="shared" si="41"/>
        <v>41009964</v>
      </c>
      <c r="AY20" s="219">
        <f t="shared" si="41"/>
        <v>24779902</v>
      </c>
      <c r="AZ20" s="230"/>
    </row>
    <row r="21" spans="1:52" ht="19.5" customHeight="1">
      <c r="A21" s="242" t="s">
        <v>1043</v>
      </c>
      <c r="B21" s="243">
        <f t="shared" ref="B21:I21" si="42">B18+B19+B20</f>
        <v>7779000</v>
      </c>
      <c r="C21" s="243">
        <f t="shared" si="42"/>
        <v>7375802</v>
      </c>
      <c r="D21" s="243"/>
      <c r="E21" s="243">
        <f t="shared" si="42"/>
        <v>7779000</v>
      </c>
      <c r="F21" s="243">
        <f t="shared" si="42"/>
        <v>7742695</v>
      </c>
      <c r="G21" s="243"/>
      <c r="H21" s="243">
        <f t="shared" si="42"/>
        <v>7779000</v>
      </c>
      <c r="I21" s="243">
        <f t="shared" si="42"/>
        <v>7155849</v>
      </c>
      <c r="J21" s="243"/>
      <c r="K21" s="233">
        <f>SUM(K18:K20)</f>
        <v>23337000</v>
      </c>
      <c r="L21" s="233">
        <f t="shared" ref="L21:AY21" si="43">SUM(L18:L20)</f>
        <v>22274346</v>
      </c>
      <c r="M21" s="233"/>
      <c r="N21" s="233">
        <f t="shared" si="43"/>
        <v>7779000</v>
      </c>
      <c r="O21" s="233">
        <f t="shared" si="43"/>
        <v>7967607</v>
      </c>
      <c r="P21" s="233"/>
      <c r="Q21" s="233">
        <f t="shared" si="43"/>
        <v>7779000</v>
      </c>
      <c r="R21" s="233">
        <f t="shared" si="43"/>
        <v>7765935</v>
      </c>
      <c r="S21" s="233"/>
      <c r="T21" s="233">
        <f t="shared" si="43"/>
        <v>7779000</v>
      </c>
      <c r="U21" s="233">
        <f t="shared" si="43"/>
        <v>8697754</v>
      </c>
      <c r="V21" s="233"/>
      <c r="W21" s="233">
        <f t="shared" si="43"/>
        <v>23337000</v>
      </c>
      <c r="X21" s="233">
        <f t="shared" si="43"/>
        <v>24431296</v>
      </c>
      <c r="Y21" s="233"/>
      <c r="Z21" s="233">
        <f t="shared" si="43"/>
        <v>9228750</v>
      </c>
      <c r="AA21" s="233">
        <f t="shared" si="43"/>
        <v>10358185</v>
      </c>
      <c r="AB21" s="233"/>
      <c r="AC21" s="233">
        <f t="shared" si="43"/>
        <v>9228750</v>
      </c>
      <c r="AD21" s="233">
        <f t="shared" si="43"/>
        <v>8661532</v>
      </c>
      <c r="AE21" s="233"/>
      <c r="AF21" s="233">
        <f t="shared" si="43"/>
        <v>9228750</v>
      </c>
      <c r="AG21" s="233">
        <f t="shared" si="43"/>
        <v>0</v>
      </c>
      <c r="AH21" s="233"/>
      <c r="AI21" s="233">
        <f t="shared" si="43"/>
        <v>27686250</v>
      </c>
      <c r="AJ21" s="233">
        <f t="shared" si="43"/>
        <v>19019717</v>
      </c>
      <c r="AK21" s="233"/>
      <c r="AL21" s="233">
        <f t="shared" si="43"/>
        <v>9228750</v>
      </c>
      <c r="AM21" s="233">
        <f t="shared" si="43"/>
        <v>0</v>
      </c>
      <c r="AN21" s="233"/>
      <c r="AO21" s="233">
        <f t="shared" si="43"/>
        <v>9228750</v>
      </c>
      <c r="AP21" s="233">
        <f t="shared" si="43"/>
        <v>0</v>
      </c>
      <c r="AQ21" s="233"/>
      <c r="AR21" s="233">
        <f t="shared" si="43"/>
        <v>9228750</v>
      </c>
      <c r="AS21" s="233">
        <f t="shared" si="43"/>
        <v>0</v>
      </c>
      <c r="AT21" s="233"/>
      <c r="AU21" s="233">
        <f t="shared" si="43"/>
        <v>27686250</v>
      </c>
      <c r="AV21" s="233">
        <f t="shared" si="43"/>
        <v>0</v>
      </c>
      <c r="AW21" s="233"/>
      <c r="AX21" s="244">
        <f t="shared" si="43"/>
        <v>102046500</v>
      </c>
      <c r="AY21" s="244">
        <f t="shared" si="43"/>
        <v>65725359</v>
      </c>
      <c r="AZ21" s="235"/>
    </row>
    <row r="22" spans="1:52" ht="19.5" customHeight="1" thickBot="1">
      <c r="A22" s="245" t="s">
        <v>1044</v>
      </c>
      <c r="B22" s="246">
        <f t="shared" ref="B22:AY22" si="44">B15-B21</f>
        <v>5502000</v>
      </c>
      <c r="C22" s="246">
        <f t="shared" si="44"/>
        <v>-2775720</v>
      </c>
      <c r="D22" s="246"/>
      <c r="E22" s="246">
        <f t="shared" si="44"/>
        <v>5502000</v>
      </c>
      <c r="F22" s="246">
        <f t="shared" si="44"/>
        <v>-6991366</v>
      </c>
      <c r="G22" s="246"/>
      <c r="H22" s="246">
        <f t="shared" si="44"/>
        <v>5502000</v>
      </c>
      <c r="I22" s="246">
        <f t="shared" si="44"/>
        <v>3103719</v>
      </c>
      <c r="J22" s="246"/>
      <c r="K22" s="247">
        <f t="shared" si="44"/>
        <v>16506000</v>
      </c>
      <c r="L22" s="247">
        <f t="shared" si="44"/>
        <v>-6663367</v>
      </c>
      <c r="M22" s="247"/>
      <c r="N22" s="247">
        <f>N15-N21</f>
        <v>5502000</v>
      </c>
      <c r="O22" s="247">
        <f t="shared" si="44"/>
        <v>-549242</v>
      </c>
      <c r="P22" s="247"/>
      <c r="Q22" s="247">
        <f t="shared" si="44"/>
        <v>5502000</v>
      </c>
      <c r="R22" s="247">
        <f t="shared" si="44"/>
        <v>-1423493.2299999967</v>
      </c>
      <c r="S22" s="247"/>
      <c r="T22" s="247">
        <f t="shared" si="44"/>
        <v>5502000</v>
      </c>
      <c r="U22" s="247">
        <f t="shared" si="44"/>
        <v>2233732</v>
      </c>
      <c r="V22" s="247"/>
      <c r="W22" s="247">
        <f t="shared" si="44"/>
        <v>16506000</v>
      </c>
      <c r="X22" s="247">
        <f t="shared" si="44"/>
        <v>260996.77000001073</v>
      </c>
      <c r="Y22" s="247"/>
      <c r="Z22" s="247">
        <f t="shared" si="44"/>
        <v>7097000</v>
      </c>
      <c r="AA22" s="247">
        <f t="shared" si="44"/>
        <v>691351</v>
      </c>
      <c r="AB22" s="247"/>
      <c r="AC22" s="247">
        <f t="shared" si="44"/>
        <v>7097000</v>
      </c>
      <c r="AD22" s="247">
        <f t="shared" si="44"/>
        <v>2522739</v>
      </c>
      <c r="AE22" s="247"/>
      <c r="AF22" s="247">
        <f t="shared" si="44"/>
        <v>7097000</v>
      </c>
      <c r="AG22" s="247">
        <f t="shared" si="44"/>
        <v>0</v>
      </c>
      <c r="AH22" s="247"/>
      <c r="AI22" s="247">
        <f t="shared" si="44"/>
        <v>21291000</v>
      </c>
      <c r="AJ22" s="247">
        <f t="shared" si="44"/>
        <v>3214090</v>
      </c>
      <c r="AK22" s="247"/>
      <c r="AL22" s="247">
        <f t="shared" si="44"/>
        <v>7097000</v>
      </c>
      <c r="AM22" s="247">
        <f t="shared" si="44"/>
        <v>0</v>
      </c>
      <c r="AN22" s="247"/>
      <c r="AO22" s="247">
        <f t="shared" si="44"/>
        <v>7097000</v>
      </c>
      <c r="AP22" s="247">
        <f t="shared" si="44"/>
        <v>0</v>
      </c>
      <c r="AQ22" s="247"/>
      <c r="AR22" s="247">
        <f t="shared" si="44"/>
        <v>7097000</v>
      </c>
      <c r="AS22" s="247">
        <f t="shared" si="44"/>
        <v>0</v>
      </c>
      <c r="AT22" s="247"/>
      <c r="AU22" s="247">
        <f t="shared" si="44"/>
        <v>21291000</v>
      </c>
      <c r="AV22" s="247">
        <f t="shared" si="44"/>
        <v>0</v>
      </c>
      <c r="AW22" s="247"/>
      <c r="AX22" s="248">
        <f t="shared" si="44"/>
        <v>75594000</v>
      </c>
      <c r="AY22" s="248">
        <f t="shared" si="44"/>
        <v>-3188280.2300000191</v>
      </c>
      <c r="AZ22" s="249"/>
    </row>
    <row r="23" spans="1:52" ht="19.5" customHeight="1" thickTop="1">
      <c r="B23" s="207"/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7"/>
      <c r="X23" s="207"/>
      <c r="Y23" s="207"/>
      <c r="Z23" s="207"/>
      <c r="AA23" s="207"/>
      <c r="AB23" s="207"/>
      <c r="AC23" s="207"/>
      <c r="AD23" s="207"/>
      <c r="AE23" s="207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07"/>
      <c r="AW23" s="207"/>
      <c r="AX23" s="219"/>
      <c r="AY23" s="219"/>
      <c r="AZ23" s="207"/>
    </row>
    <row r="24" spans="1:52" ht="19.5" customHeight="1" outlineLevel="1">
      <c r="A24" s="250" t="s">
        <v>1045</v>
      </c>
      <c r="B24" s="207"/>
      <c r="C24" s="207"/>
      <c r="D24" s="207"/>
      <c r="W24" s="207"/>
      <c r="AI24" s="251"/>
      <c r="AU24" s="251"/>
      <c r="AX24" s="252"/>
      <c r="AY24" s="252"/>
    </row>
    <row r="25" spans="1:52" ht="19.5" customHeight="1" outlineLevel="1">
      <c r="A25" s="253" t="s">
        <v>1046</v>
      </c>
      <c r="B25" s="207">
        <v>0</v>
      </c>
      <c r="C25" s="207">
        <f>IS明細!D214</f>
        <v>1250</v>
      </c>
      <c r="D25" s="207"/>
      <c r="E25" s="207">
        <v>0</v>
      </c>
      <c r="F25" s="207">
        <f>IS明細!F214</f>
        <v>1250</v>
      </c>
      <c r="G25" s="207"/>
      <c r="H25" s="207">
        <v>0</v>
      </c>
      <c r="I25" s="207">
        <f>IS明細!H214</f>
        <v>1250</v>
      </c>
      <c r="J25" s="207"/>
      <c r="K25" s="207">
        <f>B25+E25+H25</f>
        <v>0</v>
      </c>
      <c r="L25" s="207">
        <f>C25+F25+I25</f>
        <v>3750</v>
      </c>
      <c r="M25" s="207"/>
      <c r="N25" s="207">
        <v>0</v>
      </c>
      <c r="O25" s="207">
        <f>IS明細!J214</f>
        <v>1250</v>
      </c>
      <c r="P25" s="207"/>
      <c r="Q25" s="207">
        <v>0</v>
      </c>
      <c r="R25" s="207">
        <f>IS明細!L214</f>
        <v>1250</v>
      </c>
      <c r="S25" s="207"/>
      <c r="T25" s="207">
        <v>0</v>
      </c>
      <c r="U25" s="207">
        <f>IS明細!N214</f>
        <v>61835</v>
      </c>
      <c r="V25" s="207"/>
      <c r="W25" s="207">
        <f>N25+Q25+T25</f>
        <v>0</v>
      </c>
      <c r="X25" s="207">
        <f t="shared" ref="X25:X34" si="45">O25+R25+U25</f>
        <v>64335</v>
      </c>
      <c r="Y25" s="207"/>
      <c r="Z25" s="207">
        <v>0</v>
      </c>
      <c r="AA25" s="207">
        <f>IS明細!P214</f>
        <v>1250</v>
      </c>
      <c r="AB25" s="207"/>
      <c r="AC25" s="207">
        <v>0</v>
      </c>
      <c r="AD25" s="207">
        <f>IS明細!R214</f>
        <v>1250</v>
      </c>
      <c r="AE25" s="207"/>
      <c r="AF25" s="207">
        <v>0</v>
      </c>
      <c r="AG25" s="207">
        <f>IS明細!T214</f>
        <v>0</v>
      </c>
      <c r="AH25" s="207"/>
      <c r="AI25" s="207">
        <f>Z25+AC25+AF25</f>
        <v>0</v>
      </c>
      <c r="AJ25" s="207">
        <f t="shared" ref="AJ25:AJ34" si="46">AA25+AD25+AG25</f>
        <v>2500</v>
      </c>
      <c r="AK25" s="207"/>
      <c r="AL25" s="207">
        <v>0</v>
      </c>
      <c r="AM25" s="207">
        <f>IS明細!V214</f>
        <v>0</v>
      </c>
      <c r="AN25" s="207"/>
      <c r="AO25" s="207">
        <v>0</v>
      </c>
      <c r="AP25" s="207">
        <f>IS明細!X214</f>
        <v>0</v>
      </c>
      <c r="AQ25" s="207"/>
      <c r="AR25" s="207">
        <v>0</v>
      </c>
      <c r="AS25" s="207">
        <f>IS明細!Z214</f>
        <v>0</v>
      </c>
      <c r="AT25" s="207"/>
      <c r="AU25" s="207">
        <f>AL25+AO25+AR25</f>
        <v>0</v>
      </c>
      <c r="AV25" s="207">
        <f t="shared" ref="AV25:AV34" si="47">AM25+AP25+AS25</f>
        <v>0</v>
      </c>
      <c r="AW25" s="207"/>
      <c r="AX25" s="219">
        <f>K25+W25+AI25+AU25</f>
        <v>0</v>
      </c>
      <c r="AY25" s="219">
        <f>L25+X25+AJ25+AV25</f>
        <v>70585</v>
      </c>
    </row>
    <row r="26" spans="1:52" ht="19.5" customHeight="1" outlineLevel="1">
      <c r="A26" s="253" t="s">
        <v>1047</v>
      </c>
      <c r="B26" s="207">
        <v>0</v>
      </c>
      <c r="C26" s="207">
        <f>IS明細!D218</f>
        <v>0</v>
      </c>
      <c r="D26" s="207"/>
      <c r="E26" s="207">
        <v>0</v>
      </c>
      <c r="F26" s="207">
        <f>IS明細!F218</f>
        <v>0</v>
      </c>
      <c r="G26" s="207"/>
      <c r="H26" s="207">
        <v>0</v>
      </c>
      <c r="I26" s="207">
        <f>IS明細!H218</f>
        <v>0</v>
      </c>
      <c r="J26" s="207"/>
      <c r="K26" s="207">
        <f t="shared" ref="K26:L35" si="48">B26+E26+H26</f>
        <v>0</v>
      </c>
      <c r="L26" s="207">
        <f t="shared" si="48"/>
        <v>0</v>
      </c>
      <c r="M26" s="207"/>
      <c r="N26" s="207">
        <v>0</v>
      </c>
      <c r="O26" s="207">
        <f>IS明細!J218</f>
        <v>0</v>
      </c>
      <c r="P26" s="207"/>
      <c r="Q26" s="207">
        <v>0</v>
      </c>
      <c r="R26" s="207">
        <f>IS明細!L218</f>
        <v>0</v>
      </c>
      <c r="S26" s="207"/>
      <c r="T26" s="207">
        <v>0</v>
      </c>
      <c r="U26" s="207">
        <f>IS明細!N218</f>
        <v>0</v>
      </c>
      <c r="V26" s="207"/>
      <c r="W26" s="207">
        <f t="shared" ref="W26:W34" si="49">N26+Q26+T26</f>
        <v>0</v>
      </c>
      <c r="X26" s="207">
        <f t="shared" si="45"/>
        <v>0</v>
      </c>
      <c r="Y26" s="207"/>
      <c r="Z26" s="207">
        <v>0</v>
      </c>
      <c r="AA26" s="207">
        <f>IS明細!P218</f>
        <v>0</v>
      </c>
      <c r="AB26" s="207"/>
      <c r="AC26" s="207">
        <v>0</v>
      </c>
      <c r="AD26" s="207">
        <f>IS明細!R218</f>
        <v>0</v>
      </c>
      <c r="AE26" s="207"/>
      <c r="AF26" s="207">
        <v>0</v>
      </c>
      <c r="AG26" s="207">
        <f>IS明細!T218</f>
        <v>0</v>
      </c>
      <c r="AH26" s="207"/>
      <c r="AI26" s="207">
        <f t="shared" ref="AI26:AI34" si="50">Z26+AC26+AF26</f>
        <v>0</v>
      </c>
      <c r="AJ26" s="207">
        <f t="shared" si="46"/>
        <v>0</v>
      </c>
      <c r="AK26" s="207"/>
      <c r="AL26" s="207">
        <v>0</v>
      </c>
      <c r="AM26" s="207">
        <f>IS明細!V218</f>
        <v>0</v>
      </c>
      <c r="AN26" s="207"/>
      <c r="AO26" s="207">
        <v>0</v>
      </c>
      <c r="AP26" s="207">
        <f>IS明細!X218</f>
        <v>0</v>
      </c>
      <c r="AQ26" s="207"/>
      <c r="AR26" s="207">
        <v>0</v>
      </c>
      <c r="AS26" s="207">
        <f>IS明細!Z218</f>
        <v>0</v>
      </c>
      <c r="AT26" s="207"/>
      <c r="AU26" s="207">
        <f t="shared" ref="AU26:AU34" si="51">AL26+AO26+AR26</f>
        <v>0</v>
      </c>
      <c r="AV26" s="207">
        <f t="shared" si="47"/>
        <v>0</v>
      </c>
      <c r="AW26" s="207"/>
      <c r="AX26" s="219">
        <f t="shared" ref="AX26:AY41" si="52">K26+W26+AI26+AU26</f>
        <v>0</v>
      </c>
      <c r="AY26" s="219">
        <f t="shared" si="52"/>
        <v>0</v>
      </c>
    </row>
    <row r="27" spans="1:52" ht="19.5" customHeight="1" outlineLevel="1">
      <c r="A27" s="253" t="s">
        <v>1048</v>
      </c>
      <c r="B27" s="207">
        <v>0</v>
      </c>
      <c r="C27" s="207">
        <f>IS明細!D221</f>
        <v>0</v>
      </c>
      <c r="D27" s="207"/>
      <c r="E27" s="207">
        <v>0</v>
      </c>
      <c r="F27" s="207">
        <f>IS明細!F221</f>
        <v>0</v>
      </c>
      <c r="G27" s="207"/>
      <c r="H27" s="207">
        <v>0</v>
      </c>
      <c r="I27" s="207">
        <f>IS明細!H221</f>
        <v>0</v>
      </c>
      <c r="J27" s="207"/>
      <c r="K27" s="207">
        <f t="shared" si="48"/>
        <v>0</v>
      </c>
      <c r="L27" s="207">
        <f t="shared" si="48"/>
        <v>0</v>
      </c>
      <c r="M27" s="207"/>
      <c r="N27" s="207">
        <v>0</v>
      </c>
      <c r="O27" s="207">
        <f>IS明細!J221</f>
        <v>0</v>
      </c>
      <c r="P27" s="207"/>
      <c r="Q27" s="207">
        <v>0</v>
      </c>
      <c r="R27" s="207">
        <f>IS明細!L221</f>
        <v>0</v>
      </c>
      <c r="S27" s="207"/>
      <c r="T27" s="207">
        <v>0</v>
      </c>
      <c r="U27" s="207">
        <f>IS明細!N221</f>
        <v>0</v>
      </c>
      <c r="V27" s="207"/>
      <c r="W27" s="207">
        <f t="shared" si="49"/>
        <v>0</v>
      </c>
      <c r="X27" s="207">
        <f t="shared" si="45"/>
        <v>0</v>
      </c>
      <c r="Y27" s="207"/>
      <c r="Z27" s="207">
        <v>0</v>
      </c>
      <c r="AA27" s="207">
        <f>IS明細!P221</f>
        <v>0</v>
      </c>
      <c r="AB27" s="207"/>
      <c r="AC27" s="207">
        <v>0</v>
      </c>
      <c r="AD27" s="207">
        <f>IS明細!R221</f>
        <v>0</v>
      </c>
      <c r="AE27" s="207"/>
      <c r="AF27" s="207">
        <v>0</v>
      </c>
      <c r="AG27" s="207">
        <f>IS明細!T221</f>
        <v>0</v>
      </c>
      <c r="AH27" s="207"/>
      <c r="AI27" s="207">
        <f t="shared" si="50"/>
        <v>0</v>
      </c>
      <c r="AJ27" s="207">
        <f t="shared" si="46"/>
        <v>0</v>
      </c>
      <c r="AK27" s="207"/>
      <c r="AL27" s="207">
        <v>0</v>
      </c>
      <c r="AM27" s="207">
        <f>IS明細!V221</f>
        <v>0</v>
      </c>
      <c r="AN27" s="207"/>
      <c r="AO27" s="207">
        <v>0</v>
      </c>
      <c r="AP27" s="207">
        <f>IS明細!X221</f>
        <v>0</v>
      </c>
      <c r="AQ27" s="207"/>
      <c r="AR27" s="207">
        <v>0</v>
      </c>
      <c r="AS27" s="207">
        <f>IS明細!Z221</f>
        <v>0</v>
      </c>
      <c r="AT27" s="207"/>
      <c r="AU27" s="207">
        <f t="shared" si="51"/>
        <v>0</v>
      </c>
      <c r="AV27" s="207">
        <f t="shared" si="47"/>
        <v>0</v>
      </c>
      <c r="AW27" s="207"/>
      <c r="AX27" s="219">
        <f t="shared" si="52"/>
        <v>0</v>
      </c>
      <c r="AY27" s="219">
        <f t="shared" si="52"/>
        <v>0</v>
      </c>
    </row>
    <row r="28" spans="1:52" ht="19.5" customHeight="1" outlineLevel="1">
      <c r="A28" s="253" t="s">
        <v>1049</v>
      </c>
      <c r="B28" s="207">
        <v>0</v>
      </c>
      <c r="C28" s="207">
        <f>IS明細!D222</f>
        <v>0</v>
      </c>
      <c r="D28" s="207"/>
      <c r="E28" s="207">
        <v>0</v>
      </c>
      <c r="F28" s="207">
        <f>IS明細!F222</f>
        <v>0</v>
      </c>
      <c r="G28" s="207"/>
      <c r="H28" s="207">
        <v>0</v>
      </c>
      <c r="I28" s="207">
        <f>IS明細!H222</f>
        <v>0</v>
      </c>
      <c r="J28" s="207"/>
      <c r="K28" s="207">
        <f t="shared" si="48"/>
        <v>0</v>
      </c>
      <c r="L28" s="207">
        <f t="shared" si="48"/>
        <v>0</v>
      </c>
      <c r="M28" s="207"/>
      <c r="N28" s="207">
        <v>0</v>
      </c>
      <c r="O28" s="207">
        <f>IS明細!J222</f>
        <v>0</v>
      </c>
      <c r="P28" s="207"/>
      <c r="Q28" s="207">
        <v>0</v>
      </c>
      <c r="R28" s="207">
        <f>IS明細!L222</f>
        <v>0</v>
      </c>
      <c r="S28" s="207"/>
      <c r="T28" s="207">
        <v>0</v>
      </c>
      <c r="U28" s="207">
        <f>IS明細!N222</f>
        <v>0</v>
      </c>
      <c r="V28" s="207"/>
      <c r="W28" s="207">
        <f t="shared" si="49"/>
        <v>0</v>
      </c>
      <c r="X28" s="207">
        <f t="shared" si="45"/>
        <v>0</v>
      </c>
      <c r="Y28" s="207"/>
      <c r="Z28" s="207">
        <v>0</v>
      </c>
      <c r="AA28" s="207">
        <f>IS明細!P222</f>
        <v>0</v>
      </c>
      <c r="AB28" s="207"/>
      <c r="AC28" s="207">
        <v>0</v>
      </c>
      <c r="AD28" s="207">
        <f>IS明細!R222</f>
        <v>0</v>
      </c>
      <c r="AE28" s="207"/>
      <c r="AF28" s="207">
        <v>0</v>
      </c>
      <c r="AG28" s="207">
        <f>IS明細!T222</f>
        <v>0</v>
      </c>
      <c r="AH28" s="207"/>
      <c r="AI28" s="207">
        <f t="shared" si="50"/>
        <v>0</v>
      </c>
      <c r="AJ28" s="207">
        <f t="shared" si="46"/>
        <v>0</v>
      </c>
      <c r="AK28" s="207"/>
      <c r="AL28" s="207">
        <v>0</v>
      </c>
      <c r="AM28" s="207">
        <f>IS明細!V222</f>
        <v>0</v>
      </c>
      <c r="AN28" s="207"/>
      <c r="AO28" s="207">
        <v>0</v>
      </c>
      <c r="AP28" s="207">
        <f>IS明細!X222</f>
        <v>0</v>
      </c>
      <c r="AQ28" s="207"/>
      <c r="AR28" s="207">
        <v>0</v>
      </c>
      <c r="AS28" s="207">
        <f>IS明細!Z222</f>
        <v>0</v>
      </c>
      <c r="AT28" s="207"/>
      <c r="AU28" s="207">
        <f t="shared" si="51"/>
        <v>0</v>
      </c>
      <c r="AV28" s="207">
        <f t="shared" si="47"/>
        <v>0</v>
      </c>
      <c r="AW28" s="207"/>
      <c r="AX28" s="219">
        <f t="shared" si="52"/>
        <v>0</v>
      </c>
      <c r="AY28" s="219">
        <f t="shared" si="52"/>
        <v>0</v>
      </c>
    </row>
    <row r="29" spans="1:52" ht="19.5" customHeight="1" outlineLevel="1">
      <c r="A29" s="253" t="s">
        <v>1050</v>
      </c>
      <c r="B29" s="207">
        <v>0</v>
      </c>
      <c r="C29" s="207">
        <f>IS明細!D223</f>
        <v>0</v>
      </c>
      <c r="D29" s="207"/>
      <c r="E29" s="207">
        <v>0</v>
      </c>
      <c r="F29" s="207">
        <f>IS明細!F223</f>
        <v>0</v>
      </c>
      <c r="G29" s="207"/>
      <c r="H29" s="207">
        <v>0</v>
      </c>
      <c r="I29" s="207">
        <f>IS明細!H223</f>
        <v>0</v>
      </c>
      <c r="J29" s="207"/>
      <c r="K29" s="207">
        <f t="shared" si="48"/>
        <v>0</v>
      </c>
      <c r="L29" s="207">
        <f t="shared" si="48"/>
        <v>0</v>
      </c>
      <c r="M29" s="207"/>
      <c r="N29" s="207">
        <v>0</v>
      </c>
      <c r="O29" s="207">
        <f>IS明細!J223</f>
        <v>0</v>
      </c>
      <c r="P29" s="207"/>
      <c r="Q29" s="207">
        <v>0</v>
      </c>
      <c r="R29" s="207">
        <f>IS明細!L223</f>
        <v>0</v>
      </c>
      <c r="S29" s="207"/>
      <c r="T29" s="207">
        <v>0</v>
      </c>
      <c r="U29" s="207">
        <f>IS明細!N223</f>
        <v>0</v>
      </c>
      <c r="V29" s="207"/>
      <c r="W29" s="207">
        <f t="shared" si="49"/>
        <v>0</v>
      </c>
      <c r="X29" s="207">
        <f t="shared" si="45"/>
        <v>0</v>
      </c>
      <c r="Y29" s="207"/>
      <c r="Z29" s="207">
        <v>0</v>
      </c>
      <c r="AA29" s="207">
        <f>IS明細!P223</f>
        <v>0</v>
      </c>
      <c r="AB29" s="207"/>
      <c r="AC29" s="207">
        <v>0</v>
      </c>
      <c r="AD29" s="207">
        <f>IS明細!R223</f>
        <v>0</v>
      </c>
      <c r="AE29" s="207"/>
      <c r="AF29" s="207">
        <v>0</v>
      </c>
      <c r="AG29" s="207">
        <f>IS明細!T223</f>
        <v>0</v>
      </c>
      <c r="AH29" s="207"/>
      <c r="AI29" s="207">
        <f t="shared" si="50"/>
        <v>0</v>
      </c>
      <c r="AJ29" s="207">
        <f t="shared" si="46"/>
        <v>0</v>
      </c>
      <c r="AK29" s="207"/>
      <c r="AL29" s="207">
        <v>0</v>
      </c>
      <c r="AM29" s="207">
        <f>IS明細!V223</f>
        <v>0</v>
      </c>
      <c r="AN29" s="207"/>
      <c r="AO29" s="207">
        <v>0</v>
      </c>
      <c r="AP29" s="207">
        <f>IS明細!X223</f>
        <v>0</v>
      </c>
      <c r="AQ29" s="207"/>
      <c r="AR29" s="207">
        <v>0</v>
      </c>
      <c r="AS29" s="207">
        <f>IS明細!Z223</f>
        <v>0</v>
      </c>
      <c r="AT29" s="207"/>
      <c r="AU29" s="207">
        <f t="shared" si="51"/>
        <v>0</v>
      </c>
      <c r="AV29" s="207">
        <f t="shared" si="47"/>
        <v>0</v>
      </c>
      <c r="AW29" s="207"/>
      <c r="AX29" s="219">
        <f t="shared" si="52"/>
        <v>0</v>
      </c>
      <c r="AY29" s="219">
        <f t="shared" si="52"/>
        <v>0</v>
      </c>
    </row>
    <row r="30" spans="1:52" ht="19.5" customHeight="1" outlineLevel="1">
      <c r="A30" s="253" t="s">
        <v>1051</v>
      </c>
      <c r="B30" s="207">
        <v>0</v>
      </c>
      <c r="C30" s="207">
        <f>IS明細!D229</f>
        <v>860624</v>
      </c>
      <c r="D30" s="207"/>
      <c r="E30" s="207">
        <v>0</v>
      </c>
      <c r="F30" s="207">
        <f>IS明細!F229</f>
        <v>930103</v>
      </c>
      <c r="G30" s="207"/>
      <c r="H30" s="207">
        <v>0</v>
      </c>
      <c r="I30" s="207">
        <f>IS明細!H229</f>
        <v>2946964</v>
      </c>
      <c r="J30" s="207"/>
      <c r="K30" s="207">
        <f t="shared" si="48"/>
        <v>0</v>
      </c>
      <c r="L30" s="207">
        <f t="shared" si="48"/>
        <v>4737691</v>
      </c>
      <c r="M30" s="207"/>
      <c r="N30" s="207">
        <v>0</v>
      </c>
      <c r="O30" s="207">
        <f>IS明細!J229</f>
        <v>3612795</v>
      </c>
      <c r="P30" s="207"/>
      <c r="Q30" s="207">
        <v>0</v>
      </c>
      <c r="R30" s="207">
        <f>IS明細!L229</f>
        <v>1971131</v>
      </c>
      <c r="S30" s="207"/>
      <c r="T30" s="207">
        <v>0</v>
      </c>
      <c r="U30" s="207">
        <f>IS明細!N229</f>
        <v>3773237</v>
      </c>
      <c r="V30" s="207"/>
      <c r="W30" s="207">
        <f t="shared" si="49"/>
        <v>0</v>
      </c>
      <c r="X30" s="207">
        <f t="shared" si="45"/>
        <v>9357163</v>
      </c>
      <c r="Y30" s="207"/>
      <c r="Z30" s="207">
        <v>0</v>
      </c>
      <c r="AA30" s="207">
        <f>IS明細!P229</f>
        <v>1126662</v>
      </c>
      <c r="AB30" s="207"/>
      <c r="AC30" s="207">
        <v>0</v>
      </c>
      <c r="AD30" s="207">
        <f>IS明細!R229</f>
        <v>739833</v>
      </c>
      <c r="AE30" s="207"/>
      <c r="AF30" s="207">
        <v>0</v>
      </c>
      <c r="AG30" s="207">
        <f>IS明細!T229</f>
        <v>0</v>
      </c>
      <c r="AH30" s="207"/>
      <c r="AI30" s="207">
        <f t="shared" si="50"/>
        <v>0</v>
      </c>
      <c r="AJ30" s="207">
        <f t="shared" si="46"/>
        <v>1866495</v>
      </c>
      <c r="AK30" s="207"/>
      <c r="AL30" s="207">
        <v>0</v>
      </c>
      <c r="AM30" s="207">
        <f>IS明細!V229</f>
        <v>0</v>
      </c>
      <c r="AN30" s="207"/>
      <c r="AO30" s="207">
        <v>0</v>
      </c>
      <c r="AP30" s="207">
        <f>IS明細!X229</f>
        <v>0</v>
      </c>
      <c r="AQ30" s="207"/>
      <c r="AR30" s="207">
        <v>0</v>
      </c>
      <c r="AS30" s="207">
        <f>IS明細!Z229</f>
        <v>0</v>
      </c>
      <c r="AT30" s="207"/>
      <c r="AU30" s="207">
        <f t="shared" si="51"/>
        <v>0</v>
      </c>
      <c r="AV30" s="207">
        <f t="shared" si="47"/>
        <v>0</v>
      </c>
      <c r="AW30" s="207"/>
      <c r="AX30" s="219">
        <f t="shared" si="52"/>
        <v>0</v>
      </c>
      <c r="AY30" s="219">
        <f t="shared" si="52"/>
        <v>15961349</v>
      </c>
    </row>
    <row r="31" spans="1:52" ht="19.5" customHeight="1" outlineLevel="1">
      <c r="A31" s="253" t="s">
        <v>1052</v>
      </c>
      <c r="B31" s="207">
        <v>0</v>
      </c>
      <c r="C31" s="207">
        <f>IS明細!D233</f>
        <v>0</v>
      </c>
      <c r="D31" s="207"/>
      <c r="E31" s="207">
        <v>0</v>
      </c>
      <c r="F31" s="207">
        <f>IS明細!F233</f>
        <v>0</v>
      </c>
      <c r="G31" s="207"/>
      <c r="H31" s="207">
        <v>0</v>
      </c>
      <c r="I31" s="207">
        <f>IS明細!H233</f>
        <v>0</v>
      </c>
      <c r="J31" s="207"/>
      <c r="K31" s="207">
        <f t="shared" si="48"/>
        <v>0</v>
      </c>
      <c r="L31" s="207">
        <f t="shared" si="48"/>
        <v>0</v>
      </c>
      <c r="M31" s="207"/>
      <c r="N31" s="207">
        <v>0</v>
      </c>
      <c r="O31" s="207">
        <f>IS明細!J233</f>
        <v>0</v>
      </c>
      <c r="P31" s="207"/>
      <c r="Q31" s="207">
        <v>0</v>
      </c>
      <c r="R31" s="207">
        <f>IS明細!L233</f>
        <v>0</v>
      </c>
      <c r="S31" s="207"/>
      <c r="T31" s="207">
        <v>0</v>
      </c>
      <c r="U31" s="207">
        <f>IS明細!N233</f>
        <v>0</v>
      </c>
      <c r="V31" s="207"/>
      <c r="W31" s="207">
        <f t="shared" si="49"/>
        <v>0</v>
      </c>
      <c r="X31" s="207">
        <f t="shared" si="45"/>
        <v>0</v>
      </c>
      <c r="Y31" s="207"/>
      <c r="Z31" s="207">
        <v>0</v>
      </c>
      <c r="AA31" s="207">
        <f>IS明細!P233</f>
        <v>0</v>
      </c>
      <c r="AB31" s="207"/>
      <c r="AC31" s="207">
        <v>0</v>
      </c>
      <c r="AD31" s="207">
        <f>IS明細!R233</f>
        <v>0</v>
      </c>
      <c r="AE31" s="207"/>
      <c r="AF31" s="207">
        <v>0</v>
      </c>
      <c r="AG31" s="207">
        <f>IS明細!T233</f>
        <v>0</v>
      </c>
      <c r="AH31" s="207"/>
      <c r="AI31" s="207">
        <f t="shared" si="50"/>
        <v>0</v>
      </c>
      <c r="AJ31" s="207">
        <f t="shared" si="46"/>
        <v>0</v>
      </c>
      <c r="AK31" s="207"/>
      <c r="AL31" s="207">
        <v>0</v>
      </c>
      <c r="AM31" s="207">
        <f>IS明細!V233</f>
        <v>0</v>
      </c>
      <c r="AN31" s="207"/>
      <c r="AO31" s="207">
        <v>0</v>
      </c>
      <c r="AP31" s="207">
        <f>IS明細!X233</f>
        <v>0</v>
      </c>
      <c r="AQ31" s="207"/>
      <c r="AR31" s="207">
        <v>0</v>
      </c>
      <c r="AS31" s="207">
        <f>IS明細!Z233</f>
        <v>0</v>
      </c>
      <c r="AT31" s="207"/>
      <c r="AU31" s="207">
        <f t="shared" si="51"/>
        <v>0</v>
      </c>
      <c r="AV31" s="207">
        <f t="shared" si="47"/>
        <v>0</v>
      </c>
      <c r="AW31" s="207"/>
      <c r="AX31" s="219">
        <f t="shared" si="52"/>
        <v>0</v>
      </c>
      <c r="AY31" s="219">
        <f t="shared" si="52"/>
        <v>0</v>
      </c>
    </row>
    <row r="32" spans="1:52" ht="19.5" customHeight="1" outlineLevel="1">
      <c r="A32" s="253" t="s">
        <v>1053</v>
      </c>
      <c r="B32" s="207">
        <v>0</v>
      </c>
      <c r="C32" s="207">
        <f>IS明細!D236</f>
        <v>0</v>
      </c>
      <c r="D32" s="207"/>
      <c r="E32" s="207">
        <v>0</v>
      </c>
      <c r="F32" s="207">
        <f>IS明細!F236</f>
        <v>0</v>
      </c>
      <c r="G32" s="207"/>
      <c r="H32" s="207">
        <v>0</v>
      </c>
      <c r="I32" s="207">
        <f>IS明細!H236</f>
        <v>0</v>
      </c>
      <c r="J32" s="207"/>
      <c r="K32" s="207">
        <f t="shared" si="48"/>
        <v>0</v>
      </c>
      <c r="L32" s="207">
        <f t="shared" si="48"/>
        <v>0</v>
      </c>
      <c r="M32" s="207"/>
      <c r="N32" s="207">
        <v>0</v>
      </c>
      <c r="O32" s="207">
        <f>IS明細!J236</f>
        <v>0</v>
      </c>
      <c r="P32" s="207"/>
      <c r="Q32" s="207">
        <v>0</v>
      </c>
      <c r="R32" s="207">
        <f>IS明細!L236</f>
        <v>0</v>
      </c>
      <c r="S32" s="207"/>
      <c r="T32" s="207">
        <v>0</v>
      </c>
      <c r="U32" s="207">
        <f>IS明細!N236</f>
        <v>0</v>
      </c>
      <c r="V32" s="207"/>
      <c r="W32" s="207">
        <f t="shared" si="49"/>
        <v>0</v>
      </c>
      <c r="X32" s="207">
        <f t="shared" si="45"/>
        <v>0</v>
      </c>
      <c r="Y32" s="207"/>
      <c r="Z32" s="207">
        <v>0</v>
      </c>
      <c r="AA32" s="207">
        <f>IS明細!P236</f>
        <v>0</v>
      </c>
      <c r="AB32" s="207"/>
      <c r="AC32" s="207">
        <v>0</v>
      </c>
      <c r="AD32" s="207">
        <f>IS明細!R236</f>
        <v>0</v>
      </c>
      <c r="AE32" s="207"/>
      <c r="AF32" s="207">
        <v>0</v>
      </c>
      <c r="AG32" s="207">
        <f>IS明細!T236</f>
        <v>0</v>
      </c>
      <c r="AH32" s="207"/>
      <c r="AI32" s="207">
        <f t="shared" si="50"/>
        <v>0</v>
      </c>
      <c r="AJ32" s="207">
        <f t="shared" si="46"/>
        <v>0</v>
      </c>
      <c r="AK32" s="207"/>
      <c r="AL32" s="207">
        <v>0</v>
      </c>
      <c r="AM32" s="207">
        <f>IS明細!V236</f>
        <v>0</v>
      </c>
      <c r="AN32" s="207"/>
      <c r="AO32" s="207">
        <v>0</v>
      </c>
      <c r="AP32" s="207">
        <f>IS明細!X236</f>
        <v>0</v>
      </c>
      <c r="AQ32" s="207"/>
      <c r="AR32" s="207">
        <v>0</v>
      </c>
      <c r="AS32" s="207">
        <f>IS明細!Z236</f>
        <v>0</v>
      </c>
      <c r="AT32" s="207"/>
      <c r="AU32" s="207">
        <f t="shared" si="51"/>
        <v>0</v>
      </c>
      <c r="AV32" s="207">
        <f t="shared" si="47"/>
        <v>0</v>
      </c>
      <c r="AW32" s="207"/>
      <c r="AX32" s="219">
        <f t="shared" si="52"/>
        <v>0</v>
      </c>
      <c r="AY32" s="219">
        <f t="shared" si="52"/>
        <v>0</v>
      </c>
    </row>
    <row r="33" spans="1:52" ht="19.5" customHeight="1" outlineLevel="1">
      <c r="A33" s="253" t="s">
        <v>1054</v>
      </c>
      <c r="B33" s="207">
        <v>0</v>
      </c>
      <c r="C33" s="207">
        <f>IS明細!D237</f>
        <v>0</v>
      </c>
      <c r="D33" s="207"/>
      <c r="E33" s="207">
        <v>0</v>
      </c>
      <c r="F33" s="207">
        <f>IS明細!F237</f>
        <v>0</v>
      </c>
      <c r="G33" s="207"/>
      <c r="H33" s="207">
        <v>0</v>
      </c>
      <c r="I33" s="207">
        <f>IS明細!H237</f>
        <v>0</v>
      </c>
      <c r="J33" s="207"/>
      <c r="K33" s="207">
        <f t="shared" si="48"/>
        <v>0</v>
      </c>
      <c r="L33" s="207">
        <f t="shared" si="48"/>
        <v>0</v>
      </c>
      <c r="M33" s="207"/>
      <c r="N33" s="207">
        <v>0</v>
      </c>
      <c r="O33" s="207">
        <f>IS明細!J237</f>
        <v>0</v>
      </c>
      <c r="P33" s="207"/>
      <c r="Q33" s="207">
        <v>0</v>
      </c>
      <c r="R33" s="207">
        <f>IS明細!L237</f>
        <v>0</v>
      </c>
      <c r="S33" s="207"/>
      <c r="T33" s="207">
        <v>0</v>
      </c>
      <c r="U33" s="207">
        <f>IS明細!N237</f>
        <v>0</v>
      </c>
      <c r="V33" s="207"/>
      <c r="W33" s="207">
        <f t="shared" si="49"/>
        <v>0</v>
      </c>
      <c r="X33" s="207">
        <f t="shared" si="45"/>
        <v>0</v>
      </c>
      <c r="Y33" s="207"/>
      <c r="Z33" s="207">
        <v>0</v>
      </c>
      <c r="AA33" s="207">
        <f>IS明細!P237</f>
        <v>0</v>
      </c>
      <c r="AB33" s="207"/>
      <c r="AC33" s="207">
        <v>0</v>
      </c>
      <c r="AD33" s="207">
        <f>IS明細!R237</f>
        <v>0</v>
      </c>
      <c r="AE33" s="207"/>
      <c r="AF33" s="207">
        <v>0</v>
      </c>
      <c r="AG33" s="207">
        <f>IS明細!T237</f>
        <v>0</v>
      </c>
      <c r="AH33" s="207"/>
      <c r="AI33" s="207">
        <f t="shared" si="50"/>
        <v>0</v>
      </c>
      <c r="AJ33" s="207">
        <f t="shared" si="46"/>
        <v>0</v>
      </c>
      <c r="AK33" s="207"/>
      <c r="AL33" s="207">
        <v>0</v>
      </c>
      <c r="AM33" s="207">
        <f>IS明細!V237</f>
        <v>0</v>
      </c>
      <c r="AN33" s="207"/>
      <c r="AO33" s="207">
        <v>0</v>
      </c>
      <c r="AP33" s="207">
        <f>IS明細!X237</f>
        <v>0</v>
      </c>
      <c r="AQ33" s="207"/>
      <c r="AR33" s="207">
        <v>0</v>
      </c>
      <c r="AS33" s="207">
        <f>IS明細!Z237</f>
        <v>0</v>
      </c>
      <c r="AT33" s="207"/>
      <c r="AU33" s="207">
        <f t="shared" si="51"/>
        <v>0</v>
      </c>
      <c r="AV33" s="207">
        <f t="shared" si="47"/>
        <v>0</v>
      </c>
      <c r="AW33" s="207"/>
      <c r="AX33" s="219">
        <f t="shared" si="52"/>
        <v>0</v>
      </c>
      <c r="AY33" s="219">
        <f t="shared" si="52"/>
        <v>0</v>
      </c>
    </row>
    <row r="34" spans="1:52" ht="19.5" customHeight="1" outlineLevel="1">
      <c r="A34" s="253" t="s">
        <v>1055</v>
      </c>
      <c r="B34" s="207">
        <v>0</v>
      </c>
      <c r="C34" s="207">
        <f>IS明細!D238</f>
        <v>151618</v>
      </c>
      <c r="D34" s="207"/>
      <c r="E34" s="207">
        <v>0</v>
      </c>
      <c r="F34" s="207">
        <f>IS明細!F238</f>
        <v>59477</v>
      </c>
      <c r="G34" s="207"/>
      <c r="H34" s="207">
        <v>0</v>
      </c>
      <c r="I34" s="207">
        <f>IS明細!H238</f>
        <v>53695</v>
      </c>
      <c r="J34" s="207"/>
      <c r="K34" s="207">
        <f t="shared" si="48"/>
        <v>0</v>
      </c>
      <c r="L34" s="207">
        <f t="shared" si="48"/>
        <v>264790</v>
      </c>
      <c r="M34" s="207"/>
      <c r="N34" s="207">
        <v>0</v>
      </c>
      <c r="O34" s="207">
        <f>IS明細!J238</f>
        <v>277576</v>
      </c>
      <c r="P34" s="207"/>
      <c r="Q34" s="207">
        <v>0</v>
      </c>
      <c r="R34" s="207">
        <f>IS明細!L238</f>
        <v>239006</v>
      </c>
      <c r="S34" s="207"/>
      <c r="T34" s="207">
        <v>0</v>
      </c>
      <c r="U34" s="207">
        <f>IS明細!N238</f>
        <v>88951</v>
      </c>
      <c r="V34" s="207"/>
      <c r="W34" s="207">
        <f t="shared" si="49"/>
        <v>0</v>
      </c>
      <c r="X34" s="207">
        <f t="shared" si="45"/>
        <v>605533</v>
      </c>
      <c r="Y34" s="207"/>
      <c r="Z34" s="207">
        <v>0</v>
      </c>
      <c r="AA34" s="207">
        <f>IS明細!P238</f>
        <v>70176</v>
      </c>
      <c r="AB34" s="207"/>
      <c r="AC34" s="207">
        <v>0</v>
      </c>
      <c r="AD34" s="207">
        <f>IS明細!R238</f>
        <v>264338</v>
      </c>
      <c r="AE34" s="207"/>
      <c r="AF34" s="207">
        <v>0</v>
      </c>
      <c r="AG34" s="207">
        <f>IS明細!T238</f>
        <v>0</v>
      </c>
      <c r="AH34" s="207"/>
      <c r="AI34" s="207">
        <f t="shared" si="50"/>
        <v>0</v>
      </c>
      <c r="AJ34" s="207">
        <f t="shared" si="46"/>
        <v>334514</v>
      </c>
      <c r="AK34" s="207"/>
      <c r="AL34" s="207">
        <v>0</v>
      </c>
      <c r="AM34" s="207">
        <f>IS明細!V238</f>
        <v>0</v>
      </c>
      <c r="AN34" s="207"/>
      <c r="AO34" s="207">
        <v>0</v>
      </c>
      <c r="AP34" s="207">
        <f>IS明細!X238</f>
        <v>0</v>
      </c>
      <c r="AQ34" s="207"/>
      <c r="AR34" s="207">
        <v>0</v>
      </c>
      <c r="AS34" s="207">
        <f>IS明細!Z238</f>
        <v>0</v>
      </c>
      <c r="AT34" s="207"/>
      <c r="AU34" s="207">
        <f t="shared" si="51"/>
        <v>0</v>
      </c>
      <c r="AV34" s="207">
        <f t="shared" si="47"/>
        <v>0</v>
      </c>
      <c r="AW34" s="207"/>
      <c r="AX34" s="219">
        <f t="shared" si="52"/>
        <v>0</v>
      </c>
      <c r="AY34" s="219">
        <f t="shared" si="52"/>
        <v>1204837</v>
      </c>
    </row>
    <row r="35" spans="1:52" ht="19.5" customHeight="1" outlineLevel="1">
      <c r="A35" s="254" t="s">
        <v>1056</v>
      </c>
      <c r="B35" s="233">
        <f t="shared" ref="B35:I35" si="53">SUM(B25:B34)</f>
        <v>0</v>
      </c>
      <c r="C35" s="233">
        <f t="shared" si="53"/>
        <v>1013492</v>
      </c>
      <c r="D35" s="233"/>
      <c r="E35" s="233">
        <f t="shared" si="53"/>
        <v>0</v>
      </c>
      <c r="F35" s="233">
        <f t="shared" si="53"/>
        <v>990830</v>
      </c>
      <c r="G35" s="233"/>
      <c r="H35" s="233">
        <f t="shared" si="53"/>
        <v>0</v>
      </c>
      <c r="I35" s="233">
        <f t="shared" si="53"/>
        <v>3001909</v>
      </c>
      <c r="J35" s="233"/>
      <c r="K35" s="233">
        <f>B35+E35+H35</f>
        <v>0</v>
      </c>
      <c r="L35" s="233">
        <f t="shared" si="48"/>
        <v>5006231</v>
      </c>
      <c r="M35" s="233"/>
      <c r="N35" s="233">
        <f t="shared" ref="N35:W35" si="54">SUM(N25:N34)</f>
        <v>0</v>
      </c>
      <c r="O35" s="233">
        <f t="shared" si="54"/>
        <v>3891621</v>
      </c>
      <c r="P35" s="233"/>
      <c r="Q35" s="233">
        <f t="shared" si="54"/>
        <v>0</v>
      </c>
      <c r="R35" s="233">
        <f t="shared" si="54"/>
        <v>2211387</v>
      </c>
      <c r="S35" s="233"/>
      <c r="T35" s="233">
        <f t="shared" si="54"/>
        <v>0</v>
      </c>
      <c r="U35" s="233">
        <f t="shared" si="54"/>
        <v>3924023</v>
      </c>
      <c r="V35" s="233"/>
      <c r="W35" s="233">
        <f t="shared" si="54"/>
        <v>0</v>
      </c>
      <c r="X35" s="233">
        <f>SUM(X25:X34)</f>
        <v>10027031</v>
      </c>
      <c r="Y35" s="233"/>
      <c r="Z35" s="233">
        <f>SUM(Z25:Z34)</f>
        <v>0</v>
      </c>
      <c r="AA35" s="233">
        <f>SUM(AA25:AA34)</f>
        <v>1198088</v>
      </c>
      <c r="AB35" s="233"/>
      <c r="AC35" s="233">
        <f t="shared" ref="AC35:AV35" si="55">SUM(AC25:AC34)</f>
        <v>0</v>
      </c>
      <c r="AD35" s="233">
        <f t="shared" si="55"/>
        <v>1005421</v>
      </c>
      <c r="AE35" s="233"/>
      <c r="AF35" s="233">
        <f t="shared" si="55"/>
        <v>0</v>
      </c>
      <c r="AG35" s="233">
        <f t="shared" si="55"/>
        <v>0</v>
      </c>
      <c r="AH35" s="233"/>
      <c r="AI35" s="233">
        <f t="shared" si="55"/>
        <v>0</v>
      </c>
      <c r="AJ35" s="233">
        <f t="shared" si="55"/>
        <v>2203509</v>
      </c>
      <c r="AK35" s="233"/>
      <c r="AL35" s="233">
        <f t="shared" si="55"/>
        <v>0</v>
      </c>
      <c r="AM35" s="233">
        <f t="shared" si="55"/>
        <v>0</v>
      </c>
      <c r="AN35" s="233"/>
      <c r="AO35" s="233">
        <f t="shared" si="55"/>
        <v>0</v>
      </c>
      <c r="AP35" s="233">
        <f t="shared" si="55"/>
        <v>0</v>
      </c>
      <c r="AQ35" s="233"/>
      <c r="AR35" s="233">
        <f t="shared" si="55"/>
        <v>0</v>
      </c>
      <c r="AS35" s="233">
        <f t="shared" si="55"/>
        <v>0</v>
      </c>
      <c r="AT35" s="233"/>
      <c r="AU35" s="233">
        <f t="shared" si="55"/>
        <v>0</v>
      </c>
      <c r="AV35" s="233">
        <f t="shared" si="55"/>
        <v>0</v>
      </c>
      <c r="AW35" s="233"/>
      <c r="AX35" s="244">
        <f t="shared" si="52"/>
        <v>0</v>
      </c>
      <c r="AY35" s="244">
        <f t="shared" si="52"/>
        <v>17236771</v>
      </c>
      <c r="AZ35" s="255"/>
    </row>
    <row r="36" spans="1:52" ht="19.5" customHeight="1" outlineLevel="1">
      <c r="A36" s="250" t="s">
        <v>1057</v>
      </c>
      <c r="B36" s="207"/>
      <c r="C36" s="207"/>
      <c r="D36" s="207"/>
      <c r="E36" s="207"/>
      <c r="F36" s="207"/>
      <c r="G36" s="207"/>
      <c r="H36" s="207"/>
      <c r="I36" s="207"/>
      <c r="J36" s="207"/>
      <c r="K36" s="207"/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  <c r="AA36" s="207"/>
      <c r="AB36" s="207"/>
      <c r="AC36" s="207"/>
      <c r="AD36" s="207"/>
      <c r="AE36" s="207"/>
      <c r="AF36" s="207"/>
      <c r="AG36" s="207"/>
      <c r="AH36" s="207"/>
      <c r="AI36" s="207"/>
      <c r="AJ36" s="207"/>
      <c r="AK36" s="207"/>
      <c r="AL36" s="207"/>
      <c r="AM36" s="207"/>
      <c r="AN36" s="207"/>
      <c r="AO36" s="207"/>
      <c r="AP36" s="207"/>
      <c r="AQ36" s="207"/>
      <c r="AR36" s="207"/>
      <c r="AS36" s="207"/>
      <c r="AT36" s="207"/>
      <c r="AU36" s="207"/>
      <c r="AX36" s="219"/>
      <c r="AY36" s="219"/>
    </row>
    <row r="37" spans="1:52" ht="19.5" customHeight="1" outlineLevel="1">
      <c r="A37" s="253" t="s">
        <v>1058</v>
      </c>
      <c r="B37" s="207">
        <v>0</v>
      </c>
      <c r="C37" s="207">
        <f>IS明細!D241</f>
        <v>26301</v>
      </c>
      <c r="D37" s="207"/>
      <c r="E37" s="207">
        <v>0</v>
      </c>
      <c r="F37" s="207">
        <f>IS明細!F241</f>
        <v>74827</v>
      </c>
      <c r="G37" s="207"/>
      <c r="H37" s="207">
        <v>0</v>
      </c>
      <c r="I37" s="207">
        <f>IS明細!H241</f>
        <v>69962</v>
      </c>
      <c r="J37" s="207"/>
      <c r="K37" s="207">
        <f t="shared" ref="K37:L46" si="56">B37+E37+H37</f>
        <v>0</v>
      </c>
      <c r="L37" s="207">
        <f t="shared" si="56"/>
        <v>171090</v>
      </c>
      <c r="M37" s="207"/>
      <c r="N37" s="207">
        <v>0</v>
      </c>
      <c r="O37" s="207">
        <f>IS明細!J241</f>
        <v>93988</v>
      </c>
      <c r="P37" s="207"/>
      <c r="Q37" s="207">
        <v>0</v>
      </c>
      <c r="R37" s="207">
        <f>IS明細!L241</f>
        <v>91944</v>
      </c>
      <c r="S37" s="207"/>
      <c r="T37" s="207">
        <v>0</v>
      </c>
      <c r="U37" s="207">
        <f>IS明細!N241</f>
        <v>112861</v>
      </c>
      <c r="V37" s="207"/>
      <c r="W37" s="207">
        <f>N37+Q37+T37</f>
        <v>0</v>
      </c>
      <c r="X37" s="207">
        <f t="shared" ref="X37:X45" si="57">O37+R37+U37</f>
        <v>298793</v>
      </c>
      <c r="Y37" s="207"/>
      <c r="Z37" s="207">
        <v>0</v>
      </c>
      <c r="AA37" s="207">
        <f>IS明細!P241</f>
        <v>96752</v>
      </c>
      <c r="AB37" s="207"/>
      <c r="AC37" s="207">
        <v>0</v>
      </c>
      <c r="AD37" s="207">
        <f>IS明細!R241</f>
        <v>117626</v>
      </c>
      <c r="AE37" s="207"/>
      <c r="AF37" s="207">
        <v>0</v>
      </c>
      <c r="AG37" s="207">
        <f>IS明細!T241</f>
        <v>0</v>
      </c>
      <c r="AH37" s="207"/>
      <c r="AI37" s="207">
        <f>Z37+AC37+AF37</f>
        <v>0</v>
      </c>
      <c r="AJ37" s="207">
        <f t="shared" ref="AJ37:AJ45" si="58">AA37+AD37+AG37</f>
        <v>214378</v>
      </c>
      <c r="AK37" s="207"/>
      <c r="AL37" s="207">
        <v>0</v>
      </c>
      <c r="AM37" s="207">
        <f>IS明細!V241</f>
        <v>0</v>
      </c>
      <c r="AN37" s="207"/>
      <c r="AO37" s="207">
        <v>0</v>
      </c>
      <c r="AP37" s="207">
        <f>IS明細!X241</f>
        <v>0</v>
      </c>
      <c r="AQ37" s="207"/>
      <c r="AR37" s="207">
        <v>0</v>
      </c>
      <c r="AS37" s="207">
        <f>IS明細!Z241</f>
        <v>0</v>
      </c>
      <c r="AT37" s="207"/>
      <c r="AU37" s="207">
        <f>AL37+AO37+AR37</f>
        <v>0</v>
      </c>
      <c r="AV37" s="207">
        <f t="shared" ref="AV37:AV45" si="59">AM37+AP37+AS37</f>
        <v>0</v>
      </c>
      <c r="AW37" s="207"/>
      <c r="AX37" s="219">
        <f>K37+W37+AI37+AU37</f>
        <v>0</v>
      </c>
      <c r="AY37" s="219">
        <f t="shared" si="52"/>
        <v>684261</v>
      </c>
    </row>
    <row r="38" spans="1:52" ht="19.5" customHeight="1" outlineLevel="1">
      <c r="A38" s="253" t="s">
        <v>1059</v>
      </c>
      <c r="B38" s="207">
        <v>0</v>
      </c>
      <c r="C38" s="207">
        <f>IS明細!D245</f>
        <v>0</v>
      </c>
      <c r="D38" s="207"/>
      <c r="E38" s="207">
        <v>0</v>
      </c>
      <c r="F38" s="207">
        <f>IS明細!F245</f>
        <v>0</v>
      </c>
      <c r="G38" s="207"/>
      <c r="H38" s="207">
        <v>0</v>
      </c>
      <c r="I38" s="207">
        <f>IS明細!H245</f>
        <v>0</v>
      </c>
      <c r="J38" s="207"/>
      <c r="K38" s="207">
        <f t="shared" si="56"/>
        <v>0</v>
      </c>
      <c r="L38" s="207">
        <f t="shared" si="56"/>
        <v>0</v>
      </c>
      <c r="M38" s="207"/>
      <c r="N38" s="207">
        <v>0</v>
      </c>
      <c r="O38" s="207">
        <f>IS明細!J245</f>
        <v>0</v>
      </c>
      <c r="P38" s="207"/>
      <c r="Q38" s="207">
        <v>0</v>
      </c>
      <c r="R38" s="207">
        <f>IS明細!L245</f>
        <v>0</v>
      </c>
      <c r="S38" s="207"/>
      <c r="T38" s="207">
        <v>0</v>
      </c>
      <c r="U38" s="207">
        <f>IS明細!N245</f>
        <v>0</v>
      </c>
      <c r="V38" s="207"/>
      <c r="W38" s="207">
        <f t="shared" ref="W38:W45" si="60">N38+Q38+T38</f>
        <v>0</v>
      </c>
      <c r="X38" s="207">
        <f t="shared" si="57"/>
        <v>0</v>
      </c>
      <c r="Y38" s="207"/>
      <c r="Z38" s="207">
        <v>0</v>
      </c>
      <c r="AA38" s="207">
        <f>IS明細!P245</f>
        <v>0</v>
      </c>
      <c r="AB38" s="207"/>
      <c r="AC38" s="207">
        <v>0</v>
      </c>
      <c r="AD38" s="207">
        <f>IS明細!R245</f>
        <v>0</v>
      </c>
      <c r="AE38" s="207"/>
      <c r="AF38" s="207">
        <v>0</v>
      </c>
      <c r="AG38" s="207">
        <f>IS明細!T245</f>
        <v>0</v>
      </c>
      <c r="AH38" s="207"/>
      <c r="AI38" s="207">
        <f t="shared" ref="AI38:AI45" si="61">Z38+AC38+AF38</f>
        <v>0</v>
      </c>
      <c r="AJ38" s="207">
        <f t="shared" si="58"/>
        <v>0</v>
      </c>
      <c r="AK38" s="207"/>
      <c r="AL38" s="207">
        <v>0</v>
      </c>
      <c r="AM38" s="207">
        <f>IS明細!V245</f>
        <v>0</v>
      </c>
      <c r="AN38" s="207"/>
      <c r="AO38" s="207">
        <v>0</v>
      </c>
      <c r="AP38" s="207">
        <f>IS明細!X245</f>
        <v>0</v>
      </c>
      <c r="AQ38" s="207"/>
      <c r="AR38" s="207">
        <v>0</v>
      </c>
      <c r="AS38" s="207">
        <f>IS明細!Z245</f>
        <v>0</v>
      </c>
      <c r="AT38" s="207"/>
      <c r="AU38" s="207">
        <f t="shared" ref="AU38:AU45" si="62">AL38+AO38+AR38</f>
        <v>0</v>
      </c>
      <c r="AV38" s="207">
        <f t="shared" si="59"/>
        <v>0</v>
      </c>
      <c r="AW38" s="207"/>
      <c r="AX38" s="219">
        <f t="shared" ref="AX38:AY46" si="63">K38+W38+AI38+AU38</f>
        <v>0</v>
      </c>
      <c r="AY38" s="219">
        <f t="shared" si="52"/>
        <v>0</v>
      </c>
    </row>
    <row r="39" spans="1:52" ht="19.5" customHeight="1" outlineLevel="1">
      <c r="A39" s="253" t="s">
        <v>1060</v>
      </c>
      <c r="B39" s="207">
        <v>0</v>
      </c>
      <c r="C39" s="207">
        <f>IS明細!D248</f>
        <v>0</v>
      </c>
      <c r="D39" s="207"/>
      <c r="E39" s="207">
        <v>0</v>
      </c>
      <c r="F39" s="207">
        <f>IS明細!F248</f>
        <v>0</v>
      </c>
      <c r="G39" s="207"/>
      <c r="H39" s="207">
        <v>0</v>
      </c>
      <c r="I39" s="207">
        <f>IS明細!H248</f>
        <v>0</v>
      </c>
      <c r="J39" s="207"/>
      <c r="K39" s="207">
        <f t="shared" si="56"/>
        <v>0</v>
      </c>
      <c r="L39" s="207">
        <f t="shared" si="56"/>
        <v>0</v>
      </c>
      <c r="M39" s="207"/>
      <c r="N39" s="207">
        <v>0</v>
      </c>
      <c r="O39" s="207">
        <f>IS明細!J248</f>
        <v>0</v>
      </c>
      <c r="P39" s="207"/>
      <c r="Q39" s="207">
        <v>0</v>
      </c>
      <c r="R39" s="207">
        <f>IS明細!L248</f>
        <v>0</v>
      </c>
      <c r="S39" s="207"/>
      <c r="T39" s="207">
        <v>0</v>
      </c>
      <c r="U39" s="207">
        <f>IS明細!N248</f>
        <v>0</v>
      </c>
      <c r="V39" s="207"/>
      <c r="W39" s="207">
        <f t="shared" si="60"/>
        <v>0</v>
      </c>
      <c r="X39" s="207">
        <f t="shared" si="57"/>
        <v>0</v>
      </c>
      <c r="Y39" s="207"/>
      <c r="Z39" s="207">
        <v>0</v>
      </c>
      <c r="AA39" s="207">
        <f>IS明細!P248</f>
        <v>0</v>
      </c>
      <c r="AB39" s="207"/>
      <c r="AC39" s="207">
        <v>0</v>
      </c>
      <c r="AD39" s="207">
        <f>IS明細!R248</f>
        <v>0</v>
      </c>
      <c r="AE39" s="207"/>
      <c r="AF39" s="207">
        <v>0</v>
      </c>
      <c r="AG39" s="207">
        <f>IS明細!T248</f>
        <v>0</v>
      </c>
      <c r="AH39" s="207"/>
      <c r="AI39" s="207">
        <f t="shared" si="61"/>
        <v>0</v>
      </c>
      <c r="AJ39" s="207">
        <f t="shared" si="58"/>
        <v>0</v>
      </c>
      <c r="AK39" s="207"/>
      <c r="AL39" s="207">
        <v>0</v>
      </c>
      <c r="AM39" s="207">
        <f>IS明細!V248</f>
        <v>0</v>
      </c>
      <c r="AN39" s="207"/>
      <c r="AO39" s="207">
        <v>0</v>
      </c>
      <c r="AP39" s="207">
        <f>IS明細!X248</f>
        <v>0</v>
      </c>
      <c r="AQ39" s="207"/>
      <c r="AR39" s="207">
        <v>0</v>
      </c>
      <c r="AS39" s="207">
        <f>IS明細!Z248</f>
        <v>0</v>
      </c>
      <c r="AT39" s="207"/>
      <c r="AU39" s="207">
        <f t="shared" si="62"/>
        <v>0</v>
      </c>
      <c r="AV39" s="207">
        <f t="shared" si="59"/>
        <v>0</v>
      </c>
      <c r="AW39" s="207"/>
      <c r="AX39" s="219">
        <f t="shared" si="63"/>
        <v>0</v>
      </c>
      <c r="AY39" s="219">
        <f t="shared" si="52"/>
        <v>0</v>
      </c>
    </row>
    <row r="40" spans="1:52" ht="19.5" customHeight="1" outlineLevel="1">
      <c r="A40" s="253" t="s">
        <v>1061</v>
      </c>
      <c r="B40" s="207">
        <v>0</v>
      </c>
      <c r="C40" s="207">
        <f>IS明細!D249</f>
        <v>0</v>
      </c>
      <c r="D40" s="207"/>
      <c r="E40" s="207">
        <v>0</v>
      </c>
      <c r="F40" s="207">
        <f>IS明細!F249</f>
        <v>0</v>
      </c>
      <c r="G40" s="207"/>
      <c r="H40" s="207">
        <v>0</v>
      </c>
      <c r="I40" s="207">
        <f>IS明細!H249</f>
        <v>0</v>
      </c>
      <c r="J40" s="207"/>
      <c r="K40" s="207">
        <f t="shared" si="56"/>
        <v>0</v>
      </c>
      <c r="L40" s="207">
        <f t="shared" si="56"/>
        <v>0</v>
      </c>
      <c r="M40" s="207"/>
      <c r="N40" s="207">
        <v>0</v>
      </c>
      <c r="O40" s="207">
        <f>IS明細!J249</f>
        <v>0</v>
      </c>
      <c r="P40" s="207"/>
      <c r="Q40" s="207">
        <v>0</v>
      </c>
      <c r="R40" s="207">
        <f>IS明細!L249</f>
        <v>0</v>
      </c>
      <c r="S40" s="207"/>
      <c r="T40" s="207">
        <v>0</v>
      </c>
      <c r="U40" s="207">
        <f>IS明細!N249</f>
        <v>0</v>
      </c>
      <c r="V40" s="207"/>
      <c r="W40" s="207">
        <f t="shared" si="60"/>
        <v>0</v>
      </c>
      <c r="X40" s="207">
        <f t="shared" si="57"/>
        <v>0</v>
      </c>
      <c r="Y40" s="207"/>
      <c r="Z40" s="207">
        <v>0</v>
      </c>
      <c r="AA40" s="207">
        <f>IS明細!P249</f>
        <v>0</v>
      </c>
      <c r="AB40" s="207"/>
      <c r="AC40" s="207">
        <v>0</v>
      </c>
      <c r="AD40" s="207">
        <f>IS明細!R249</f>
        <v>0</v>
      </c>
      <c r="AE40" s="207"/>
      <c r="AF40" s="207">
        <v>0</v>
      </c>
      <c r="AG40" s="207">
        <f>IS明細!T249</f>
        <v>0</v>
      </c>
      <c r="AH40" s="207"/>
      <c r="AI40" s="207">
        <f t="shared" si="61"/>
        <v>0</v>
      </c>
      <c r="AJ40" s="207">
        <f t="shared" si="58"/>
        <v>0</v>
      </c>
      <c r="AK40" s="207"/>
      <c r="AL40" s="207">
        <v>0</v>
      </c>
      <c r="AM40" s="207">
        <f>IS明細!V249</f>
        <v>0</v>
      </c>
      <c r="AN40" s="207"/>
      <c r="AO40" s="207">
        <v>0</v>
      </c>
      <c r="AP40" s="207">
        <f>IS明細!X249</f>
        <v>0</v>
      </c>
      <c r="AQ40" s="207"/>
      <c r="AR40" s="207">
        <v>0</v>
      </c>
      <c r="AS40" s="207">
        <f>IS明細!Z249</f>
        <v>0</v>
      </c>
      <c r="AT40" s="207"/>
      <c r="AU40" s="207">
        <f t="shared" si="62"/>
        <v>0</v>
      </c>
      <c r="AV40" s="207">
        <f t="shared" si="59"/>
        <v>0</v>
      </c>
      <c r="AW40" s="207"/>
      <c r="AX40" s="219">
        <f t="shared" si="63"/>
        <v>0</v>
      </c>
      <c r="AY40" s="219">
        <f t="shared" si="52"/>
        <v>0</v>
      </c>
    </row>
    <row r="41" spans="1:52" ht="19.5" customHeight="1" outlineLevel="1">
      <c r="A41" s="253" t="s">
        <v>1062</v>
      </c>
      <c r="B41" s="207">
        <v>0</v>
      </c>
      <c r="C41" s="207">
        <f>IS明細!D250</f>
        <v>0</v>
      </c>
      <c r="D41" s="207"/>
      <c r="E41" s="207">
        <v>0</v>
      </c>
      <c r="F41" s="207">
        <f>IS明細!F250</f>
        <v>0</v>
      </c>
      <c r="G41" s="207"/>
      <c r="H41" s="207">
        <v>0</v>
      </c>
      <c r="I41" s="207">
        <f>IS明細!H250</f>
        <v>0</v>
      </c>
      <c r="J41" s="207"/>
      <c r="K41" s="207">
        <f t="shared" si="56"/>
        <v>0</v>
      </c>
      <c r="L41" s="207">
        <f t="shared" si="56"/>
        <v>0</v>
      </c>
      <c r="M41" s="207"/>
      <c r="N41" s="207">
        <v>0</v>
      </c>
      <c r="O41" s="207">
        <f>IS明細!J250</f>
        <v>0</v>
      </c>
      <c r="P41" s="207"/>
      <c r="Q41" s="207">
        <v>0</v>
      </c>
      <c r="R41" s="207">
        <f>IS明細!L250</f>
        <v>0</v>
      </c>
      <c r="S41" s="207"/>
      <c r="T41" s="207">
        <v>0</v>
      </c>
      <c r="U41" s="207">
        <f>IS明細!N250</f>
        <v>0</v>
      </c>
      <c r="V41" s="207"/>
      <c r="W41" s="207">
        <f t="shared" si="60"/>
        <v>0</v>
      </c>
      <c r="X41" s="207">
        <f t="shared" si="57"/>
        <v>0</v>
      </c>
      <c r="Y41" s="207"/>
      <c r="Z41" s="207">
        <v>0</v>
      </c>
      <c r="AA41" s="207">
        <f>IS明細!P250</f>
        <v>0</v>
      </c>
      <c r="AB41" s="207"/>
      <c r="AC41" s="207">
        <v>0</v>
      </c>
      <c r="AD41" s="207">
        <f>IS明細!R250</f>
        <v>0</v>
      </c>
      <c r="AE41" s="207"/>
      <c r="AF41" s="207">
        <v>0</v>
      </c>
      <c r="AG41" s="207">
        <f>IS明細!T250</f>
        <v>0</v>
      </c>
      <c r="AH41" s="207"/>
      <c r="AI41" s="207">
        <f t="shared" si="61"/>
        <v>0</v>
      </c>
      <c r="AJ41" s="207">
        <f t="shared" si="58"/>
        <v>0</v>
      </c>
      <c r="AK41" s="207"/>
      <c r="AL41" s="207">
        <v>0</v>
      </c>
      <c r="AM41" s="207">
        <f>IS明細!V250</f>
        <v>0</v>
      </c>
      <c r="AN41" s="207"/>
      <c r="AO41" s="207">
        <v>0</v>
      </c>
      <c r="AP41" s="207">
        <f>IS明細!X250</f>
        <v>0</v>
      </c>
      <c r="AQ41" s="207"/>
      <c r="AR41" s="207">
        <v>0</v>
      </c>
      <c r="AS41" s="207">
        <f>IS明細!Z250</f>
        <v>0</v>
      </c>
      <c r="AT41" s="207"/>
      <c r="AU41" s="207">
        <f t="shared" si="62"/>
        <v>0</v>
      </c>
      <c r="AV41" s="207">
        <f t="shared" si="59"/>
        <v>0</v>
      </c>
      <c r="AW41" s="207"/>
      <c r="AX41" s="219">
        <f t="shared" si="63"/>
        <v>0</v>
      </c>
      <c r="AY41" s="219">
        <f t="shared" si="52"/>
        <v>0</v>
      </c>
    </row>
    <row r="42" spans="1:52" ht="19.5" customHeight="1" outlineLevel="1">
      <c r="A42" s="253" t="s">
        <v>1063</v>
      </c>
      <c r="B42" s="207">
        <v>0</v>
      </c>
      <c r="C42" s="207">
        <f>IS明細!D256</f>
        <v>5599361</v>
      </c>
      <c r="D42" s="207"/>
      <c r="E42" s="207">
        <v>0</v>
      </c>
      <c r="F42" s="207">
        <f>IS明細!F256</f>
        <v>4644987</v>
      </c>
      <c r="G42" s="207"/>
      <c r="H42" s="207">
        <v>0</v>
      </c>
      <c r="I42" s="207">
        <f>IS明細!H256</f>
        <v>3836889</v>
      </c>
      <c r="J42" s="207"/>
      <c r="K42" s="207">
        <f t="shared" si="56"/>
        <v>0</v>
      </c>
      <c r="L42" s="207">
        <f t="shared" si="56"/>
        <v>14081237</v>
      </c>
      <c r="M42" s="207"/>
      <c r="N42" s="207">
        <v>0</v>
      </c>
      <c r="O42" s="207">
        <f>IS明細!J256</f>
        <v>3895955</v>
      </c>
      <c r="P42" s="207"/>
      <c r="Q42" s="207">
        <v>0</v>
      </c>
      <c r="R42" s="207">
        <f>IS明細!L256</f>
        <v>2165183</v>
      </c>
      <c r="S42" s="207"/>
      <c r="T42" s="207">
        <v>0</v>
      </c>
      <c r="U42" s="207">
        <f>IS明細!N256</f>
        <v>1755192</v>
      </c>
      <c r="V42" s="207"/>
      <c r="W42" s="207">
        <f t="shared" si="60"/>
        <v>0</v>
      </c>
      <c r="X42" s="207">
        <f t="shared" si="57"/>
        <v>7816330</v>
      </c>
      <c r="Y42" s="207"/>
      <c r="Z42" s="207">
        <v>0</v>
      </c>
      <c r="AA42" s="207">
        <f>IS明細!P256</f>
        <v>2260251</v>
      </c>
      <c r="AB42" s="207"/>
      <c r="AC42" s="207">
        <v>0</v>
      </c>
      <c r="AD42" s="207">
        <f>IS明細!R256</f>
        <v>704027</v>
      </c>
      <c r="AE42" s="207"/>
      <c r="AF42" s="207">
        <v>0</v>
      </c>
      <c r="AG42" s="207">
        <f>IS明細!T256</f>
        <v>0</v>
      </c>
      <c r="AH42" s="207"/>
      <c r="AI42" s="207">
        <f t="shared" si="61"/>
        <v>0</v>
      </c>
      <c r="AJ42" s="207">
        <f t="shared" si="58"/>
        <v>2964278</v>
      </c>
      <c r="AK42" s="207"/>
      <c r="AL42" s="207">
        <v>0</v>
      </c>
      <c r="AM42" s="207">
        <f>IS明細!V256</f>
        <v>0</v>
      </c>
      <c r="AN42" s="207"/>
      <c r="AO42" s="207">
        <v>0</v>
      </c>
      <c r="AP42" s="207">
        <f>IS明細!X256</f>
        <v>0</v>
      </c>
      <c r="AQ42" s="207"/>
      <c r="AR42" s="207">
        <v>0</v>
      </c>
      <c r="AS42" s="207">
        <f>IS明細!Z256</f>
        <v>0</v>
      </c>
      <c r="AT42" s="207"/>
      <c r="AU42" s="207">
        <f t="shared" si="62"/>
        <v>0</v>
      </c>
      <c r="AV42" s="207">
        <f t="shared" si="59"/>
        <v>0</v>
      </c>
      <c r="AW42" s="207"/>
      <c r="AX42" s="219">
        <f t="shared" si="63"/>
        <v>0</v>
      </c>
      <c r="AY42" s="219">
        <f t="shared" si="63"/>
        <v>24861845</v>
      </c>
    </row>
    <row r="43" spans="1:52" ht="19.5" customHeight="1" outlineLevel="1">
      <c r="A43" s="253" t="s">
        <v>1064</v>
      </c>
      <c r="B43" s="207">
        <v>892725</v>
      </c>
      <c r="C43" s="207">
        <f>IS明細!D260</f>
        <v>368283</v>
      </c>
      <c r="D43" s="207"/>
      <c r="E43" s="207">
        <v>892725</v>
      </c>
      <c r="F43" s="207">
        <f>IS明細!F260</f>
        <v>252106</v>
      </c>
      <c r="G43" s="207"/>
      <c r="H43" s="207">
        <v>892725</v>
      </c>
      <c r="I43" s="207">
        <f>IS明細!H260</f>
        <v>140305</v>
      </c>
      <c r="J43" s="207"/>
      <c r="K43" s="207">
        <f t="shared" si="56"/>
        <v>2678175</v>
      </c>
      <c r="L43" s="207">
        <f t="shared" si="56"/>
        <v>760694</v>
      </c>
      <c r="M43" s="207"/>
      <c r="N43" s="207">
        <v>892724</v>
      </c>
      <c r="O43" s="207">
        <f>IS明細!J260</f>
        <v>118770</v>
      </c>
      <c r="P43" s="207"/>
      <c r="Q43" s="207">
        <v>892724</v>
      </c>
      <c r="R43" s="207">
        <f>IS明細!L260</f>
        <v>230411</v>
      </c>
      <c r="S43" s="207"/>
      <c r="T43" s="207">
        <v>892725</v>
      </c>
      <c r="U43" s="207">
        <f>IS明細!N260</f>
        <v>277435</v>
      </c>
      <c r="V43" s="207"/>
      <c r="W43" s="207">
        <f t="shared" si="60"/>
        <v>2678173</v>
      </c>
      <c r="X43" s="207">
        <f t="shared" si="57"/>
        <v>626616</v>
      </c>
      <c r="Y43" s="207"/>
      <c r="Z43" s="207">
        <v>1040836</v>
      </c>
      <c r="AA43" s="207">
        <f>IS明細!P260</f>
        <v>178264</v>
      </c>
      <c r="AB43" s="207"/>
      <c r="AC43" s="207">
        <v>1040837</v>
      </c>
      <c r="AD43" s="207">
        <f>IS明細!R260</f>
        <v>416667</v>
      </c>
      <c r="AE43" s="207"/>
      <c r="AF43" s="207">
        <v>1040835</v>
      </c>
      <c r="AG43" s="207">
        <f>IS明細!T260</f>
        <v>0</v>
      </c>
      <c r="AH43" s="207"/>
      <c r="AI43" s="207">
        <f t="shared" si="61"/>
        <v>3122508</v>
      </c>
      <c r="AJ43" s="207">
        <f t="shared" si="58"/>
        <v>594931</v>
      </c>
      <c r="AK43" s="207"/>
      <c r="AL43" s="207">
        <v>1040835</v>
      </c>
      <c r="AM43" s="207">
        <f>IS明細!V260</f>
        <v>0</v>
      </c>
      <c r="AN43" s="207"/>
      <c r="AO43" s="207">
        <v>1040835</v>
      </c>
      <c r="AP43" s="207">
        <f>IS明細!X260</f>
        <v>0</v>
      </c>
      <c r="AQ43" s="207"/>
      <c r="AR43" s="207">
        <v>1040835</v>
      </c>
      <c r="AS43" s="207">
        <f>IS明細!Z260</f>
        <v>0</v>
      </c>
      <c r="AT43" s="207"/>
      <c r="AU43" s="207">
        <f t="shared" si="62"/>
        <v>3122505</v>
      </c>
      <c r="AV43" s="207">
        <f t="shared" si="59"/>
        <v>0</v>
      </c>
      <c r="AW43" s="207"/>
      <c r="AX43" s="219">
        <f t="shared" si="63"/>
        <v>11601361</v>
      </c>
      <c r="AY43" s="219">
        <f t="shared" si="63"/>
        <v>1982241</v>
      </c>
    </row>
    <row r="44" spans="1:52" ht="19.5" customHeight="1" outlineLevel="1">
      <c r="A44" s="253" t="s">
        <v>1065</v>
      </c>
      <c r="B44" s="207">
        <v>0</v>
      </c>
      <c r="C44" s="207">
        <f>IS明細!D262</f>
        <v>0</v>
      </c>
      <c r="D44" s="207"/>
      <c r="E44" s="207">
        <v>0</v>
      </c>
      <c r="F44" s="207">
        <f>IS明細!F262</f>
        <v>0</v>
      </c>
      <c r="G44" s="207"/>
      <c r="H44" s="207">
        <v>0</v>
      </c>
      <c r="I44" s="207">
        <f>IS明細!H262</f>
        <v>0</v>
      </c>
      <c r="J44" s="207"/>
      <c r="K44" s="207">
        <f t="shared" si="56"/>
        <v>0</v>
      </c>
      <c r="L44" s="207">
        <f t="shared" si="56"/>
        <v>0</v>
      </c>
      <c r="M44" s="207"/>
      <c r="N44" s="207">
        <v>0</v>
      </c>
      <c r="O44" s="207">
        <f>IS明細!J262</f>
        <v>0</v>
      </c>
      <c r="P44" s="207"/>
      <c r="Q44" s="207">
        <v>0</v>
      </c>
      <c r="R44" s="207">
        <f>IS明細!L262</f>
        <v>0</v>
      </c>
      <c r="S44" s="207"/>
      <c r="T44" s="207">
        <v>0</v>
      </c>
      <c r="U44" s="207">
        <f>IS明細!N262</f>
        <v>0</v>
      </c>
      <c r="V44" s="207"/>
      <c r="W44" s="207">
        <f t="shared" si="60"/>
        <v>0</v>
      </c>
      <c r="X44" s="207">
        <f t="shared" si="57"/>
        <v>0</v>
      </c>
      <c r="Y44" s="207"/>
      <c r="Z44" s="207">
        <v>0</v>
      </c>
      <c r="AA44" s="207">
        <f>IS明細!P262</f>
        <v>0</v>
      </c>
      <c r="AB44" s="207"/>
      <c r="AC44" s="207">
        <v>0</v>
      </c>
      <c r="AD44" s="207">
        <f>IS明細!R262</f>
        <v>0</v>
      </c>
      <c r="AE44" s="207"/>
      <c r="AF44" s="207">
        <v>0</v>
      </c>
      <c r="AG44" s="207">
        <f>IS明細!T262</f>
        <v>0</v>
      </c>
      <c r="AH44" s="207"/>
      <c r="AI44" s="207">
        <f t="shared" si="61"/>
        <v>0</v>
      </c>
      <c r="AJ44" s="207">
        <f t="shared" si="58"/>
        <v>0</v>
      </c>
      <c r="AK44" s="207"/>
      <c r="AL44" s="207">
        <v>0</v>
      </c>
      <c r="AM44" s="207">
        <f>IS明細!V262</f>
        <v>0</v>
      </c>
      <c r="AN44" s="207"/>
      <c r="AO44" s="207">
        <v>0</v>
      </c>
      <c r="AP44" s="207">
        <f>IS明細!X262</f>
        <v>0</v>
      </c>
      <c r="AQ44" s="207"/>
      <c r="AR44" s="207">
        <v>0</v>
      </c>
      <c r="AS44" s="207">
        <f>IS明細!Z262</f>
        <v>0</v>
      </c>
      <c r="AT44" s="207"/>
      <c r="AU44" s="207">
        <f t="shared" si="62"/>
        <v>0</v>
      </c>
      <c r="AV44" s="207">
        <f t="shared" si="59"/>
        <v>0</v>
      </c>
      <c r="AW44" s="207"/>
      <c r="AX44" s="219">
        <f t="shared" si="63"/>
        <v>0</v>
      </c>
      <c r="AY44" s="219">
        <f t="shared" si="63"/>
        <v>0</v>
      </c>
    </row>
    <row r="45" spans="1:52" ht="19.5" customHeight="1" outlineLevel="1">
      <c r="A45" s="253" t="s">
        <v>1066</v>
      </c>
      <c r="B45" s="207">
        <v>0</v>
      </c>
      <c r="C45" s="207">
        <f>IS明細!D263</f>
        <v>0</v>
      </c>
      <c r="D45" s="207"/>
      <c r="E45" s="207">
        <v>0</v>
      </c>
      <c r="F45" s="207">
        <f>IS明細!F263</f>
        <v>0</v>
      </c>
      <c r="G45" s="207"/>
      <c r="H45" s="207">
        <v>0</v>
      </c>
      <c r="I45" s="207">
        <f>IS明細!H263</f>
        <v>0</v>
      </c>
      <c r="J45" s="207"/>
      <c r="K45" s="207">
        <f t="shared" si="56"/>
        <v>0</v>
      </c>
      <c r="L45" s="207">
        <f t="shared" si="56"/>
        <v>0</v>
      </c>
      <c r="M45" s="207"/>
      <c r="N45" s="207">
        <v>0</v>
      </c>
      <c r="O45" s="207">
        <f>IS明細!J263</f>
        <v>133996</v>
      </c>
      <c r="P45" s="207"/>
      <c r="Q45" s="207">
        <v>0</v>
      </c>
      <c r="R45" s="207">
        <f>IS明細!L263</f>
        <v>0</v>
      </c>
      <c r="S45" s="207"/>
      <c r="T45" s="207">
        <v>0</v>
      </c>
      <c r="U45" s="207">
        <f>IS明細!N263+IS明細!N261</f>
        <v>0</v>
      </c>
      <c r="V45" s="207"/>
      <c r="W45" s="207">
        <f t="shared" si="60"/>
        <v>0</v>
      </c>
      <c r="X45" s="207">
        <f t="shared" si="57"/>
        <v>133996</v>
      </c>
      <c r="Y45" s="207"/>
      <c r="Z45" s="207">
        <v>0</v>
      </c>
      <c r="AA45" s="207">
        <f>IS明細!P263+IS明細!P261</f>
        <v>0</v>
      </c>
      <c r="AB45" s="207"/>
      <c r="AC45" s="207">
        <v>0</v>
      </c>
      <c r="AD45" s="207">
        <f>IS明細!R263+IS明細!R261</f>
        <v>0</v>
      </c>
      <c r="AE45" s="207"/>
      <c r="AF45" s="207">
        <v>0</v>
      </c>
      <c r="AG45" s="207">
        <f>IS明細!T263+IS明細!T261</f>
        <v>0</v>
      </c>
      <c r="AH45" s="207"/>
      <c r="AI45" s="207">
        <f t="shared" si="61"/>
        <v>0</v>
      </c>
      <c r="AJ45" s="207">
        <f t="shared" si="58"/>
        <v>0</v>
      </c>
      <c r="AK45" s="207"/>
      <c r="AL45" s="207">
        <v>0</v>
      </c>
      <c r="AM45" s="207">
        <f>IS明細!V263+IS明細!V261</f>
        <v>0</v>
      </c>
      <c r="AN45" s="207"/>
      <c r="AO45" s="207">
        <v>0</v>
      </c>
      <c r="AP45" s="207">
        <f>IS明細!X263+IS明細!X261</f>
        <v>0</v>
      </c>
      <c r="AQ45" s="207"/>
      <c r="AR45" s="207">
        <v>0</v>
      </c>
      <c r="AS45" s="207">
        <f>IS明細!Z263+IS明細!Z261</f>
        <v>0</v>
      </c>
      <c r="AT45" s="207"/>
      <c r="AU45" s="207">
        <f t="shared" si="62"/>
        <v>0</v>
      </c>
      <c r="AV45" s="207">
        <f t="shared" si="59"/>
        <v>0</v>
      </c>
      <c r="AW45" s="207"/>
      <c r="AX45" s="219">
        <f t="shared" si="63"/>
        <v>0</v>
      </c>
      <c r="AY45" s="219">
        <f t="shared" si="63"/>
        <v>133996</v>
      </c>
    </row>
    <row r="46" spans="1:52" ht="19.5" customHeight="1" outlineLevel="1">
      <c r="A46" s="254" t="s">
        <v>1056</v>
      </c>
      <c r="B46" s="233">
        <f t="shared" ref="B46:I46" si="64">SUM(B37:B45)</f>
        <v>892725</v>
      </c>
      <c r="C46" s="233">
        <f t="shared" si="64"/>
        <v>5993945</v>
      </c>
      <c r="D46" s="233"/>
      <c r="E46" s="233">
        <f t="shared" si="64"/>
        <v>892725</v>
      </c>
      <c r="F46" s="233">
        <f t="shared" si="64"/>
        <v>4971920</v>
      </c>
      <c r="G46" s="233"/>
      <c r="H46" s="233">
        <f t="shared" si="64"/>
        <v>892725</v>
      </c>
      <c r="I46" s="233">
        <f t="shared" si="64"/>
        <v>4047156</v>
      </c>
      <c r="J46" s="233"/>
      <c r="K46" s="233">
        <f>B46+E46+H46</f>
        <v>2678175</v>
      </c>
      <c r="L46" s="233">
        <f t="shared" si="56"/>
        <v>15013021</v>
      </c>
      <c r="M46" s="233"/>
      <c r="N46" s="233">
        <f t="shared" ref="N46:AO46" si="65">SUM(N37:N45)</f>
        <v>892724</v>
      </c>
      <c r="O46" s="233">
        <f t="shared" si="65"/>
        <v>4242709</v>
      </c>
      <c r="P46" s="233"/>
      <c r="Q46" s="233">
        <f t="shared" si="65"/>
        <v>892724</v>
      </c>
      <c r="R46" s="233">
        <f t="shared" si="65"/>
        <v>2487538</v>
      </c>
      <c r="S46" s="233"/>
      <c r="T46" s="233">
        <f t="shared" si="65"/>
        <v>892725</v>
      </c>
      <c r="U46" s="233">
        <f t="shared" si="65"/>
        <v>2145488</v>
      </c>
      <c r="V46" s="233"/>
      <c r="W46" s="233">
        <f t="shared" si="65"/>
        <v>2678173</v>
      </c>
      <c r="X46" s="233">
        <f t="shared" si="65"/>
        <v>8875735</v>
      </c>
      <c r="Y46" s="233"/>
      <c r="Z46" s="233">
        <f t="shared" si="65"/>
        <v>1040836</v>
      </c>
      <c r="AA46" s="233">
        <f t="shared" si="65"/>
        <v>2535267</v>
      </c>
      <c r="AB46" s="233"/>
      <c r="AC46" s="233">
        <f t="shared" si="65"/>
        <v>1040837</v>
      </c>
      <c r="AD46" s="233">
        <f t="shared" si="65"/>
        <v>1238320</v>
      </c>
      <c r="AE46" s="233"/>
      <c r="AF46" s="233">
        <f t="shared" si="65"/>
        <v>1040835</v>
      </c>
      <c r="AG46" s="233">
        <f t="shared" si="65"/>
        <v>0</v>
      </c>
      <c r="AH46" s="233"/>
      <c r="AI46" s="233">
        <f t="shared" si="65"/>
        <v>3122508</v>
      </c>
      <c r="AJ46" s="233">
        <f t="shared" si="65"/>
        <v>3773587</v>
      </c>
      <c r="AK46" s="233"/>
      <c r="AL46" s="233">
        <f t="shared" si="65"/>
        <v>1040835</v>
      </c>
      <c r="AM46" s="233">
        <f t="shared" si="65"/>
        <v>0</v>
      </c>
      <c r="AN46" s="233"/>
      <c r="AO46" s="233">
        <f t="shared" si="65"/>
        <v>1040835</v>
      </c>
      <c r="AP46" s="233">
        <f>SUM(AP37:AP45)</f>
        <v>0</v>
      </c>
      <c r="AQ46" s="233"/>
      <c r="AR46" s="233">
        <f>SUM(AR37:AR45)</f>
        <v>1040835</v>
      </c>
      <c r="AS46" s="233">
        <f>SUM(AS37:AS45)</f>
        <v>0</v>
      </c>
      <c r="AT46" s="233"/>
      <c r="AU46" s="233">
        <f>SUM(AU37:AU45)</f>
        <v>3122505</v>
      </c>
      <c r="AV46" s="233">
        <f>SUM(AV37:AV45)</f>
        <v>0</v>
      </c>
      <c r="AW46" s="233"/>
      <c r="AX46" s="244">
        <f t="shared" si="63"/>
        <v>11601361</v>
      </c>
      <c r="AY46" s="244">
        <f t="shared" si="63"/>
        <v>27662343</v>
      </c>
      <c r="AZ46" s="255"/>
    </row>
    <row r="47" spans="1:52" ht="19.5" customHeight="1">
      <c r="A47" s="256" t="s">
        <v>1067</v>
      </c>
      <c r="B47" s="257">
        <f>B35-B46</f>
        <v>-892725</v>
      </c>
      <c r="C47" s="257">
        <f>C35-C46</f>
        <v>-4980453</v>
      </c>
      <c r="D47" s="257"/>
      <c r="E47" s="257">
        <f t="shared" ref="E47:AY47" si="66">E35-E46</f>
        <v>-892725</v>
      </c>
      <c r="F47" s="257">
        <f t="shared" si="66"/>
        <v>-3981090</v>
      </c>
      <c r="G47" s="257"/>
      <c r="H47" s="257">
        <f t="shared" si="66"/>
        <v>-892725</v>
      </c>
      <c r="I47" s="257">
        <f t="shared" si="66"/>
        <v>-1045247</v>
      </c>
      <c r="J47" s="257"/>
      <c r="K47" s="257">
        <f t="shared" si="66"/>
        <v>-2678175</v>
      </c>
      <c r="L47" s="257">
        <f t="shared" si="66"/>
        <v>-10006790</v>
      </c>
      <c r="M47" s="257"/>
      <c r="N47" s="257">
        <f t="shared" si="66"/>
        <v>-892724</v>
      </c>
      <c r="O47" s="257">
        <f t="shared" si="66"/>
        <v>-351088</v>
      </c>
      <c r="P47" s="257">
        <f t="shared" si="66"/>
        <v>0</v>
      </c>
      <c r="Q47" s="257">
        <f t="shared" si="66"/>
        <v>-892724</v>
      </c>
      <c r="R47" s="257">
        <f t="shared" si="66"/>
        <v>-276151</v>
      </c>
      <c r="S47" s="257"/>
      <c r="T47" s="257">
        <f t="shared" si="66"/>
        <v>-892725</v>
      </c>
      <c r="U47" s="257">
        <f t="shared" si="66"/>
        <v>1778535</v>
      </c>
      <c r="V47" s="257"/>
      <c r="W47" s="257">
        <f t="shared" si="66"/>
        <v>-2678173</v>
      </c>
      <c r="X47" s="257">
        <f t="shared" si="66"/>
        <v>1151296</v>
      </c>
      <c r="Y47" s="257"/>
      <c r="Z47" s="257">
        <f t="shared" si="66"/>
        <v>-1040836</v>
      </c>
      <c r="AA47" s="257">
        <f t="shared" si="66"/>
        <v>-1337179</v>
      </c>
      <c r="AB47" s="257"/>
      <c r="AC47" s="257">
        <f t="shared" si="66"/>
        <v>-1040837</v>
      </c>
      <c r="AD47" s="257">
        <f t="shared" si="66"/>
        <v>-232899</v>
      </c>
      <c r="AE47" s="257"/>
      <c r="AF47" s="257">
        <f t="shared" si="66"/>
        <v>-1040835</v>
      </c>
      <c r="AG47" s="257">
        <f t="shared" si="66"/>
        <v>0</v>
      </c>
      <c r="AH47" s="257"/>
      <c r="AI47" s="257">
        <f t="shared" si="66"/>
        <v>-3122508</v>
      </c>
      <c r="AJ47" s="257">
        <f t="shared" si="66"/>
        <v>-1570078</v>
      </c>
      <c r="AK47" s="257"/>
      <c r="AL47" s="257">
        <f t="shared" si="66"/>
        <v>-1040835</v>
      </c>
      <c r="AM47" s="257">
        <f t="shared" si="66"/>
        <v>0</v>
      </c>
      <c r="AN47" s="257"/>
      <c r="AO47" s="257">
        <f t="shared" si="66"/>
        <v>-1040835</v>
      </c>
      <c r="AP47" s="257">
        <f t="shared" si="66"/>
        <v>0</v>
      </c>
      <c r="AQ47" s="257"/>
      <c r="AR47" s="257">
        <f t="shared" si="66"/>
        <v>-1040835</v>
      </c>
      <c r="AS47" s="257">
        <f t="shared" si="66"/>
        <v>0</v>
      </c>
      <c r="AT47" s="257"/>
      <c r="AU47" s="257">
        <f t="shared" si="66"/>
        <v>-3122505</v>
      </c>
      <c r="AV47" s="257">
        <f t="shared" si="66"/>
        <v>0</v>
      </c>
      <c r="AW47" s="257"/>
      <c r="AX47" s="258">
        <f t="shared" si="66"/>
        <v>-11601361</v>
      </c>
      <c r="AY47" s="258">
        <f t="shared" si="66"/>
        <v>-10425572</v>
      </c>
      <c r="AZ47" s="259"/>
    </row>
    <row r="48" spans="1:52" ht="15" thickBot="1">
      <c r="A48" s="260" t="s">
        <v>595</v>
      </c>
      <c r="B48" s="247">
        <f>B22+B47</f>
        <v>4609275</v>
      </c>
      <c r="C48" s="247">
        <f t="shared" ref="C48:AY48" si="67">C22+C47</f>
        <v>-7756173</v>
      </c>
      <c r="D48" s="247"/>
      <c r="E48" s="247">
        <f t="shared" si="67"/>
        <v>4609275</v>
      </c>
      <c r="F48" s="247">
        <f t="shared" si="67"/>
        <v>-10972456</v>
      </c>
      <c r="G48" s="247"/>
      <c r="H48" s="247">
        <f t="shared" si="67"/>
        <v>4609275</v>
      </c>
      <c r="I48" s="247">
        <f t="shared" si="67"/>
        <v>2058472</v>
      </c>
      <c r="J48" s="247"/>
      <c r="K48" s="247">
        <f t="shared" si="67"/>
        <v>13827825</v>
      </c>
      <c r="L48" s="247">
        <f t="shared" si="67"/>
        <v>-16670157</v>
      </c>
      <c r="M48" s="247"/>
      <c r="N48" s="247">
        <f t="shared" si="67"/>
        <v>4609276</v>
      </c>
      <c r="O48" s="247">
        <f t="shared" si="67"/>
        <v>-900330</v>
      </c>
      <c r="P48" s="247">
        <f t="shared" si="67"/>
        <v>0</v>
      </c>
      <c r="Q48" s="247">
        <f t="shared" si="67"/>
        <v>4609276</v>
      </c>
      <c r="R48" s="247">
        <f t="shared" si="67"/>
        <v>-1699644.2299999967</v>
      </c>
      <c r="S48" s="247"/>
      <c r="T48" s="247">
        <f t="shared" si="67"/>
        <v>4609275</v>
      </c>
      <c r="U48" s="247">
        <f t="shared" si="67"/>
        <v>4012267</v>
      </c>
      <c r="V48" s="247"/>
      <c r="W48" s="247">
        <f t="shared" si="67"/>
        <v>13827827</v>
      </c>
      <c r="X48" s="247">
        <f t="shared" si="67"/>
        <v>1412292.7700000107</v>
      </c>
      <c r="Y48" s="247"/>
      <c r="Z48" s="247">
        <f t="shared" si="67"/>
        <v>6056164</v>
      </c>
      <c r="AA48" s="247">
        <f t="shared" si="67"/>
        <v>-645828</v>
      </c>
      <c r="AB48" s="247"/>
      <c r="AC48" s="247">
        <f t="shared" si="67"/>
        <v>6056163</v>
      </c>
      <c r="AD48" s="247">
        <f t="shared" si="67"/>
        <v>2289840</v>
      </c>
      <c r="AE48" s="247"/>
      <c r="AF48" s="247">
        <f t="shared" si="67"/>
        <v>6056165</v>
      </c>
      <c r="AG48" s="247">
        <f t="shared" si="67"/>
        <v>0</v>
      </c>
      <c r="AH48" s="247"/>
      <c r="AI48" s="247">
        <f t="shared" si="67"/>
        <v>18168492</v>
      </c>
      <c r="AJ48" s="247">
        <f t="shared" si="67"/>
        <v>1644012</v>
      </c>
      <c r="AK48" s="247"/>
      <c r="AL48" s="247">
        <f t="shared" si="67"/>
        <v>6056165</v>
      </c>
      <c r="AM48" s="247">
        <f t="shared" si="67"/>
        <v>0</v>
      </c>
      <c r="AN48" s="247"/>
      <c r="AO48" s="247">
        <f t="shared" si="67"/>
        <v>6056165</v>
      </c>
      <c r="AP48" s="247">
        <f t="shared" si="67"/>
        <v>0</v>
      </c>
      <c r="AQ48" s="247"/>
      <c r="AR48" s="247">
        <f t="shared" si="67"/>
        <v>6056165</v>
      </c>
      <c r="AS48" s="247">
        <f t="shared" si="67"/>
        <v>0</v>
      </c>
      <c r="AT48" s="247"/>
      <c r="AU48" s="247">
        <f t="shared" si="67"/>
        <v>18168495</v>
      </c>
      <c r="AV48" s="247">
        <f t="shared" si="67"/>
        <v>0</v>
      </c>
      <c r="AW48" s="247"/>
      <c r="AX48" s="261">
        <f t="shared" si="67"/>
        <v>63992639</v>
      </c>
      <c r="AY48" s="261">
        <f t="shared" si="67"/>
        <v>-13613852.230000019</v>
      </c>
      <c r="AZ48" s="262"/>
    </row>
    <row r="49" spans="1:52" ht="15" thickTop="1">
      <c r="A49" s="245"/>
      <c r="B49" s="207"/>
      <c r="C49" s="207"/>
      <c r="D49" s="207"/>
      <c r="E49" s="207"/>
      <c r="F49" s="207"/>
      <c r="G49" s="207"/>
      <c r="H49" s="207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207"/>
      <c r="AG49" s="207"/>
      <c r="AH49" s="207"/>
      <c r="AI49" s="207"/>
      <c r="AJ49" s="207"/>
      <c r="AK49" s="207"/>
      <c r="AL49" s="207"/>
      <c r="AM49" s="207"/>
      <c r="AN49" s="207"/>
      <c r="AO49" s="207"/>
      <c r="AP49" s="207"/>
      <c r="AQ49" s="207"/>
      <c r="AR49" s="207"/>
      <c r="AS49" s="207"/>
      <c r="AT49" s="207"/>
      <c r="AU49" s="207"/>
      <c r="AV49" s="207"/>
      <c r="AW49" s="207"/>
      <c r="AX49" s="229"/>
      <c r="AY49" s="229"/>
      <c r="AZ49" s="218"/>
    </row>
    <row r="50" spans="1:52" ht="14">
      <c r="A50" s="263" t="s">
        <v>1068</v>
      </c>
      <c r="B50" s="207"/>
      <c r="C50" s="207"/>
      <c r="D50" s="207"/>
      <c r="AI50" s="251"/>
    </row>
    <row r="51" spans="1:52" ht="14">
      <c r="A51" s="263"/>
      <c r="B51" s="264" t="s">
        <v>1069</v>
      </c>
      <c r="C51" s="264" t="s">
        <v>1070</v>
      </c>
      <c r="D51" s="264"/>
      <c r="E51" s="264" t="s">
        <v>1069</v>
      </c>
      <c r="F51" s="264" t="s">
        <v>1070</v>
      </c>
      <c r="G51" s="264"/>
      <c r="H51" s="264" t="s">
        <v>1069</v>
      </c>
      <c r="I51" s="264" t="s">
        <v>1070</v>
      </c>
      <c r="J51" s="264"/>
      <c r="K51" s="264" t="s">
        <v>1069</v>
      </c>
      <c r="L51" s="264" t="s">
        <v>1070</v>
      </c>
      <c r="M51" s="264"/>
      <c r="N51" s="264" t="s">
        <v>1069</v>
      </c>
      <c r="O51" s="264" t="s">
        <v>1070</v>
      </c>
      <c r="P51" s="264"/>
      <c r="Q51" s="264" t="s">
        <v>1069</v>
      </c>
      <c r="R51" s="264" t="s">
        <v>1070</v>
      </c>
      <c r="S51" s="264"/>
      <c r="T51" s="264" t="s">
        <v>1069</v>
      </c>
      <c r="U51" s="264" t="s">
        <v>1070</v>
      </c>
      <c r="V51" s="264"/>
      <c r="W51" s="264" t="s">
        <v>1069</v>
      </c>
      <c r="X51" s="264" t="s">
        <v>1070</v>
      </c>
      <c r="Y51" s="264"/>
      <c r="Z51" s="264" t="s">
        <v>1069</v>
      </c>
      <c r="AA51" s="264" t="s">
        <v>1070</v>
      </c>
      <c r="AB51" s="264"/>
      <c r="AC51" s="264" t="s">
        <v>1069</v>
      </c>
      <c r="AD51" s="264" t="s">
        <v>1070</v>
      </c>
      <c r="AE51" s="264"/>
      <c r="AF51" s="264" t="s">
        <v>1069</v>
      </c>
      <c r="AG51" s="264" t="s">
        <v>1070</v>
      </c>
      <c r="AH51" s="264"/>
      <c r="AI51" s="264" t="s">
        <v>1069</v>
      </c>
      <c r="AJ51" s="264" t="s">
        <v>1070</v>
      </c>
      <c r="AK51" s="264"/>
      <c r="AL51" s="264" t="s">
        <v>1069</v>
      </c>
      <c r="AM51" s="264" t="s">
        <v>1070</v>
      </c>
      <c r="AN51" s="264"/>
      <c r="AO51" s="264" t="s">
        <v>1069</v>
      </c>
      <c r="AP51" s="264" t="s">
        <v>1070</v>
      </c>
      <c r="AQ51" s="264"/>
      <c r="AR51" s="264" t="s">
        <v>1069</v>
      </c>
      <c r="AS51" s="264" t="s">
        <v>1070</v>
      </c>
      <c r="AT51" s="264"/>
      <c r="AU51" s="264" t="s">
        <v>1069</v>
      </c>
      <c r="AV51" s="264" t="s">
        <v>1070</v>
      </c>
      <c r="AW51" s="264"/>
      <c r="AX51" s="264" t="s">
        <v>1069</v>
      </c>
      <c r="AY51" s="264" t="s">
        <v>1070</v>
      </c>
    </row>
    <row r="52" spans="1:52" ht="14">
      <c r="A52" s="204" t="s">
        <v>1071</v>
      </c>
      <c r="B52" s="265">
        <v>514</v>
      </c>
      <c r="C52" s="265">
        <v>7988506</v>
      </c>
      <c r="D52" s="265">
        <f>IF(B52=0,0,C52/B52)</f>
        <v>15541.840466926071</v>
      </c>
      <c r="E52" s="265">
        <v>543</v>
      </c>
      <c r="F52" s="266">
        <v>8311342</v>
      </c>
      <c r="G52" s="266">
        <f>IF(E52=0,0,F52/E52)</f>
        <v>15306.338858195211</v>
      </c>
      <c r="H52" s="266">
        <v>1874</v>
      </c>
      <c r="I52" s="266">
        <v>31039124</v>
      </c>
      <c r="J52" s="266">
        <f>IF(H52=0,0,I52/H52)</f>
        <v>16563.033084311632</v>
      </c>
      <c r="K52" s="266">
        <f t="shared" ref="K52:L52" si="68">B52+E52+H52</f>
        <v>2931</v>
      </c>
      <c r="L52" s="266">
        <f t="shared" si="68"/>
        <v>47338972</v>
      </c>
      <c r="M52" s="266">
        <f>IF(K52=0,0,L52/K52)</f>
        <v>16151.13340156943</v>
      </c>
      <c r="N52" s="266">
        <v>378</v>
      </c>
      <c r="O52" s="266">
        <v>6293287</v>
      </c>
      <c r="P52" s="266">
        <f>IF(N52=0,0,O52/N52)</f>
        <v>16648.907407407409</v>
      </c>
      <c r="Q52" s="266">
        <v>876</v>
      </c>
      <c r="R52" s="266">
        <v>14950751</v>
      </c>
      <c r="S52" s="266">
        <f>IF(Q52=0,0,R52/Q52)</f>
        <v>17067.067351598173</v>
      </c>
      <c r="T52" s="266">
        <v>1087</v>
      </c>
      <c r="U52" s="266">
        <v>16143932</v>
      </c>
      <c r="V52" s="266">
        <f>IF(T52=0,0,U52/T52)</f>
        <v>14851.823367065317</v>
      </c>
      <c r="W52" s="266">
        <f>N52+Q52+T52</f>
        <v>2341</v>
      </c>
      <c r="X52" s="266">
        <f>O52+R52+U52</f>
        <v>37387970</v>
      </c>
      <c r="Y52" s="266">
        <f>IF(W52=0,0,X52/W52)</f>
        <v>15970.939769329347</v>
      </c>
      <c r="Z52" s="266">
        <v>2474</v>
      </c>
      <c r="AA52" s="266">
        <v>19017365</v>
      </c>
      <c r="AB52" s="266">
        <f>IF(Z52=0,0,AA52/Z52)</f>
        <v>7686.8896523848016</v>
      </c>
      <c r="AC52" s="266">
        <v>1064</v>
      </c>
      <c r="AD52" s="266">
        <v>15730491</v>
      </c>
      <c r="AE52" s="266">
        <f>IF(AC52=0,0,AD52/AC52)</f>
        <v>14784.296052631578</v>
      </c>
      <c r="AF52" s="266"/>
      <c r="AG52" s="266"/>
      <c r="AH52" s="266">
        <f>IF(AF52=0,0,AG52/AF52)</f>
        <v>0</v>
      </c>
      <c r="AI52" s="266">
        <f>Z52+AC52+AF52</f>
        <v>3538</v>
      </c>
      <c r="AJ52" s="266">
        <f>AA52+AD52+AG52</f>
        <v>34747856</v>
      </c>
      <c r="AK52" s="266">
        <f>IF(AI52=0,0,AJ52/AI52)</f>
        <v>9821.3273035613347</v>
      </c>
      <c r="AL52" s="266"/>
      <c r="AM52" s="266"/>
      <c r="AN52" s="266">
        <f>IF(AL52=0,0,AM52/AL52)</f>
        <v>0</v>
      </c>
      <c r="AO52" s="266"/>
      <c r="AP52" s="266"/>
      <c r="AQ52" s="266">
        <f>IF(AO52=0,0,AP52/AO52)</f>
        <v>0</v>
      </c>
      <c r="AR52" s="266"/>
      <c r="AS52" s="266"/>
      <c r="AT52" s="266">
        <f>IF(AR52=0,0,AS52/AR52)</f>
        <v>0</v>
      </c>
      <c r="AU52" s="266">
        <f>AL52+AO52+AR52</f>
        <v>0</v>
      </c>
      <c r="AV52" s="266">
        <f>AM52+AP52+AS52</f>
        <v>0</v>
      </c>
      <c r="AW52" s="266">
        <f>IF(AU52=0,0,AV52/AU52)</f>
        <v>0</v>
      </c>
      <c r="AX52" s="266">
        <f>K52+W52+AI52+AU52</f>
        <v>8810</v>
      </c>
      <c r="AY52" s="266">
        <f>L52+X52+AJ52+AV52</f>
        <v>119474798</v>
      </c>
      <c r="AZ52" s="266">
        <f>IF(AX52=0,0,AY52/AX52)</f>
        <v>13561.271055618616</v>
      </c>
    </row>
    <row r="53" spans="1:52" ht="14">
      <c r="A53" s="204" t="s">
        <v>1072</v>
      </c>
      <c r="B53" s="265"/>
      <c r="C53" s="265"/>
      <c r="D53" s="265"/>
      <c r="E53" s="265"/>
      <c r="F53" s="266"/>
      <c r="G53" s="266"/>
      <c r="H53" s="266"/>
      <c r="I53" s="266"/>
      <c r="J53" s="266"/>
      <c r="K53" s="266"/>
      <c r="L53" s="266"/>
      <c r="M53" s="266"/>
      <c r="N53" s="266"/>
      <c r="O53" s="266"/>
      <c r="P53" s="266"/>
      <c r="Q53" s="266"/>
      <c r="R53" s="266"/>
      <c r="S53" s="266"/>
      <c r="T53" s="266"/>
      <c r="U53" s="266"/>
      <c r="V53" s="266"/>
      <c r="W53" s="266"/>
      <c r="X53" s="266"/>
      <c r="Y53" s="266"/>
      <c r="Z53" s="266"/>
      <c r="AA53" s="266"/>
      <c r="AB53" s="266"/>
      <c r="AC53" s="266"/>
      <c r="AD53" s="266"/>
      <c r="AE53" s="266"/>
      <c r="AF53" s="266"/>
      <c r="AG53" s="266"/>
      <c r="AH53" s="266"/>
      <c r="AI53" s="266"/>
      <c r="AJ53" s="266"/>
      <c r="AK53" s="266"/>
      <c r="AL53" s="266"/>
      <c r="AM53" s="266"/>
      <c r="AN53" s="266"/>
      <c r="AO53" s="266"/>
      <c r="AP53" s="266"/>
      <c r="AQ53" s="266"/>
      <c r="AR53" s="266"/>
      <c r="AS53" s="266"/>
      <c r="AT53" s="266"/>
      <c r="AU53" s="266"/>
      <c r="AV53" s="266"/>
      <c r="AW53" s="266"/>
      <c r="AX53" s="266"/>
      <c r="AY53" s="266"/>
      <c r="AZ53" s="266"/>
    </row>
    <row r="54" spans="1:52" ht="14">
      <c r="A54" s="268" t="s">
        <v>555</v>
      </c>
      <c r="B54" s="265">
        <v>2740</v>
      </c>
      <c r="C54" s="265">
        <v>19071564</v>
      </c>
      <c r="D54" s="265">
        <f t="shared" ref="D54:D91" si="69">IF(B54=0,0,C54/B54)</f>
        <v>6960.4248175182483</v>
      </c>
      <c r="E54" s="265">
        <v>2380</v>
      </c>
      <c r="F54" s="266">
        <v>16031611</v>
      </c>
      <c r="G54" s="266">
        <f t="shared" ref="G54:G91" si="70">IF(E54=0,0,F54/E54)</f>
        <v>6735.9710084033613</v>
      </c>
      <c r="H54" s="266">
        <v>1616</v>
      </c>
      <c r="I54" s="266">
        <v>10171332</v>
      </c>
      <c r="J54" s="266">
        <f t="shared" ref="J54:J90" si="71">IF(H54=0,0,I54/H54)</f>
        <v>6294.1410891089108</v>
      </c>
      <c r="K54" s="266">
        <f t="shared" ref="K54:K91" si="72">B54+E54+H54</f>
        <v>6736</v>
      </c>
      <c r="L54" s="266">
        <f t="shared" ref="L54:L91" si="73">C54+F54+I54</f>
        <v>45274507</v>
      </c>
      <c r="M54" s="266">
        <f t="shared" ref="M54:M91" si="74">IF(K54=0,0,L54/K54)</f>
        <v>6721.2747921615201</v>
      </c>
      <c r="N54" s="267">
        <v>3290</v>
      </c>
      <c r="O54" s="267">
        <v>22010639</v>
      </c>
      <c r="P54" s="266">
        <f t="shared" ref="P54:P91" si="75">IF(N54=0,0,O54/N54)</f>
        <v>6690.1638297872341</v>
      </c>
      <c r="Q54" s="266">
        <v>1850</v>
      </c>
      <c r="R54" s="266">
        <v>12671223</v>
      </c>
      <c r="S54" s="266">
        <f t="shared" ref="S54:S91" si="76">IF(Q54=0,0,R54/Q54)</f>
        <v>6849.30972972973</v>
      </c>
      <c r="T54" s="266">
        <v>3620</v>
      </c>
      <c r="U54" s="266">
        <v>24071934</v>
      </c>
      <c r="V54" s="266">
        <f t="shared" ref="V54:V91" si="77">IF(T54=0,0,U54/T54)</f>
        <v>6649.7055248618781</v>
      </c>
      <c r="W54" s="266">
        <f t="shared" ref="W54:W92" si="78">N54+Q54+T54</f>
        <v>8760</v>
      </c>
      <c r="X54" s="266">
        <f t="shared" ref="X54:X92" si="79">O54+R54+U54</f>
        <v>58753796</v>
      </c>
      <c r="Y54" s="266">
        <f t="shared" ref="Y54:Y92" si="80">IF(W54=0,0,X54/W54)</f>
        <v>6707.0543378995435</v>
      </c>
      <c r="Z54" s="266">
        <v>4430</v>
      </c>
      <c r="AA54" s="266">
        <v>30248189</v>
      </c>
      <c r="AB54" s="266">
        <f t="shared" ref="AB54:AB91" si="81">IF(Z54=0,0,AA54/Z54)</f>
        <v>6828.0336343115123</v>
      </c>
      <c r="AC54" s="266">
        <v>3267</v>
      </c>
      <c r="AD54" s="266">
        <v>21761496</v>
      </c>
      <c r="AE54" s="266">
        <f t="shared" ref="AE54:AE91" si="82">IF(AC54=0,0,AD54/AC54)</f>
        <v>6661.0027548209364</v>
      </c>
      <c r="AF54" s="266"/>
      <c r="AG54" s="266"/>
      <c r="AH54" s="266">
        <f t="shared" ref="AH54:AH91" si="83">IF(AF54=0,0,AG54/AF54)</f>
        <v>0</v>
      </c>
      <c r="AI54" s="266">
        <f t="shared" ref="AI54:AI90" si="84">Z54+AC54+AF54</f>
        <v>7697</v>
      </c>
      <c r="AJ54" s="266">
        <f t="shared" ref="AJ54:AJ90" si="85">AA54+AD54+AG54</f>
        <v>52009685</v>
      </c>
      <c r="AK54" s="266">
        <f t="shared" ref="AK54:AK90" si="86">IF(AI54=0,0,AJ54/AI54)</f>
        <v>6757.1371963102511</v>
      </c>
      <c r="AL54" s="266"/>
      <c r="AM54" s="266"/>
      <c r="AN54" s="266">
        <f t="shared" ref="AN54:AN90" si="87">IF(AL54=0,0,AM54/AL54)</f>
        <v>0</v>
      </c>
      <c r="AO54" s="267"/>
      <c r="AP54" s="267"/>
      <c r="AQ54" s="266">
        <f t="shared" ref="AQ54:AQ91" si="88">IF(AO54=0,0,AP54/AO54)</f>
        <v>0</v>
      </c>
      <c r="AR54" s="266"/>
      <c r="AS54" s="266"/>
      <c r="AT54" s="266">
        <f t="shared" ref="AT54:AT90" si="89">IF(AR54=0,0,AS54/AR54)</f>
        <v>0</v>
      </c>
      <c r="AU54" s="266">
        <f t="shared" ref="AU54:AU92" si="90">AL54+AO54+AR54</f>
        <v>0</v>
      </c>
      <c r="AV54" s="266">
        <f t="shared" ref="AV54:AV92" si="91">AM54+AP54+AS54</f>
        <v>0</v>
      </c>
      <c r="AW54" s="266">
        <f t="shared" ref="AW54:AW92" si="92">IF(AU54=0,0,AV54/AU54)</f>
        <v>0</v>
      </c>
      <c r="AX54" s="266">
        <f t="shared" ref="AX54:AX92" si="93">K54+W54+AI54+AU54</f>
        <v>23193</v>
      </c>
      <c r="AY54" s="266">
        <f t="shared" ref="AY54:AY92" si="94">L54+X54+AJ54+AV54</f>
        <v>156037988</v>
      </c>
      <c r="AZ54" s="266">
        <f t="shared" ref="AZ54:AZ92" si="95">IF(AX54=0,0,AY54/AX54)</f>
        <v>6727.8052860776961</v>
      </c>
    </row>
    <row r="55" spans="1:52" ht="14">
      <c r="A55" s="268" t="s">
        <v>601</v>
      </c>
      <c r="B55" s="265">
        <v>330</v>
      </c>
      <c r="C55" s="265">
        <v>2486273</v>
      </c>
      <c r="D55" s="265">
        <f t="shared" si="69"/>
        <v>7534.1606060606064</v>
      </c>
      <c r="E55" s="265">
        <v>275</v>
      </c>
      <c r="F55" s="266">
        <v>2067483</v>
      </c>
      <c r="G55" s="266">
        <f t="shared" si="70"/>
        <v>7518.12</v>
      </c>
      <c r="H55" s="266">
        <v>115</v>
      </c>
      <c r="I55" s="266">
        <v>832053</v>
      </c>
      <c r="J55" s="266">
        <f t="shared" si="71"/>
        <v>7235.2434782608698</v>
      </c>
      <c r="K55" s="266">
        <f t="shared" si="72"/>
        <v>720</v>
      </c>
      <c r="L55" s="266">
        <f t="shared" si="73"/>
        <v>5385809</v>
      </c>
      <c r="M55" s="266">
        <f t="shared" si="74"/>
        <v>7480.2902777777781</v>
      </c>
      <c r="N55" s="267">
        <v>320</v>
      </c>
      <c r="O55" s="267">
        <v>2341273</v>
      </c>
      <c r="P55" s="266">
        <f t="shared" si="75"/>
        <v>7316.4781249999996</v>
      </c>
      <c r="Q55" s="266">
        <v>75</v>
      </c>
      <c r="R55" s="266">
        <v>503622</v>
      </c>
      <c r="S55" s="266">
        <f t="shared" si="76"/>
        <v>6714.96</v>
      </c>
      <c r="T55" s="266">
        <v>440</v>
      </c>
      <c r="U55" s="266">
        <v>3062979</v>
      </c>
      <c r="V55" s="266">
        <f t="shared" si="77"/>
        <v>6961.3159090909094</v>
      </c>
      <c r="W55" s="266">
        <f t="shared" si="78"/>
        <v>835</v>
      </c>
      <c r="X55" s="266">
        <f t="shared" si="79"/>
        <v>5907874</v>
      </c>
      <c r="Y55" s="266">
        <f t="shared" si="80"/>
        <v>7075.2982035928144</v>
      </c>
      <c r="Z55" s="266">
        <v>180</v>
      </c>
      <c r="AA55" s="266">
        <v>1230231</v>
      </c>
      <c r="AB55" s="266">
        <f t="shared" si="81"/>
        <v>6834.6166666666668</v>
      </c>
      <c r="AC55" s="266">
        <v>380</v>
      </c>
      <c r="AD55" s="266">
        <v>2713650</v>
      </c>
      <c r="AE55" s="266">
        <f t="shared" si="82"/>
        <v>7141.1842105263158</v>
      </c>
      <c r="AF55" s="266"/>
      <c r="AG55" s="266"/>
      <c r="AH55" s="266">
        <f t="shared" si="83"/>
        <v>0</v>
      </c>
      <c r="AI55" s="266">
        <f t="shared" si="84"/>
        <v>560</v>
      </c>
      <c r="AJ55" s="266">
        <f t="shared" si="85"/>
        <v>3943881</v>
      </c>
      <c r="AK55" s="266">
        <f t="shared" si="86"/>
        <v>7042.6446428571426</v>
      </c>
      <c r="AL55" s="266"/>
      <c r="AM55" s="266"/>
      <c r="AN55" s="266">
        <f t="shared" si="87"/>
        <v>0</v>
      </c>
      <c r="AO55" s="266"/>
      <c r="AP55" s="266"/>
      <c r="AQ55" s="266">
        <f t="shared" si="88"/>
        <v>0</v>
      </c>
      <c r="AR55" s="266"/>
      <c r="AS55" s="266"/>
      <c r="AT55" s="266">
        <f t="shared" si="89"/>
        <v>0</v>
      </c>
      <c r="AU55" s="266">
        <f t="shared" si="90"/>
        <v>0</v>
      </c>
      <c r="AV55" s="266">
        <f t="shared" si="91"/>
        <v>0</v>
      </c>
      <c r="AW55" s="266">
        <f t="shared" si="92"/>
        <v>0</v>
      </c>
      <c r="AX55" s="266">
        <f t="shared" si="93"/>
        <v>2115</v>
      </c>
      <c r="AY55" s="266">
        <f t="shared" si="94"/>
        <v>15237564</v>
      </c>
      <c r="AZ55" s="266">
        <f t="shared" si="95"/>
        <v>7204.5219858156024</v>
      </c>
    </row>
    <row r="56" spans="1:52" ht="14">
      <c r="A56" s="268" t="s">
        <v>1243</v>
      </c>
      <c r="B56" s="265">
        <v>80</v>
      </c>
      <c r="C56" s="265">
        <v>719040</v>
      </c>
      <c r="D56" s="265">
        <f t="shared" si="69"/>
        <v>8988</v>
      </c>
      <c r="E56" s="265">
        <v>80</v>
      </c>
      <c r="F56" s="266">
        <v>700336</v>
      </c>
      <c r="G56" s="266">
        <f t="shared" si="70"/>
        <v>8754.2000000000007</v>
      </c>
      <c r="H56" s="266">
        <v>70</v>
      </c>
      <c r="I56" s="266">
        <v>599760</v>
      </c>
      <c r="J56" s="266">
        <f t="shared" si="71"/>
        <v>8568</v>
      </c>
      <c r="K56" s="266">
        <f t="shared" si="72"/>
        <v>230</v>
      </c>
      <c r="L56" s="266">
        <f t="shared" si="73"/>
        <v>2019136</v>
      </c>
      <c r="M56" s="266">
        <f t="shared" si="74"/>
        <v>8778.8521739130429</v>
      </c>
      <c r="N56" s="267">
        <v>130</v>
      </c>
      <c r="O56" s="267">
        <v>1104110</v>
      </c>
      <c r="P56" s="266">
        <f t="shared" si="75"/>
        <v>8493.1538461538457</v>
      </c>
      <c r="Q56" s="266">
        <v>110</v>
      </c>
      <c r="R56" s="266">
        <v>927276</v>
      </c>
      <c r="S56" s="266">
        <f t="shared" si="76"/>
        <v>8429.7818181818184</v>
      </c>
      <c r="T56" s="266">
        <v>105</v>
      </c>
      <c r="U56" s="266">
        <v>883428</v>
      </c>
      <c r="V56" s="266">
        <f t="shared" si="77"/>
        <v>8413.6</v>
      </c>
      <c r="W56" s="266">
        <f t="shared" si="78"/>
        <v>345</v>
      </c>
      <c r="X56" s="266">
        <f t="shared" si="79"/>
        <v>2914814</v>
      </c>
      <c r="Y56" s="266">
        <f t="shared" si="80"/>
        <v>8448.7362318840587</v>
      </c>
      <c r="Z56" s="266">
        <v>95</v>
      </c>
      <c r="AA56" s="266">
        <v>809165</v>
      </c>
      <c r="AB56" s="266">
        <f t="shared" si="81"/>
        <v>8517.5263157894733</v>
      </c>
      <c r="AC56" s="266"/>
      <c r="AD56" s="266"/>
      <c r="AE56" s="266">
        <f t="shared" si="82"/>
        <v>0</v>
      </c>
      <c r="AF56" s="266"/>
      <c r="AG56" s="266"/>
      <c r="AH56" s="266">
        <f t="shared" si="83"/>
        <v>0</v>
      </c>
      <c r="AI56" s="266">
        <f t="shared" si="84"/>
        <v>95</v>
      </c>
      <c r="AJ56" s="266">
        <f t="shared" si="85"/>
        <v>809165</v>
      </c>
      <c r="AK56" s="266">
        <f t="shared" si="86"/>
        <v>8517.5263157894733</v>
      </c>
      <c r="AL56" s="266"/>
      <c r="AM56" s="266"/>
      <c r="AN56" s="266">
        <f t="shared" si="87"/>
        <v>0</v>
      </c>
      <c r="AO56" s="266"/>
      <c r="AP56" s="266"/>
      <c r="AQ56" s="266">
        <f t="shared" si="88"/>
        <v>0</v>
      </c>
      <c r="AR56" s="266"/>
      <c r="AS56" s="266"/>
      <c r="AT56" s="266">
        <f t="shared" si="89"/>
        <v>0</v>
      </c>
      <c r="AU56" s="266">
        <f t="shared" si="90"/>
        <v>0</v>
      </c>
      <c r="AV56" s="266">
        <f t="shared" si="91"/>
        <v>0</v>
      </c>
      <c r="AW56" s="266">
        <f t="shared" si="92"/>
        <v>0</v>
      </c>
      <c r="AX56" s="266">
        <f t="shared" si="93"/>
        <v>670</v>
      </c>
      <c r="AY56" s="266">
        <f t="shared" si="94"/>
        <v>5743115</v>
      </c>
      <c r="AZ56" s="266">
        <f t="shared" si="95"/>
        <v>8571.813432835821</v>
      </c>
    </row>
    <row r="57" spans="1:52" ht="14">
      <c r="A57" s="268" t="s">
        <v>1785</v>
      </c>
      <c r="B57" s="265"/>
      <c r="C57" s="265"/>
      <c r="D57" s="265">
        <f t="shared" si="69"/>
        <v>0</v>
      </c>
      <c r="E57" s="265">
        <v>0</v>
      </c>
      <c r="F57" s="266">
        <v>0</v>
      </c>
      <c r="G57" s="266">
        <f t="shared" si="70"/>
        <v>0</v>
      </c>
      <c r="H57" s="266"/>
      <c r="I57" s="266"/>
      <c r="J57" s="266">
        <f t="shared" si="71"/>
        <v>0</v>
      </c>
      <c r="K57" s="266">
        <f t="shared" si="72"/>
        <v>0</v>
      </c>
      <c r="L57" s="266">
        <f t="shared" si="73"/>
        <v>0</v>
      </c>
      <c r="M57" s="266">
        <f t="shared" si="74"/>
        <v>0</v>
      </c>
      <c r="N57" s="267"/>
      <c r="O57" s="267"/>
      <c r="P57" s="266">
        <f t="shared" si="75"/>
        <v>0</v>
      </c>
      <c r="Q57" s="266">
        <v>10</v>
      </c>
      <c r="R57" s="266">
        <v>90390</v>
      </c>
      <c r="S57" s="266">
        <f t="shared" si="76"/>
        <v>9039</v>
      </c>
      <c r="T57" s="266"/>
      <c r="U57" s="266"/>
      <c r="V57" s="266">
        <f t="shared" si="77"/>
        <v>0</v>
      </c>
      <c r="W57" s="266">
        <f t="shared" si="78"/>
        <v>10</v>
      </c>
      <c r="X57" s="266">
        <f t="shared" si="79"/>
        <v>90390</v>
      </c>
      <c r="Y57" s="266">
        <f t="shared" si="80"/>
        <v>9039</v>
      </c>
      <c r="Z57" s="266"/>
      <c r="AA57" s="266"/>
      <c r="AB57" s="266">
        <f t="shared" si="81"/>
        <v>0</v>
      </c>
      <c r="AC57" s="266"/>
      <c r="AD57" s="266"/>
      <c r="AE57" s="266">
        <f t="shared" si="82"/>
        <v>0</v>
      </c>
      <c r="AF57" s="266"/>
      <c r="AG57" s="266"/>
      <c r="AH57" s="266">
        <f t="shared" si="83"/>
        <v>0</v>
      </c>
      <c r="AI57" s="266">
        <f t="shared" si="84"/>
        <v>0</v>
      </c>
      <c r="AJ57" s="266">
        <f t="shared" si="85"/>
        <v>0</v>
      </c>
      <c r="AK57" s="266">
        <f t="shared" si="86"/>
        <v>0</v>
      </c>
      <c r="AL57" s="266"/>
      <c r="AM57" s="266"/>
      <c r="AN57" s="266">
        <f t="shared" si="87"/>
        <v>0</v>
      </c>
      <c r="AO57" s="266"/>
      <c r="AP57" s="266"/>
      <c r="AQ57" s="266">
        <f t="shared" si="88"/>
        <v>0</v>
      </c>
      <c r="AR57" s="266"/>
      <c r="AS57" s="266"/>
      <c r="AT57" s="266">
        <f t="shared" si="89"/>
        <v>0</v>
      </c>
      <c r="AU57" s="266">
        <f t="shared" si="90"/>
        <v>0</v>
      </c>
      <c r="AV57" s="266">
        <f t="shared" si="91"/>
        <v>0</v>
      </c>
      <c r="AW57" s="266">
        <f t="shared" si="92"/>
        <v>0</v>
      </c>
      <c r="AX57" s="266">
        <f t="shared" si="93"/>
        <v>10</v>
      </c>
      <c r="AY57" s="266">
        <f t="shared" si="94"/>
        <v>90390</v>
      </c>
      <c r="AZ57" s="266">
        <f t="shared" si="95"/>
        <v>9039</v>
      </c>
    </row>
    <row r="58" spans="1:52" ht="14">
      <c r="A58" s="268" t="s">
        <v>1786</v>
      </c>
      <c r="B58" s="265"/>
      <c r="C58" s="265"/>
      <c r="D58" s="265">
        <f t="shared" si="69"/>
        <v>0</v>
      </c>
      <c r="E58" s="265">
        <v>100</v>
      </c>
      <c r="F58" s="266">
        <v>642760</v>
      </c>
      <c r="G58" s="266">
        <f t="shared" si="70"/>
        <v>6427.6</v>
      </c>
      <c r="H58" s="266"/>
      <c r="I58" s="266"/>
      <c r="J58" s="266">
        <f t="shared" si="71"/>
        <v>0</v>
      </c>
      <c r="K58" s="266">
        <f t="shared" si="72"/>
        <v>100</v>
      </c>
      <c r="L58" s="266">
        <f t="shared" si="73"/>
        <v>642760</v>
      </c>
      <c r="M58" s="266">
        <f t="shared" si="74"/>
        <v>6427.6</v>
      </c>
      <c r="N58" s="267">
        <v>100</v>
      </c>
      <c r="O58" s="267">
        <v>637005</v>
      </c>
      <c r="P58" s="266">
        <f t="shared" si="75"/>
        <v>6370.05</v>
      </c>
      <c r="Q58" s="266">
        <v>50</v>
      </c>
      <c r="R58" s="266">
        <v>330375</v>
      </c>
      <c r="S58" s="266">
        <f t="shared" si="76"/>
        <v>6607.5</v>
      </c>
      <c r="T58" s="266"/>
      <c r="U58" s="266"/>
      <c r="V58" s="266">
        <f t="shared" si="77"/>
        <v>0</v>
      </c>
      <c r="W58" s="266">
        <f t="shared" si="78"/>
        <v>150</v>
      </c>
      <c r="X58" s="266">
        <f t="shared" si="79"/>
        <v>967380</v>
      </c>
      <c r="Y58" s="266">
        <f t="shared" si="80"/>
        <v>6449.2</v>
      </c>
      <c r="Z58" s="266"/>
      <c r="AA58" s="266"/>
      <c r="AB58" s="266">
        <f t="shared" si="81"/>
        <v>0</v>
      </c>
      <c r="AC58" s="266"/>
      <c r="AD58" s="266"/>
      <c r="AE58" s="266">
        <f t="shared" si="82"/>
        <v>0</v>
      </c>
      <c r="AF58" s="266"/>
      <c r="AG58" s="266"/>
      <c r="AH58" s="266">
        <f t="shared" si="83"/>
        <v>0</v>
      </c>
      <c r="AI58" s="266">
        <f t="shared" si="84"/>
        <v>0</v>
      </c>
      <c r="AJ58" s="266">
        <f t="shared" si="85"/>
        <v>0</v>
      </c>
      <c r="AK58" s="266">
        <f t="shared" si="86"/>
        <v>0</v>
      </c>
      <c r="AL58" s="266"/>
      <c r="AM58" s="266"/>
      <c r="AN58" s="266">
        <f t="shared" si="87"/>
        <v>0</v>
      </c>
      <c r="AO58" s="266"/>
      <c r="AP58" s="266"/>
      <c r="AQ58" s="266">
        <f t="shared" si="88"/>
        <v>0</v>
      </c>
      <c r="AR58" s="266"/>
      <c r="AS58" s="266"/>
      <c r="AT58" s="266">
        <f t="shared" si="89"/>
        <v>0</v>
      </c>
      <c r="AU58" s="266">
        <f t="shared" si="90"/>
        <v>0</v>
      </c>
      <c r="AV58" s="266">
        <f t="shared" si="91"/>
        <v>0</v>
      </c>
      <c r="AW58" s="266">
        <f t="shared" si="92"/>
        <v>0</v>
      </c>
      <c r="AX58" s="266">
        <f t="shared" si="93"/>
        <v>250</v>
      </c>
      <c r="AY58" s="266">
        <f t="shared" si="94"/>
        <v>1610140</v>
      </c>
      <c r="AZ58" s="266">
        <f t="shared" si="95"/>
        <v>6440.56</v>
      </c>
    </row>
    <row r="59" spans="1:52" ht="14">
      <c r="A59" s="268" t="s">
        <v>558</v>
      </c>
      <c r="B59" s="265">
        <v>2610</v>
      </c>
      <c r="C59" s="265">
        <v>17328369</v>
      </c>
      <c r="D59" s="265">
        <f t="shared" si="69"/>
        <v>6639.2218390804601</v>
      </c>
      <c r="E59" s="265">
        <v>2215</v>
      </c>
      <c r="F59" s="266">
        <v>14473450</v>
      </c>
      <c r="G59" s="266">
        <f t="shared" si="70"/>
        <v>6534.2889390519185</v>
      </c>
      <c r="H59" s="266">
        <v>1326</v>
      </c>
      <c r="I59" s="266">
        <v>8498578</v>
      </c>
      <c r="J59" s="266">
        <f t="shared" si="71"/>
        <v>6409.1840120663646</v>
      </c>
      <c r="K59" s="266">
        <f t="shared" si="72"/>
        <v>6151</v>
      </c>
      <c r="L59" s="266">
        <f t="shared" si="73"/>
        <v>40300397</v>
      </c>
      <c r="M59" s="266">
        <f t="shared" si="74"/>
        <v>6551.8447406925707</v>
      </c>
      <c r="N59" s="266">
        <v>3065</v>
      </c>
      <c r="O59" s="266">
        <v>19682762</v>
      </c>
      <c r="P59" s="266">
        <f t="shared" si="75"/>
        <v>6421.782055464927</v>
      </c>
      <c r="Q59" s="266">
        <v>1545</v>
      </c>
      <c r="R59" s="266">
        <v>9084188</v>
      </c>
      <c r="S59" s="266">
        <f t="shared" si="76"/>
        <v>5879.7333333333336</v>
      </c>
      <c r="T59" s="266">
        <v>3090</v>
      </c>
      <c r="U59" s="266">
        <v>19715969</v>
      </c>
      <c r="V59" s="266">
        <f t="shared" si="77"/>
        <v>6380.5724919093855</v>
      </c>
      <c r="W59" s="266">
        <f t="shared" si="78"/>
        <v>7700</v>
      </c>
      <c r="X59" s="266">
        <f t="shared" si="79"/>
        <v>48482919</v>
      </c>
      <c r="Y59" s="266">
        <f t="shared" si="80"/>
        <v>6296.482987012987</v>
      </c>
      <c r="Z59" s="266">
        <v>3330</v>
      </c>
      <c r="AA59" s="266">
        <v>21344128</v>
      </c>
      <c r="AB59" s="266">
        <f t="shared" si="81"/>
        <v>6409.6480480480477</v>
      </c>
      <c r="AC59" s="266">
        <v>2417</v>
      </c>
      <c r="AD59" s="266">
        <v>15367460</v>
      </c>
      <c r="AE59" s="266">
        <f t="shared" si="82"/>
        <v>6358.0719900703352</v>
      </c>
      <c r="AF59" s="266"/>
      <c r="AG59" s="266"/>
      <c r="AH59" s="266">
        <f t="shared" si="83"/>
        <v>0</v>
      </c>
      <c r="AI59" s="266">
        <f t="shared" si="84"/>
        <v>5747</v>
      </c>
      <c r="AJ59" s="266">
        <f t="shared" si="85"/>
        <v>36711588</v>
      </c>
      <c r="AK59" s="266">
        <f t="shared" si="86"/>
        <v>6387.9568470506347</v>
      </c>
      <c r="AL59" s="266"/>
      <c r="AM59" s="266"/>
      <c r="AN59" s="266">
        <f t="shared" si="87"/>
        <v>0</v>
      </c>
      <c r="AO59" s="267"/>
      <c r="AP59" s="267"/>
      <c r="AQ59" s="266">
        <f t="shared" si="88"/>
        <v>0</v>
      </c>
      <c r="AR59" s="266"/>
      <c r="AS59" s="266"/>
      <c r="AT59" s="266">
        <f t="shared" si="89"/>
        <v>0</v>
      </c>
      <c r="AU59" s="266">
        <f t="shared" si="90"/>
        <v>0</v>
      </c>
      <c r="AV59" s="266">
        <f t="shared" si="91"/>
        <v>0</v>
      </c>
      <c r="AW59" s="266">
        <f t="shared" si="92"/>
        <v>0</v>
      </c>
      <c r="AX59" s="266">
        <f t="shared" si="93"/>
        <v>19598</v>
      </c>
      <c r="AY59" s="266">
        <f t="shared" si="94"/>
        <v>125494904</v>
      </c>
      <c r="AZ59" s="266">
        <f t="shared" si="95"/>
        <v>6403.4546382283906</v>
      </c>
    </row>
    <row r="60" spans="1:52" ht="14">
      <c r="A60" s="268" t="s">
        <v>1787</v>
      </c>
      <c r="B60" s="265">
        <v>480</v>
      </c>
      <c r="C60" s="265">
        <v>5325635</v>
      </c>
      <c r="D60" s="265">
        <f t="shared" si="69"/>
        <v>11095.072916666666</v>
      </c>
      <c r="E60" s="265">
        <v>440</v>
      </c>
      <c r="F60" s="266">
        <v>4744059</v>
      </c>
      <c r="G60" s="266">
        <f t="shared" si="70"/>
        <v>10781.952272727272</v>
      </c>
      <c r="H60" s="266">
        <v>430</v>
      </c>
      <c r="I60" s="266">
        <v>4592034</v>
      </c>
      <c r="J60" s="266">
        <f t="shared" si="71"/>
        <v>10679.148837209303</v>
      </c>
      <c r="K60" s="266">
        <f t="shared" si="72"/>
        <v>1350</v>
      </c>
      <c r="L60" s="266">
        <f t="shared" si="73"/>
        <v>14661728</v>
      </c>
      <c r="M60" s="266">
        <f t="shared" si="74"/>
        <v>10860.53925925926</v>
      </c>
      <c r="N60" s="266">
        <v>645</v>
      </c>
      <c r="O60" s="266">
        <v>6813127</v>
      </c>
      <c r="P60" s="266">
        <f t="shared" si="75"/>
        <v>10562.987596899226</v>
      </c>
      <c r="Q60" s="266">
        <v>430</v>
      </c>
      <c r="R60" s="266">
        <v>4101956</v>
      </c>
      <c r="S60" s="266">
        <f t="shared" si="76"/>
        <v>9539.4325581395351</v>
      </c>
      <c r="T60" s="266">
        <v>970</v>
      </c>
      <c r="U60" s="266">
        <v>10139623</v>
      </c>
      <c r="V60" s="266">
        <f t="shared" si="77"/>
        <v>10453.219587628866</v>
      </c>
      <c r="W60" s="266">
        <f t="shared" si="78"/>
        <v>2045</v>
      </c>
      <c r="X60" s="266">
        <f t="shared" si="79"/>
        <v>21054706</v>
      </c>
      <c r="Y60" s="266">
        <f t="shared" si="80"/>
        <v>10295.699755501222</v>
      </c>
      <c r="Z60" s="266">
        <v>1480</v>
      </c>
      <c r="AA60" s="266">
        <v>15789563</v>
      </c>
      <c r="AB60" s="266">
        <f t="shared" si="81"/>
        <v>10668.623648648649</v>
      </c>
      <c r="AC60" s="266">
        <v>1230</v>
      </c>
      <c r="AD60" s="266">
        <v>13030942</v>
      </c>
      <c r="AE60" s="266">
        <f t="shared" si="82"/>
        <v>10594.261788617887</v>
      </c>
      <c r="AF60" s="266"/>
      <c r="AG60" s="266"/>
      <c r="AH60" s="266">
        <f t="shared" si="83"/>
        <v>0</v>
      </c>
      <c r="AI60" s="266">
        <f t="shared" si="84"/>
        <v>2710</v>
      </c>
      <c r="AJ60" s="266">
        <f t="shared" si="85"/>
        <v>28820505</v>
      </c>
      <c r="AK60" s="266">
        <f t="shared" si="86"/>
        <v>10634.872693726937</v>
      </c>
      <c r="AL60" s="266"/>
      <c r="AM60" s="266"/>
      <c r="AN60" s="266">
        <f t="shared" si="87"/>
        <v>0</v>
      </c>
      <c r="AO60" s="267"/>
      <c r="AP60" s="267"/>
      <c r="AQ60" s="266">
        <f t="shared" si="88"/>
        <v>0</v>
      </c>
      <c r="AR60" s="266"/>
      <c r="AS60" s="266"/>
      <c r="AT60" s="266">
        <f t="shared" si="89"/>
        <v>0</v>
      </c>
      <c r="AU60" s="266">
        <f t="shared" si="90"/>
        <v>0</v>
      </c>
      <c r="AV60" s="266">
        <f t="shared" si="91"/>
        <v>0</v>
      </c>
      <c r="AW60" s="266">
        <f t="shared" si="92"/>
        <v>0</v>
      </c>
      <c r="AX60" s="266">
        <f t="shared" si="93"/>
        <v>6105</v>
      </c>
      <c r="AY60" s="266">
        <f t="shared" si="94"/>
        <v>64536939</v>
      </c>
      <c r="AZ60" s="266">
        <f t="shared" si="95"/>
        <v>10571.161179361179</v>
      </c>
    </row>
    <row r="61" spans="1:52" ht="14">
      <c r="A61" s="268" t="s">
        <v>1253</v>
      </c>
      <c r="B61" s="265">
        <v>100</v>
      </c>
      <c r="C61" s="265">
        <v>675538</v>
      </c>
      <c r="D61" s="265">
        <f t="shared" si="69"/>
        <v>6755.38</v>
      </c>
      <c r="E61" s="265">
        <v>100</v>
      </c>
      <c r="F61" s="266">
        <v>651052</v>
      </c>
      <c r="G61" s="266">
        <f t="shared" si="70"/>
        <v>6510.52</v>
      </c>
      <c r="H61" s="266">
        <v>96</v>
      </c>
      <c r="I61" s="266">
        <v>626638</v>
      </c>
      <c r="J61" s="266">
        <f t="shared" si="71"/>
        <v>6527.479166666667</v>
      </c>
      <c r="K61" s="266">
        <f t="shared" si="72"/>
        <v>296</v>
      </c>
      <c r="L61" s="266">
        <f t="shared" si="73"/>
        <v>1953228</v>
      </c>
      <c r="M61" s="266">
        <f t="shared" si="74"/>
        <v>6598.7432432432433</v>
      </c>
      <c r="N61" s="266"/>
      <c r="O61" s="266"/>
      <c r="P61" s="266">
        <f t="shared" si="75"/>
        <v>0</v>
      </c>
      <c r="Q61" s="266">
        <v>200</v>
      </c>
      <c r="R61" s="266">
        <v>1277512</v>
      </c>
      <c r="S61" s="266">
        <f t="shared" si="76"/>
        <v>6387.56</v>
      </c>
      <c r="T61" s="266"/>
      <c r="U61" s="266"/>
      <c r="V61" s="266">
        <f t="shared" si="77"/>
        <v>0</v>
      </c>
      <c r="W61" s="266">
        <f t="shared" si="78"/>
        <v>200</v>
      </c>
      <c r="X61" s="266">
        <f t="shared" si="79"/>
        <v>1277512</v>
      </c>
      <c r="Y61" s="266">
        <f t="shared" si="80"/>
        <v>6387.56</v>
      </c>
      <c r="Z61" s="266"/>
      <c r="AA61" s="266"/>
      <c r="AB61" s="266">
        <f t="shared" si="81"/>
        <v>0</v>
      </c>
      <c r="AC61" s="266"/>
      <c r="AD61" s="266"/>
      <c r="AE61" s="266">
        <f t="shared" si="82"/>
        <v>0</v>
      </c>
      <c r="AF61" s="266"/>
      <c r="AG61" s="266"/>
      <c r="AH61" s="266">
        <f t="shared" si="83"/>
        <v>0</v>
      </c>
      <c r="AI61" s="266">
        <f t="shared" si="84"/>
        <v>0</v>
      </c>
      <c r="AJ61" s="266">
        <f t="shared" si="85"/>
        <v>0</v>
      </c>
      <c r="AK61" s="266">
        <f t="shared" si="86"/>
        <v>0</v>
      </c>
      <c r="AL61" s="266"/>
      <c r="AM61" s="266"/>
      <c r="AN61" s="266">
        <f t="shared" si="87"/>
        <v>0</v>
      </c>
      <c r="AO61" s="267"/>
      <c r="AP61" s="267"/>
      <c r="AQ61" s="266">
        <f t="shared" si="88"/>
        <v>0</v>
      </c>
      <c r="AR61" s="266"/>
      <c r="AS61" s="266"/>
      <c r="AT61" s="266">
        <f t="shared" si="89"/>
        <v>0</v>
      </c>
      <c r="AU61" s="266">
        <f t="shared" si="90"/>
        <v>0</v>
      </c>
      <c r="AV61" s="266">
        <f t="shared" si="91"/>
        <v>0</v>
      </c>
      <c r="AW61" s="266">
        <f t="shared" si="92"/>
        <v>0</v>
      </c>
      <c r="AX61" s="266">
        <f t="shared" si="93"/>
        <v>496</v>
      </c>
      <c r="AY61" s="266">
        <f t="shared" si="94"/>
        <v>3230740</v>
      </c>
      <c r="AZ61" s="266">
        <f t="shared" si="95"/>
        <v>6513.5887096774195</v>
      </c>
    </row>
    <row r="62" spans="1:52" ht="14">
      <c r="A62" s="268" t="s">
        <v>2032</v>
      </c>
      <c r="B62" s="265"/>
      <c r="C62" s="265"/>
      <c r="D62" s="265"/>
      <c r="E62" s="265"/>
      <c r="F62" s="266"/>
      <c r="G62" s="266"/>
      <c r="H62" s="266"/>
      <c r="I62" s="266"/>
      <c r="J62" s="266"/>
      <c r="K62" s="266"/>
      <c r="L62" s="266"/>
      <c r="M62" s="266"/>
      <c r="N62" s="266"/>
      <c r="O62" s="266"/>
      <c r="P62" s="266"/>
      <c r="Q62" s="266">
        <v>50</v>
      </c>
      <c r="R62" s="266">
        <v>524262</v>
      </c>
      <c r="S62" s="266">
        <f t="shared" si="76"/>
        <v>10485.24</v>
      </c>
      <c r="T62" s="266"/>
      <c r="U62" s="266"/>
      <c r="V62" s="266"/>
      <c r="W62" s="266"/>
      <c r="X62" s="266"/>
      <c r="Y62" s="266"/>
      <c r="Z62" s="266"/>
      <c r="AA62" s="266"/>
      <c r="AB62" s="266"/>
      <c r="AC62" s="266"/>
      <c r="AD62" s="266"/>
      <c r="AE62" s="266"/>
      <c r="AF62" s="266"/>
      <c r="AG62" s="266"/>
      <c r="AH62" s="266"/>
      <c r="AI62" s="266"/>
      <c r="AJ62" s="266"/>
      <c r="AK62" s="266"/>
      <c r="AL62" s="266"/>
      <c r="AM62" s="266"/>
      <c r="AN62" s="266"/>
      <c r="AO62" s="267"/>
      <c r="AP62" s="267"/>
      <c r="AQ62" s="266"/>
      <c r="AR62" s="266"/>
      <c r="AS62" s="266"/>
      <c r="AT62" s="266"/>
      <c r="AU62" s="266"/>
      <c r="AV62" s="266"/>
      <c r="AW62" s="266"/>
      <c r="AX62" s="266"/>
      <c r="AY62" s="266"/>
      <c r="AZ62" s="266"/>
    </row>
    <row r="63" spans="1:52" ht="14">
      <c r="A63" s="268" t="s">
        <v>556</v>
      </c>
      <c r="B63" s="265">
        <v>1680</v>
      </c>
      <c r="C63" s="265">
        <v>536626</v>
      </c>
      <c r="D63" s="265">
        <f t="shared" si="69"/>
        <v>319.42023809523812</v>
      </c>
      <c r="E63" s="265">
        <v>1210</v>
      </c>
      <c r="F63" s="266">
        <v>375542</v>
      </c>
      <c r="G63" s="266">
        <f t="shared" si="70"/>
        <v>310.36528925619837</v>
      </c>
      <c r="H63" s="266">
        <v>1377</v>
      </c>
      <c r="I63" s="266">
        <v>395470</v>
      </c>
      <c r="J63" s="266">
        <f t="shared" si="71"/>
        <v>287.19680464778503</v>
      </c>
      <c r="K63" s="266">
        <f t="shared" si="72"/>
        <v>4267</v>
      </c>
      <c r="L63" s="266">
        <f t="shared" si="73"/>
        <v>1307638</v>
      </c>
      <c r="M63" s="266">
        <f t="shared" si="74"/>
        <v>306.45371455355053</v>
      </c>
      <c r="N63" s="267">
        <v>2821</v>
      </c>
      <c r="O63" s="267">
        <v>856311</v>
      </c>
      <c r="P63" s="266">
        <f t="shared" si="75"/>
        <v>303.54874158099966</v>
      </c>
      <c r="Q63" s="266">
        <v>1660</v>
      </c>
      <c r="R63" s="266">
        <v>500017</v>
      </c>
      <c r="S63" s="266">
        <f t="shared" si="76"/>
        <v>301.21506024096385</v>
      </c>
      <c r="T63" s="266">
        <v>2450</v>
      </c>
      <c r="U63" s="266">
        <v>737042</v>
      </c>
      <c r="V63" s="266">
        <f t="shared" si="77"/>
        <v>300.83346938775509</v>
      </c>
      <c r="W63" s="266">
        <f t="shared" si="78"/>
        <v>6931</v>
      </c>
      <c r="X63" s="266">
        <f t="shared" si="79"/>
        <v>2093370</v>
      </c>
      <c r="Y63" s="266">
        <f t="shared" si="80"/>
        <v>302.03001009955273</v>
      </c>
      <c r="Z63" s="266">
        <v>2550</v>
      </c>
      <c r="AA63" s="266">
        <v>774676</v>
      </c>
      <c r="AB63" s="266">
        <f t="shared" si="81"/>
        <v>303.79450980392158</v>
      </c>
      <c r="AC63" s="266">
        <v>1290</v>
      </c>
      <c r="AD63" s="266">
        <v>393774</v>
      </c>
      <c r="AE63" s="266">
        <f t="shared" si="82"/>
        <v>305.25116279069766</v>
      </c>
      <c r="AF63" s="266"/>
      <c r="AG63" s="266"/>
      <c r="AH63" s="266">
        <f t="shared" si="83"/>
        <v>0</v>
      </c>
      <c r="AI63" s="266">
        <f t="shared" si="84"/>
        <v>3840</v>
      </c>
      <c r="AJ63" s="266">
        <f t="shared" si="85"/>
        <v>1168450</v>
      </c>
      <c r="AK63" s="266">
        <f t="shared" si="86"/>
        <v>304.28385416666669</v>
      </c>
      <c r="AL63" s="266"/>
      <c r="AM63" s="266"/>
      <c r="AN63" s="266">
        <f t="shared" si="87"/>
        <v>0</v>
      </c>
      <c r="AO63" s="267"/>
      <c r="AP63" s="267"/>
      <c r="AQ63" s="266">
        <f t="shared" si="88"/>
        <v>0</v>
      </c>
      <c r="AR63" s="266"/>
      <c r="AS63" s="266"/>
      <c r="AT63" s="266">
        <f t="shared" si="89"/>
        <v>0</v>
      </c>
      <c r="AU63" s="266">
        <f t="shared" si="90"/>
        <v>0</v>
      </c>
      <c r="AV63" s="266">
        <f t="shared" si="91"/>
        <v>0</v>
      </c>
      <c r="AW63" s="266">
        <f t="shared" si="92"/>
        <v>0</v>
      </c>
      <c r="AX63" s="266">
        <f t="shared" si="93"/>
        <v>15038</v>
      </c>
      <c r="AY63" s="266">
        <f t="shared" si="94"/>
        <v>4569458</v>
      </c>
      <c r="AZ63" s="266">
        <f t="shared" si="95"/>
        <v>303.86075275967551</v>
      </c>
    </row>
    <row r="64" spans="1:52" ht="14">
      <c r="A64" s="268" t="s">
        <v>557</v>
      </c>
      <c r="B64" s="265">
        <v>630</v>
      </c>
      <c r="C64" s="265">
        <v>861220</v>
      </c>
      <c r="D64" s="265">
        <f t="shared" si="69"/>
        <v>1367.015873015873</v>
      </c>
      <c r="E64" s="265">
        <v>600</v>
      </c>
      <c r="F64" s="266">
        <v>793384</v>
      </c>
      <c r="G64" s="266">
        <f t="shared" si="70"/>
        <v>1322.3066666666666</v>
      </c>
      <c r="H64" s="266">
        <v>220</v>
      </c>
      <c r="I64" s="266">
        <v>290056</v>
      </c>
      <c r="J64" s="266">
        <f t="shared" si="71"/>
        <v>1318.4363636363637</v>
      </c>
      <c r="K64" s="266">
        <f t="shared" si="72"/>
        <v>1450</v>
      </c>
      <c r="L64" s="266">
        <f t="shared" si="73"/>
        <v>1944660</v>
      </c>
      <c r="M64" s="266">
        <f t="shared" si="74"/>
        <v>1341.1448275862069</v>
      </c>
      <c r="N64" s="266">
        <v>950</v>
      </c>
      <c r="O64" s="266">
        <v>1233732</v>
      </c>
      <c r="P64" s="266">
        <f t="shared" si="75"/>
        <v>1298.6652631578947</v>
      </c>
      <c r="Q64" s="266">
        <v>830</v>
      </c>
      <c r="R64" s="266">
        <v>1070173</v>
      </c>
      <c r="S64" s="266">
        <f t="shared" si="76"/>
        <v>1289.3650602409639</v>
      </c>
      <c r="T64" s="266">
        <v>1900</v>
      </c>
      <c r="U64" s="266">
        <v>2443045</v>
      </c>
      <c r="V64" s="266">
        <f t="shared" si="77"/>
        <v>1285.8131578947368</v>
      </c>
      <c r="W64" s="266">
        <f t="shared" si="78"/>
        <v>3680</v>
      </c>
      <c r="X64" s="266">
        <f t="shared" si="79"/>
        <v>4746950</v>
      </c>
      <c r="Y64" s="266">
        <f t="shared" si="80"/>
        <v>1289.9320652173913</v>
      </c>
      <c r="Z64" s="266">
        <v>450</v>
      </c>
      <c r="AA64" s="266">
        <v>586370</v>
      </c>
      <c r="AB64" s="266">
        <f t="shared" si="81"/>
        <v>1303.0444444444445</v>
      </c>
      <c r="AC64" s="266">
        <v>1150</v>
      </c>
      <c r="AD64" s="266">
        <v>1490092</v>
      </c>
      <c r="AE64" s="266">
        <f t="shared" si="82"/>
        <v>1295.7321739130434</v>
      </c>
      <c r="AF64" s="266"/>
      <c r="AG64" s="266"/>
      <c r="AH64" s="266">
        <f t="shared" si="83"/>
        <v>0</v>
      </c>
      <c r="AI64" s="266">
        <f t="shared" si="84"/>
        <v>1600</v>
      </c>
      <c r="AJ64" s="266">
        <f t="shared" si="85"/>
        <v>2076462</v>
      </c>
      <c r="AK64" s="266">
        <f t="shared" si="86"/>
        <v>1297.7887499999999</v>
      </c>
      <c r="AL64" s="266"/>
      <c r="AM64" s="266"/>
      <c r="AN64" s="266">
        <f t="shared" si="87"/>
        <v>0</v>
      </c>
      <c r="AO64" s="267"/>
      <c r="AP64" s="267"/>
      <c r="AQ64" s="266">
        <f t="shared" si="88"/>
        <v>0</v>
      </c>
      <c r="AR64" s="266"/>
      <c r="AS64" s="266"/>
      <c r="AT64" s="266">
        <f t="shared" si="89"/>
        <v>0</v>
      </c>
      <c r="AU64" s="266">
        <f t="shared" si="90"/>
        <v>0</v>
      </c>
      <c r="AV64" s="266">
        <f t="shared" si="91"/>
        <v>0</v>
      </c>
      <c r="AW64" s="266">
        <f t="shared" si="92"/>
        <v>0</v>
      </c>
      <c r="AX64" s="266">
        <f t="shared" si="93"/>
        <v>6730</v>
      </c>
      <c r="AY64" s="266">
        <f t="shared" si="94"/>
        <v>8768072</v>
      </c>
      <c r="AZ64" s="266">
        <f t="shared" si="95"/>
        <v>1302.8338781575037</v>
      </c>
    </row>
    <row r="65" spans="1:52" ht="14">
      <c r="A65" s="268" t="s">
        <v>882</v>
      </c>
      <c r="B65" s="265">
        <v>1620</v>
      </c>
      <c r="C65" s="265">
        <v>516779</v>
      </c>
      <c r="D65" s="265">
        <f t="shared" si="69"/>
        <v>318.99938271604941</v>
      </c>
      <c r="E65" s="265">
        <v>1520</v>
      </c>
      <c r="F65" s="266">
        <v>470891</v>
      </c>
      <c r="G65" s="266">
        <f t="shared" si="70"/>
        <v>309.79671052631579</v>
      </c>
      <c r="H65" s="266">
        <v>428</v>
      </c>
      <c r="I65" s="266">
        <v>39962</v>
      </c>
      <c r="J65" s="266">
        <f t="shared" si="71"/>
        <v>93.369158878504678</v>
      </c>
      <c r="K65" s="266">
        <f t="shared" si="72"/>
        <v>3568</v>
      </c>
      <c r="L65" s="266">
        <f t="shared" si="73"/>
        <v>1027632</v>
      </c>
      <c r="M65" s="266">
        <f t="shared" si="74"/>
        <v>288.01345291479822</v>
      </c>
      <c r="N65" s="267">
        <v>1310</v>
      </c>
      <c r="O65" s="267">
        <v>397894</v>
      </c>
      <c r="P65" s="266">
        <f t="shared" si="75"/>
        <v>303.73587786259543</v>
      </c>
      <c r="Q65" s="266">
        <v>1260</v>
      </c>
      <c r="R65" s="266">
        <v>379600</v>
      </c>
      <c r="S65" s="266">
        <f t="shared" si="76"/>
        <v>301.26984126984127</v>
      </c>
      <c r="T65" s="266">
        <v>1350</v>
      </c>
      <c r="U65" s="266">
        <v>405715</v>
      </c>
      <c r="V65" s="266">
        <f t="shared" si="77"/>
        <v>300.52962962962965</v>
      </c>
      <c r="W65" s="266">
        <f t="shared" si="78"/>
        <v>3920</v>
      </c>
      <c r="X65" s="266">
        <f t="shared" si="79"/>
        <v>1183209</v>
      </c>
      <c r="Y65" s="266">
        <f t="shared" si="80"/>
        <v>301.83903061224493</v>
      </c>
      <c r="Z65" s="266">
        <v>977</v>
      </c>
      <c r="AA65" s="266">
        <v>297094</v>
      </c>
      <c r="AB65" s="266">
        <f t="shared" si="81"/>
        <v>304.0880245649949</v>
      </c>
      <c r="AC65" s="266">
        <v>960</v>
      </c>
      <c r="AD65" s="266">
        <v>293748</v>
      </c>
      <c r="AE65" s="266">
        <f t="shared" si="82"/>
        <v>305.98750000000001</v>
      </c>
      <c r="AF65" s="266"/>
      <c r="AG65" s="266"/>
      <c r="AH65" s="266">
        <f t="shared" si="83"/>
        <v>0</v>
      </c>
      <c r="AI65" s="266">
        <f t="shared" si="84"/>
        <v>1937</v>
      </c>
      <c r="AJ65" s="266">
        <f t="shared" si="85"/>
        <v>590842</v>
      </c>
      <c r="AK65" s="266">
        <f t="shared" si="86"/>
        <v>305.02942694889003</v>
      </c>
      <c r="AL65" s="266"/>
      <c r="AM65" s="266"/>
      <c r="AN65" s="266">
        <f t="shared" si="87"/>
        <v>0</v>
      </c>
      <c r="AO65" s="267"/>
      <c r="AP65" s="267"/>
      <c r="AQ65" s="266">
        <f t="shared" si="88"/>
        <v>0</v>
      </c>
      <c r="AR65" s="266"/>
      <c r="AS65" s="266"/>
      <c r="AT65" s="266">
        <f t="shared" si="89"/>
        <v>0</v>
      </c>
      <c r="AU65" s="266">
        <f t="shared" si="90"/>
        <v>0</v>
      </c>
      <c r="AV65" s="266">
        <f t="shared" si="91"/>
        <v>0</v>
      </c>
      <c r="AW65" s="266">
        <f t="shared" si="92"/>
        <v>0</v>
      </c>
      <c r="AX65" s="266">
        <f t="shared" si="93"/>
        <v>9425</v>
      </c>
      <c r="AY65" s="266">
        <f t="shared" si="94"/>
        <v>2801683</v>
      </c>
      <c r="AZ65" s="266">
        <f t="shared" si="95"/>
        <v>297.26079575596816</v>
      </c>
    </row>
    <row r="66" spans="1:52" ht="14">
      <c r="A66" s="268" t="s">
        <v>1257</v>
      </c>
      <c r="B66" s="265"/>
      <c r="C66" s="265"/>
      <c r="D66" s="265">
        <f t="shared" si="69"/>
        <v>0</v>
      </c>
      <c r="E66" s="265"/>
      <c r="F66" s="266"/>
      <c r="G66" s="266">
        <f t="shared" si="70"/>
        <v>0</v>
      </c>
      <c r="H66" s="266"/>
      <c r="I66" s="266"/>
      <c r="J66" s="266">
        <f t="shared" si="71"/>
        <v>0</v>
      </c>
      <c r="K66" s="266">
        <f t="shared" si="72"/>
        <v>0</v>
      </c>
      <c r="L66" s="266">
        <f t="shared" si="73"/>
        <v>0</v>
      </c>
      <c r="M66" s="266">
        <f t="shared" si="74"/>
        <v>0</v>
      </c>
      <c r="N66" s="267"/>
      <c r="O66" s="267"/>
      <c r="P66" s="266">
        <f t="shared" si="75"/>
        <v>0</v>
      </c>
      <c r="Q66" s="266"/>
      <c r="R66" s="266"/>
      <c r="S66" s="266">
        <f t="shared" si="76"/>
        <v>0</v>
      </c>
      <c r="T66" s="266">
        <v>50</v>
      </c>
      <c r="U66" s="266">
        <v>9009</v>
      </c>
      <c r="V66" s="266">
        <f t="shared" si="77"/>
        <v>180.18</v>
      </c>
      <c r="W66" s="266">
        <f t="shared" si="78"/>
        <v>50</v>
      </c>
      <c r="X66" s="266">
        <f t="shared" si="79"/>
        <v>9009</v>
      </c>
      <c r="Y66" s="266">
        <f t="shared" si="80"/>
        <v>180.18</v>
      </c>
      <c r="Z66" s="266">
        <v>150</v>
      </c>
      <c r="AA66" s="266">
        <v>27307</v>
      </c>
      <c r="AB66" s="266">
        <f t="shared" si="81"/>
        <v>182.04666666666665</v>
      </c>
      <c r="AC66" s="266">
        <v>100</v>
      </c>
      <c r="AD66" s="266">
        <v>18081</v>
      </c>
      <c r="AE66" s="266">
        <f t="shared" si="82"/>
        <v>180.81</v>
      </c>
      <c r="AF66" s="266"/>
      <c r="AG66" s="266"/>
      <c r="AH66" s="266">
        <f t="shared" si="83"/>
        <v>0</v>
      </c>
      <c r="AI66" s="266">
        <f t="shared" si="84"/>
        <v>250</v>
      </c>
      <c r="AJ66" s="266">
        <f t="shared" si="85"/>
        <v>45388</v>
      </c>
      <c r="AK66" s="266">
        <f t="shared" si="86"/>
        <v>181.55199999999999</v>
      </c>
      <c r="AL66" s="266"/>
      <c r="AM66" s="266"/>
      <c r="AN66" s="266">
        <f t="shared" si="87"/>
        <v>0</v>
      </c>
      <c r="AO66" s="267"/>
      <c r="AP66" s="267"/>
      <c r="AQ66" s="266">
        <f t="shared" si="88"/>
        <v>0</v>
      </c>
      <c r="AR66" s="266"/>
      <c r="AS66" s="266"/>
      <c r="AT66" s="266">
        <f t="shared" si="89"/>
        <v>0</v>
      </c>
      <c r="AU66" s="266">
        <f t="shared" si="90"/>
        <v>0</v>
      </c>
      <c r="AV66" s="266">
        <f t="shared" si="91"/>
        <v>0</v>
      </c>
      <c r="AW66" s="266">
        <f t="shared" si="92"/>
        <v>0</v>
      </c>
      <c r="AX66" s="266">
        <f t="shared" si="93"/>
        <v>300</v>
      </c>
      <c r="AY66" s="266">
        <f t="shared" si="94"/>
        <v>54397</v>
      </c>
      <c r="AZ66" s="266">
        <f t="shared" si="95"/>
        <v>181.32333333333332</v>
      </c>
    </row>
    <row r="67" spans="1:52" ht="14">
      <c r="A67" s="268" t="s">
        <v>940</v>
      </c>
      <c r="B67" s="265">
        <v>200</v>
      </c>
      <c r="C67" s="265">
        <v>17976</v>
      </c>
      <c r="D67" s="265">
        <f t="shared" ref="D67" si="96">IF(B67=0,0,C67/B67)</f>
        <v>89.88</v>
      </c>
      <c r="E67" s="265">
        <v>30</v>
      </c>
      <c r="F67" s="266">
        <v>2580</v>
      </c>
      <c r="G67" s="266">
        <f t="shared" ref="G67" si="97">IF(E67=0,0,F67/E67)</f>
        <v>86</v>
      </c>
      <c r="H67" s="266">
        <v>370</v>
      </c>
      <c r="I67" s="266">
        <v>31986</v>
      </c>
      <c r="J67" s="266">
        <f t="shared" ref="J67" si="98">IF(H67=0,0,I67/H67)</f>
        <v>86.448648648648643</v>
      </c>
      <c r="K67" s="266">
        <f t="shared" ref="K67" si="99">B67+E67+H67</f>
        <v>600</v>
      </c>
      <c r="L67" s="266">
        <f t="shared" ref="L67" si="100">C67+F67+I67</f>
        <v>52542</v>
      </c>
      <c r="M67" s="266">
        <f t="shared" ref="M67" si="101">IF(K67=0,0,L67/K67)</f>
        <v>87.57</v>
      </c>
      <c r="N67" s="267">
        <v>570</v>
      </c>
      <c r="O67" s="267">
        <v>48435</v>
      </c>
      <c r="P67" s="266">
        <f t="shared" ref="P67" si="102">IF(N67=0,0,O67/N67)</f>
        <v>84.973684210526315</v>
      </c>
      <c r="Q67" s="266">
        <v>100</v>
      </c>
      <c r="R67" s="266">
        <v>8437</v>
      </c>
      <c r="S67" s="266">
        <f t="shared" ref="S67" si="103">IF(Q67=0,0,R67/Q67)</f>
        <v>84.37</v>
      </c>
      <c r="T67" s="266">
        <v>50</v>
      </c>
      <c r="U67" s="266">
        <v>4204</v>
      </c>
      <c r="V67" s="266">
        <f t="shared" ref="V67" si="104">IF(T67=0,0,U67/T67)</f>
        <v>84.08</v>
      </c>
      <c r="W67" s="266">
        <f t="shared" ref="W67" si="105">N67+Q67+T67</f>
        <v>720</v>
      </c>
      <c r="X67" s="266">
        <f t="shared" ref="X67" si="106">O67+R67+U67</f>
        <v>61076</v>
      </c>
      <c r="Y67" s="266">
        <f t="shared" ref="Y67" si="107">IF(W67=0,0,X67/W67)</f>
        <v>84.827777777777783</v>
      </c>
      <c r="Z67" s="266"/>
      <c r="AA67" s="266"/>
      <c r="AB67" s="266">
        <f t="shared" ref="AB67" si="108">IF(Z67=0,0,AA67/Z67)</f>
        <v>0</v>
      </c>
      <c r="AC67" s="266">
        <v>150</v>
      </c>
      <c r="AD67" s="266">
        <v>12685</v>
      </c>
      <c r="AE67" s="266">
        <f t="shared" ref="AE67" si="109">IF(AC67=0,0,AD67/AC67)</f>
        <v>84.566666666666663</v>
      </c>
      <c r="AF67" s="266"/>
      <c r="AG67" s="266"/>
      <c r="AH67" s="266">
        <f t="shared" ref="AH67" si="110">IF(AF67=0,0,AG67/AF67)</f>
        <v>0</v>
      </c>
      <c r="AI67" s="266">
        <f t="shared" ref="AI67" si="111">Z67+AC67+AF67</f>
        <v>150</v>
      </c>
      <c r="AJ67" s="266">
        <f t="shared" ref="AJ67" si="112">AA67+AD67+AG67</f>
        <v>12685</v>
      </c>
      <c r="AK67" s="266">
        <f t="shared" ref="AK67" si="113">IF(AI67=0,0,AJ67/AI67)</f>
        <v>84.566666666666663</v>
      </c>
      <c r="AL67" s="266"/>
      <c r="AM67" s="266"/>
      <c r="AN67" s="266">
        <f t="shared" ref="AN67" si="114">IF(AL67=0,0,AM67/AL67)</f>
        <v>0</v>
      </c>
      <c r="AO67" s="267"/>
      <c r="AP67" s="267"/>
      <c r="AQ67" s="266">
        <f t="shared" ref="AQ67" si="115">IF(AO67=0,0,AP67/AO67)</f>
        <v>0</v>
      </c>
      <c r="AR67" s="266"/>
      <c r="AS67" s="266"/>
      <c r="AT67" s="266">
        <f t="shared" ref="AT67" si="116">IF(AR67=0,0,AS67/AR67)</f>
        <v>0</v>
      </c>
      <c r="AU67" s="266">
        <f t="shared" ref="AU67" si="117">AL67+AO67+AR67</f>
        <v>0</v>
      </c>
      <c r="AV67" s="266">
        <f t="shared" ref="AV67" si="118">AM67+AP67+AS67</f>
        <v>0</v>
      </c>
      <c r="AW67" s="266">
        <f t="shared" ref="AW67" si="119">IF(AU67=0,0,AV67/AU67)</f>
        <v>0</v>
      </c>
      <c r="AX67" s="266">
        <f t="shared" ref="AX67" si="120">K67+W67+AI67+AU67</f>
        <v>1470</v>
      </c>
      <c r="AY67" s="266">
        <f t="shared" ref="AY67" si="121">L67+X67+AJ67+AV67</f>
        <v>126303</v>
      </c>
      <c r="AZ67" s="266">
        <f t="shared" ref="AZ67" si="122">IF(AX67=0,0,AY67/AX67)</f>
        <v>85.920408163265307</v>
      </c>
    </row>
    <row r="68" spans="1:52" ht="14">
      <c r="A68" s="268" t="s">
        <v>1898</v>
      </c>
      <c r="B68" s="265">
        <v>10</v>
      </c>
      <c r="C68" s="265">
        <v>899</v>
      </c>
      <c r="D68" s="265">
        <f t="shared" si="69"/>
        <v>89.9</v>
      </c>
      <c r="E68" s="265"/>
      <c r="F68" s="266"/>
      <c r="G68" s="266">
        <f t="shared" si="70"/>
        <v>0</v>
      </c>
      <c r="H68" s="266"/>
      <c r="I68" s="266"/>
      <c r="J68" s="266">
        <f t="shared" si="71"/>
        <v>0</v>
      </c>
      <c r="K68" s="266">
        <f t="shared" si="72"/>
        <v>10</v>
      </c>
      <c r="L68" s="266">
        <f t="shared" si="73"/>
        <v>899</v>
      </c>
      <c r="M68" s="266">
        <f t="shared" si="74"/>
        <v>89.9</v>
      </c>
      <c r="N68" s="267"/>
      <c r="O68" s="267"/>
      <c r="P68" s="266">
        <f t="shared" si="75"/>
        <v>0</v>
      </c>
      <c r="Q68" s="266">
        <v>20</v>
      </c>
      <c r="R68" s="266">
        <v>1686</v>
      </c>
      <c r="S68" s="266">
        <f t="shared" si="76"/>
        <v>84.3</v>
      </c>
      <c r="T68" s="266"/>
      <c r="U68" s="266"/>
      <c r="V68" s="266">
        <f t="shared" si="77"/>
        <v>0</v>
      </c>
      <c r="W68" s="266">
        <f t="shared" si="78"/>
        <v>20</v>
      </c>
      <c r="X68" s="266">
        <f t="shared" si="79"/>
        <v>1686</v>
      </c>
      <c r="Y68" s="266">
        <f t="shared" si="80"/>
        <v>84.3</v>
      </c>
      <c r="Z68" s="266"/>
      <c r="AA68" s="266"/>
      <c r="AB68" s="266">
        <f t="shared" si="81"/>
        <v>0</v>
      </c>
      <c r="AC68" s="266"/>
      <c r="AD68" s="266"/>
      <c r="AE68" s="266">
        <f t="shared" si="82"/>
        <v>0</v>
      </c>
      <c r="AF68" s="266"/>
      <c r="AG68" s="266"/>
      <c r="AH68" s="266">
        <f t="shared" si="83"/>
        <v>0</v>
      </c>
      <c r="AI68" s="266">
        <f t="shared" si="84"/>
        <v>0</v>
      </c>
      <c r="AJ68" s="266">
        <f t="shared" si="85"/>
        <v>0</v>
      </c>
      <c r="AK68" s="266">
        <f t="shared" si="86"/>
        <v>0</v>
      </c>
      <c r="AL68" s="266"/>
      <c r="AM68" s="266"/>
      <c r="AN68" s="266">
        <f t="shared" si="87"/>
        <v>0</v>
      </c>
      <c r="AO68" s="267"/>
      <c r="AP68" s="267"/>
      <c r="AQ68" s="266">
        <f t="shared" si="88"/>
        <v>0</v>
      </c>
      <c r="AR68" s="266"/>
      <c r="AS68" s="266"/>
      <c r="AT68" s="266">
        <f t="shared" si="89"/>
        <v>0</v>
      </c>
      <c r="AU68" s="266">
        <f t="shared" si="90"/>
        <v>0</v>
      </c>
      <c r="AV68" s="266">
        <f t="shared" si="91"/>
        <v>0</v>
      </c>
      <c r="AW68" s="266">
        <f t="shared" si="92"/>
        <v>0</v>
      </c>
      <c r="AX68" s="266">
        <f t="shared" si="93"/>
        <v>30</v>
      </c>
      <c r="AY68" s="266">
        <f t="shared" si="94"/>
        <v>2585</v>
      </c>
      <c r="AZ68" s="266">
        <f t="shared" si="95"/>
        <v>86.166666666666671</v>
      </c>
    </row>
    <row r="69" spans="1:52" ht="14">
      <c r="A69" s="269" t="s">
        <v>1261</v>
      </c>
      <c r="B69" s="265">
        <v>510</v>
      </c>
      <c r="C69" s="265">
        <v>2329701</v>
      </c>
      <c r="D69" s="265">
        <f t="shared" si="69"/>
        <v>4568.0411764705887</v>
      </c>
      <c r="E69" s="265">
        <v>400</v>
      </c>
      <c r="F69" s="266">
        <v>1615022</v>
      </c>
      <c r="G69" s="266">
        <f t="shared" si="70"/>
        <v>4037.5549999999998</v>
      </c>
      <c r="H69" s="266">
        <v>70</v>
      </c>
      <c r="I69" s="266">
        <v>281632</v>
      </c>
      <c r="J69" s="266">
        <f t="shared" si="71"/>
        <v>4023.3142857142857</v>
      </c>
      <c r="K69" s="266">
        <f t="shared" si="72"/>
        <v>980</v>
      </c>
      <c r="L69" s="266">
        <f t="shared" si="73"/>
        <v>4226355</v>
      </c>
      <c r="M69" s="266">
        <f t="shared" si="74"/>
        <v>4312.6071428571431</v>
      </c>
      <c r="N69" s="267">
        <v>255</v>
      </c>
      <c r="O69" s="267">
        <v>1006213</v>
      </c>
      <c r="P69" s="266">
        <f t="shared" si="75"/>
        <v>3945.9333333333334</v>
      </c>
      <c r="Q69" s="266">
        <v>275</v>
      </c>
      <c r="R69" s="266">
        <v>1077148</v>
      </c>
      <c r="S69" s="266">
        <f t="shared" si="76"/>
        <v>3916.9018181818183</v>
      </c>
      <c r="T69" s="266">
        <v>400</v>
      </c>
      <c r="U69" s="266">
        <v>1598213</v>
      </c>
      <c r="V69" s="266">
        <f t="shared" si="77"/>
        <v>3995.5324999999998</v>
      </c>
      <c r="W69" s="266">
        <f t="shared" si="78"/>
        <v>930</v>
      </c>
      <c r="X69" s="266">
        <f t="shared" si="79"/>
        <v>3681574</v>
      </c>
      <c r="Y69" s="266">
        <f t="shared" si="80"/>
        <v>3958.6817204301074</v>
      </c>
      <c r="Z69" s="266">
        <v>380</v>
      </c>
      <c r="AA69" s="266">
        <v>1564899</v>
      </c>
      <c r="AB69" s="266">
        <f t="shared" si="81"/>
        <v>4118.1552631578943</v>
      </c>
      <c r="AC69" s="266">
        <v>800</v>
      </c>
      <c r="AD69" s="266">
        <v>3511392</v>
      </c>
      <c r="AE69" s="266">
        <f t="shared" si="82"/>
        <v>4389.24</v>
      </c>
      <c r="AF69" s="266"/>
      <c r="AG69" s="266"/>
      <c r="AH69" s="266">
        <f t="shared" si="83"/>
        <v>0</v>
      </c>
      <c r="AI69" s="266">
        <f t="shared" si="84"/>
        <v>1180</v>
      </c>
      <c r="AJ69" s="266">
        <f t="shared" si="85"/>
        <v>5076291</v>
      </c>
      <c r="AK69" s="266">
        <f t="shared" si="86"/>
        <v>4301.9415254237292</v>
      </c>
      <c r="AL69" s="266"/>
      <c r="AM69" s="266"/>
      <c r="AN69" s="266">
        <f t="shared" si="87"/>
        <v>0</v>
      </c>
      <c r="AO69" s="267"/>
      <c r="AP69" s="267"/>
      <c r="AQ69" s="266">
        <f t="shared" si="88"/>
        <v>0</v>
      </c>
      <c r="AR69" s="266"/>
      <c r="AS69" s="266"/>
      <c r="AT69" s="266">
        <f t="shared" si="89"/>
        <v>0</v>
      </c>
      <c r="AU69" s="266">
        <f t="shared" si="90"/>
        <v>0</v>
      </c>
      <c r="AV69" s="266">
        <f t="shared" si="91"/>
        <v>0</v>
      </c>
      <c r="AW69" s="266">
        <f t="shared" si="92"/>
        <v>0</v>
      </c>
      <c r="AX69" s="266">
        <f t="shared" si="93"/>
        <v>3090</v>
      </c>
      <c r="AY69" s="266">
        <f t="shared" si="94"/>
        <v>12984220</v>
      </c>
      <c r="AZ69" s="266">
        <f t="shared" si="95"/>
        <v>4202.0129449838187</v>
      </c>
    </row>
    <row r="70" spans="1:52" ht="14">
      <c r="A70" s="269" t="s">
        <v>1256</v>
      </c>
      <c r="B70" s="265">
        <v>100</v>
      </c>
      <c r="C70" s="265">
        <v>86036</v>
      </c>
      <c r="D70" s="265">
        <f t="shared" si="69"/>
        <v>860.36</v>
      </c>
      <c r="E70" s="265">
        <v>100</v>
      </c>
      <c r="F70" s="266">
        <v>84416</v>
      </c>
      <c r="G70" s="266">
        <f t="shared" si="70"/>
        <v>844.16</v>
      </c>
      <c r="H70" s="266">
        <v>410</v>
      </c>
      <c r="I70" s="266">
        <v>339563</v>
      </c>
      <c r="J70" s="266">
        <f t="shared" si="71"/>
        <v>828.20243902439029</v>
      </c>
      <c r="K70" s="266">
        <f t="shared" si="72"/>
        <v>610</v>
      </c>
      <c r="L70" s="266">
        <f t="shared" si="73"/>
        <v>510015</v>
      </c>
      <c r="M70" s="266">
        <f t="shared" si="74"/>
        <v>836.09016393442619</v>
      </c>
      <c r="N70" s="267">
        <v>310</v>
      </c>
      <c r="O70" s="267">
        <v>253871</v>
      </c>
      <c r="P70" s="266">
        <f t="shared" si="75"/>
        <v>818.93870967741941</v>
      </c>
      <c r="Q70" s="266">
        <v>300</v>
      </c>
      <c r="R70" s="266">
        <v>243945</v>
      </c>
      <c r="S70" s="266">
        <f t="shared" si="76"/>
        <v>813.15</v>
      </c>
      <c r="T70" s="266">
        <v>200</v>
      </c>
      <c r="U70" s="266">
        <v>163026</v>
      </c>
      <c r="V70" s="266">
        <f t="shared" si="77"/>
        <v>815.13</v>
      </c>
      <c r="W70" s="266">
        <f t="shared" si="78"/>
        <v>810</v>
      </c>
      <c r="X70" s="266">
        <f t="shared" si="79"/>
        <v>660842</v>
      </c>
      <c r="Y70" s="266">
        <f t="shared" si="80"/>
        <v>815.85432098765432</v>
      </c>
      <c r="Z70" s="266">
        <v>200</v>
      </c>
      <c r="AA70" s="266">
        <v>163890</v>
      </c>
      <c r="AB70" s="266">
        <f t="shared" si="81"/>
        <v>819.45</v>
      </c>
      <c r="AC70" s="266">
        <v>300</v>
      </c>
      <c r="AD70" s="266">
        <v>245309</v>
      </c>
      <c r="AE70" s="266">
        <f t="shared" si="82"/>
        <v>817.69666666666672</v>
      </c>
      <c r="AF70" s="266"/>
      <c r="AG70" s="266"/>
      <c r="AH70" s="266">
        <f t="shared" si="83"/>
        <v>0</v>
      </c>
      <c r="AI70" s="266">
        <f t="shared" si="84"/>
        <v>500</v>
      </c>
      <c r="AJ70" s="266">
        <f t="shared" si="85"/>
        <v>409199</v>
      </c>
      <c r="AK70" s="266">
        <f t="shared" si="86"/>
        <v>818.39800000000002</v>
      </c>
      <c r="AL70" s="266"/>
      <c r="AM70" s="266"/>
      <c r="AN70" s="266">
        <f t="shared" si="87"/>
        <v>0</v>
      </c>
      <c r="AO70" s="266"/>
      <c r="AP70" s="266"/>
      <c r="AQ70" s="266">
        <f t="shared" si="88"/>
        <v>0</v>
      </c>
      <c r="AR70" s="266"/>
      <c r="AS70" s="266"/>
      <c r="AT70" s="266">
        <f t="shared" si="89"/>
        <v>0</v>
      </c>
      <c r="AU70" s="266">
        <f t="shared" si="90"/>
        <v>0</v>
      </c>
      <c r="AV70" s="266">
        <f t="shared" si="91"/>
        <v>0</v>
      </c>
      <c r="AW70" s="266">
        <f t="shared" si="92"/>
        <v>0</v>
      </c>
      <c r="AX70" s="266">
        <f t="shared" si="93"/>
        <v>1920</v>
      </c>
      <c r="AY70" s="266">
        <f t="shared" si="94"/>
        <v>1580056</v>
      </c>
      <c r="AZ70" s="266">
        <f t="shared" si="95"/>
        <v>822.94583333333333</v>
      </c>
    </row>
    <row r="71" spans="1:52" ht="14">
      <c r="A71" s="269" t="s">
        <v>581</v>
      </c>
      <c r="B71" s="265"/>
      <c r="C71" s="265"/>
      <c r="D71" s="265">
        <f t="shared" si="69"/>
        <v>0</v>
      </c>
      <c r="E71" s="265"/>
      <c r="F71" s="266"/>
      <c r="G71" s="266">
        <f t="shared" si="70"/>
        <v>0</v>
      </c>
      <c r="H71" s="266"/>
      <c r="I71" s="266"/>
      <c r="J71" s="266">
        <f t="shared" si="71"/>
        <v>0</v>
      </c>
      <c r="K71" s="266">
        <f t="shared" si="72"/>
        <v>0</v>
      </c>
      <c r="L71" s="266">
        <f t="shared" si="73"/>
        <v>0</v>
      </c>
      <c r="M71" s="266">
        <f t="shared" si="74"/>
        <v>0</v>
      </c>
      <c r="N71" s="267">
        <v>601</v>
      </c>
      <c r="O71" s="267">
        <v>674529</v>
      </c>
      <c r="P71" s="266">
        <f t="shared" si="75"/>
        <v>1122.3444259567389</v>
      </c>
      <c r="Q71" s="266">
        <v>930</v>
      </c>
      <c r="R71" s="266">
        <v>1043857</v>
      </c>
      <c r="S71" s="266">
        <f t="shared" si="76"/>
        <v>1122.4268817204302</v>
      </c>
      <c r="T71" s="266">
        <v>350</v>
      </c>
      <c r="U71" s="266">
        <v>388778</v>
      </c>
      <c r="V71" s="266">
        <f t="shared" si="77"/>
        <v>1110.7942857142857</v>
      </c>
      <c r="W71" s="266">
        <f t="shared" si="78"/>
        <v>1881</v>
      </c>
      <c r="X71" s="266">
        <f t="shared" si="79"/>
        <v>2107164</v>
      </c>
      <c r="Y71" s="266">
        <f t="shared" si="80"/>
        <v>1120.2360446570972</v>
      </c>
      <c r="Z71" s="266"/>
      <c r="AA71" s="266"/>
      <c r="AB71" s="266">
        <f t="shared" si="81"/>
        <v>0</v>
      </c>
      <c r="AC71" s="266">
        <v>200</v>
      </c>
      <c r="AD71" s="266">
        <v>224109</v>
      </c>
      <c r="AE71" s="266">
        <f t="shared" si="82"/>
        <v>1120.5450000000001</v>
      </c>
      <c r="AF71" s="266"/>
      <c r="AG71" s="266"/>
      <c r="AH71" s="266">
        <f t="shared" si="83"/>
        <v>0</v>
      </c>
      <c r="AI71" s="266">
        <f t="shared" si="84"/>
        <v>200</v>
      </c>
      <c r="AJ71" s="266">
        <f t="shared" si="85"/>
        <v>224109</v>
      </c>
      <c r="AK71" s="266">
        <f t="shared" si="86"/>
        <v>1120.5450000000001</v>
      </c>
      <c r="AL71" s="266"/>
      <c r="AM71" s="266"/>
      <c r="AN71" s="266">
        <f t="shared" si="87"/>
        <v>0</v>
      </c>
      <c r="AO71" s="266"/>
      <c r="AP71" s="266"/>
      <c r="AQ71" s="266">
        <f t="shared" si="88"/>
        <v>0</v>
      </c>
      <c r="AR71" s="266"/>
      <c r="AS71" s="266"/>
      <c r="AT71" s="266">
        <f t="shared" si="89"/>
        <v>0</v>
      </c>
      <c r="AU71" s="266">
        <f t="shared" si="90"/>
        <v>0</v>
      </c>
      <c r="AV71" s="266">
        <f t="shared" si="91"/>
        <v>0</v>
      </c>
      <c r="AW71" s="266">
        <f t="shared" si="92"/>
        <v>0</v>
      </c>
      <c r="AX71" s="266">
        <f t="shared" si="93"/>
        <v>2081</v>
      </c>
      <c r="AY71" s="266">
        <f t="shared" si="94"/>
        <v>2331273</v>
      </c>
      <c r="AZ71" s="266">
        <f t="shared" si="95"/>
        <v>1120.2657376261413</v>
      </c>
    </row>
    <row r="72" spans="1:52" ht="14">
      <c r="A72" s="269" t="s">
        <v>2037</v>
      </c>
      <c r="B72" s="265"/>
      <c r="C72" s="265"/>
      <c r="D72" s="265"/>
      <c r="E72" s="265"/>
      <c r="F72" s="266"/>
      <c r="G72" s="266"/>
      <c r="H72" s="266"/>
      <c r="I72" s="266"/>
      <c r="J72" s="266"/>
      <c r="K72" s="266"/>
      <c r="L72" s="266"/>
      <c r="M72" s="266"/>
      <c r="N72" s="267"/>
      <c r="O72" s="267"/>
      <c r="P72" s="266"/>
      <c r="Q72" s="266"/>
      <c r="R72" s="266"/>
      <c r="S72" s="266"/>
      <c r="T72" s="266">
        <v>4</v>
      </c>
      <c r="U72" s="266">
        <v>31398</v>
      </c>
      <c r="V72" s="266">
        <f t="shared" si="77"/>
        <v>7849.5</v>
      </c>
      <c r="W72" s="266"/>
      <c r="X72" s="266"/>
      <c r="Y72" s="266"/>
      <c r="Z72" s="266"/>
      <c r="AA72" s="266"/>
      <c r="AB72" s="266"/>
      <c r="AC72" s="266"/>
      <c r="AD72" s="266"/>
      <c r="AE72" s="266"/>
      <c r="AF72" s="266"/>
      <c r="AG72" s="266"/>
      <c r="AH72" s="266"/>
      <c r="AI72" s="266"/>
      <c r="AJ72" s="266"/>
      <c r="AK72" s="266"/>
      <c r="AL72" s="266"/>
      <c r="AM72" s="266"/>
      <c r="AN72" s="266"/>
      <c r="AO72" s="266"/>
      <c r="AP72" s="266"/>
      <c r="AQ72" s="266"/>
      <c r="AR72" s="266"/>
      <c r="AS72" s="266"/>
      <c r="AT72" s="266"/>
      <c r="AU72" s="266"/>
      <c r="AV72" s="266"/>
      <c r="AW72" s="266"/>
      <c r="AX72" s="266"/>
      <c r="AY72" s="266"/>
      <c r="AZ72" s="266"/>
    </row>
    <row r="73" spans="1:52" ht="14">
      <c r="A73" s="269" t="s">
        <v>2027</v>
      </c>
      <c r="B73" s="265">
        <v>0</v>
      </c>
      <c r="C73" s="265">
        <v>0</v>
      </c>
      <c r="D73" s="265">
        <f t="shared" si="69"/>
        <v>0</v>
      </c>
      <c r="E73" s="265">
        <v>0</v>
      </c>
      <c r="F73" s="266">
        <v>0</v>
      </c>
      <c r="G73" s="266">
        <f t="shared" si="70"/>
        <v>0</v>
      </c>
      <c r="H73" s="266">
        <v>0</v>
      </c>
      <c r="I73" s="266">
        <v>0</v>
      </c>
      <c r="J73" s="266">
        <f t="shared" si="71"/>
        <v>0</v>
      </c>
      <c r="K73" s="266">
        <f t="shared" si="72"/>
        <v>0</v>
      </c>
      <c r="L73" s="266">
        <f t="shared" si="73"/>
        <v>0</v>
      </c>
      <c r="M73" s="266">
        <f t="shared" si="74"/>
        <v>0</v>
      </c>
      <c r="N73" s="267">
        <v>5</v>
      </c>
      <c r="O73" s="267">
        <v>9857</v>
      </c>
      <c r="P73" s="266">
        <f t="shared" si="75"/>
        <v>1971.4</v>
      </c>
      <c r="Q73" s="266">
        <v>2</v>
      </c>
      <c r="R73" s="266">
        <v>3912</v>
      </c>
      <c r="S73" s="266">
        <f t="shared" si="76"/>
        <v>1956</v>
      </c>
      <c r="T73" s="266"/>
      <c r="U73" s="266"/>
      <c r="V73" s="266">
        <f t="shared" si="77"/>
        <v>0</v>
      </c>
      <c r="W73" s="266">
        <f t="shared" si="78"/>
        <v>7</v>
      </c>
      <c r="X73" s="266">
        <f t="shared" si="79"/>
        <v>13769</v>
      </c>
      <c r="Y73" s="266">
        <f t="shared" si="80"/>
        <v>1967</v>
      </c>
      <c r="Z73" s="266"/>
      <c r="AA73" s="266"/>
      <c r="AB73" s="266">
        <f t="shared" si="81"/>
        <v>0</v>
      </c>
      <c r="AC73" s="266"/>
      <c r="AD73" s="266"/>
      <c r="AE73" s="266">
        <f t="shared" si="82"/>
        <v>0</v>
      </c>
      <c r="AF73" s="266"/>
      <c r="AG73" s="266"/>
      <c r="AH73" s="266">
        <f t="shared" si="83"/>
        <v>0</v>
      </c>
      <c r="AI73" s="266">
        <f t="shared" si="84"/>
        <v>0</v>
      </c>
      <c r="AJ73" s="266">
        <f t="shared" si="85"/>
        <v>0</v>
      </c>
      <c r="AK73" s="266">
        <f t="shared" si="86"/>
        <v>0</v>
      </c>
      <c r="AL73" s="266"/>
      <c r="AM73" s="266"/>
      <c r="AN73" s="266">
        <f t="shared" si="87"/>
        <v>0</v>
      </c>
      <c r="AO73" s="266"/>
      <c r="AP73" s="266"/>
      <c r="AQ73" s="266">
        <f t="shared" si="88"/>
        <v>0</v>
      </c>
      <c r="AR73" s="266"/>
      <c r="AS73" s="266"/>
      <c r="AT73" s="266">
        <f t="shared" si="89"/>
        <v>0</v>
      </c>
      <c r="AU73" s="266">
        <f t="shared" si="90"/>
        <v>0</v>
      </c>
      <c r="AV73" s="266">
        <f t="shared" si="91"/>
        <v>0</v>
      </c>
      <c r="AW73" s="266">
        <f t="shared" si="92"/>
        <v>0</v>
      </c>
      <c r="AX73" s="266">
        <f t="shared" si="93"/>
        <v>7</v>
      </c>
      <c r="AY73" s="266">
        <f t="shared" si="94"/>
        <v>13769</v>
      </c>
      <c r="AZ73" s="266">
        <f t="shared" si="95"/>
        <v>1967</v>
      </c>
    </row>
    <row r="74" spans="1:52" ht="14">
      <c r="A74" s="269" t="s">
        <v>592</v>
      </c>
      <c r="B74" s="265">
        <v>150</v>
      </c>
      <c r="C74" s="265">
        <v>718725</v>
      </c>
      <c r="D74" s="265">
        <f t="shared" ref="D74" si="123">IF(B74=0,0,C74/B74)</f>
        <v>4791.5</v>
      </c>
      <c r="E74" s="265">
        <v>50</v>
      </c>
      <c r="F74" s="266">
        <v>234487</v>
      </c>
      <c r="G74" s="266">
        <f t="shared" ref="G74" si="124">IF(E74=0,0,F74/E74)</f>
        <v>4689.74</v>
      </c>
      <c r="H74" s="266">
        <v>30</v>
      </c>
      <c r="I74" s="266">
        <v>138555</v>
      </c>
      <c r="J74" s="266">
        <f t="shared" ref="J74" si="125">IF(H74=0,0,I74/H74)</f>
        <v>4618.5</v>
      </c>
      <c r="K74" s="266">
        <f t="shared" ref="K74" si="126">B74+E74+H74</f>
        <v>230</v>
      </c>
      <c r="L74" s="266">
        <f t="shared" ref="L74" si="127">C74+F74+I74</f>
        <v>1091767</v>
      </c>
      <c r="M74" s="266">
        <f t="shared" ref="M74" si="128">IF(K74=0,0,L74/K74)</f>
        <v>4746.8130434782606</v>
      </c>
      <c r="N74" s="267">
        <v>1</v>
      </c>
      <c r="O74" s="267">
        <v>4550</v>
      </c>
      <c r="P74" s="266">
        <f t="shared" ref="P74" si="129">IF(N74=0,0,O74/N74)</f>
        <v>4550</v>
      </c>
      <c r="Q74" s="266">
        <v>180</v>
      </c>
      <c r="R74" s="266">
        <v>813209</v>
      </c>
      <c r="S74" s="266">
        <f t="shared" ref="S74" si="130">IF(Q74=0,0,R74/Q74)</f>
        <v>4517.8277777777776</v>
      </c>
      <c r="T74" s="266"/>
      <c r="U74" s="266"/>
      <c r="V74" s="266">
        <f t="shared" ref="V74" si="131">IF(T74=0,0,U74/T74)</f>
        <v>0</v>
      </c>
      <c r="W74" s="266">
        <f t="shared" ref="W74" si="132">N74+Q74+T74</f>
        <v>181</v>
      </c>
      <c r="X74" s="266">
        <f t="shared" ref="X74" si="133">O74+R74+U74</f>
        <v>817759</v>
      </c>
      <c r="Y74" s="266">
        <f t="shared" ref="Y74" si="134">IF(W74=0,0,X74/W74)</f>
        <v>4518.0055248618783</v>
      </c>
      <c r="Z74" s="266"/>
      <c r="AA74" s="266"/>
      <c r="AB74" s="266">
        <f t="shared" ref="AB74" si="135">IF(Z74=0,0,AA74/Z74)</f>
        <v>0</v>
      </c>
      <c r="AC74" s="266">
        <v>30</v>
      </c>
      <c r="AD74" s="266">
        <v>136282</v>
      </c>
      <c r="AE74" s="266">
        <f t="shared" ref="AE74" si="136">IF(AC74=0,0,AD74/AC74)</f>
        <v>4542.7333333333336</v>
      </c>
      <c r="AF74" s="266"/>
      <c r="AG74" s="266"/>
      <c r="AH74" s="266">
        <f t="shared" ref="AH74" si="137">IF(AF74=0,0,AG74/AF74)</f>
        <v>0</v>
      </c>
      <c r="AI74" s="266">
        <f t="shared" ref="AI74" si="138">Z74+AC74+AF74</f>
        <v>30</v>
      </c>
      <c r="AJ74" s="266">
        <f t="shared" ref="AJ74" si="139">AA74+AD74+AG74</f>
        <v>136282</v>
      </c>
      <c r="AK74" s="266">
        <f t="shared" ref="AK74" si="140">IF(AI74=0,0,AJ74/AI74)</f>
        <v>4542.7333333333336</v>
      </c>
      <c r="AL74" s="266"/>
      <c r="AM74" s="266"/>
      <c r="AN74" s="266">
        <f t="shared" ref="AN74" si="141">IF(AL74=0,0,AM74/AL74)</f>
        <v>0</v>
      </c>
      <c r="AO74" s="266"/>
      <c r="AP74" s="266"/>
      <c r="AQ74" s="266">
        <f t="shared" ref="AQ74" si="142">IF(AO74=0,0,AP74/AO74)</f>
        <v>0</v>
      </c>
      <c r="AR74" s="266"/>
      <c r="AS74" s="266"/>
      <c r="AT74" s="266">
        <f t="shared" ref="AT74" si="143">IF(AR74=0,0,AS74/AR74)</f>
        <v>0</v>
      </c>
      <c r="AU74" s="266">
        <f t="shared" ref="AU74" si="144">AL74+AO74+AR74</f>
        <v>0</v>
      </c>
      <c r="AV74" s="266">
        <f t="shared" ref="AV74" si="145">AM74+AP74+AS74</f>
        <v>0</v>
      </c>
      <c r="AW74" s="266">
        <f t="shared" ref="AW74" si="146">IF(AU74=0,0,AV74/AU74)</f>
        <v>0</v>
      </c>
      <c r="AX74" s="266">
        <f t="shared" ref="AX74" si="147">K74+W74+AI74+AU74</f>
        <v>441</v>
      </c>
      <c r="AY74" s="266">
        <f t="shared" ref="AY74" si="148">L74+X74+AJ74+AV74</f>
        <v>2045808</v>
      </c>
      <c r="AZ74" s="266">
        <f t="shared" ref="AZ74" si="149">IF(AX74=0,0,AY74/AX74)</f>
        <v>4639.0204081632655</v>
      </c>
    </row>
    <row r="75" spans="1:52" ht="14">
      <c r="A75" s="268" t="s">
        <v>943</v>
      </c>
      <c r="B75" s="265"/>
      <c r="C75" s="265"/>
      <c r="D75" s="265">
        <f t="shared" si="69"/>
        <v>0</v>
      </c>
      <c r="E75" s="265"/>
      <c r="F75" s="266"/>
      <c r="G75" s="266">
        <f t="shared" si="70"/>
        <v>0</v>
      </c>
      <c r="H75" s="266"/>
      <c r="I75" s="266"/>
      <c r="J75" s="266">
        <f t="shared" si="71"/>
        <v>0</v>
      </c>
      <c r="K75" s="266">
        <f t="shared" si="72"/>
        <v>0</v>
      </c>
      <c r="L75" s="266">
        <f t="shared" si="73"/>
        <v>0</v>
      </c>
      <c r="M75" s="266">
        <f t="shared" si="74"/>
        <v>0</v>
      </c>
      <c r="N75" s="267">
        <v>300</v>
      </c>
      <c r="O75" s="267">
        <v>289437</v>
      </c>
      <c r="P75" s="266">
        <f t="shared" si="75"/>
        <v>964.79</v>
      </c>
      <c r="Q75" s="266"/>
      <c r="R75" s="266"/>
      <c r="S75" s="266">
        <f t="shared" si="76"/>
        <v>0</v>
      </c>
      <c r="T75" s="266"/>
      <c r="U75" s="266"/>
      <c r="V75" s="266">
        <f t="shared" si="77"/>
        <v>0</v>
      </c>
      <c r="W75" s="266">
        <f t="shared" si="78"/>
        <v>300</v>
      </c>
      <c r="X75" s="266">
        <f t="shared" si="79"/>
        <v>289437</v>
      </c>
      <c r="Y75" s="266">
        <f t="shared" si="80"/>
        <v>964.79</v>
      </c>
      <c r="Z75" s="266"/>
      <c r="AA75" s="266"/>
      <c r="AB75" s="266">
        <f t="shared" si="81"/>
        <v>0</v>
      </c>
      <c r="AC75" s="266"/>
      <c r="AD75" s="266"/>
      <c r="AE75" s="266">
        <f t="shared" si="82"/>
        <v>0</v>
      </c>
      <c r="AF75" s="266"/>
      <c r="AG75" s="266"/>
      <c r="AH75" s="266">
        <f t="shared" si="83"/>
        <v>0</v>
      </c>
      <c r="AI75" s="266">
        <f t="shared" si="84"/>
        <v>0</v>
      </c>
      <c r="AJ75" s="266">
        <f t="shared" si="85"/>
        <v>0</v>
      </c>
      <c r="AK75" s="266">
        <f t="shared" si="86"/>
        <v>0</v>
      </c>
      <c r="AL75" s="266"/>
      <c r="AM75" s="266"/>
      <c r="AN75" s="266">
        <f t="shared" si="87"/>
        <v>0</v>
      </c>
      <c r="AO75" s="266"/>
      <c r="AP75" s="266"/>
      <c r="AQ75" s="266">
        <f t="shared" si="88"/>
        <v>0</v>
      </c>
      <c r="AR75" s="266"/>
      <c r="AS75" s="266"/>
      <c r="AT75" s="266">
        <f t="shared" si="89"/>
        <v>0</v>
      </c>
      <c r="AU75" s="266">
        <f t="shared" si="90"/>
        <v>0</v>
      </c>
      <c r="AV75" s="266">
        <f t="shared" si="91"/>
        <v>0</v>
      </c>
      <c r="AW75" s="266">
        <f t="shared" si="92"/>
        <v>0</v>
      </c>
      <c r="AX75" s="266">
        <f t="shared" si="93"/>
        <v>300</v>
      </c>
      <c r="AY75" s="266">
        <f t="shared" si="94"/>
        <v>289437</v>
      </c>
      <c r="AZ75" s="266">
        <f t="shared" si="95"/>
        <v>964.79</v>
      </c>
    </row>
    <row r="76" spans="1:52" ht="14">
      <c r="A76" s="268" t="s">
        <v>1265</v>
      </c>
      <c r="B76" s="265">
        <v>50</v>
      </c>
      <c r="C76" s="265">
        <v>65323</v>
      </c>
      <c r="D76" s="265">
        <f t="shared" si="69"/>
        <v>1306.46</v>
      </c>
      <c r="E76" s="265"/>
      <c r="F76" s="266"/>
      <c r="G76" s="266">
        <f t="shared" si="70"/>
        <v>0</v>
      </c>
      <c r="H76" s="266"/>
      <c r="I76" s="266"/>
      <c r="J76" s="266">
        <f t="shared" si="71"/>
        <v>0</v>
      </c>
      <c r="K76" s="266">
        <f t="shared" si="72"/>
        <v>50</v>
      </c>
      <c r="L76" s="266">
        <f t="shared" si="73"/>
        <v>65323</v>
      </c>
      <c r="M76" s="266">
        <f t="shared" si="74"/>
        <v>1306.46</v>
      </c>
      <c r="N76" s="267">
        <v>200</v>
      </c>
      <c r="O76" s="267">
        <v>248726</v>
      </c>
      <c r="P76" s="266">
        <f t="shared" si="75"/>
        <v>1243.6300000000001</v>
      </c>
      <c r="Q76" s="266">
        <v>180</v>
      </c>
      <c r="R76" s="266">
        <v>222359</v>
      </c>
      <c r="S76" s="266">
        <f t="shared" si="76"/>
        <v>1235.3277777777778</v>
      </c>
      <c r="T76" s="266">
        <v>50</v>
      </c>
      <c r="U76" s="266">
        <v>61562</v>
      </c>
      <c r="V76" s="266">
        <f t="shared" si="77"/>
        <v>1231.24</v>
      </c>
      <c r="W76" s="266">
        <f t="shared" si="78"/>
        <v>430</v>
      </c>
      <c r="X76" s="266">
        <f t="shared" si="79"/>
        <v>532647</v>
      </c>
      <c r="Y76" s="266">
        <f t="shared" si="80"/>
        <v>1238.713953488372</v>
      </c>
      <c r="Z76" s="266"/>
      <c r="AA76" s="266"/>
      <c r="AB76" s="266">
        <f t="shared" si="81"/>
        <v>0</v>
      </c>
      <c r="AC76" s="266">
        <v>150</v>
      </c>
      <c r="AD76" s="266">
        <v>185534</v>
      </c>
      <c r="AE76" s="266">
        <f t="shared" si="82"/>
        <v>1236.8933333333334</v>
      </c>
      <c r="AF76" s="266"/>
      <c r="AG76" s="266"/>
      <c r="AH76" s="266">
        <f t="shared" si="83"/>
        <v>0</v>
      </c>
      <c r="AI76" s="266">
        <f t="shared" si="84"/>
        <v>150</v>
      </c>
      <c r="AJ76" s="266">
        <f t="shared" si="85"/>
        <v>185534</v>
      </c>
      <c r="AK76" s="266">
        <f t="shared" si="86"/>
        <v>1236.8933333333334</v>
      </c>
      <c r="AL76" s="266"/>
      <c r="AM76" s="266"/>
      <c r="AN76" s="266">
        <f t="shared" si="87"/>
        <v>0</v>
      </c>
      <c r="AO76" s="266"/>
      <c r="AP76" s="266"/>
      <c r="AQ76" s="266">
        <f t="shared" si="88"/>
        <v>0</v>
      </c>
      <c r="AR76" s="266"/>
      <c r="AS76" s="266"/>
      <c r="AT76" s="266">
        <f t="shared" si="89"/>
        <v>0</v>
      </c>
      <c r="AU76" s="266">
        <f t="shared" si="90"/>
        <v>0</v>
      </c>
      <c r="AV76" s="266">
        <f t="shared" si="91"/>
        <v>0</v>
      </c>
      <c r="AW76" s="266">
        <f t="shared" si="92"/>
        <v>0</v>
      </c>
      <c r="AX76" s="266">
        <f t="shared" si="93"/>
        <v>630</v>
      </c>
      <c r="AY76" s="266">
        <f t="shared" si="94"/>
        <v>783504</v>
      </c>
      <c r="AZ76" s="266">
        <f t="shared" si="95"/>
        <v>1243.6571428571428</v>
      </c>
    </row>
    <row r="77" spans="1:52" ht="14">
      <c r="A77" s="268" t="s">
        <v>1753</v>
      </c>
      <c r="B77" s="265"/>
      <c r="C77" s="265"/>
      <c r="D77" s="265">
        <f t="shared" si="69"/>
        <v>0</v>
      </c>
      <c r="E77" s="265"/>
      <c r="F77" s="266"/>
      <c r="G77" s="266">
        <f t="shared" si="70"/>
        <v>0</v>
      </c>
      <c r="H77" s="266">
        <v>500</v>
      </c>
      <c r="I77" s="266">
        <v>3587035</v>
      </c>
      <c r="J77" s="266">
        <f t="shared" si="71"/>
        <v>7174.07</v>
      </c>
      <c r="K77" s="266">
        <f t="shared" si="72"/>
        <v>500</v>
      </c>
      <c r="L77" s="266">
        <f t="shared" si="73"/>
        <v>3587035</v>
      </c>
      <c r="M77" s="266">
        <f t="shared" si="74"/>
        <v>7174.07</v>
      </c>
      <c r="N77" s="267"/>
      <c r="O77" s="267"/>
      <c r="P77" s="266">
        <f t="shared" si="75"/>
        <v>0</v>
      </c>
      <c r="Q77" s="266"/>
      <c r="R77" s="266"/>
      <c r="S77" s="266">
        <f t="shared" si="76"/>
        <v>0</v>
      </c>
      <c r="T77" s="266"/>
      <c r="U77" s="266"/>
      <c r="V77" s="266">
        <f t="shared" si="77"/>
        <v>0</v>
      </c>
      <c r="W77" s="266">
        <f t="shared" si="78"/>
        <v>0</v>
      </c>
      <c r="X77" s="266">
        <f t="shared" si="79"/>
        <v>0</v>
      </c>
      <c r="Y77" s="266">
        <f t="shared" si="80"/>
        <v>0</v>
      </c>
      <c r="Z77" s="266"/>
      <c r="AA77" s="266"/>
      <c r="AB77" s="266">
        <f t="shared" si="81"/>
        <v>0</v>
      </c>
      <c r="AC77" s="266"/>
      <c r="AD77" s="266"/>
      <c r="AE77" s="266">
        <f t="shared" si="82"/>
        <v>0</v>
      </c>
      <c r="AF77" s="266"/>
      <c r="AG77" s="266"/>
      <c r="AH77" s="266">
        <f t="shared" si="83"/>
        <v>0</v>
      </c>
      <c r="AI77" s="266">
        <f t="shared" si="84"/>
        <v>0</v>
      </c>
      <c r="AJ77" s="266">
        <f t="shared" si="85"/>
        <v>0</v>
      </c>
      <c r="AK77" s="266">
        <f t="shared" si="86"/>
        <v>0</v>
      </c>
      <c r="AL77" s="270"/>
      <c r="AM77" s="266"/>
      <c r="AN77" s="266">
        <f t="shared" si="87"/>
        <v>0</v>
      </c>
      <c r="AO77" s="270"/>
      <c r="AP77" s="270"/>
      <c r="AQ77" s="266">
        <f t="shared" si="88"/>
        <v>0</v>
      </c>
      <c r="AR77" s="266"/>
      <c r="AS77" s="266"/>
      <c r="AT77" s="266">
        <f t="shared" si="89"/>
        <v>0</v>
      </c>
      <c r="AU77" s="266">
        <f t="shared" si="90"/>
        <v>0</v>
      </c>
      <c r="AV77" s="266">
        <f t="shared" si="91"/>
        <v>0</v>
      </c>
      <c r="AW77" s="266">
        <f t="shared" si="92"/>
        <v>0</v>
      </c>
      <c r="AX77" s="266">
        <f t="shared" si="93"/>
        <v>500</v>
      </c>
      <c r="AY77" s="266">
        <f t="shared" si="94"/>
        <v>3587035</v>
      </c>
      <c r="AZ77" s="266">
        <f t="shared" si="95"/>
        <v>7174.07</v>
      </c>
    </row>
    <row r="78" spans="1:52" ht="14">
      <c r="A78" s="268" t="s">
        <v>1788</v>
      </c>
      <c r="B78" s="265"/>
      <c r="C78" s="265"/>
      <c r="D78" s="265">
        <f t="shared" si="69"/>
        <v>0</v>
      </c>
      <c r="E78" s="265"/>
      <c r="F78" s="266"/>
      <c r="G78" s="266">
        <f t="shared" si="70"/>
        <v>0</v>
      </c>
      <c r="H78" s="266"/>
      <c r="I78" s="266"/>
      <c r="J78" s="266">
        <f t="shared" si="71"/>
        <v>0</v>
      </c>
      <c r="K78" s="266">
        <f t="shared" si="72"/>
        <v>0</v>
      </c>
      <c r="L78" s="266">
        <f t="shared" si="73"/>
        <v>0</v>
      </c>
      <c r="M78" s="266">
        <f t="shared" si="74"/>
        <v>0</v>
      </c>
      <c r="N78" s="267"/>
      <c r="O78" s="267"/>
      <c r="P78" s="266">
        <f t="shared" si="75"/>
        <v>0</v>
      </c>
      <c r="Q78" s="266"/>
      <c r="R78" s="266"/>
      <c r="S78" s="266">
        <f t="shared" si="76"/>
        <v>0</v>
      </c>
      <c r="T78" s="266"/>
      <c r="U78" s="266"/>
      <c r="V78" s="266">
        <f t="shared" si="77"/>
        <v>0</v>
      </c>
      <c r="W78" s="266">
        <f t="shared" si="78"/>
        <v>0</v>
      </c>
      <c r="X78" s="266">
        <f t="shared" si="79"/>
        <v>0</v>
      </c>
      <c r="Y78" s="266">
        <f t="shared" si="80"/>
        <v>0</v>
      </c>
      <c r="Z78" s="266"/>
      <c r="AA78" s="266"/>
      <c r="AB78" s="266">
        <f t="shared" si="81"/>
        <v>0</v>
      </c>
      <c r="AC78" s="266"/>
      <c r="AD78" s="266"/>
      <c r="AE78" s="266">
        <f t="shared" si="82"/>
        <v>0</v>
      </c>
      <c r="AF78" s="266"/>
      <c r="AG78" s="266"/>
      <c r="AH78" s="266">
        <f t="shared" si="83"/>
        <v>0</v>
      </c>
      <c r="AI78" s="266">
        <f t="shared" si="84"/>
        <v>0</v>
      </c>
      <c r="AJ78" s="266">
        <f t="shared" si="85"/>
        <v>0</v>
      </c>
      <c r="AK78" s="266">
        <f t="shared" si="86"/>
        <v>0</v>
      </c>
      <c r="AL78" s="270"/>
      <c r="AM78" s="266"/>
      <c r="AN78" s="266">
        <f t="shared" si="87"/>
        <v>0</v>
      </c>
      <c r="AO78" s="270"/>
      <c r="AP78" s="270"/>
      <c r="AQ78" s="266">
        <f t="shared" si="88"/>
        <v>0</v>
      </c>
      <c r="AR78" s="266"/>
      <c r="AS78" s="266"/>
      <c r="AT78" s="266">
        <f t="shared" si="89"/>
        <v>0</v>
      </c>
      <c r="AU78" s="266">
        <f t="shared" si="90"/>
        <v>0</v>
      </c>
      <c r="AV78" s="266">
        <f t="shared" si="91"/>
        <v>0</v>
      </c>
      <c r="AW78" s="266">
        <f t="shared" si="92"/>
        <v>0</v>
      </c>
      <c r="AX78" s="266">
        <f t="shared" si="93"/>
        <v>0</v>
      </c>
      <c r="AY78" s="266">
        <f t="shared" si="94"/>
        <v>0</v>
      </c>
      <c r="AZ78" s="266">
        <f t="shared" si="95"/>
        <v>0</v>
      </c>
    </row>
    <row r="79" spans="1:52" ht="14">
      <c r="A79" s="268" t="s">
        <v>1789</v>
      </c>
      <c r="B79" s="265">
        <v>1</v>
      </c>
      <c r="C79" s="265">
        <v>5714</v>
      </c>
      <c r="D79" s="265">
        <f t="shared" ref="D79:D81" si="150">IF(B79=0,0,C79/B79)</f>
        <v>5714</v>
      </c>
      <c r="E79" s="265"/>
      <c r="F79" s="266"/>
      <c r="G79" s="266">
        <f t="shared" ref="G79:G81" si="151">IF(E79=0,0,F79/E79)</f>
        <v>0</v>
      </c>
      <c r="H79" s="266">
        <v>1</v>
      </c>
      <c r="I79" s="266">
        <v>5481</v>
      </c>
      <c r="J79" s="266">
        <f t="shared" ref="J79:J81" si="152">IF(H79=0,0,I79/H79)</f>
        <v>5481</v>
      </c>
      <c r="K79" s="266">
        <f t="shared" ref="K79:K81" si="153">B79+E79+H79</f>
        <v>2</v>
      </c>
      <c r="L79" s="266">
        <f t="shared" ref="L79:L81" si="154">C79+F79+I79</f>
        <v>11195</v>
      </c>
      <c r="M79" s="266">
        <f t="shared" ref="M79:M81" si="155">IF(K79=0,0,L79/K79)</f>
        <v>5597.5</v>
      </c>
      <c r="N79" s="267"/>
      <c r="O79" s="267"/>
      <c r="P79" s="266">
        <f t="shared" ref="P79:P81" si="156">IF(N79=0,0,O79/N79)</f>
        <v>0</v>
      </c>
      <c r="Q79" s="266"/>
      <c r="R79" s="266"/>
      <c r="S79" s="266">
        <f t="shared" ref="S79:S81" si="157">IF(Q79=0,0,R79/Q79)</f>
        <v>0</v>
      </c>
      <c r="T79" s="266"/>
      <c r="U79" s="266"/>
      <c r="V79" s="266">
        <f t="shared" ref="V79:V81" si="158">IF(T79=0,0,U79/T79)</f>
        <v>0</v>
      </c>
      <c r="W79" s="266">
        <f t="shared" ref="W79:W81" si="159">N79+Q79+T79</f>
        <v>0</v>
      </c>
      <c r="X79" s="266">
        <f t="shared" ref="X79:X81" si="160">O79+R79+U79</f>
        <v>0</v>
      </c>
      <c r="Y79" s="266">
        <f t="shared" ref="Y79:Y81" si="161">IF(W79=0,0,X79/W79)</f>
        <v>0</v>
      </c>
      <c r="Z79" s="266"/>
      <c r="AA79" s="266"/>
      <c r="AB79" s="266">
        <f t="shared" ref="AB79:AB81" si="162">IF(Z79=0,0,AA79/Z79)</f>
        <v>0</v>
      </c>
      <c r="AC79" s="266"/>
      <c r="AD79" s="266"/>
      <c r="AE79" s="266">
        <f t="shared" ref="AE79:AE81" si="163">IF(AC79=0,0,AD79/AC79)</f>
        <v>0</v>
      </c>
      <c r="AF79" s="266"/>
      <c r="AG79" s="266"/>
      <c r="AH79" s="266">
        <f t="shared" ref="AH79:AH81" si="164">IF(AF79=0,0,AG79/AF79)</f>
        <v>0</v>
      </c>
      <c r="AI79" s="266">
        <f t="shared" ref="AI79:AI81" si="165">Z79+AC79+AF79</f>
        <v>0</v>
      </c>
      <c r="AJ79" s="266">
        <f t="shared" ref="AJ79:AJ81" si="166">AA79+AD79+AG79</f>
        <v>0</v>
      </c>
      <c r="AK79" s="266">
        <f t="shared" ref="AK79:AK81" si="167">IF(AI79=0,0,AJ79/AI79)</f>
        <v>0</v>
      </c>
      <c r="AL79" s="270"/>
      <c r="AM79" s="266"/>
      <c r="AN79" s="266">
        <f t="shared" ref="AN79:AN81" si="168">IF(AL79=0,0,AM79/AL79)</f>
        <v>0</v>
      </c>
      <c r="AO79" s="270"/>
      <c r="AP79" s="270"/>
      <c r="AQ79" s="266">
        <f t="shared" ref="AQ79:AQ81" si="169">IF(AO79=0,0,AP79/AO79)</f>
        <v>0</v>
      </c>
      <c r="AR79" s="266"/>
      <c r="AS79" s="266"/>
      <c r="AT79" s="266">
        <f t="shared" ref="AT79:AT81" si="170">IF(AR79=0,0,AS79/AR79)</f>
        <v>0</v>
      </c>
      <c r="AU79" s="266">
        <f t="shared" ref="AU79:AU81" si="171">AL79+AO79+AR79</f>
        <v>0</v>
      </c>
      <c r="AV79" s="266">
        <f t="shared" ref="AV79:AV81" si="172">AM79+AP79+AS79</f>
        <v>0</v>
      </c>
      <c r="AW79" s="266">
        <f t="shared" ref="AW79:AW81" si="173">IF(AU79=0,0,AV79/AU79)</f>
        <v>0</v>
      </c>
      <c r="AX79" s="266">
        <f t="shared" ref="AX79:AX81" si="174">K79+W79+AI79+AU79</f>
        <v>2</v>
      </c>
      <c r="AY79" s="266">
        <f t="shared" ref="AY79:AY81" si="175">L79+X79+AJ79+AV79</f>
        <v>11195</v>
      </c>
      <c r="AZ79" s="266">
        <f t="shared" ref="AZ79:AZ81" si="176">IF(AX79=0,0,AY79/AX79)</f>
        <v>5597.5</v>
      </c>
    </row>
    <row r="80" spans="1:52" ht="14">
      <c r="A80" s="268" t="s">
        <v>1790</v>
      </c>
      <c r="B80" s="265"/>
      <c r="C80" s="265"/>
      <c r="D80" s="265">
        <f t="shared" si="150"/>
        <v>0</v>
      </c>
      <c r="E80" s="265"/>
      <c r="F80" s="266"/>
      <c r="G80" s="266">
        <f t="shared" si="151"/>
        <v>0</v>
      </c>
      <c r="H80" s="266"/>
      <c r="I80" s="266"/>
      <c r="J80" s="266">
        <f t="shared" si="152"/>
        <v>0</v>
      </c>
      <c r="K80" s="266">
        <f t="shared" si="153"/>
        <v>0</v>
      </c>
      <c r="L80" s="266">
        <f t="shared" si="154"/>
        <v>0</v>
      </c>
      <c r="M80" s="266">
        <f t="shared" si="155"/>
        <v>0</v>
      </c>
      <c r="N80" s="267"/>
      <c r="O80" s="267"/>
      <c r="P80" s="266">
        <f t="shared" si="156"/>
        <v>0</v>
      </c>
      <c r="Q80" s="266"/>
      <c r="R80" s="266"/>
      <c r="S80" s="266">
        <f t="shared" si="157"/>
        <v>0</v>
      </c>
      <c r="T80" s="266"/>
      <c r="U80" s="266"/>
      <c r="V80" s="266">
        <f t="shared" si="158"/>
        <v>0</v>
      </c>
      <c r="W80" s="266">
        <f t="shared" si="159"/>
        <v>0</v>
      </c>
      <c r="X80" s="266">
        <f t="shared" si="160"/>
        <v>0</v>
      </c>
      <c r="Y80" s="266">
        <f t="shared" si="161"/>
        <v>0</v>
      </c>
      <c r="Z80" s="266"/>
      <c r="AA80" s="266"/>
      <c r="AB80" s="266">
        <f t="shared" si="162"/>
        <v>0</v>
      </c>
      <c r="AC80" s="266"/>
      <c r="AD80" s="266"/>
      <c r="AE80" s="266">
        <f t="shared" si="163"/>
        <v>0</v>
      </c>
      <c r="AF80" s="266"/>
      <c r="AG80" s="266"/>
      <c r="AH80" s="266">
        <f t="shared" si="164"/>
        <v>0</v>
      </c>
      <c r="AI80" s="266">
        <f t="shared" si="165"/>
        <v>0</v>
      </c>
      <c r="AJ80" s="266">
        <f t="shared" si="166"/>
        <v>0</v>
      </c>
      <c r="AK80" s="266">
        <f t="shared" si="167"/>
        <v>0</v>
      </c>
      <c r="AL80" s="270"/>
      <c r="AM80" s="266"/>
      <c r="AN80" s="266">
        <f t="shared" si="168"/>
        <v>0</v>
      </c>
      <c r="AO80" s="270"/>
      <c r="AP80" s="270"/>
      <c r="AQ80" s="266">
        <f t="shared" si="169"/>
        <v>0</v>
      </c>
      <c r="AR80" s="266"/>
      <c r="AS80" s="266"/>
      <c r="AT80" s="266">
        <f t="shared" si="170"/>
        <v>0</v>
      </c>
      <c r="AU80" s="266">
        <f t="shared" si="171"/>
        <v>0</v>
      </c>
      <c r="AV80" s="266">
        <f t="shared" si="172"/>
        <v>0</v>
      </c>
      <c r="AW80" s="266">
        <f t="shared" si="173"/>
        <v>0</v>
      </c>
      <c r="AX80" s="266">
        <f t="shared" si="174"/>
        <v>0</v>
      </c>
      <c r="AY80" s="266">
        <f t="shared" si="175"/>
        <v>0</v>
      </c>
      <c r="AZ80" s="266">
        <f t="shared" si="176"/>
        <v>0</v>
      </c>
    </row>
    <row r="81" spans="1:52" ht="14">
      <c r="A81" s="268" t="s">
        <v>1899</v>
      </c>
      <c r="B81" s="265"/>
      <c r="C81" s="265"/>
      <c r="D81" s="265">
        <f t="shared" si="150"/>
        <v>0</v>
      </c>
      <c r="E81" s="265">
        <v>1</v>
      </c>
      <c r="F81" s="266">
        <v>12130</v>
      </c>
      <c r="G81" s="266">
        <f t="shared" si="151"/>
        <v>12130</v>
      </c>
      <c r="H81" s="266"/>
      <c r="I81" s="266"/>
      <c r="J81" s="266">
        <f t="shared" si="152"/>
        <v>0</v>
      </c>
      <c r="K81" s="266">
        <f t="shared" si="153"/>
        <v>1</v>
      </c>
      <c r="L81" s="266">
        <f t="shared" si="154"/>
        <v>12130</v>
      </c>
      <c r="M81" s="266">
        <f t="shared" si="155"/>
        <v>12130</v>
      </c>
      <c r="N81" s="267"/>
      <c r="O81" s="267"/>
      <c r="P81" s="266">
        <f t="shared" si="156"/>
        <v>0</v>
      </c>
      <c r="Q81" s="266"/>
      <c r="R81" s="266"/>
      <c r="S81" s="266">
        <f t="shared" si="157"/>
        <v>0</v>
      </c>
      <c r="T81" s="266"/>
      <c r="U81" s="266"/>
      <c r="V81" s="266">
        <f t="shared" si="158"/>
        <v>0</v>
      </c>
      <c r="W81" s="266">
        <f t="shared" si="159"/>
        <v>0</v>
      </c>
      <c r="X81" s="266">
        <f t="shared" si="160"/>
        <v>0</v>
      </c>
      <c r="Y81" s="266">
        <f t="shared" si="161"/>
        <v>0</v>
      </c>
      <c r="Z81" s="266"/>
      <c r="AA81" s="266"/>
      <c r="AB81" s="266">
        <f t="shared" si="162"/>
        <v>0</v>
      </c>
      <c r="AC81" s="266"/>
      <c r="AD81" s="266"/>
      <c r="AE81" s="266">
        <f t="shared" si="163"/>
        <v>0</v>
      </c>
      <c r="AF81" s="266"/>
      <c r="AG81" s="266"/>
      <c r="AH81" s="266">
        <f t="shared" si="164"/>
        <v>0</v>
      </c>
      <c r="AI81" s="266">
        <f t="shared" si="165"/>
        <v>0</v>
      </c>
      <c r="AJ81" s="266">
        <f t="shared" si="166"/>
        <v>0</v>
      </c>
      <c r="AK81" s="266">
        <f t="shared" si="167"/>
        <v>0</v>
      </c>
      <c r="AL81" s="270"/>
      <c r="AM81" s="266"/>
      <c r="AN81" s="266">
        <f t="shared" si="168"/>
        <v>0</v>
      </c>
      <c r="AO81" s="270"/>
      <c r="AP81" s="270"/>
      <c r="AQ81" s="266">
        <f t="shared" si="169"/>
        <v>0</v>
      </c>
      <c r="AR81" s="266"/>
      <c r="AS81" s="266"/>
      <c r="AT81" s="266">
        <f t="shared" si="170"/>
        <v>0</v>
      </c>
      <c r="AU81" s="266">
        <f t="shared" si="171"/>
        <v>0</v>
      </c>
      <c r="AV81" s="266">
        <f t="shared" si="172"/>
        <v>0</v>
      </c>
      <c r="AW81" s="266">
        <f t="shared" si="173"/>
        <v>0</v>
      </c>
      <c r="AX81" s="266">
        <f t="shared" si="174"/>
        <v>1</v>
      </c>
      <c r="AY81" s="266">
        <f t="shared" si="175"/>
        <v>12130</v>
      </c>
      <c r="AZ81" s="266">
        <f t="shared" si="176"/>
        <v>12130</v>
      </c>
    </row>
    <row r="82" spans="1:52" ht="14">
      <c r="A82" s="268" t="s">
        <v>2012</v>
      </c>
      <c r="B82" s="265"/>
      <c r="C82" s="265"/>
      <c r="D82" s="265">
        <f t="shared" si="69"/>
        <v>0</v>
      </c>
      <c r="E82" s="265"/>
      <c r="F82" s="266"/>
      <c r="G82" s="266">
        <f t="shared" si="70"/>
        <v>0</v>
      </c>
      <c r="H82" s="266">
        <v>6</v>
      </c>
      <c r="I82" s="266">
        <v>18211</v>
      </c>
      <c r="J82" s="266">
        <f t="shared" si="71"/>
        <v>3035.1666666666665</v>
      </c>
      <c r="K82" s="266">
        <f t="shared" si="72"/>
        <v>6</v>
      </c>
      <c r="L82" s="266">
        <f t="shared" si="73"/>
        <v>18211</v>
      </c>
      <c r="M82" s="266">
        <f t="shared" si="74"/>
        <v>3035.1666666666665</v>
      </c>
      <c r="N82" s="267"/>
      <c r="O82" s="267"/>
      <c r="P82" s="266">
        <f t="shared" si="75"/>
        <v>0</v>
      </c>
      <c r="Q82" s="266"/>
      <c r="R82" s="266"/>
      <c r="S82" s="266">
        <f t="shared" si="76"/>
        <v>0</v>
      </c>
      <c r="T82" s="266"/>
      <c r="U82" s="266"/>
      <c r="V82" s="266">
        <f t="shared" si="77"/>
        <v>0</v>
      </c>
      <c r="W82" s="266">
        <f t="shared" si="78"/>
        <v>0</v>
      </c>
      <c r="X82" s="266">
        <f t="shared" si="79"/>
        <v>0</v>
      </c>
      <c r="Y82" s="266">
        <f t="shared" si="80"/>
        <v>0</v>
      </c>
      <c r="Z82" s="266"/>
      <c r="AA82" s="266"/>
      <c r="AB82" s="266">
        <f t="shared" si="81"/>
        <v>0</v>
      </c>
      <c r="AC82" s="266"/>
      <c r="AD82" s="266"/>
      <c r="AE82" s="266">
        <f t="shared" si="82"/>
        <v>0</v>
      </c>
      <c r="AF82" s="266"/>
      <c r="AG82" s="266"/>
      <c r="AH82" s="266">
        <f t="shared" si="83"/>
        <v>0</v>
      </c>
      <c r="AI82" s="266">
        <f t="shared" si="84"/>
        <v>0</v>
      </c>
      <c r="AJ82" s="266">
        <f t="shared" si="85"/>
        <v>0</v>
      </c>
      <c r="AK82" s="266">
        <f t="shared" si="86"/>
        <v>0</v>
      </c>
      <c r="AL82" s="270"/>
      <c r="AM82" s="266"/>
      <c r="AN82" s="266">
        <f t="shared" si="87"/>
        <v>0</v>
      </c>
      <c r="AO82" s="270"/>
      <c r="AP82" s="270"/>
      <c r="AQ82" s="266">
        <f t="shared" si="88"/>
        <v>0</v>
      </c>
      <c r="AR82" s="266"/>
      <c r="AS82" s="266"/>
      <c r="AT82" s="266">
        <f t="shared" si="89"/>
        <v>0</v>
      </c>
      <c r="AU82" s="266">
        <f t="shared" si="90"/>
        <v>0</v>
      </c>
      <c r="AV82" s="266">
        <f t="shared" si="91"/>
        <v>0</v>
      </c>
      <c r="AW82" s="266">
        <f t="shared" si="92"/>
        <v>0</v>
      </c>
      <c r="AX82" s="266">
        <f t="shared" si="93"/>
        <v>6</v>
      </c>
      <c r="AY82" s="266">
        <f t="shared" si="94"/>
        <v>18211</v>
      </c>
      <c r="AZ82" s="266">
        <f t="shared" si="95"/>
        <v>3035.1666666666665</v>
      </c>
    </row>
    <row r="83" spans="1:52" ht="14">
      <c r="A83" s="268" t="s">
        <v>2005</v>
      </c>
      <c r="B83" s="265"/>
      <c r="C83" s="265"/>
      <c r="D83" s="265">
        <f t="shared" si="69"/>
        <v>0</v>
      </c>
      <c r="E83" s="265"/>
      <c r="F83" s="266"/>
      <c r="G83" s="266">
        <f t="shared" si="70"/>
        <v>0</v>
      </c>
      <c r="H83" s="266">
        <v>1</v>
      </c>
      <c r="I83" s="266">
        <v>4280</v>
      </c>
      <c r="J83" s="266">
        <f t="shared" si="71"/>
        <v>4280</v>
      </c>
      <c r="K83" s="266">
        <f t="shared" si="72"/>
        <v>1</v>
      </c>
      <c r="L83" s="266">
        <f t="shared" si="73"/>
        <v>4280</v>
      </c>
      <c r="M83" s="266">
        <f t="shared" si="74"/>
        <v>4280</v>
      </c>
      <c r="N83" s="267"/>
      <c r="O83" s="267"/>
      <c r="P83" s="266">
        <f t="shared" si="75"/>
        <v>0</v>
      </c>
      <c r="Q83" s="266"/>
      <c r="R83" s="266"/>
      <c r="S83" s="266">
        <f t="shared" si="76"/>
        <v>0</v>
      </c>
      <c r="T83" s="266"/>
      <c r="U83" s="266"/>
      <c r="V83" s="266">
        <f t="shared" si="77"/>
        <v>0</v>
      </c>
      <c r="W83" s="266">
        <f t="shared" si="78"/>
        <v>0</v>
      </c>
      <c r="X83" s="266">
        <f t="shared" si="79"/>
        <v>0</v>
      </c>
      <c r="Y83" s="266">
        <f t="shared" si="80"/>
        <v>0</v>
      </c>
      <c r="Z83" s="266"/>
      <c r="AA83" s="266"/>
      <c r="AB83" s="266">
        <f t="shared" si="81"/>
        <v>0</v>
      </c>
      <c r="AC83" s="266"/>
      <c r="AD83" s="266"/>
      <c r="AE83" s="266">
        <f t="shared" si="82"/>
        <v>0</v>
      </c>
      <c r="AF83" s="266"/>
      <c r="AG83" s="266"/>
      <c r="AH83" s="266">
        <f t="shared" si="83"/>
        <v>0</v>
      </c>
      <c r="AI83" s="266">
        <f t="shared" si="84"/>
        <v>0</v>
      </c>
      <c r="AJ83" s="266">
        <f t="shared" si="85"/>
        <v>0</v>
      </c>
      <c r="AK83" s="266">
        <f t="shared" si="86"/>
        <v>0</v>
      </c>
      <c r="AL83" s="270"/>
      <c r="AM83" s="266"/>
      <c r="AN83" s="266">
        <f t="shared" si="87"/>
        <v>0</v>
      </c>
      <c r="AO83" s="270"/>
      <c r="AP83" s="270"/>
      <c r="AQ83" s="266">
        <f t="shared" si="88"/>
        <v>0</v>
      </c>
      <c r="AR83" s="266"/>
      <c r="AS83" s="266"/>
      <c r="AT83" s="266">
        <f t="shared" si="89"/>
        <v>0</v>
      </c>
      <c r="AU83" s="266">
        <f t="shared" si="90"/>
        <v>0</v>
      </c>
      <c r="AV83" s="266">
        <f t="shared" si="91"/>
        <v>0</v>
      </c>
      <c r="AW83" s="266">
        <f t="shared" si="92"/>
        <v>0</v>
      </c>
      <c r="AX83" s="266">
        <f t="shared" si="93"/>
        <v>1</v>
      </c>
      <c r="AY83" s="266">
        <f t="shared" si="94"/>
        <v>4280</v>
      </c>
      <c r="AZ83" s="266">
        <f t="shared" si="95"/>
        <v>4280</v>
      </c>
    </row>
    <row r="84" spans="1:52" ht="14">
      <c r="A84" s="268" t="s">
        <v>2006</v>
      </c>
      <c r="B84" s="265"/>
      <c r="C84" s="265"/>
      <c r="D84" s="265">
        <f t="shared" si="69"/>
        <v>0</v>
      </c>
      <c r="E84" s="265"/>
      <c r="F84" s="266"/>
      <c r="G84" s="266">
        <f t="shared" si="70"/>
        <v>0</v>
      </c>
      <c r="H84" s="266">
        <v>1</v>
      </c>
      <c r="I84" s="266">
        <v>4280</v>
      </c>
      <c r="J84" s="266">
        <f t="shared" si="71"/>
        <v>4280</v>
      </c>
      <c r="K84" s="266">
        <f t="shared" si="72"/>
        <v>1</v>
      </c>
      <c r="L84" s="266">
        <f t="shared" si="73"/>
        <v>4280</v>
      </c>
      <c r="M84" s="266">
        <f t="shared" si="74"/>
        <v>4280</v>
      </c>
      <c r="N84" s="267">
        <v>1</v>
      </c>
      <c r="O84" s="267">
        <v>4280</v>
      </c>
      <c r="P84" s="266">
        <f t="shared" si="75"/>
        <v>4280</v>
      </c>
      <c r="Q84" s="266"/>
      <c r="R84" s="266"/>
      <c r="S84" s="266">
        <f t="shared" si="76"/>
        <v>0</v>
      </c>
      <c r="T84" s="266"/>
      <c r="U84" s="266"/>
      <c r="V84" s="266">
        <f t="shared" si="77"/>
        <v>0</v>
      </c>
      <c r="W84" s="266">
        <f t="shared" si="78"/>
        <v>1</v>
      </c>
      <c r="X84" s="266">
        <f t="shared" si="79"/>
        <v>4280</v>
      </c>
      <c r="Y84" s="266">
        <f t="shared" si="80"/>
        <v>4280</v>
      </c>
      <c r="Z84" s="266"/>
      <c r="AA84" s="266"/>
      <c r="AB84" s="266">
        <f t="shared" si="81"/>
        <v>0</v>
      </c>
      <c r="AC84" s="266"/>
      <c r="AD84" s="266"/>
      <c r="AE84" s="266">
        <f t="shared" si="82"/>
        <v>0</v>
      </c>
      <c r="AF84" s="266"/>
      <c r="AG84" s="266"/>
      <c r="AH84" s="266">
        <f t="shared" si="83"/>
        <v>0</v>
      </c>
      <c r="AI84" s="266">
        <f t="shared" si="84"/>
        <v>0</v>
      </c>
      <c r="AJ84" s="266">
        <f t="shared" si="85"/>
        <v>0</v>
      </c>
      <c r="AK84" s="266">
        <f t="shared" si="86"/>
        <v>0</v>
      </c>
      <c r="AL84" s="270"/>
      <c r="AM84" s="266"/>
      <c r="AN84" s="266">
        <f t="shared" si="87"/>
        <v>0</v>
      </c>
      <c r="AO84" s="270"/>
      <c r="AP84" s="270"/>
      <c r="AQ84" s="266">
        <f t="shared" si="88"/>
        <v>0</v>
      </c>
      <c r="AR84" s="266"/>
      <c r="AS84" s="266"/>
      <c r="AT84" s="266">
        <f t="shared" si="89"/>
        <v>0</v>
      </c>
      <c r="AU84" s="266">
        <f t="shared" si="90"/>
        <v>0</v>
      </c>
      <c r="AV84" s="266">
        <f t="shared" si="91"/>
        <v>0</v>
      </c>
      <c r="AW84" s="266">
        <f t="shared" si="92"/>
        <v>0</v>
      </c>
      <c r="AX84" s="266">
        <f t="shared" si="93"/>
        <v>2</v>
      </c>
      <c r="AY84" s="266">
        <f t="shared" si="94"/>
        <v>8560</v>
      </c>
      <c r="AZ84" s="266">
        <f t="shared" si="95"/>
        <v>4280</v>
      </c>
    </row>
    <row r="85" spans="1:52" ht="14">
      <c r="A85" s="268" t="s">
        <v>2016</v>
      </c>
      <c r="B85" s="265"/>
      <c r="C85" s="265"/>
      <c r="D85" s="265">
        <f t="shared" si="69"/>
        <v>0</v>
      </c>
      <c r="E85" s="265"/>
      <c r="F85" s="266"/>
      <c r="G85" s="266">
        <f t="shared" si="70"/>
        <v>0</v>
      </c>
      <c r="H85" s="266"/>
      <c r="I85" s="266"/>
      <c r="J85" s="266">
        <f t="shared" si="71"/>
        <v>0</v>
      </c>
      <c r="K85" s="266">
        <f t="shared" si="72"/>
        <v>0</v>
      </c>
      <c r="L85" s="266">
        <f t="shared" si="73"/>
        <v>0</v>
      </c>
      <c r="M85" s="266">
        <f t="shared" si="74"/>
        <v>0</v>
      </c>
      <c r="N85" s="267">
        <v>253</v>
      </c>
      <c r="O85" s="267">
        <v>756456</v>
      </c>
      <c r="P85" s="266">
        <f t="shared" si="75"/>
        <v>2989.9446640316205</v>
      </c>
      <c r="Q85" s="266">
        <v>750</v>
      </c>
      <c r="R85" s="266">
        <v>2225073</v>
      </c>
      <c r="S85" s="266">
        <f t="shared" si="76"/>
        <v>2966.7640000000001</v>
      </c>
      <c r="T85" s="266">
        <v>800</v>
      </c>
      <c r="U85" s="266">
        <v>2380904</v>
      </c>
      <c r="V85" s="266">
        <f t="shared" si="77"/>
        <v>2976.13</v>
      </c>
      <c r="W85" s="266">
        <f t="shared" si="78"/>
        <v>1803</v>
      </c>
      <c r="X85" s="266">
        <f t="shared" si="79"/>
        <v>5362433</v>
      </c>
      <c r="Y85" s="266">
        <f t="shared" si="80"/>
        <v>2974.1724902939545</v>
      </c>
      <c r="Z85" s="266"/>
      <c r="AA85" s="266"/>
      <c r="AB85" s="266">
        <f t="shared" si="81"/>
        <v>0</v>
      </c>
      <c r="AC85" s="266"/>
      <c r="AD85" s="266"/>
      <c r="AE85" s="266">
        <f t="shared" si="82"/>
        <v>0</v>
      </c>
      <c r="AF85" s="266"/>
      <c r="AG85" s="266"/>
      <c r="AH85" s="266">
        <f t="shared" si="83"/>
        <v>0</v>
      </c>
      <c r="AI85" s="266">
        <f t="shared" si="84"/>
        <v>0</v>
      </c>
      <c r="AJ85" s="266">
        <f t="shared" si="85"/>
        <v>0</v>
      </c>
      <c r="AK85" s="266">
        <f t="shared" si="86"/>
        <v>0</v>
      </c>
      <c r="AL85" s="270"/>
      <c r="AM85" s="266"/>
      <c r="AN85" s="266">
        <f t="shared" si="87"/>
        <v>0</v>
      </c>
      <c r="AO85" s="270"/>
      <c r="AP85" s="270"/>
      <c r="AQ85" s="266">
        <f t="shared" si="88"/>
        <v>0</v>
      </c>
      <c r="AR85" s="266"/>
      <c r="AS85" s="266"/>
      <c r="AT85" s="266">
        <f t="shared" si="89"/>
        <v>0</v>
      </c>
      <c r="AU85" s="266">
        <f t="shared" si="90"/>
        <v>0</v>
      </c>
      <c r="AV85" s="266">
        <f t="shared" si="91"/>
        <v>0</v>
      </c>
      <c r="AW85" s="266">
        <f t="shared" si="92"/>
        <v>0</v>
      </c>
      <c r="AX85" s="266">
        <f t="shared" si="93"/>
        <v>1803</v>
      </c>
      <c r="AY85" s="266">
        <f t="shared" si="94"/>
        <v>5362433</v>
      </c>
      <c r="AZ85" s="266">
        <f t="shared" si="95"/>
        <v>2974.1724902939545</v>
      </c>
    </row>
    <row r="86" spans="1:52" ht="14">
      <c r="A86" s="268" t="s">
        <v>2055</v>
      </c>
      <c r="B86" s="265"/>
      <c r="C86" s="265"/>
      <c r="D86" s="265">
        <f t="shared" si="69"/>
        <v>0</v>
      </c>
      <c r="E86" s="265"/>
      <c r="F86" s="266"/>
      <c r="G86" s="266">
        <f t="shared" si="70"/>
        <v>0</v>
      </c>
      <c r="H86" s="266"/>
      <c r="I86" s="266"/>
      <c r="J86" s="266">
        <f t="shared" si="71"/>
        <v>0</v>
      </c>
      <c r="K86" s="266">
        <f t="shared" si="72"/>
        <v>0</v>
      </c>
      <c r="L86" s="266">
        <f t="shared" si="73"/>
        <v>0</v>
      </c>
      <c r="M86" s="266">
        <f t="shared" si="74"/>
        <v>0</v>
      </c>
      <c r="N86" s="267"/>
      <c r="O86" s="267"/>
      <c r="P86" s="266">
        <f t="shared" si="75"/>
        <v>0</v>
      </c>
      <c r="Q86" s="266"/>
      <c r="R86" s="266"/>
      <c r="S86" s="266">
        <f t="shared" si="76"/>
        <v>0</v>
      </c>
      <c r="T86" s="266"/>
      <c r="U86" s="266"/>
      <c r="V86" s="266">
        <f t="shared" si="77"/>
        <v>0</v>
      </c>
      <c r="W86" s="266">
        <f t="shared" si="78"/>
        <v>0</v>
      </c>
      <c r="X86" s="266">
        <f t="shared" si="79"/>
        <v>0</v>
      </c>
      <c r="Y86" s="266">
        <f t="shared" si="80"/>
        <v>0</v>
      </c>
      <c r="Z86" s="266">
        <v>1800</v>
      </c>
      <c r="AA86" s="266">
        <v>5385425</v>
      </c>
      <c r="AB86" s="266">
        <f t="shared" si="81"/>
        <v>2991.9027777777778</v>
      </c>
      <c r="AC86" s="266"/>
      <c r="AD86" s="266"/>
      <c r="AE86" s="266">
        <f t="shared" si="82"/>
        <v>0</v>
      </c>
      <c r="AF86" s="266"/>
      <c r="AG86" s="266"/>
      <c r="AH86" s="266">
        <f t="shared" si="83"/>
        <v>0</v>
      </c>
      <c r="AI86" s="266">
        <f t="shared" si="84"/>
        <v>1800</v>
      </c>
      <c r="AJ86" s="266">
        <f t="shared" si="85"/>
        <v>5385425</v>
      </c>
      <c r="AK86" s="266">
        <f t="shared" si="86"/>
        <v>2991.9027777777778</v>
      </c>
      <c r="AL86" s="270"/>
      <c r="AM86" s="266"/>
      <c r="AN86" s="266">
        <f t="shared" si="87"/>
        <v>0</v>
      </c>
      <c r="AO86" s="266"/>
      <c r="AP86" s="266"/>
      <c r="AQ86" s="266">
        <f t="shared" si="88"/>
        <v>0</v>
      </c>
      <c r="AR86" s="266"/>
      <c r="AS86" s="266"/>
      <c r="AT86" s="266">
        <f t="shared" si="89"/>
        <v>0</v>
      </c>
      <c r="AU86" s="266">
        <f t="shared" si="90"/>
        <v>0</v>
      </c>
      <c r="AV86" s="266">
        <f t="shared" si="91"/>
        <v>0</v>
      </c>
      <c r="AW86" s="266">
        <f t="shared" si="92"/>
        <v>0</v>
      </c>
      <c r="AX86" s="266">
        <f t="shared" si="93"/>
        <v>1800</v>
      </c>
      <c r="AY86" s="266">
        <f t="shared" si="94"/>
        <v>5385425</v>
      </c>
      <c r="AZ86" s="266">
        <f t="shared" si="95"/>
        <v>2991.9027777777778</v>
      </c>
    </row>
    <row r="87" spans="1:52" ht="14">
      <c r="A87" s="269" t="s">
        <v>2152</v>
      </c>
      <c r="B87" s="265"/>
      <c r="C87" s="265"/>
      <c r="D87" s="265">
        <f t="shared" si="69"/>
        <v>0</v>
      </c>
      <c r="E87" s="265"/>
      <c r="F87" s="266"/>
      <c r="G87" s="266">
        <f t="shared" si="70"/>
        <v>0</v>
      </c>
      <c r="H87" s="266"/>
      <c r="I87" s="266"/>
      <c r="J87" s="266">
        <f t="shared" si="71"/>
        <v>0</v>
      </c>
      <c r="K87" s="266">
        <f t="shared" si="72"/>
        <v>0</v>
      </c>
      <c r="L87" s="266">
        <f t="shared" si="73"/>
        <v>0</v>
      </c>
      <c r="M87" s="266">
        <f t="shared" si="74"/>
        <v>0</v>
      </c>
      <c r="N87" s="267"/>
      <c r="O87" s="267"/>
      <c r="P87" s="266">
        <f t="shared" si="75"/>
        <v>0</v>
      </c>
      <c r="Q87" s="266"/>
      <c r="R87" s="266"/>
      <c r="S87" s="266">
        <f t="shared" si="76"/>
        <v>0</v>
      </c>
      <c r="T87" s="266"/>
      <c r="U87" s="266"/>
      <c r="V87" s="266">
        <f t="shared" si="77"/>
        <v>0</v>
      </c>
      <c r="W87" s="266">
        <f t="shared" si="78"/>
        <v>0</v>
      </c>
      <c r="X87" s="266">
        <f t="shared" si="79"/>
        <v>0</v>
      </c>
      <c r="Y87" s="266">
        <f t="shared" si="80"/>
        <v>0</v>
      </c>
      <c r="Z87" s="266"/>
      <c r="AA87" s="266"/>
      <c r="AB87" s="266">
        <f t="shared" si="81"/>
        <v>0</v>
      </c>
      <c r="AC87" s="266">
        <v>200</v>
      </c>
      <c r="AD87" s="266">
        <v>137872</v>
      </c>
      <c r="AE87" s="266">
        <f t="shared" si="82"/>
        <v>689.36</v>
      </c>
      <c r="AF87" s="266"/>
      <c r="AG87" s="266"/>
      <c r="AH87" s="266">
        <f t="shared" si="83"/>
        <v>0</v>
      </c>
      <c r="AI87" s="266">
        <f t="shared" si="84"/>
        <v>200</v>
      </c>
      <c r="AJ87" s="266">
        <f t="shared" si="85"/>
        <v>137872</v>
      </c>
      <c r="AK87" s="266">
        <f t="shared" si="86"/>
        <v>689.36</v>
      </c>
      <c r="AL87" s="270"/>
      <c r="AM87" s="266"/>
      <c r="AN87" s="266">
        <f t="shared" si="87"/>
        <v>0</v>
      </c>
      <c r="AO87" s="266"/>
      <c r="AP87" s="266"/>
      <c r="AQ87" s="266">
        <f t="shared" si="88"/>
        <v>0</v>
      </c>
      <c r="AR87" s="266"/>
      <c r="AS87" s="266"/>
      <c r="AT87" s="266">
        <f t="shared" si="89"/>
        <v>0</v>
      </c>
      <c r="AU87" s="266">
        <f t="shared" si="90"/>
        <v>0</v>
      </c>
      <c r="AV87" s="266">
        <f t="shared" si="91"/>
        <v>0</v>
      </c>
      <c r="AW87" s="266">
        <f t="shared" si="92"/>
        <v>0</v>
      </c>
      <c r="AX87" s="266">
        <f t="shared" si="93"/>
        <v>200</v>
      </c>
      <c r="AY87" s="266">
        <f t="shared" si="94"/>
        <v>137872</v>
      </c>
      <c r="AZ87" s="266">
        <f t="shared" si="95"/>
        <v>689.36</v>
      </c>
    </row>
    <row r="88" spans="1:52" ht="14">
      <c r="A88" s="269" t="s">
        <v>2151</v>
      </c>
      <c r="B88" s="265"/>
      <c r="C88" s="265"/>
      <c r="D88" s="265">
        <f t="shared" si="69"/>
        <v>0</v>
      </c>
      <c r="E88" s="265"/>
      <c r="F88" s="266"/>
      <c r="G88" s="266">
        <f t="shared" si="70"/>
        <v>0</v>
      </c>
      <c r="H88" s="266"/>
      <c r="I88" s="266"/>
      <c r="J88" s="266">
        <f t="shared" si="71"/>
        <v>0</v>
      </c>
      <c r="K88" s="266">
        <f t="shared" si="72"/>
        <v>0</v>
      </c>
      <c r="L88" s="266">
        <f t="shared" si="73"/>
        <v>0</v>
      </c>
      <c r="M88" s="266">
        <f t="shared" si="74"/>
        <v>0</v>
      </c>
      <c r="N88" s="266"/>
      <c r="O88" s="266"/>
      <c r="P88" s="266">
        <f t="shared" si="75"/>
        <v>0</v>
      </c>
      <c r="Q88" s="266"/>
      <c r="R88" s="266"/>
      <c r="S88" s="266">
        <f t="shared" si="76"/>
        <v>0</v>
      </c>
      <c r="T88" s="266"/>
      <c r="U88" s="266"/>
      <c r="V88" s="266">
        <f t="shared" si="77"/>
        <v>0</v>
      </c>
      <c r="W88" s="266">
        <f t="shared" si="78"/>
        <v>0</v>
      </c>
      <c r="X88" s="266">
        <f t="shared" si="79"/>
        <v>0</v>
      </c>
      <c r="Y88" s="266">
        <f t="shared" si="80"/>
        <v>0</v>
      </c>
      <c r="Z88" s="266"/>
      <c r="AA88" s="266"/>
      <c r="AB88" s="266">
        <f t="shared" si="81"/>
        <v>0</v>
      </c>
      <c r="AC88" s="266">
        <v>150</v>
      </c>
      <c r="AD88" s="266">
        <v>19075</v>
      </c>
      <c r="AE88" s="266">
        <f t="shared" si="82"/>
        <v>127.16666666666667</v>
      </c>
      <c r="AF88" s="266"/>
      <c r="AG88" s="266"/>
      <c r="AH88" s="266">
        <f t="shared" si="83"/>
        <v>0</v>
      </c>
      <c r="AI88" s="266">
        <f t="shared" si="84"/>
        <v>150</v>
      </c>
      <c r="AJ88" s="266">
        <f t="shared" si="85"/>
        <v>19075</v>
      </c>
      <c r="AK88" s="266">
        <f t="shared" si="86"/>
        <v>127.16666666666667</v>
      </c>
      <c r="AL88" s="266"/>
      <c r="AM88" s="266"/>
      <c r="AN88" s="266">
        <f t="shared" si="87"/>
        <v>0</v>
      </c>
      <c r="AO88" s="266"/>
      <c r="AP88" s="266"/>
      <c r="AQ88" s="266">
        <f t="shared" si="88"/>
        <v>0</v>
      </c>
      <c r="AR88" s="266"/>
      <c r="AS88" s="266"/>
      <c r="AT88" s="266">
        <f t="shared" si="89"/>
        <v>0</v>
      </c>
      <c r="AU88" s="266">
        <f t="shared" si="90"/>
        <v>0</v>
      </c>
      <c r="AV88" s="266">
        <f t="shared" si="91"/>
        <v>0</v>
      </c>
      <c r="AW88" s="266">
        <f t="shared" si="92"/>
        <v>0</v>
      </c>
      <c r="AX88" s="266">
        <f t="shared" si="93"/>
        <v>150</v>
      </c>
      <c r="AY88" s="266">
        <f t="shared" si="94"/>
        <v>19075</v>
      </c>
      <c r="AZ88" s="266">
        <f t="shared" si="95"/>
        <v>127.16666666666667</v>
      </c>
    </row>
    <row r="89" spans="1:52" ht="14">
      <c r="A89" s="269" t="s">
        <v>2150</v>
      </c>
      <c r="B89" s="265"/>
      <c r="C89" s="265"/>
      <c r="D89" s="265">
        <f t="shared" si="69"/>
        <v>0</v>
      </c>
      <c r="E89" s="265"/>
      <c r="F89" s="266"/>
      <c r="G89" s="266">
        <f t="shared" si="70"/>
        <v>0</v>
      </c>
      <c r="H89" s="266"/>
      <c r="I89" s="266"/>
      <c r="J89" s="266">
        <f t="shared" si="71"/>
        <v>0</v>
      </c>
      <c r="K89" s="266">
        <f t="shared" si="72"/>
        <v>0</v>
      </c>
      <c r="L89" s="266">
        <f t="shared" si="73"/>
        <v>0</v>
      </c>
      <c r="M89" s="266">
        <f t="shared" si="74"/>
        <v>0</v>
      </c>
      <c r="N89" s="266"/>
      <c r="O89" s="266"/>
      <c r="P89" s="266">
        <f t="shared" si="75"/>
        <v>0</v>
      </c>
      <c r="Q89" s="266"/>
      <c r="R89" s="266"/>
      <c r="S89" s="266">
        <f t="shared" si="76"/>
        <v>0</v>
      </c>
      <c r="T89" s="266"/>
      <c r="U89" s="266"/>
      <c r="V89" s="266">
        <f t="shared" si="77"/>
        <v>0</v>
      </c>
      <c r="W89" s="266">
        <f t="shared" si="78"/>
        <v>0</v>
      </c>
      <c r="X89" s="266">
        <f t="shared" si="79"/>
        <v>0</v>
      </c>
      <c r="Y89" s="266">
        <f t="shared" si="80"/>
        <v>0</v>
      </c>
      <c r="Z89" s="266"/>
      <c r="AA89" s="266"/>
      <c r="AB89" s="266">
        <f t="shared" si="81"/>
        <v>0</v>
      </c>
      <c r="AC89" s="266">
        <v>250</v>
      </c>
      <c r="AD89" s="266">
        <v>28100</v>
      </c>
      <c r="AE89" s="266">
        <f t="shared" si="82"/>
        <v>112.4</v>
      </c>
      <c r="AF89" s="266"/>
      <c r="AG89" s="266"/>
      <c r="AH89" s="266">
        <f t="shared" si="83"/>
        <v>0</v>
      </c>
      <c r="AI89" s="266">
        <f t="shared" si="84"/>
        <v>250</v>
      </c>
      <c r="AJ89" s="266">
        <f t="shared" si="85"/>
        <v>28100</v>
      </c>
      <c r="AK89" s="266">
        <f t="shared" si="86"/>
        <v>112.4</v>
      </c>
      <c r="AL89" s="266"/>
      <c r="AM89" s="266"/>
      <c r="AN89" s="266">
        <f t="shared" si="87"/>
        <v>0</v>
      </c>
      <c r="AO89" s="266"/>
      <c r="AP89" s="266"/>
      <c r="AQ89" s="266">
        <f t="shared" si="88"/>
        <v>0</v>
      </c>
      <c r="AR89" s="266"/>
      <c r="AS89" s="266"/>
      <c r="AT89" s="266">
        <f t="shared" si="89"/>
        <v>0</v>
      </c>
      <c r="AU89" s="266">
        <f t="shared" si="90"/>
        <v>0</v>
      </c>
      <c r="AV89" s="266">
        <f t="shared" si="91"/>
        <v>0</v>
      </c>
      <c r="AW89" s="266">
        <f t="shared" si="92"/>
        <v>0</v>
      </c>
      <c r="AX89" s="266">
        <f t="shared" si="93"/>
        <v>250</v>
      </c>
      <c r="AY89" s="266">
        <f t="shared" si="94"/>
        <v>28100</v>
      </c>
      <c r="AZ89" s="266">
        <f t="shared" si="95"/>
        <v>112.4</v>
      </c>
    </row>
    <row r="90" spans="1:52" ht="14">
      <c r="A90" s="269"/>
      <c r="B90" s="265"/>
      <c r="C90" s="265"/>
      <c r="D90" s="265">
        <f t="shared" si="69"/>
        <v>0</v>
      </c>
      <c r="E90" s="265"/>
      <c r="F90" s="266"/>
      <c r="G90" s="266">
        <f t="shared" si="70"/>
        <v>0</v>
      </c>
      <c r="H90" s="266"/>
      <c r="I90" s="266"/>
      <c r="J90" s="266">
        <f t="shared" si="71"/>
        <v>0</v>
      </c>
      <c r="K90" s="266">
        <f t="shared" si="72"/>
        <v>0</v>
      </c>
      <c r="L90" s="266">
        <f t="shared" si="73"/>
        <v>0</v>
      </c>
      <c r="M90" s="266">
        <f t="shared" si="74"/>
        <v>0</v>
      </c>
      <c r="N90" s="266"/>
      <c r="O90" s="266"/>
      <c r="P90" s="266">
        <f t="shared" si="75"/>
        <v>0</v>
      </c>
      <c r="Q90" s="266"/>
      <c r="R90" s="266"/>
      <c r="S90" s="266">
        <f t="shared" si="76"/>
        <v>0</v>
      </c>
      <c r="T90" s="266"/>
      <c r="U90" s="266"/>
      <c r="V90" s="266">
        <f t="shared" si="77"/>
        <v>0</v>
      </c>
      <c r="W90" s="266">
        <f t="shared" si="78"/>
        <v>0</v>
      </c>
      <c r="X90" s="266">
        <f t="shared" si="79"/>
        <v>0</v>
      </c>
      <c r="Y90" s="266">
        <f t="shared" si="80"/>
        <v>0</v>
      </c>
      <c r="Z90" s="266"/>
      <c r="AA90" s="266"/>
      <c r="AB90" s="266">
        <f t="shared" si="81"/>
        <v>0</v>
      </c>
      <c r="AC90" s="266"/>
      <c r="AD90" s="266"/>
      <c r="AE90" s="266">
        <f t="shared" si="82"/>
        <v>0</v>
      </c>
      <c r="AF90" s="266"/>
      <c r="AG90" s="266"/>
      <c r="AH90" s="266">
        <f t="shared" si="83"/>
        <v>0</v>
      </c>
      <c r="AI90" s="266">
        <f t="shared" si="84"/>
        <v>0</v>
      </c>
      <c r="AJ90" s="266">
        <f t="shared" si="85"/>
        <v>0</v>
      </c>
      <c r="AK90" s="266">
        <f t="shared" si="86"/>
        <v>0</v>
      </c>
      <c r="AL90" s="266"/>
      <c r="AM90" s="266"/>
      <c r="AN90" s="266">
        <f t="shared" si="87"/>
        <v>0</v>
      </c>
      <c r="AO90" s="266"/>
      <c r="AP90" s="266"/>
      <c r="AQ90" s="266">
        <f t="shared" si="88"/>
        <v>0</v>
      </c>
      <c r="AR90" s="266"/>
      <c r="AS90" s="266"/>
      <c r="AT90" s="266">
        <f t="shared" si="89"/>
        <v>0</v>
      </c>
      <c r="AU90" s="266">
        <f t="shared" si="90"/>
        <v>0</v>
      </c>
      <c r="AV90" s="266">
        <f t="shared" si="91"/>
        <v>0</v>
      </c>
      <c r="AW90" s="266">
        <f t="shared" si="92"/>
        <v>0</v>
      </c>
      <c r="AX90" s="266">
        <f t="shared" si="93"/>
        <v>0</v>
      </c>
      <c r="AY90" s="266">
        <f t="shared" si="94"/>
        <v>0</v>
      </c>
      <c r="AZ90" s="266">
        <f t="shared" si="95"/>
        <v>0</v>
      </c>
    </row>
    <row r="91" spans="1:52" ht="14">
      <c r="A91" s="204" t="s">
        <v>1073</v>
      </c>
      <c r="B91" s="265">
        <v>1148</v>
      </c>
      <c r="C91" s="265">
        <v>1509068</v>
      </c>
      <c r="D91" s="265">
        <f t="shared" si="69"/>
        <v>1314.5191637630662</v>
      </c>
      <c r="E91" s="265">
        <v>512</v>
      </c>
      <c r="F91" s="266">
        <v>1817169</v>
      </c>
      <c r="G91" s="266">
        <f t="shared" si="70"/>
        <v>3549.158203125</v>
      </c>
      <c r="H91" s="266">
        <v>43044</v>
      </c>
      <c r="I91" s="266">
        <v>2208418</v>
      </c>
      <c r="J91" s="266">
        <f>IF(H91=0,0,I91/H91)</f>
        <v>51.30605891645758</v>
      </c>
      <c r="K91" s="266">
        <f t="shared" si="72"/>
        <v>44704</v>
      </c>
      <c r="L91" s="266">
        <f t="shared" si="73"/>
        <v>5534655</v>
      </c>
      <c r="M91" s="266">
        <f t="shared" si="74"/>
        <v>123.80670633500358</v>
      </c>
      <c r="N91" s="266">
        <v>1564</v>
      </c>
      <c r="O91" s="266">
        <v>2678200</v>
      </c>
      <c r="P91" s="266">
        <f t="shared" si="75"/>
        <v>1712.4040920716113</v>
      </c>
      <c r="Q91" s="266">
        <v>1048</v>
      </c>
      <c r="R91" s="266">
        <v>1187265</v>
      </c>
      <c r="S91" s="266">
        <f t="shared" si="76"/>
        <v>1132.8864503816794</v>
      </c>
      <c r="T91" s="266">
        <v>166212</v>
      </c>
      <c r="U91" s="266">
        <v>5165326</v>
      </c>
      <c r="V91" s="266">
        <f t="shared" si="77"/>
        <v>31.076733328520202</v>
      </c>
      <c r="W91" s="266">
        <f t="shared" si="78"/>
        <v>168824</v>
      </c>
      <c r="X91" s="266">
        <f t="shared" si="79"/>
        <v>9030791</v>
      </c>
      <c r="Y91" s="266">
        <f t="shared" si="80"/>
        <v>53.492341136331326</v>
      </c>
      <c r="Z91" s="266">
        <v>620376</v>
      </c>
      <c r="AA91" s="266">
        <v>999325</v>
      </c>
      <c r="AB91" s="266">
        <f t="shared" si="81"/>
        <v>1.6108376210556179</v>
      </c>
      <c r="AC91" s="266">
        <v>2168</v>
      </c>
      <c r="AD91" s="266">
        <v>6831284</v>
      </c>
      <c r="AE91" s="266">
        <f t="shared" si="82"/>
        <v>3150.9612546125463</v>
      </c>
      <c r="AF91" s="266"/>
      <c r="AG91" s="266"/>
      <c r="AH91" s="266">
        <f t="shared" si="83"/>
        <v>0</v>
      </c>
      <c r="AI91" s="266">
        <f t="shared" ref="AI91:AI92" si="177">Z91+AC91+AF91</f>
        <v>622544</v>
      </c>
      <c r="AJ91" s="266">
        <f t="shared" ref="AJ91:AJ92" si="178">AA91+AD91+AG91</f>
        <v>7830609</v>
      </c>
      <c r="AK91" s="266">
        <f t="shared" ref="AK91:AK92" si="179">IF(AI91=0,0,AJ91/AI91)</f>
        <v>12.578402490426379</v>
      </c>
      <c r="AL91" s="266"/>
      <c r="AM91" s="266"/>
      <c r="AN91" s="266">
        <f>IF(AL91=0,0,AM91/AL91)</f>
        <v>0</v>
      </c>
      <c r="AO91" s="266"/>
      <c r="AP91" s="266"/>
      <c r="AQ91" s="266">
        <f t="shared" si="88"/>
        <v>0</v>
      </c>
      <c r="AR91" s="266"/>
      <c r="AS91" s="266"/>
      <c r="AT91" s="266">
        <f t="shared" ref="AT91" si="180">IF(AR91=0,0,AS91/AR91)</f>
        <v>0</v>
      </c>
      <c r="AU91" s="266">
        <f t="shared" si="90"/>
        <v>0</v>
      </c>
      <c r="AV91" s="266">
        <f t="shared" si="91"/>
        <v>0</v>
      </c>
      <c r="AW91" s="266">
        <f t="shared" si="92"/>
        <v>0</v>
      </c>
      <c r="AX91" s="266">
        <f t="shared" si="93"/>
        <v>836072</v>
      </c>
      <c r="AY91" s="266">
        <f t="shared" si="94"/>
        <v>22396055</v>
      </c>
      <c r="AZ91" s="266">
        <f t="shared" si="95"/>
        <v>26.787232439311445</v>
      </c>
    </row>
    <row r="92" spans="1:52" ht="14">
      <c r="A92" s="204" t="s">
        <v>1074</v>
      </c>
      <c r="B92" s="265"/>
      <c r="C92" s="265"/>
      <c r="D92" s="265"/>
      <c r="E92" s="265"/>
      <c r="F92" s="266"/>
      <c r="G92" s="266"/>
      <c r="H92" s="266"/>
      <c r="I92" s="266"/>
      <c r="J92" s="266"/>
      <c r="K92" s="266">
        <f t="shared" ref="K92" si="181">B92+E92+H92</f>
        <v>0</v>
      </c>
      <c r="L92" s="266">
        <f t="shared" ref="L92" si="182">C92+F92+I92</f>
        <v>0</v>
      </c>
      <c r="M92" s="266">
        <f t="shared" ref="M92" si="183">IF(K92=0,0,L92/K92)</f>
        <v>0</v>
      </c>
      <c r="N92" s="266"/>
      <c r="O92" s="266"/>
      <c r="P92" s="266"/>
      <c r="Q92" s="266"/>
      <c r="R92" s="266"/>
      <c r="S92" s="266"/>
      <c r="T92" s="266"/>
      <c r="U92" s="266"/>
      <c r="V92" s="266"/>
      <c r="W92" s="266">
        <f t="shared" si="78"/>
        <v>0</v>
      </c>
      <c r="X92" s="266">
        <f t="shared" si="79"/>
        <v>0</v>
      </c>
      <c r="Y92" s="266">
        <f t="shared" si="80"/>
        <v>0</v>
      </c>
      <c r="Z92" s="266"/>
      <c r="AA92" s="266"/>
      <c r="AB92" s="266"/>
      <c r="AC92" s="266"/>
      <c r="AD92" s="266"/>
      <c r="AE92" s="266"/>
      <c r="AF92" s="266"/>
      <c r="AG92" s="266"/>
      <c r="AH92" s="266"/>
      <c r="AI92" s="266">
        <f t="shared" si="177"/>
        <v>0</v>
      </c>
      <c r="AJ92" s="266">
        <f t="shared" si="178"/>
        <v>0</v>
      </c>
      <c r="AK92" s="266">
        <f t="shared" si="179"/>
        <v>0</v>
      </c>
      <c r="AL92" s="266"/>
      <c r="AM92" s="266"/>
      <c r="AN92" s="266"/>
      <c r="AO92" s="266"/>
      <c r="AP92" s="266"/>
      <c r="AQ92" s="266"/>
      <c r="AR92" s="266"/>
      <c r="AS92" s="266"/>
      <c r="AT92" s="266"/>
      <c r="AU92" s="266">
        <f t="shared" si="90"/>
        <v>0</v>
      </c>
      <c r="AV92" s="266">
        <f t="shared" si="91"/>
        <v>0</v>
      </c>
      <c r="AW92" s="266">
        <f t="shared" si="92"/>
        <v>0</v>
      </c>
      <c r="AX92" s="266">
        <f t="shared" si="93"/>
        <v>0</v>
      </c>
      <c r="AY92" s="266">
        <f t="shared" si="94"/>
        <v>0</v>
      </c>
      <c r="AZ92" s="266">
        <f t="shared" si="95"/>
        <v>0</v>
      </c>
    </row>
    <row r="93" spans="1:52" s="205" customFormat="1" ht="15" thickBot="1">
      <c r="A93" s="204" t="s">
        <v>596</v>
      </c>
      <c r="B93" s="271"/>
      <c r="C93" s="271">
        <f>IS明細!D20</f>
        <v>3959</v>
      </c>
      <c r="D93" s="271">
        <f>IF(B93=0,0,C93/B93)</f>
        <v>0</v>
      </c>
      <c r="E93" s="271"/>
      <c r="F93" s="271">
        <f>IS明細!F20</f>
        <v>43786</v>
      </c>
      <c r="G93" s="271">
        <f>IF(E93=0,0,F93/E93)</f>
        <v>0</v>
      </c>
      <c r="H93" s="271"/>
      <c r="I93" s="271">
        <f>IS明細!H20</f>
        <v>27522</v>
      </c>
      <c r="J93" s="271">
        <f>IF(H93=0,0,I93/H93)</f>
        <v>0</v>
      </c>
      <c r="K93" s="271">
        <f>B93+E93+H93</f>
        <v>0</v>
      </c>
      <c r="L93" s="271">
        <f>C93+F93+I93</f>
        <v>75267</v>
      </c>
      <c r="M93" s="271">
        <f>IF(K93=0,0,L93/K93)</f>
        <v>0</v>
      </c>
      <c r="N93" s="271">
        <v>0</v>
      </c>
      <c r="O93" s="271">
        <f>IS明細!J20</f>
        <v>20986</v>
      </c>
      <c r="P93" s="271">
        <f>IF(N93=0,0,O93/N93)</f>
        <v>0</v>
      </c>
      <c r="Q93" s="271"/>
      <c r="R93" s="271">
        <f>IS明細!L20</f>
        <v>43107</v>
      </c>
      <c r="S93" s="271">
        <f>IF(Q93=0,0,R93/Q93)</f>
        <v>0</v>
      </c>
      <c r="T93" s="271">
        <v>0</v>
      </c>
      <c r="U93" s="271">
        <f>IS明細!N20</f>
        <v>81879</v>
      </c>
      <c r="V93" s="271">
        <f>IF(T93=0,0,U93/T93)</f>
        <v>0</v>
      </c>
      <c r="W93" s="271">
        <f>N93+Q93+T93</f>
        <v>0</v>
      </c>
      <c r="X93" s="271">
        <f>O93+R93+U93</f>
        <v>145972</v>
      </c>
      <c r="Y93" s="271">
        <f>IF(W93=0,0,X93/W93)</f>
        <v>0</v>
      </c>
      <c r="Z93" s="271"/>
      <c r="AA93" s="271">
        <f>IS明細!P20</f>
        <v>3539</v>
      </c>
      <c r="AB93" s="271">
        <f>IF(Z93=0,0,AA93/Z93)</f>
        <v>0</v>
      </c>
      <c r="AC93" s="271"/>
      <c r="AD93" s="271">
        <f>IS明細!R20</f>
        <v>3539</v>
      </c>
      <c r="AE93" s="271">
        <f>IF(AC93=0,0,AD93/AC93)</f>
        <v>0</v>
      </c>
      <c r="AF93" s="271"/>
      <c r="AG93" s="271">
        <f>IS明細!T20</f>
        <v>0</v>
      </c>
      <c r="AH93" s="271">
        <f>IF(AF93=0,0,AG93/AF93)</f>
        <v>0</v>
      </c>
      <c r="AI93" s="271">
        <f>Z93+AC93+AF93</f>
        <v>0</v>
      </c>
      <c r="AJ93" s="271">
        <f>AA93+AD93+AG93</f>
        <v>7078</v>
      </c>
      <c r="AK93" s="271">
        <f>IF(AI93=0,0,AJ93/AI93)</f>
        <v>0</v>
      </c>
      <c r="AL93" s="271"/>
      <c r="AM93" s="271">
        <f>IS明細!V20</f>
        <v>0</v>
      </c>
      <c r="AN93" s="271">
        <f>IF(AL93=0,0,AM93/AL93)</f>
        <v>0</v>
      </c>
      <c r="AO93" s="271"/>
      <c r="AP93" s="271">
        <f>IS明細!X20</f>
        <v>0</v>
      </c>
      <c r="AQ93" s="271">
        <f>IF(AO93=0,0,AP93/AO93)</f>
        <v>0</v>
      </c>
      <c r="AR93" s="271"/>
      <c r="AS93" s="271">
        <f>IS明細!Z20</f>
        <v>0</v>
      </c>
      <c r="AT93" s="271">
        <f>IF(AR93=0,0,AS93/AR93)</f>
        <v>0</v>
      </c>
      <c r="AU93" s="271">
        <f>AL93+AO93+AR93</f>
        <v>0</v>
      </c>
      <c r="AV93" s="271">
        <f>AM93+AP93+AS93</f>
        <v>0</v>
      </c>
      <c r="AW93" s="271">
        <f>IF(AU93=0,0,AV93/AU93)</f>
        <v>0</v>
      </c>
      <c r="AX93" s="271">
        <f t="shared" ref="AX93" si="184">K93+W93+AI93+AU93</f>
        <v>0</v>
      </c>
      <c r="AY93" s="271">
        <f t="shared" ref="AY93" si="185">L93+X93+AJ93+AV93</f>
        <v>228317</v>
      </c>
      <c r="AZ93" s="266">
        <f t="shared" ref="AZ93:AZ94" si="186">IF(AX93=0,0,AY93/AX93)</f>
        <v>0</v>
      </c>
    </row>
    <row r="94" spans="1:52" s="325" customFormat="1" ht="15" thickTop="1">
      <c r="A94" s="324"/>
      <c r="B94" s="324">
        <f>SUM(B52:B93)</f>
        <v>12953</v>
      </c>
      <c r="C94" s="324">
        <f>SUM(C52:C93)</f>
        <v>60246951</v>
      </c>
      <c r="D94" s="324"/>
      <c r="E94" s="324">
        <f>SUM(E52:E93)</f>
        <v>10556</v>
      </c>
      <c r="F94" s="324">
        <f>SUM(F52:F93)</f>
        <v>53071500</v>
      </c>
      <c r="G94" s="324"/>
      <c r="H94" s="324">
        <f>SUM(H52:H93)</f>
        <v>51985</v>
      </c>
      <c r="I94" s="324">
        <f>SUM(I52:I93)</f>
        <v>63731970</v>
      </c>
      <c r="J94" s="324"/>
      <c r="K94" s="324">
        <f>B94+E94+H94</f>
        <v>75494</v>
      </c>
      <c r="L94" s="324">
        <f>C94+F94+I94</f>
        <v>177050421</v>
      </c>
      <c r="M94" s="324"/>
      <c r="N94" s="324">
        <f>SUM(N52:N93)</f>
        <v>17069</v>
      </c>
      <c r="O94" s="324">
        <f>SUM(O52:O93)</f>
        <v>67365680</v>
      </c>
      <c r="P94" s="324"/>
      <c r="Q94" s="324">
        <f>SUM(Q52:Q93)</f>
        <v>12731</v>
      </c>
      <c r="R94" s="324">
        <f>SUM(R52:R93)</f>
        <v>53281343</v>
      </c>
      <c r="S94" s="324"/>
      <c r="T94" s="324">
        <f>SUM(T52:T93)</f>
        <v>183128</v>
      </c>
      <c r="U94" s="324">
        <f>SUM(U52:U93)</f>
        <v>87487966</v>
      </c>
      <c r="V94" s="324"/>
      <c r="W94" s="324">
        <f>N94+Q94+T94</f>
        <v>212928</v>
      </c>
      <c r="X94" s="324">
        <f>O94+R94+U94</f>
        <v>208134989</v>
      </c>
      <c r="Y94" s="324"/>
      <c r="Z94" s="324">
        <f>SUM(Z52:Z93)</f>
        <v>638872</v>
      </c>
      <c r="AA94" s="324">
        <f>SUM(AA52:AA93)</f>
        <v>98241166</v>
      </c>
      <c r="AB94" s="324"/>
      <c r="AC94" s="324">
        <f>SUM(AC52:AC93)</f>
        <v>16256</v>
      </c>
      <c r="AD94" s="324">
        <f>SUM(AD52:AD93)</f>
        <v>82134915</v>
      </c>
      <c r="AE94" s="324"/>
      <c r="AF94" s="324">
        <f>SUM(AF52:AF93)</f>
        <v>0</v>
      </c>
      <c r="AG94" s="324">
        <f>SUM(AG52:AG93)</f>
        <v>0</v>
      </c>
      <c r="AH94" s="324"/>
      <c r="AI94" s="324">
        <f>Z94+AC94+AF94</f>
        <v>655128</v>
      </c>
      <c r="AJ94" s="324">
        <f>AA94+AD94+AG94</f>
        <v>180376081</v>
      </c>
      <c r="AK94" s="324"/>
      <c r="AL94" s="324">
        <f>SUM(AL52:AL93)</f>
        <v>0</v>
      </c>
      <c r="AM94" s="324">
        <f>SUM(AM52:AM93)</f>
        <v>0</v>
      </c>
      <c r="AN94" s="324" t="e">
        <f>AM94/AL94</f>
        <v>#DIV/0!</v>
      </c>
      <c r="AO94" s="324">
        <f>SUM(AO52:AO93)</f>
        <v>0</v>
      </c>
      <c r="AP94" s="324">
        <f>SUM(AP52:AP93)</f>
        <v>0</v>
      </c>
      <c r="AQ94" s="324"/>
      <c r="AR94" s="324">
        <f>SUM(AR52:AR93)</f>
        <v>0</v>
      </c>
      <c r="AS94" s="324">
        <f>SUM(AS52:AS93)</f>
        <v>0</v>
      </c>
      <c r="AT94" s="324"/>
      <c r="AU94" s="324">
        <f>AL94+AO94+AR94</f>
        <v>0</v>
      </c>
      <c r="AV94" s="324">
        <f>AM94+AP94+AS94</f>
        <v>0</v>
      </c>
      <c r="AW94" s="324"/>
      <c r="AX94" s="324">
        <f>K94+W94+AI94+AU94</f>
        <v>943550</v>
      </c>
      <c r="AY94" s="324">
        <f>L94+X94+AJ94+AV94</f>
        <v>565561491</v>
      </c>
      <c r="AZ94" s="324">
        <f t="shared" si="186"/>
        <v>599.39747867097662</v>
      </c>
    </row>
    <row r="95" spans="1:52" s="325" customFormat="1" ht="14">
      <c r="A95" s="393"/>
      <c r="B95" s="324"/>
      <c r="C95" s="324">
        <f>IS明細!D21</f>
        <v>60246951</v>
      </c>
      <c r="D95" s="324"/>
      <c r="E95" s="324"/>
      <c r="F95" s="324">
        <f>IS明細!F21</f>
        <v>53071500</v>
      </c>
      <c r="G95" s="324"/>
      <c r="H95" s="324"/>
      <c r="I95" s="324">
        <f>IS明細!H21</f>
        <v>63731970</v>
      </c>
      <c r="J95" s="324"/>
      <c r="K95" s="324"/>
      <c r="L95" s="324"/>
      <c r="M95" s="324"/>
      <c r="N95" s="324"/>
      <c r="O95" s="324">
        <f>IS明細!J21</f>
        <v>67365680</v>
      </c>
      <c r="P95" s="324"/>
      <c r="Q95" s="324"/>
      <c r="R95" s="324">
        <f>IS明細!L21</f>
        <v>53281343</v>
      </c>
      <c r="S95" s="324"/>
      <c r="T95" s="324"/>
      <c r="U95" s="324">
        <f>IS明細!N21</f>
        <v>87487966</v>
      </c>
      <c r="V95" s="324"/>
      <c r="W95" s="324"/>
      <c r="X95" s="324"/>
      <c r="Y95" s="324"/>
      <c r="Z95" s="324"/>
      <c r="AA95" s="324">
        <f>IS明細!P21</f>
        <v>98241166</v>
      </c>
      <c r="AB95" s="324"/>
      <c r="AC95" s="324"/>
      <c r="AD95" s="324">
        <f>IS明細!R21</f>
        <v>82134915</v>
      </c>
      <c r="AE95" s="324"/>
      <c r="AF95" s="324"/>
      <c r="AG95" s="324">
        <f>IS明細!T21</f>
        <v>0</v>
      </c>
      <c r="AH95" s="324"/>
      <c r="AI95" s="324"/>
      <c r="AJ95" s="324"/>
      <c r="AK95" s="324"/>
      <c r="AL95" s="324"/>
      <c r="AM95" s="324">
        <f>IS明細!V21</f>
        <v>0</v>
      </c>
      <c r="AN95" s="324"/>
      <c r="AO95" s="324"/>
      <c r="AP95" s="324">
        <f>IS明細!X21</f>
        <v>0</v>
      </c>
      <c r="AQ95" s="324"/>
      <c r="AR95" s="324"/>
      <c r="AS95" s="324">
        <f>IS明細!Z21</f>
        <v>0</v>
      </c>
      <c r="AT95" s="324"/>
      <c r="AU95" s="324"/>
      <c r="AV95" s="324"/>
      <c r="AW95" s="324"/>
      <c r="AX95" s="324"/>
      <c r="AY95" s="324"/>
      <c r="AZ95" s="324"/>
    </row>
    <row r="96" spans="1:52" s="205" customFormat="1" ht="17.25" customHeight="1">
      <c r="A96" s="204"/>
      <c r="B96" s="207"/>
      <c r="C96" s="207"/>
      <c r="D96" s="207"/>
      <c r="E96" s="204"/>
      <c r="F96" s="204"/>
      <c r="G96" s="204"/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  <c r="W96" s="204"/>
      <c r="X96" s="204"/>
      <c r="Y96" s="204"/>
      <c r="Z96" s="204"/>
      <c r="AA96" s="204"/>
      <c r="AB96" s="204"/>
      <c r="AC96" s="204"/>
      <c r="AD96" s="204"/>
      <c r="AE96" s="204"/>
      <c r="AF96" s="204"/>
      <c r="AG96" s="204"/>
      <c r="AH96" s="204"/>
      <c r="AI96" s="204"/>
      <c r="AJ96" s="204"/>
      <c r="AK96" s="204"/>
      <c r="AL96" s="204"/>
      <c r="AM96" s="204"/>
      <c r="AN96" s="204"/>
      <c r="AO96" s="204"/>
      <c r="AP96" s="204"/>
      <c r="AQ96" s="204"/>
      <c r="AR96" s="204"/>
      <c r="AS96" s="204"/>
      <c r="AT96" s="204"/>
      <c r="AU96" s="204"/>
      <c r="AV96" s="204"/>
      <c r="AW96" s="204"/>
      <c r="AX96" s="204"/>
      <c r="AY96" s="204"/>
      <c r="AZ96" s="204"/>
    </row>
    <row r="97" spans="1:52" s="205" customFormat="1" ht="17.25" customHeight="1">
      <c r="A97" s="204"/>
      <c r="B97" s="207"/>
      <c r="C97" s="207"/>
      <c r="D97" s="207"/>
      <c r="E97" s="204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P97" s="204"/>
      <c r="Q97" s="204"/>
      <c r="R97" s="204"/>
      <c r="S97" s="204"/>
      <c r="T97" s="204"/>
      <c r="U97" s="204"/>
      <c r="V97" s="204"/>
      <c r="W97" s="204"/>
      <c r="X97" s="204"/>
      <c r="Y97" s="204"/>
      <c r="Z97" s="204"/>
      <c r="AA97" s="204"/>
      <c r="AB97" s="204"/>
      <c r="AC97" s="204"/>
      <c r="AD97" s="204"/>
      <c r="AE97" s="204"/>
      <c r="AF97" s="204"/>
      <c r="AG97" s="204"/>
      <c r="AH97" s="204"/>
      <c r="AI97" s="204"/>
      <c r="AJ97" s="204"/>
      <c r="AK97" s="204"/>
      <c r="AL97" s="204"/>
      <c r="AM97" s="204"/>
      <c r="AN97" s="204"/>
      <c r="AO97" s="204"/>
      <c r="AP97" s="204"/>
      <c r="AQ97" s="204"/>
      <c r="AR97" s="204"/>
      <c r="AS97" s="204"/>
      <c r="AT97" s="204"/>
      <c r="AU97" s="204"/>
      <c r="AV97" s="204"/>
      <c r="AW97" s="204"/>
      <c r="AX97" s="204"/>
      <c r="AY97" s="204"/>
      <c r="AZ97" s="204"/>
    </row>
    <row r="98" spans="1:52" s="205" customFormat="1" ht="17.25" customHeight="1">
      <c r="A98" s="204"/>
      <c r="B98" s="207"/>
      <c r="C98" s="207"/>
      <c r="D98" s="207"/>
      <c r="E98" s="204"/>
      <c r="F98" s="204"/>
      <c r="G98" s="204"/>
      <c r="H98" s="204"/>
      <c r="I98" s="204"/>
      <c r="J98" s="204"/>
      <c r="K98" s="204"/>
      <c r="L98" s="204"/>
      <c r="M98" s="204"/>
      <c r="N98" s="204"/>
      <c r="O98" s="204"/>
      <c r="P98" s="204"/>
      <c r="Q98" s="204"/>
      <c r="R98" s="204"/>
      <c r="S98" s="204"/>
      <c r="T98" s="204"/>
      <c r="U98" s="204"/>
      <c r="V98" s="204"/>
      <c r="W98" s="204"/>
      <c r="X98" s="204"/>
      <c r="Y98" s="204"/>
      <c r="Z98" s="204"/>
      <c r="AA98" s="204"/>
      <c r="AB98" s="204"/>
      <c r="AC98" s="204"/>
      <c r="AD98" s="204"/>
      <c r="AE98" s="204"/>
      <c r="AF98" s="204"/>
      <c r="AG98" s="204"/>
      <c r="AH98" s="204"/>
      <c r="AI98" s="204"/>
      <c r="AJ98" s="204"/>
      <c r="AK98" s="204"/>
      <c r="AL98" s="204"/>
      <c r="AM98" s="204"/>
      <c r="AN98" s="204"/>
      <c r="AO98" s="204"/>
      <c r="AP98" s="204"/>
      <c r="AQ98" s="204"/>
      <c r="AR98" s="204"/>
      <c r="AS98" s="204"/>
      <c r="AT98" s="204"/>
      <c r="AU98" s="204"/>
      <c r="AV98" s="204"/>
      <c r="AW98" s="204"/>
      <c r="AX98" s="204"/>
      <c r="AY98" s="204"/>
      <c r="AZ98" s="204"/>
    </row>
    <row r="99" spans="1:52" s="205" customFormat="1" ht="17.25" customHeight="1">
      <c r="A99" s="204"/>
      <c r="B99" s="207"/>
      <c r="C99" s="207"/>
      <c r="D99" s="207"/>
      <c r="E99" s="204"/>
      <c r="F99" s="204"/>
      <c r="G99" s="204"/>
      <c r="H99" s="204"/>
      <c r="I99" s="204"/>
      <c r="J99" s="204"/>
      <c r="K99" s="204"/>
      <c r="L99" s="204"/>
      <c r="M99" s="204"/>
      <c r="N99" s="204"/>
      <c r="O99" s="204"/>
      <c r="P99" s="204"/>
      <c r="Q99" s="204"/>
      <c r="R99" s="204"/>
      <c r="S99" s="204"/>
      <c r="T99" s="204"/>
      <c r="U99" s="204"/>
      <c r="V99" s="204"/>
      <c r="W99" s="204"/>
      <c r="X99" s="204"/>
      <c r="Y99" s="204"/>
      <c r="Z99" s="204"/>
      <c r="AA99" s="204"/>
      <c r="AB99" s="204"/>
      <c r="AC99" s="204"/>
      <c r="AD99" s="204"/>
      <c r="AE99" s="204"/>
      <c r="AF99" s="204"/>
      <c r="AG99" s="204"/>
      <c r="AH99" s="204"/>
      <c r="AI99" s="204"/>
      <c r="AJ99" s="204"/>
      <c r="AK99" s="204"/>
      <c r="AL99" s="204"/>
      <c r="AM99" s="204"/>
      <c r="AN99" s="204"/>
      <c r="AO99" s="204"/>
      <c r="AP99" s="204"/>
      <c r="AQ99" s="204"/>
      <c r="AR99" s="204"/>
      <c r="AS99" s="204"/>
      <c r="AT99" s="204"/>
      <c r="AU99" s="204"/>
      <c r="AV99" s="204"/>
      <c r="AW99" s="204"/>
      <c r="AX99" s="204"/>
      <c r="AY99" s="204"/>
      <c r="AZ99" s="204"/>
    </row>
    <row r="100" spans="1:52" ht="19.5" customHeight="1">
      <c r="B100" s="207"/>
      <c r="C100" s="207"/>
      <c r="D100" s="207"/>
    </row>
  </sheetData>
  <mergeCells count="17">
    <mergeCell ref="AL5:AM5"/>
    <mergeCell ref="AX5:AY5"/>
    <mergeCell ref="B5:C5"/>
    <mergeCell ref="E5:F5"/>
    <mergeCell ref="H5:I5"/>
    <mergeCell ref="K5:L5"/>
    <mergeCell ref="N5:O5"/>
    <mergeCell ref="Q5:R5"/>
    <mergeCell ref="T5:U5"/>
    <mergeCell ref="AO5:AP5"/>
    <mergeCell ref="AR5:AS5"/>
    <mergeCell ref="AU5:AV5"/>
    <mergeCell ref="W5:X5"/>
    <mergeCell ref="Z5:AA5"/>
    <mergeCell ref="AC5:AD5"/>
    <mergeCell ref="AF5:AG5"/>
    <mergeCell ref="AI5:AJ5"/>
  </mergeCells>
  <phoneticPr fontId="54" type="noConversion"/>
  <printOptions gridLines="1"/>
  <pageMargins left="0.15748031496062992" right="0.15748031496062992" top="0.37" bottom="0.27" header="0.15748031496062992" footer="0.22"/>
  <pageSetup paperSize="9" scale="29" orientation="landscape" r:id="rId1"/>
  <headerFooter alignWithMargins="0">
    <oddHeader>&amp;R&amp;F--&amp;A</oddHeader>
    <oddFooter>&amp;RP.1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indexed="13"/>
  </sheetPr>
  <dimension ref="A1:M29"/>
  <sheetViews>
    <sheetView showGridLines="0" zoomScaleSheetLayoutView="80" workbookViewId="0">
      <pane ySplit="4" topLeftCell="A5" activePane="bottomLeft" state="frozen"/>
      <selection activeCell="B24" sqref="B24:L24"/>
      <selection pane="bottomLeft" activeCell="A30" sqref="A30"/>
    </sheetView>
  </sheetViews>
  <sheetFormatPr baseColWidth="10" defaultColWidth="9.19921875" defaultRowHeight="21" customHeight="1"/>
  <cols>
    <col min="1" max="1" width="4.796875" style="553" customWidth="1"/>
    <col min="2" max="2" width="36.796875" style="993" customWidth="1"/>
    <col min="3" max="4" width="16.3984375" style="553" customWidth="1"/>
    <col min="5" max="5" width="15.3984375" style="553" customWidth="1"/>
    <col min="6" max="6" width="12.19921875" style="553" customWidth="1"/>
    <col min="7" max="7" width="6" style="553" customWidth="1"/>
    <col min="8" max="8" width="14.3984375" style="553" customWidth="1"/>
    <col min="9" max="9" width="14.19921875" style="553" customWidth="1"/>
    <col min="10" max="10" width="13.796875" style="553" bestFit="1" customWidth="1"/>
    <col min="11" max="12" width="5.19921875" style="553" customWidth="1"/>
    <col min="13" max="13" width="11.796875" style="554" bestFit="1" customWidth="1"/>
    <col min="14" max="14" width="9.19921875" style="553" bestFit="1" customWidth="1"/>
    <col min="15" max="16384" width="9.19921875" style="553"/>
  </cols>
  <sheetData>
    <row r="1" spans="1:13" ht="22.5" customHeight="1">
      <c r="A1" s="1007" t="s">
        <v>1149</v>
      </c>
    </row>
    <row r="2" spans="1:13" ht="22.5" customHeight="1">
      <c r="A2" s="1023" t="s">
        <v>2083</v>
      </c>
      <c r="B2" s="1023"/>
    </row>
    <row r="3" spans="1:13" ht="9" customHeight="1">
      <c r="A3" s="1197"/>
      <c r="B3" s="1197"/>
      <c r="C3" s="1197"/>
      <c r="D3" s="1022"/>
    </row>
    <row r="4" spans="1:13" s="1009" customFormat="1" ht="26.25" customHeight="1">
      <c r="A4" s="1196" t="s">
        <v>2331</v>
      </c>
      <c r="B4" s="1196"/>
      <c r="C4" s="1196"/>
      <c r="D4" s="1196"/>
      <c r="E4" s="1196"/>
      <c r="F4" s="1196"/>
      <c r="G4" s="1196"/>
      <c r="H4" s="1196"/>
      <c r="I4" s="1196"/>
      <c r="J4" s="1196"/>
      <c r="K4" s="1196"/>
      <c r="L4" s="1196"/>
      <c r="M4" s="1025"/>
    </row>
    <row r="5" spans="1:13" s="1009" customFormat="1" ht="30" customHeight="1">
      <c r="A5" s="1196" t="s">
        <v>2332</v>
      </c>
      <c r="B5" s="1196"/>
      <c r="C5" s="1196"/>
      <c r="D5" s="1196"/>
      <c r="E5" s="1196"/>
      <c r="F5" s="1196"/>
      <c r="G5" s="1196"/>
      <c r="H5" s="1196"/>
      <c r="I5" s="1196"/>
      <c r="J5" s="1196"/>
      <c r="K5" s="1196"/>
      <c r="L5" s="1196"/>
      <c r="M5" s="1025"/>
    </row>
    <row r="6" spans="1:13" s="1009" customFormat="1" ht="105.75" customHeight="1">
      <c r="A6" s="1019"/>
      <c r="B6" s="1198" t="s">
        <v>2333</v>
      </c>
      <c r="C6" s="1198"/>
      <c r="D6" s="1198"/>
      <c r="E6" s="1198"/>
      <c r="F6" s="1198"/>
      <c r="G6" s="1198"/>
      <c r="H6" s="1198"/>
      <c r="I6" s="1198"/>
      <c r="J6" s="1198"/>
      <c r="K6" s="1198"/>
      <c r="L6" s="1010"/>
      <c r="M6" s="1025"/>
    </row>
    <row r="7" spans="1:13" s="1009" customFormat="1" ht="62.25" customHeight="1">
      <c r="A7" s="1019"/>
      <c r="B7" s="1198" t="s">
        <v>2345</v>
      </c>
      <c r="C7" s="1198"/>
      <c r="D7" s="1198"/>
      <c r="E7" s="1198"/>
      <c r="F7" s="1198"/>
      <c r="G7" s="1198"/>
      <c r="H7" s="1198"/>
      <c r="I7" s="1198"/>
      <c r="J7" s="1198"/>
      <c r="K7" s="1198"/>
      <c r="L7" s="1010"/>
      <c r="M7" s="1025"/>
    </row>
    <row r="8" spans="1:13" s="1009" customFormat="1" ht="24.75" customHeight="1">
      <c r="A8" s="1019"/>
      <c r="B8" s="1198" t="s">
        <v>1896</v>
      </c>
      <c r="C8" s="1198"/>
      <c r="D8" s="1198"/>
      <c r="E8" s="1198"/>
      <c r="F8" s="1198"/>
      <c r="G8" s="1198"/>
      <c r="H8" s="1198"/>
      <c r="I8" s="1198"/>
      <c r="J8" s="1198"/>
      <c r="K8" s="1010"/>
      <c r="L8" s="1010"/>
      <c r="M8" s="1025"/>
    </row>
    <row r="9" spans="1:13" s="1009" customFormat="1" ht="23.25" customHeight="1">
      <c r="A9" s="1006"/>
      <c r="B9" s="1017" t="s">
        <v>1897</v>
      </c>
      <c r="C9" s="1006" t="s">
        <v>2014</v>
      </c>
      <c r="D9" s="1006"/>
      <c r="E9" s="1006"/>
      <c r="F9" s="1006"/>
      <c r="G9" s="1006"/>
      <c r="H9" s="1025"/>
      <c r="I9" s="1009" t="s">
        <v>2028</v>
      </c>
    </row>
    <row r="10" spans="1:13" s="1009" customFormat="1" ht="19.5" customHeight="1">
      <c r="A10" s="1006"/>
      <c r="B10" s="1028"/>
      <c r="C10" s="995" t="s">
        <v>488</v>
      </c>
      <c r="D10" s="995" t="s">
        <v>1895</v>
      </c>
      <c r="E10" s="1024" t="s">
        <v>489</v>
      </c>
      <c r="F10" s="1018" t="s">
        <v>1241</v>
      </c>
      <c r="G10" s="1006"/>
      <c r="H10" s="1025"/>
    </row>
    <row r="11" spans="1:13" s="1009" customFormat="1" ht="19.5" customHeight="1">
      <c r="A11" s="1006"/>
      <c r="B11" s="1028" t="str">
        <f>TWN_前十大客戶!C3</f>
        <v>AURES Technologies SA</v>
      </c>
      <c r="C11" s="1000">
        <f>TWN_前十大客戶!N3</f>
        <v>78.052482646826718</v>
      </c>
      <c r="D11" s="1016">
        <f>TWN_前十大客戶!O3</f>
        <v>64106</v>
      </c>
      <c r="E11" s="1015">
        <f>TWN_前十大客戶!F3</f>
        <v>12.377902590629477</v>
      </c>
      <c r="F11" s="1013">
        <f>C11/100*E11/100</f>
        <v>9.6612602715921869E-2</v>
      </c>
      <c r="H11" s="1005"/>
    </row>
    <row r="12" spans="1:13" s="1009" customFormat="1" ht="19.5" customHeight="1">
      <c r="A12" s="1006"/>
      <c r="B12" s="1028" t="str">
        <f>TWN_前十大客戶!C4</f>
        <v>Olivetti S.p.A.</v>
      </c>
      <c r="C12" s="1000">
        <f>TWN_前十大客戶!N4</f>
        <v>6.6816864239556875</v>
      </c>
      <c r="D12" s="1016">
        <f>TWN_前十大客戶!O4</f>
        <v>5488</v>
      </c>
      <c r="E12" s="1015">
        <f>TWN_前十大客戶!F4</f>
        <v>23.749120998527452</v>
      </c>
      <c r="F12" s="1013">
        <f t="shared" ref="F12:F20" si="0">C12/100*E12/100</f>
        <v>1.5868417935674183E-2</v>
      </c>
      <c r="G12" s="1006"/>
      <c r="H12" s="997"/>
    </row>
    <row r="13" spans="1:13" s="1009" customFormat="1" ht="19.5" customHeight="1">
      <c r="A13" s="1006"/>
      <c r="B13" s="1028" t="str">
        <f>TWN_前十大客戶!C5</f>
        <v>台灣東芝國際採購股份有限公司</v>
      </c>
      <c r="C13" s="1000">
        <f>TWN_前十大客戶!N5</f>
        <v>8.3300223778060172</v>
      </c>
      <c r="D13" s="1016">
        <f>TWN_前十大客戶!O5</f>
        <v>6842</v>
      </c>
      <c r="E13" s="1015">
        <f>TWN_前十大客戶!F5</f>
        <v>8.2663578872777883</v>
      </c>
      <c r="F13" s="1013">
        <f t="shared" si="0"/>
        <v>6.8858946183977254E-3</v>
      </c>
      <c r="G13" s="1006"/>
      <c r="H13" s="997"/>
    </row>
    <row r="14" spans="1:13" s="1009" customFormat="1" ht="19.5" customHeight="1">
      <c r="A14" s="1006"/>
      <c r="B14" s="1028" t="str">
        <f>TWN_前十大客戶!C6</f>
        <v>宇辰光電(股)公司 eTurbotouch Technology Inc.</v>
      </c>
      <c r="C14" s="1000">
        <f>TWN_前十大客戶!N6</f>
        <v>1.6933966867911723</v>
      </c>
      <c r="D14" s="1016">
        <f>TWN_前十大客戶!O6</f>
        <v>1391</v>
      </c>
      <c r="E14" s="1015">
        <f>TWN_前十大客戶!F6</f>
        <v>24.054687556172301</v>
      </c>
      <c r="F14" s="1013">
        <f t="shared" si="0"/>
        <v>4.0734128209419015E-3</v>
      </c>
      <c r="G14" s="1006"/>
      <c r="H14" s="997"/>
    </row>
    <row r="15" spans="1:13" s="1009" customFormat="1" ht="19.5" customHeight="1">
      <c r="A15" s="1006"/>
      <c r="B15" s="1028" t="str">
        <f>TWN_前十大客戶!C7</f>
        <v>EET Group A/S</v>
      </c>
      <c r="C15" s="1000">
        <f>TWN_前十大客戶!N7</f>
        <v>0.92040951560339135</v>
      </c>
      <c r="D15" s="1016">
        <f>TWN_前十大客戶!O7</f>
        <v>756</v>
      </c>
      <c r="E15" s="1015">
        <f>TWN_前十大客戶!F7</f>
        <v>25.562838566297813</v>
      </c>
      <c r="F15" s="1013">
        <f t="shared" si="0"/>
        <v>2.3528279862253861E-3</v>
      </c>
      <c r="G15" s="1006"/>
      <c r="H15" s="997"/>
    </row>
    <row r="16" spans="1:13" s="1009" customFormat="1" ht="19.5" customHeight="1">
      <c r="A16" s="1006"/>
      <c r="B16" s="1028" t="str">
        <f>TWN_前十大客戶!C8</f>
        <v>Comtecs Co.,Ltd</v>
      </c>
      <c r="C16" s="1000">
        <f>TWN_前十大客戶!N8</f>
        <v>0.70089779087592541</v>
      </c>
      <c r="D16" s="1016">
        <f>TWN_前十大客戶!O8</f>
        <v>576</v>
      </c>
      <c r="E16" s="1015">
        <f>TWN_前十大客戶!F8</f>
        <v>33.390543327015912</v>
      </c>
      <c r="F16" s="1013">
        <f t="shared" si="0"/>
        <v>2.3403358054052328E-3</v>
      </c>
      <c r="G16" s="1006"/>
      <c r="H16" s="997"/>
    </row>
    <row r="17" spans="1:13" s="1009" customFormat="1" ht="19.5" customHeight="1">
      <c r="A17" s="1006"/>
      <c r="B17" s="1028" t="str">
        <f>TWN_前十大客戶!C9</f>
        <v>ABDI Company JSC</v>
      </c>
      <c r="C17" s="1000">
        <f>TWN_前十大客戶!N9</f>
        <v>0.50426404642240497</v>
      </c>
      <c r="D17" s="1016">
        <f>TWN_前十大客戶!O9</f>
        <v>414</v>
      </c>
      <c r="E17" s="1015">
        <f>TWN_前十大客戶!F9</f>
        <v>33.305807672898574</v>
      </c>
      <c r="F17" s="1013">
        <f t="shared" si="0"/>
        <v>1.6794921346502221E-3</v>
      </c>
      <c r="G17" s="1006"/>
      <c r="H17" s="997"/>
    </row>
    <row r="18" spans="1:13" s="1009" customFormat="1" ht="19.5" customHeight="1">
      <c r="A18" s="1006"/>
      <c r="B18" s="1028" t="str">
        <f>TWN_前十大客戶!C10</f>
        <v>Logitec INA Solutions Co., Ltd</v>
      </c>
      <c r="C18" s="1000">
        <f>TWN_前十大客戶!N10</f>
        <v>0.35487777533399656</v>
      </c>
      <c r="D18" s="1016">
        <f>TWN_前十大客戶!O10</f>
        <v>291</v>
      </c>
      <c r="E18" s="1015">
        <f>TWN_前十大客戶!F10</f>
        <v>37.99688471382597</v>
      </c>
      <c r="F18" s="1013">
        <f t="shared" si="0"/>
        <v>1.3484249916864901E-3</v>
      </c>
      <c r="G18" s="1006"/>
      <c r="H18" s="997"/>
    </row>
    <row r="19" spans="1:13" s="1009" customFormat="1" ht="19.5" customHeight="1">
      <c r="A19" s="1006"/>
      <c r="B19" s="1028" t="str">
        <f>TWN_前十大客戶!C11</f>
        <v>Aniluin Pty Ltd</v>
      </c>
      <c r="C19" s="1000">
        <f>TWN_前十大客戶!N11</f>
        <v>0.84389795198366091</v>
      </c>
      <c r="D19" s="1016">
        <f>TWN_前十大客戶!O11</f>
        <v>693</v>
      </c>
      <c r="E19" s="1015">
        <f>TWN_前十大客戶!F11</f>
        <v>11.989958231436795</v>
      </c>
      <c r="F19" s="1013">
        <f t="shared" si="0"/>
        <v>1.0118301195879149E-3</v>
      </c>
      <c r="G19" s="1006"/>
      <c r="H19" s="997"/>
    </row>
    <row r="20" spans="1:13" s="1009" customFormat="1" ht="19.5" customHeight="1">
      <c r="A20" s="1006"/>
      <c r="B20" s="1028" t="str">
        <f>TWN_前十大客戶!C12</f>
        <v>DATA Detection Technologies LTD.</v>
      </c>
      <c r="C20" s="1000">
        <f>TWN_前十大客戶!N12</f>
        <v>0.34420097868566085</v>
      </c>
      <c r="D20" s="1016">
        <f>TWN_前十大客戶!O12</f>
        <v>283</v>
      </c>
      <c r="E20" s="1015">
        <f>TWN_前十大客戶!F12</f>
        <v>25.978344305033303</v>
      </c>
      <c r="F20" s="1013">
        <f t="shared" si="0"/>
        <v>8.9417715344255273E-4</v>
      </c>
      <c r="G20" s="1006"/>
      <c r="H20" s="997"/>
    </row>
    <row r="21" spans="1:13" s="1009" customFormat="1" ht="19.5" customHeight="1">
      <c r="A21" s="1006"/>
      <c r="B21" s="1028" t="s">
        <v>2015</v>
      </c>
      <c r="C21" s="1000"/>
      <c r="D21" s="1105">
        <v>1295</v>
      </c>
      <c r="E21" s="1015"/>
      <c r="F21" s="1013">
        <f>C21/100*E21/100</f>
        <v>0</v>
      </c>
      <c r="G21" s="1006"/>
      <c r="H21" s="1008"/>
    </row>
    <row r="22" spans="1:13" s="1009" customFormat="1" ht="23.25" customHeight="1" thickBot="1">
      <c r="A22" s="1006"/>
      <c r="B22" s="1006"/>
      <c r="C22" s="1006"/>
      <c r="D22" s="1008"/>
      <c r="E22" s="1006"/>
      <c r="F22" s="1003">
        <f>SUM(F11:F21)</f>
        <v>0.1330674162819335</v>
      </c>
      <c r="G22" s="1021"/>
      <c r="H22" s="1002"/>
      <c r="I22" s="1002"/>
      <c r="J22" s="1002"/>
      <c r="K22" s="1012"/>
      <c r="L22" s="1006"/>
      <c r="M22" s="1025"/>
    </row>
    <row r="23" spans="1:13" ht="8.25" customHeight="1" thickTop="1">
      <c r="B23" s="553"/>
    </row>
    <row r="24" spans="1:13" s="1009" customFormat="1" ht="24.75" customHeight="1">
      <c r="A24" s="1199" t="s">
        <v>2346</v>
      </c>
      <c r="B24" s="1199"/>
      <c r="C24" s="1199"/>
      <c r="D24" s="1199"/>
      <c r="E24" s="1199"/>
      <c r="F24" s="1199"/>
      <c r="G24" s="1199"/>
      <c r="H24" s="1199"/>
      <c r="I24" s="1199"/>
      <c r="J24" s="1199"/>
      <c r="K24" s="1199"/>
      <c r="L24" s="1199"/>
      <c r="M24" s="1025"/>
    </row>
    <row r="25" spans="1:13" s="1009" customFormat="1" ht="39.5" customHeight="1">
      <c r="A25" s="991"/>
      <c r="B25" s="1199" t="s">
        <v>2360</v>
      </c>
      <c r="C25" s="1199"/>
      <c r="D25" s="1199"/>
      <c r="E25" s="1199"/>
      <c r="F25" s="1199"/>
      <c r="G25" s="1199"/>
      <c r="H25" s="1199"/>
      <c r="I25" s="1199"/>
      <c r="J25" s="1199"/>
      <c r="K25" s="1199"/>
      <c r="L25" s="1199"/>
      <c r="M25" s="1025"/>
    </row>
    <row r="26" spans="1:13" ht="35.25" customHeight="1">
      <c r="A26" s="991"/>
      <c r="B26" s="1199" t="s">
        <v>2347</v>
      </c>
      <c r="C26" s="1199"/>
      <c r="D26" s="1199"/>
      <c r="E26" s="1199"/>
      <c r="F26" s="1199"/>
      <c r="G26" s="1199"/>
      <c r="H26" s="1199"/>
      <c r="I26" s="1199"/>
      <c r="J26" s="1199"/>
      <c r="K26" s="1199"/>
      <c r="L26" s="1199"/>
    </row>
    <row r="27" spans="1:13" s="555" customFormat="1" ht="53.5" customHeight="1">
      <c r="A27" s="991"/>
      <c r="B27" s="1199" t="s">
        <v>2356</v>
      </c>
      <c r="C27" s="1199"/>
      <c r="D27" s="1199"/>
      <c r="E27" s="1199"/>
      <c r="F27" s="1199"/>
      <c r="G27" s="1199"/>
      <c r="H27" s="1199"/>
      <c r="I27" s="1199"/>
      <c r="J27" s="1199"/>
      <c r="K27" s="1199"/>
      <c r="L27" s="1199"/>
      <c r="M27" s="1026"/>
    </row>
    <row r="28" spans="1:13" ht="33" customHeight="1">
      <c r="A28" s="1200" t="s">
        <v>2348</v>
      </c>
      <c r="B28" s="1200"/>
      <c r="C28" s="1200"/>
      <c r="D28" s="1200"/>
      <c r="E28" s="1200"/>
      <c r="F28" s="1200"/>
      <c r="G28" s="1200"/>
      <c r="H28" s="1200"/>
      <c r="I28" s="1200"/>
      <c r="J28" s="1200"/>
      <c r="K28" s="1200"/>
      <c r="L28" s="1200"/>
    </row>
    <row r="29" spans="1:13" s="1009" customFormat="1" ht="63.75" customHeight="1">
      <c r="A29" s="1199" t="s">
        <v>2361</v>
      </c>
      <c r="B29" s="1199"/>
      <c r="C29" s="1199"/>
      <c r="D29" s="1199"/>
      <c r="E29" s="1199"/>
      <c r="F29" s="1199"/>
      <c r="G29" s="1199"/>
      <c r="H29" s="1199"/>
      <c r="I29" s="1199"/>
      <c r="J29" s="1199"/>
      <c r="K29" s="1199"/>
      <c r="L29" s="1199"/>
      <c r="M29" s="1025"/>
    </row>
  </sheetData>
  <mergeCells count="12">
    <mergeCell ref="A24:L24"/>
    <mergeCell ref="B27:L27"/>
    <mergeCell ref="B26:L26"/>
    <mergeCell ref="A29:L29"/>
    <mergeCell ref="A28:L28"/>
    <mergeCell ref="B25:L25"/>
    <mergeCell ref="A5:L5"/>
    <mergeCell ref="A4:L4"/>
    <mergeCell ref="A3:C3"/>
    <mergeCell ref="B8:J8"/>
    <mergeCell ref="B6:K6"/>
    <mergeCell ref="B7:K7"/>
  </mergeCells>
  <phoneticPr fontId="40" type="noConversion"/>
  <hyperlinks>
    <hyperlink ref="B9" location="TWN_前十大客戶!F5" display="(1) 主要客戶貢獻 :" xr:uid="{00000000-0004-0000-0200-000000000000}"/>
  </hyperlinks>
  <pageMargins left="0.18" right="0.14000000000000001" top="0.25" bottom="0.23" header="0.16" footer="0.16"/>
  <pageSetup paperSize="9" scale="84" orientation="landscape" r:id="rId1"/>
  <headerFooter alignWithMargins="0">
    <oddHeader>&amp;R&amp;F--&amp;A</oddHeader>
    <oddFooter>&amp;RP.2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indexed="13"/>
  </sheetPr>
  <dimension ref="A1:O43"/>
  <sheetViews>
    <sheetView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K42" sqref="K42"/>
    </sheetView>
  </sheetViews>
  <sheetFormatPr baseColWidth="10" defaultColWidth="9.19921875" defaultRowHeight="18.75" customHeight="1"/>
  <cols>
    <col min="1" max="1" width="2.59765625" style="272" customWidth="1"/>
    <col min="2" max="2" width="27.3984375" style="272" customWidth="1"/>
    <col min="3" max="3" width="16.796875" style="272" customWidth="1"/>
    <col min="4" max="4" width="10.796875" style="273" customWidth="1"/>
    <col min="5" max="5" width="17.19921875" style="273" customWidth="1"/>
    <col min="6" max="6" width="10.59765625" style="273" customWidth="1"/>
    <col min="7" max="7" width="15.3984375" style="272" customWidth="1"/>
    <col min="8" max="8" width="1.796875" style="273" customWidth="1"/>
    <col min="9" max="9" width="3.3984375" style="272" customWidth="1"/>
    <col min="10" max="10" width="23.796875" style="272" customWidth="1"/>
    <col min="11" max="11" width="17.3984375" style="272" customWidth="1"/>
    <col min="12" max="12" width="9.19921875" style="273"/>
    <col min="13" max="13" width="16.19921875" style="272" customWidth="1"/>
    <col min="14" max="14" width="12.59765625" style="273" customWidth="1"/>
    <col min="15" max="15" width="17.796875" style="272" customWidth="1"/>
    <col min="16" max="16384" width="9.19921875" style="272"/>
  </cols>
  <sheetData>
    <row r="1" spans="1:15" ht="18.75" customHeight="1">
      <c r="A1" s="1201" t="s">
        <v>1075</v>
      </c>
      <c r="B1" s="1201"/>
      <c r="C1" s="1201"/>
      <c r="D1" s="1201"/>
      <c r="E1" s="1201"/>
      <c r="F1" s="1201"/>
      <c r="G1" s="1201"/>
      <c r="H1" s="1201"/>
      <c r="I1" s="1201"/>
      <c r="J1" s="1201"/>
      <c r="K1" s="1201"/>
      <c r="L1" s="1201"/>
      <c r="M1" s="1201"/>
      <c r="N1" s="1201"/>
      <c r="O1" s="1201"/>
    </row>
    <row r="2" spans="1:15" ht="18.75" customHeight="1">
      <c r="A2" s="1201" t="s">
        <v>1076</v>
      </c>
      <c r="B2" s="1201"/>
      <c r="C2" s="1201"/>
      <c r="D2" s="1201"/>
      <c r="E2" s="1201"/>
      <c r="F2" s="1201"/>
      <c r="G2" s="1201"/>
      <c r="H2" s="1201"/>
      <c r="I2" s="1201"/>
      <c r="J2" s="1201"/>
      <c r="K2" s="1201"/>
      <c r="L2" s="1201"/>
      <c r="M2" s="1201"/>
      <c r="N2" s="1201"/>
      <c r="O2" s="1201"/>
    </row>
    <row r="3" spans="1:15" ht="18.75" customHeight="1">
      <c r="O3" s="274" t="s">
        <v>1077</v>
      </c>
    </row>
    <row r="4" spans="1:15" ht="18.75" customHeight="1">
      <c r="A4" s="272" t="s">
        <v>898</v>
      </c>
      <c r="C4" s="275" t="s">
        <v>2085</v>
      </c>
      <c r="D4" s="276" t="s">
        <v>1078</v>
      </c>
      <c r="E4" s="277" t="s">
        <v>2084</v>
      </c>
      <c r="F4" s="276" t="s">
        <v>885</v>
      </c>
      <c r="G4" s="278" t="s">
        <v>1079</v>
      </c>
      <c r="H4" s="279"/>
      <c r="I4" s="272" t="s">
        <v>899</v>
      </c>
      <c r="K4" s="280" t="str">
        <f>C4</f>
        <v>2017.08.31</v>
      </c>
      <c r="L4" s="276" t="s">
        <v>1080</v>
      </c>
      <c r="M4" s="278" t="s">
        <v>2084</v>
      </c>
      <c r="N4" s="276" t="s">
        <v>886</v>
      </c>
      <c r="O4" s="278" t="s">
        <v>1079</v>
      </c>
    </row>
    <row r="5" spans="1:15" ht="18.75" customHeight="1">
      <c r="A5" s="272" t="s">
        <v>900</v>
      </c>
      <c r="C5" s="272" t="s">
        <v>344</v>
      </c>
      <c r="D5" s="273" t="s">
        <v>345</v>
      </c>
      <c r="E5" s="272" t="s">
        <v>344</v>
      </c>
      <c r="F5" s="273" t="s">
        <v>345</v>
      </c>
      <c r="G5" s="272" t="s">
        <v>344</v>
      </c>
      <c r="I5" s="272" t="s">
        <v>901</v>
      </c>
      <c r="K5" s="281" t="s">
        <v>344</v>
      </c>
      <c r="L5" s="273" t="s">
        <v>345</v>
      </c>
      <c r="M5" s="281" t="s">
        <v>344</v>
      </c>
      <c r="N5" s="273" t="s">
        <v>345</v>
      </c>
      <c r="O5" s="272" t="s">
        <v>344</v>
      </c>
    </row>
    <row r="6" spans="1:15" ht="18.75" customHeight="1">
      <c r="B6" s="272" t="s">
        <v>1081</v>
      </c>
      <c r="C6" s="281">
        <f>BS明細!D10</f>
        <v>58535503.670000002</v>
      </c>
      <c r="D6" s="273">
        <f t="shared" ref="D6:D16" si="0">C6/$C$40*100</f>
        <v>12.004409444417584</v>
      </c>
      <c r="E6" s="281">
        <v>95648385.670000002</v>
      </c>
      <c r="F6" s="273">
        <v>22.306065549873544</v>
      </c>
      <c r="G6" s="281">
        <f t="shared" ref="G6:G16" si="1">C6-E6</f>
        <v>-37112882</v>
      </c>
      <c r="I6" s="282"/>
      <c r="J6" s="272" t="s">
        <v>1082</v>
      </c>
      <c r="K6" s="281">
        <f>BS明細!I10</f>
        <v>81147909</v>
      </c>
      <c r="L6" s="273">
        <f t="shared" ref="L6:L11" si="2">K6/$K$40*100</f>
        <v>16.641741577660511</v>
      </c>
      <c r="M6" s="281">
        <v>75469492</v>
      </c>
      <c r="N6" s="273">
        <v>13.599162919282445</v>
      </c>
      <c r="O6" s="281">
        <f t="shared" ref="O6:O11" si="3">K6-M6</f>
        <v>5678417</v>
      </c>
    </row>
    <row r="7" spans="1:15" ht="18.75" customHeight="1">
      <c r="B7" s="272" t="s">
        <v>1083</v>
      </c>
      <c r="C7" s="281">
        <f>BS明細!D156</f>
        <v>0</v>
      </c>
      <c r="D7" s="273">
        <f t="shared" si="0"/>
        <v>0</v>
      </c>
      <c r="E7" s="281">
        <v>0</v>
      </c>
      <c r="F7" s="273">
        <v>0</v>
      </c>
      <c r="G7" s="281">
        <f t="shared" si="1"/>
        <v>0</v>
      </c>
      <c r="J7" s="272" t="s">
        <v>902</v>
      </c>
      <c r="K7" s="281">
        <f>BS明細!I20</f>
        <v>70000</v>
      </c>
      <c r="L7" s="273">
        <f t="shared" si="2"/>
        <v>1.4355538236188389E-2</v>
      </c>
      <c r="M7" s="281">
        <v>70000</v>
      </c>
      <c r="N7" s="273">
        <v>1.6700726392101246E-2</v>
      </c>
      <c r="O7" s="281">
        <f t="shared" si="3"/>
        <v>0</v>
      </c>
    </row>
    <row r="8" spans="1:15" ht="18.75" customHeight="1">
      <c r="B8" s="272" t="s">
        <v>1084</v>
      </c>
      <c r="C8" s="281">
        <f>BS明細!D157</f>
        <v>0</v>
      </c>
      <c r="D8" s="273">
        <f t="shared" si="0"/>
        <v>0</v>
      </c>
      <c r="E8" s="281">
        <v>0</v>
      </c>
      <c r="F8" s="273">
        <v>0</v>
      </c>
      <c r="G8" s="281">
        <f t="shared" si="1"/>
        <v>0</v>
      </c>
      <c r="I8" s="283"/>
      <c r="J8" s="272" t="s">
        <v>903</v>
      </c>
      <c r="K8" s="281">
        <f>BS明細!I25</f>
        <v>123723496</v>
      </c>
      <c r="L8" s="273">
        <f t="shared" si="2"/>
        <v>25.37310539347002</v>
      </c>
      <c r="M8" s="281">
        <v>135260921</v>
      </c>
      <c r="N8" s="273">
        <v>22.25746508331369</v>
      </c>
      <c r="O8" s="281">
        <f t="shared" si="3"/>
        <v>-11537425</v>
      </c>
    </row>
    <row r="9" spans="1:15" ht="18.75" customHeight="1">
      <c r="B9" s="272" t="s">
        <v>1085</v>
      </c>
      <c r="C9" s="281">
        <f>BS明細!D93</f>
        <v>0</v>
      </c>
      <c r="D9" s="273">
        <f t="shared" si="0"/>
        <v>0</v>
      </c>
      <c r="E9" s="281">
        <v>0</v>
      </c>
      <c r="F9" s="273">
        <v>0</v>
      </c>
      <c r="G9" s="281">
        <f t="shared" si="1"/>
        <v>0</v>
      </c>
      <c r="I9" s="283"/>
      <c r="J9" s="272" t="s">
        <v>904</v>
      </c>
      <c r="K9" s="281">
        <f>BS明細!I34</f>
        <v>19855600</v>
      </c>
      <c r="L9" s="273">
        <f t="shared" si="2"/>
        <v>4.0719689286066032</v>
      </c>
      <c r="M9" s="281">
        <v>18009185</v>
      </c>
      <c r="N9" s="273">
        <v>4.1922657253790154</v>
      </c>
      <c r="O9" s="281">
        <f t="shared" si="3"/>
        <v>1846415</v>
      </c>
    </row>
    <row r="10" spans="1:15" ht="18.75" customHeight="1">
      <c r="A10" s="282"/>
      <c r="B10" s="272" t="s">
        <v>1086</v>
      </c>
      <c r="C10" s="281">
        <f>BS明細!D104</f>
        <v>221634549.44999999</v>
      </c>
      <c r="D10" s="273">
        <f t="shared" si="0"/>
        <v>45.452617844140875</v>
      </c>
      <c r="E10" s="281">
        <v>186620210.44999999</v>
      </c>
      <c r="F10" s="273">
        <v>32.056868343627627</v>
      </c>
      <c r="G10" s="281">
        <f t="shared" si="1"/>
        <v>35014339</v>
      </c>
      <c r="I10" s="282"/>
      <c r="J10" s="272" t="s">
        <v>905</v>
      </c>
      <c r="K10" s="281">
        <f>BS明細!I57</f>
        <v>964763</v>
      </c>
      <c r="L10" s="273">
        <f t="shared" si="2"/>
        <v>0.19785274479085457</v>
      </c>
      <c r="M10" s="281">
        <v>1229067</v>
      </c>
      <c r="N10" s="273">
        <v>0.92593336313935193</v>
      </c>
      <c r="O10" s="281">
        <f t="shared" si="3"/>
        <v>-264304</v>
      </c>
    </row>
    <row r="11" spans="1:15" ht="18.75" customHeight="1">
      <c r="A11" s="282"/>
      <c r="B11" s="272" t="s">
        <v>1087</v>
      </c>
      <c r="C11" s="281">
        <f>BS明細!D110</f>
        <v>0</v>
      </c>
      <c r="D11" s="273">
        <f t="shared" si="0"/>
        <v>0</v>
      </c>
      <c r="E11" s="281">
        <v>0</v>
      </c>
      <c r="F11" s="273">
        <v>-3.7348311594267228E-2</v>
      </c>
      <c r="G11" s="281">
        <f t="shared" si="1"/>
        <v>0</v>
      </c>
      <c r="I11" s="282"/>
      <c r="J11" s="272" t="s">
        <v>906</v>
      </c>
      <c r="K11" s="281">
        <f>BS明細!I49+BS明細!I56+BS明細!I63</f>
        <v>15941278.880000001</v>
      </c>
      <c r="L11" s="273">
        <f t="shared" si="2"/>
        <v>3.2692234070797492</v>
      </c>
      <c r="M11" s="281">
        <v>15527671.880000001</v>
      </c>
      <c r="N11" s="273">
        <v>2.2934451168009078</v>
      </c>
      <c r="O11" s="281">
        <f t="shared" si="3"/>
        <v>413607</v>
      </c>
    </row>
    <row r="12" spans="1:15" ht="18.75" customHeight="1">
      <c r="A12" s="282"/>
      <c r="B12" s="272" t="s">
        <v>1088</v>
      </c>
      <c r="C12" s="281">
        <f>BS明細!D124</f>
        <v>150450770.24000001</v>
      </c>
      <c r="D12" s="273">
        <f t="shared" si="0"/>
        <v>30.854311212061635</v>
      </c>
      <c r="E12" s="281">
        <v>148178476.24000001</v>
      </c>
      <c r="F12" s="273">
        <v>27.780761820094607</v>
      </c>
      <c r="G12" s="281">
        <f t="shared" si="1"/>
        <v>2272294</v>
      </c>
      <c r="K12" s="284"/>
      <c r="M12" s="284"/>
      <c r="O12" s="284"/>
    </row>
    <row r="13" spans="1:15" ht="18.75" customHeight="1">
      <c r="B13" s="272" t="s">
        <v>1089</v>
      </c>
      <c r="C13" s="281">
        <f>BS明細!D136+BS明細!D144</f>
        <v>485063</v>
      </c>
      <c r="D13" s="273">
        <f t="shared" si="0"/>
        <v>9.9476292049432133E-2</v>
      </c>
      <c r="E13" s="281">
        <v>462973</v>
      </c>
      <c r="F13" s="273">
        <v>0.15206154529091548</v>
      </c>
      <c r="G13" s="281">
        <f t="shared" si="1"/>
        <v>22090</v>
      </c>
      <c r="I13" s="272" t="s">
        <v>907</v>
      </c>
      <c r="K13" s="285">
        <f>SUM(K6:K11)</f>
        <v>241703046.88</v>
      </c>
      <c r="L13" s="286">
        <f>K13/$K$40*100</f>
        <v>49.568247589843928</v>
      </c>
      <c r="M13" s="285">
        <v>245566336.88</v>
      </c>
      <c r="N13" s="286">
        <v>43.284972934307511</v>
      </c>
      <c r="O13" s="285">
        <f>K13-M13</f>
        <v>-3863290</v>
      </c>
    </row>
    <row r="14" spans="1:15" ht="18.75" customHeight="1">
      <c r="B14" s="272" t="s">
        <v>1090</v>
      </c>
      <c r="C14" s="281">
        <f>BS明細!D155</f>
        <v>4102327</v>
      </c>
      <c r="D14" s="273">
        <f t="shared" si="0"/>
        <v>0.84130160151211442</v>
      </c>
      <c r="E14" s="281">
        <v>4102327</v>
      </c>
      <c r="F14" s="273">
        <v>1.0024749394306023</v>
      </c>
      <c r="G14" s="281">
        <f t="shared" si="1"/>
        <v>0</v>
      </c>
      <c r="K14" s="281"/>
      <c r="M14" s="281"/>
      <c r="O14" s="281"/>
    </row>
    <row r="15" spans="1:15" ht="18.75" customHeight="1">
      <c r="A15" s="282"/>
      <c r="B15" s="272" t="s">
        <v>1091</v>
      </c>
      <c r="C15" s="281">
        <f>BS明細!D114+BS明細!D148+BS明細!D149+BS明細!D150+BS明細!D152+BS明細!D153</f>
        <v>7642333</v>
      </c>
      <c r="D15" s="273">
        <f t="shared" si="0"/>
        <v>1.5672829085026332</v>
      </c>
      <c r="E15" s="281">
        <v>8907684</v>
      </c>
      <c r="F15" s="273">
        <v>1.573243497661361</v>
      </c>
      <c r="G15" s="281">
        <f t="shared" si="1"/>
        <v>-1265351</v>
      </c>
      <c r="I15" s="272" t="s">
        <v>1092</v>
      </c>
      <c r="K15" s="281"/>
      <c r="M15" s="281"/>
      <c r="O15" s="281"/>
    </row>
    <row r="16" spans="1:15" ht="18.75" customHeight="1">
      <c r="A16" s="272" t="s">
        <v>908</v>
      </c>
      <c r="C16" s="285">
        <f>SUM(C6:C15)</f>
        <v>442850546.36000001</v>
      </c>
      <c r="D16" s="286">
        <f t="shared" si="0"/>
        <v>90.819399302684275</v>
      </c>
      <c r="E16" s="285">
        <v>443920056.36000001</v>
      </c>
      <c r="F16" s="286">
        <v>84.834127384384388</v>
      </c>
      <c r="G16" s="285">
        <f t="shared" si="1"/>
        <v>-1069510</v>
      </c>
      <c r="I16" s="282"/>
      <c r="J16" s="272" t="s">
        <v>1093</v>
      </c>
      <c r="K16" s="281">
        <f>BS明細!I90</f>
        <v>445883</v>
      </c>
      <c r="L16" s="273">
        <f>K16/$K$40*100</f>
        <v>9.1441292219519826E-2</v>
      </c>
      <c r="M16" s="281">
        <v>434655</v>
      </c>
      <c r="N16" s="273">
        <v>9.0934978041380107E-2</v>
      </c>
      <c r="O16" s="281">
        <f>K16-M16</f>
        <v>11228</v>
      </c>
    </row>
    <row r="17" spans="1:15" ht="18.75" customHeight="1">
      <c r="A17" s="272" t="s">
        <v>513</v>
      </c>
      <c r="B17" s="281"/>
      <c r="C17" s="281"/>
      <c r="D17" s="273" t="s">
        <v>344</v>
      </c>
      <c r="E17" s="281"/>
      <c r="F17" s="273" t="s">
        <v>344</v>
      </c>
      <c r="G17" s="281" t="s">
        <v>345</v>
      </c>
      <c r="J17" s="272" t="s">
        <v>1094</v>
      </c>
      <c r="K17" s="281">
        <f>BS明細!I97</f>
        <v>0</v>
      </c>
      <c r="L17" s="273">
        <f>K17/$K$40*100</f>
        <v>0</v>
      </c>
      <c r="M17" s="281">
        <v>0</v>
      </c>
      <c r="N17" s="273">
        <v>0</v>
      </c>
      <c r="O17" s="281">
        <f>K17-M17</f>
        <v>0</v>
      </c>
    </row>
    <row r="18" spans="1:15" ht="18.75" customHeight="1">
      <c r="C18" s="287"/>
      <c r="E18" s="287"/>
      <c r="G18" s="281"/>
      <c r="I18" s="272" t="s">
        <v>1095</v>
      </c>
      <c r="K18" s="285">
        <f>SUM(K16:K17)</f>
        <v>445883</v>
      </c>
      <c r="L18" s="286">
        <f>K18/$K$40*100</f>
        <v>9.1441292219519826E-2</v>
      </c>
      <c r="M18" s="285">
        <v>434655</v>
      </c>
      <c r="N18" s="286">
        <v>9.0934978041380107E-2</v>
      </c>
      <c r="O18" s="285">
        <f>K18-M18</f>
        <v>11228</v>
      </c>
    </row>
    <row r="19" spans="1:15" ht="18.75" customHeight="1">
      <c r="A19" s="272" t="s">
        <v>346</v>
      </c>
      <c r="B19" s="272" t="s">
        <v>514</v>
      </c>
      <c r="C19" s="281"/>
      <c r="D19" s="273" t="s">
        <v>345</v>
      </c>
      <c r="E19" s="281"/>
      <c r="F19" s="273" t="s">
        <v>345</v>
      </c>
      <c r="G19" s="281" t="s">
        <v>344</v>
      </c>
      <c r="K19" s="281"/>
      <c r="M19" s="281"/>
      <c r="O19" s="281"/>
    </row>
    <row r="20" spans="1:15" ht="18.75" customHeight="1">
      <c r="A20" s="272" t="s">
        <v>909</v>
      </c>
      <c r="C20" s="281"/>
      <c r="D20" s="273" t="s">
        <v>345</v>
      </c>
      <c r="E20" s="281"/>
      <c r="F20" s="273" t="s">
        <v>345</v>
      </c>
      <c r="G20" s="281" t="s">
        <v>344</v>
      </c>
      <c r="I20" s="272" t="s">
        <v>1096</v>
      </c>
      <c r="K20" s="281">
        <v>0</v>
      </c>
      <c r="L20" s="273">
        <f>K20/$K$40*100</f>
        <v>0</v>
      </c>
      <c r="M20" s="281">
        <v>0</v>
      </c>
      <c r="N20" s="273">
        <v>0</v>
      </c>
      <c r="O20" s="281">
        <f>K20-M20</f>
        <v>0</v>
      </c>
    </row>
    <row r="21" spans="1:15" ht="18.75" customHeight="1">
      <c r="A21" s="272" t="s">
        <v>346</v>
      </c>
      <c r="B21" s="272" t="s">
        <v>910</v>
      </c>
      <c r="C21" s="281">
        <f>BS明細!D189</f>
        <v>21000000</v>
      </c>
      <c r="D21" s="273">
        <f t="shared" ref="D21:D31" si="4">C21/$C$40*100</f>
        <v>4.3066614708565165</v>
      </c>
      <c r="E21" s="281">
        <v>21000000</v>
      </c>
      <c r="F21" s="273">
        <v>5.0102179176303743</v>
      </c>
      <c r="G21" s="281">
        <f t="shared" ref="G21:G31" si="5">C21-E21</f>
        <v>0</v>
      </c>
      <c r="K21" s="281"/>
      <c r="M21" s="281"/>
      <c r="O21" s="281"/>
    </row>
    <row r="22" spans="1:15" ht="18.75" customHeight="1">
      <c r="A22" s="272" t="s">
        <v>346</v>
      </c>
      <c r="B22" s="272" t="s">
        <v>911</v>
      </c>
      <c r="C22" s="281">
        <f>BS明細!D190</f>
        <v>13333333</v>
      </c>
      <c r="D22" s="273">
        <f t="shared" si="4"/>
        <v>2.7343881671047492</v>
      </c>
      <c r="E22" s="281">
        <v>13333333</v>
      </c>
      <c r="F22" s="273">
        <v>3.1810906618253503</v>
      </c>
      <c r="G22" s="281">
        <f t="shared" si="5"/>
        <v>0</v>
      </c>
      <c r="I22" s="272" t="s">
        <v>912</v>
      </c>
      <c r="K22" s="285">
        <f>K13+K18+K20</f>
        <v>242148929.88</v>
      </c>
      <c r="L22" s="286">
        <f>K22/$K$40*100</f>
        <v>49.659688882063449</v>
      </c>
      <c r="M22" s="285">
        <v>246000991.88</v>
      </c>
      <c r="N22" s="286">
        <v>43.375907912348893</v>
      </c>
      <c r="O22" s="285">
        <f>K22-M22</f>
        <v>-3852062</v>
      </c>
    </row>
    <row r="23" spans="1:15" ht="18.75" customHeight="1">
      <c r="A23" s="282"/>
      <c r="B23" s="272" t="s">
        <v>1097</v>
      </c>
      <c r="C23" s="281">
        <f>BS明細!D192</f>
        <v>5211496</v>
      </c>
      <c r="D23" s="273">
        <f t="shared" si="4"/>
        <v>1.0687690013677551</v>
      </c>
      <c r="E23" s="281">
        <v>5211496</v>
      </c>
      <c r="F23" s="273">
        <v>1.2433681255647155</v>
      </c>
      <c r="G23" s="281">
        <f t="shared" si="5"/>
        <v>0</v>
      </c>
      <c r="I23" s="272" t="s">
        <v>344</v>
      </c>
      <c r="J23" s="272" t="s">
        <v>345</v>
      </c>
      <c r="K23" s="281"/>
      <c r="L23" s="273" t="s">
        <v>345</v>
      </c>
      <c r="M23" s="281"/>
      <c r="N23" s="273" t="s">
        <v>345</v>
      </c>
      <c r="O23" s="281" t="s">
        <v>344</v>
      </c>
    </row>
    <row r="24" spans="1:15" ht="18.75" customHeight="1">
      <c r="A24" s="282"/>
      <c r="B24" s="272" t="s">
        <v>1098</v>
      </c>
      <c r="C24" s="281">
        <f>BS明細!D202</f>
        <v>737608</v>
      </c>
      <c r="D24" s="273">
        <f t="shared" si="4"/>
        <v>0.15126799781883493</v>
      </c>
      <c r="E24" s="281">
        <v>737608</v>
      </c>
      <c r="F24" s="273">
        <v>0.16031528285569752</v>
      </c>
      <c r="G24" s="281">
        <f t="shared" si="5"/>
        <v>0</v>
      </c>
      <c r="I24" s="272" t="s">
        <v>513</v>
      </c>
      <c r="J24" s="272" t="s">
        <v>344</v>
      </c>
      <c r="K24" s="281"/>
      <c r="L24" s="273" t="s">
        <v>344</v>
      </c>
      <c r="M24" s="281"/>
      <c r="N24" s="273" t="s">
        <v>344</v>
      </c>
      <c r="O24" s="281" t="s">
        <v>345</v>
      </c>
    </row>
    <row r="25" spans="1:15" ht="18.75" customHeight="1">
      <c r="A25" s="282"/>
      <c r="B25" s="272" t="s">
        <v>913</v>
      </c>
      <c r="C25" s="281">
        <f>BS明細!D194</f>
        <v>72214363</v>
      </c>
      <c r="D25" s="273">
        <f t="shared" si="4"/>
        <v>14.809657846406973</v>
      </c>
      <c r="E25" s="281">
        <v>72124363</v>
      </c>
      <c r="F25" s="273">
        <v>16.350097743062555</v>
      </c>
      <c r="G25" s="281">
        <f>C25-E25</f>
        <v>90000</v>
      </c>
      <c r="I25" s="272" t="s">
        <v>914</v>
      </c>
      <c r="K25" s="281"/>
      <c r="L25" s="273" t="s">
        <v>345</v>
      </c>
      <c r="M25" s="281"/>
      <c r="N25" s="273" t="s">
        <v>345</v>
      </c>
      <c r="O25" s="281" t="s">
        <v>344</v>
      </c>
    </row>
    <row r="26" spans="1:15" ht="18.75" customHeight="1">
      <c r="A26" s="282"/>
      <c r="B26" s="272" t="s">
        <v>915</v>
      </c>
      <c r="C26" s="281">
        <f>BS明細!D197</f>
        <v>0</v>
      </c>
      <c r="D26" s="273">
        <f t="shared" si="4"/>
        <v>0</v>
      </c>
      <c r="E26" s="281">
        <v>0</v>
      </c>
      <c r="F26" s="273">
        <v>0</v>
      </c>
      <c r="G26" s="281">
        <f t="shared" si="5"/>
        <v>0</v>
      </c>
      <c r="I26" s="272" t="s">
        <v>346</v>
      </c>
      <c r="J26" s="272" t="s">
        <v>916</v>
      </c>
      <c r="K26" s="281">
        <f>BS明細!I107+BS明細!I108</f>
        <v>335040000</v>
      </c>
      <c r="L26" s="273">
        <f>K26/$K$40*100</f>
        <v>68.70970758075083</v>
      </c>
      <c r="M26" s="281">
        <v>335040000</v>
      </c>
      <c r="N26" s="273">
        <v>79.934448148708597</v>
      </c>
      <c r="O26" s="281">
        <f>K26-M26</f>
        <v>0</v>
      </c>
    </row>
    <row r="27" spans="1:15" ht="18.75" customHeight="1">
      <c r="B27" s="272" t="s">
        <v>917</v>
      </c>
      <c r="C27" s="281">
        <f>BS明細!D198</f>
        <v>1921174</v>
      </c>
      <c r="D27" s="273">
        <f t="shared" si="4"/>
        <v>0.39399266879101419</v>
      </c>
      <c r="E27" s="281">
        <v>1921174</v>
      </c>
      <c r="F27" s="273">
        <v>0.45835716179455321</v>
      </c>
      <c r="G27" s="281">
        <f t="shared" si="5"/>
        <v>0</v>
      </c>
      <c r="J27" s="272" t="s">
        <v>1099</v>
      </c>
      <c r="K27" s="281">
        <f>BS明細!I109</f>
        <v>0</v>
      </c>
      <c r="L27" s="273">
        <f>K27/$K$40*100</f>
        <v>0</v>
      </c>
      <c r="M27" s="281">
        <v>0</v>
      </c>
      <c r="N27" s="273">
        <v>0</v>
      </c>
      <c r="O27" s="281">
        <f>K27-M27</f>
        <v>0</v>
      </c>
    </row>
    <row r="28" spans="1:15" ht="18.75" customHeight="1">
      <c r="A28" s="282"/>
      <c r="B28" s="272" t="s">
        <v>1100</v>
      </c>
      <c r="C28" s="281">
        <f>BS明細!D200</f>
        <v>23141</v>
      </c>
      <c r="D28" s="273">
        <f t="shared" si="4"/>
        <v>4.7457358617662218E-3</v>
      </c>
      <c r="E28" s="281">
        <v>23141</v>
      </c>
      <c r="F28" s="273">
        <v>5.5210215634230713E-3</v>
      </c>
      <c r="G28" s="281">
        <f t="shared" si="5"/>
        <v>0</v>
      </c>
      <c r="I28" s="288" t="s">
        <v>1101</v>
      </c>
      <c r="K28" s="288"/>
      <c r="L28" s="288"/>
      <c r="M28" s="288"/>
      <c r="N28" s="288"/>
      <c r="O28" s="288"/>
    </row>
    <row r="29" spans="1:15" ht="18.75" customHeight="1">
      <c r="B29" s="272" t="s">
        <v>918</v>
      </c>
      <c r="C29" s="281">
        <f>BS明細!D191+BS明細!D193+BS明細!D195+BS明細!D197+BS明細!D199+BS明細!D201+BS明細!D203</f>
        <v>-77089889</v>
      </c>
      <c r="D29" s="273">
        <f t="shared" si="4"/>
        <v>-15.809526416614553</v>
      </c>
      <c r="E29" s="281">
        <v>-75950273</v>
      </c>
      <c r="F29" s="273">
        <v>-13.365158067039657</v>
      </c>
      <c r="G29" s="281">
        <f>C29-E29</f>
        <v>-1139616</v>
      </c>
      <c r="I29" s="288"/>
      <c r="J29" s="288" t="s">
        <v>1102</v>
      </c>
      <c r="K29" s="281">
        <f>BS明細!I113</f>
        <v>20000</v>
      </c>
      <c r="L29" s="273">
        <f>K29/$K$40*100</f>
        <v>4.1015823531966832E-3</v>
      </c>
      <c r="M29" s="281">
        <v>20000</v>
      </c>
      <c r="N29" s="273">
        <v>4.7716361120289279E-3</v>
      </c>
      <c r="O29" s="281">
        <f>K29-M29</f>
        <v>0</v>
      </c>
    </row>
    <row r="30" spans="1:15" ht="18.75" customHeight="1">
      <c r="B30" s="289" t="s">
        <v>1103</v>
      </c>
      <c r="C30" s="281">
        <f>BS明細!D204</f>
        <v>1211484</v>
      </c>
      <c r="D30" s="273">
        <f t="shared" si="4"/>
        <v>0.24845006977900649</v>
      </c>
      <c r="E30" s="281">
        <v>1007484</v>
      </c>
      <c r="F30" s="273">
        <v>3.865025250743432E-2</v>
      </c>
      <c r="G30" s="281">
        <f>C30-E30</f>
        <v>204000</v>
      </c>
      <c r="I30" s="272" t="s">
        <v>919</v>
      </c>
      <c r="K30" s="281"/>
      <c r="M30" s="281"/>
      <c r="O30" s="281"/>
    </row>
    <row r="31" spans="1:15" ht="18.75" customHeight="1">
      <c r="A31" s="272" t="s">
        <v>920</v>
      </c>
      <c r="C31" s="285">
        <f>SUM(C21:C30)</f>
        <v>38562710</v>
      </c>
      <c r="D31" s="286">
        <f t="shared" si="4"/>
        <v>7.9084065413720621</v>
      </c>
      <c r="E31" s="285">
        <v>39408326</v>
      </c>
      <c r="F31" s="286">
        <v>13.082460099764448</v>
      </c>
      <c r="G31" s="285">
        <f t="shared" si="5"/>
        <v>-845616</v>
      </c>
      <c r="J31" s="272" t="s">
        <v>921</v>
      </c>
      <c r="K31" s="281">
        <v>0</v>
      </c>
      <c r="L31" s="273">
        <f t="shared" ref="L31:L37" si="6">K31/$K$40*100</f>
        <v>0</v>
      </c>
      <c r="M31" s="281">
        <v>0</v>
      </c>
      <c r="N31" s="273">
        <v>0</v>
      </c>
      <c r="O31" s="281">
        <f t="shared" ref="O31:O37" si="7">K31-M31</f>
        <v>0</v>
      </c>
    </row>
    <row r="32" spans="1:15" ht="18.75" customHeight="1">
      <c r="C32" s="281"/>
      <c r="E32" s="281"/>
      <c r="G32" s="281"/>
      <c r="I32" s="272" t="s">
        <v>346</v>
      </c>
      <c r="J32" s="272" t="s">
        <v>922</v>
      </c>
      <c r="K32" s="281">
        <v>0</v>
      </c>
      <c r="L32" s="273">
        <f t="shared" si="6"/>
        <v>0</v>
      </c>
      <c r="M32" s="281">
        <v>0</v>
      </c>
      <c r="N32" s="273">
        <v>0</v>
      </c>
      <c r="O32" s="281">
        <f t="shared" si="7"/>
        <v>0</v>
      </c>
    </row>
    <row r="33" spans="1:15" ht="18.75" customHeight="1">
      <c r="C33" s="281"/>
      <c r="E33" s="281"/>
      <c r="G33" s="281"/>
      <c r="I33" s="283"/>
      <c r="J33" s="272" t="s">
        <v>1104</v>
      </c>
      <c r="K33" s="281">
        <f>BS明細!I125</f>
        <v>-75978390.519999996</v>
      </c>
      <c r="L33" s="273">
        <f t="shared" si="6"/>
        <v>-15.581581289055906</v>
      </c>
      <c r="M33" s="281">
        <v>-75978390.519999996</v>
      </c>
      <c r="N33" s="273">
        <v>-26.140394352557411</v>
      </c>
      <c r="O33" s="281">
        <f t="shared" si="7"/>
        <v>0</v>
      </c>
    </row>
    <row r="34" spans="1:15" ht="18.75" customHeight="1">
      <c r="A34" s="272" t="s">
        <v>923</v>
      </c>
      <c r="C34" s="281"/>
      <c r="E34" s="281"/>
      <c r="G34" s="281"/>
      <c r="J34" s="272" t="s">
        <v>1105</v>
      </c>
      <c r="K34" s="281">
        <f>BS明細!I127</f>
        <v>-13613852</v>
      </c>
      <c r="L34" s="273">
        <f t="shared" si="6"/>
        <v>-2.7919167561115685</v>
      </c>
      <c r="M34" s="281">
        <v>-15903692</v>
      </c>
      <c r="N34" s="273">
        <v>2.8252666553878805</v>
      </c>
      <c r="O34" s="281">
        <f t="shared" si="7"/>
        <v>2289840</v>
      </c>
    </row>
    <row r="35" spans="1:15" ht="18.75" customHeight="1">
      <c r="A35" s="282"/>
      <c r="B35" s="272" t="s">
        <v>1106</v>
      </c>
      <c r="C35" s="281">
        <f>BS明細!D213</f>
        <v>82500</v>
      </c>
      <c r="D35" s="273">
        <f>C35/$C$40*100</f>
        <v>1.6919027206936315E-2</v>
      </c>
      <c r="E35" s="281">
        <v>82500</v>
      </c>
      <c r="F35" s="273">
        <v>2.2784562434938132E-2</v>
      </c>
      <c r="G35" s="281">
        <f>C35-E35</f>
        <v>0</v>
      </c>
      <c r="J35" s="272" t="s">
        <v>1107</v>
      </c>
      <c r="K35" s="281">
        <f>BS明細!I126</f>
        <v>0</v>
      </c>
      <c r="L35" s="273">
        <f t="shared" si="6"/>
        <v>0</v>
      </c>
      <c r="M35" s="281">
        <v>0</v>
      </c>
      <c r="N35" s="273">
        <v>0</v>
      </c>
      <c r="O35" s="281">
        <f t="shared" si="7"/>
        <v>0</v>
      </c>
    </row>
    <row r="36" spans="1:15" ht="18.75" customHeight="1">
      <c r="A36" s="283"/>
      <c r="B36" s="272" t="s">
        <v>1108</v>
      </c>
      <c r="C36" s="281">
        <f>BS明細!D214</f>
        <v>1376465</v>
      </c>
      <c r="D36" s="273">
        <f>C36/$C$40*100</f>
        <v>0.28228422768964356</v>
      </c>
      <c r="E36" s="281">
        <v>1023561</v>
      </c>
      <c r="F36" s="273">
        <v>0.68900850817780757</v>
      </c>
      <c r="G36" s="281">
        <f>C36-E36</f>
        <v>352904</v>
      </c>
      <c r="J36" s="272" t="s">
        <v>1109</v>
      </c>
      <c r="K36" s="281">
        <f>BS明細!I129</f>
        <v>0</v>
      </c>
      <c r="L36" s="273">
        <f t="shared" si="6"/>
        <v>0</v>
      </c>
      <c r="M36" s="281">
        <v>0</v>
      </c>
      <c r="N36" s="273">
        <v>0</v>
      </c>
      <c r="O36" s="281">
        <f t="shared" si="7"/>
        <v>0</v>
      </c>
    </row>
    <row r="37" spans="1:15" ht="18.75" customHeight="1">
      <c r="A37" s="282"/>
      <c r="B37" s="290" t="s">
        <v>1110</v>
      </c>
      <c r="C37" s="281">
        <f>BS明細!D222</f>
        <v>4744466</v>
      </c>
      <c r="D37" s="273">
        <f>C37/$C$40*100</f>
        <v>0.97299090104708252</v>
      </c>
      <c r="E37" s="281">
        <v>4744466</v>
      </c>
      <c r="F37" s="273">
        <v>1.3716194452384123</v>
      </c>
      <c r="G37" s="281">
        <f>C37-E37</f>
        <v>0</v>
      </c>
      <c r="I37" s="272" t="s">
        <v>924</v>
      </c>
      <c r="K37" s="285">
        <f>SUM(K26:K36)</f>
        <v>245467757.48000002</v>
      </c>
      <c r="L37" s="286">
        <f t="shared" si="6"/>
        <v>50.340311117936551</v>
      </c>
      <c r="M37" s="285">
        <v>243177917.48000002</v>
      </c>
      <c r="N37" s="286">
        <v>56.624092087651114</v>
      </c>
      <c r="O37" s="285">
        <f t="shared" si="7"/>
        <v>2289840</v>
      </c>
    </row>
    <row r="38" spans="1:15" ht="18.75" customHeight="1">
      <c r="A38" s="272" t="s">
        <v>925</v>
      </c>
      <c r="C38" s="285">
        <f>SUM(C35:C37)</f>
        <v>6203431</v>
      </c>
      <c r="D38" s="286">
        <f>C38/$C$40*100</f>
        <v>1.2721941559436627</v>
      </c>
      <c r="E38" s="285">
        <v>5850527</v>
      </c>
      <c r="F38" s="286">
        <v>2.0834125158511583</v>
      </c>
      <c r="G38" s="285">
        <f>C38-E38</f>
        <v>352904</v>
      </c>
      <c r="K38" s="281"/>
      <c r="M38" s="281"/>
      <c r="O38" s="281"/>
    </row>
    <row r="39" spans="1:15" ht="18.75" customHeight="1">
      <c r="C39" s="291"/>
      <c r="E39" s="291"/>
      <c r="G39" s="291"/>
      <c r="K39" s="281"/>
      <c r="M39" s="281"/>
      <c r="O39" s="281"/>
    </row>
    <row r="40" spans="1:15" ht="18.75" customHeight="1" thickBot="1">
      <c r="A40" s="272" t="s">
        <v>926</v>
      </c>
      <c r="C40" s="292">
        <f>C16+C18+C31+C38</f>
        <v>487616687.36000001</v>
      </c>
      <c r="D40" s="293">
        <f>C40/$C$40*100</f>
        <v>100</v>
      </c>
      <c r="E40" s="292">
        <v>489178909.36000001</v>
      </c>
      <c r="F40" s="293">
        <v>100</v>
      </c>
      <c r="G40" s="292">
        <f>C40-E40</f>
        <v>-1562222</v>
      </c>
      <c r="I40" s="272" t="s">
        <v>927</v>
      </c>
      <c r="K40" s="292">
        <f>K22+K37</f>
        <v>487616687.36000001</v>
      </c>
      <c r="L40" s="293">
        <f>K40/$K$40*100</f>
        <v>100</v>
      </c>
      <c r="M40" s="292">
        <v>489178909.36000001</v>
      </c>
      <c r="N40" s="293">
        <v>100</v>
      </c>
      <c r="O40" s="292">
        <f>K40-M40</f>
        <v>-1562222</v>
      </c>
    </row>
    <row r="41" spans="1:15" ht="18.75" customHeight="1" thickTop="1">
      <c r="A41" s="272" t="s">
        <v>344</v>
      </c>
      <c r="B41" s="272" t="s">
        <v>1111</v>
      </c>
      <c r="C41" s="272" t="s">
        <v>344</v>
      </c>
      <c r="D41" s="273" t="s">
        <v>345</v>
      </c>
      <c r="E41" s="273" t="s">
        <v>344</v>
      </c>
      <c r="G41" s="272" t="s">
        <v>344</v>
      </c>
      <c r="I41" s="272" t="s">
        <v>344</v>
      </c>
      <c r="J41" s="272" t="s">
        <v>345</v>
      </c>
      <c r="K41" s="272" t="s">
        <v>344</v>
      </c>
      <c r="L41" s="273" t="s">
        <v>345</v>
      </c>
      <c r="M41" s="272" t="s">
        <v>344</v>
      </c>
    </row>
    <row r="42" spans="1:15" ht="18.75" customHeight="1">
      <c r="J42" s="272" t="s">
        <v>1112</v>
      </c>
      <c r="K42" s="294">
        <f>K37/33504000</f>
        <v>7.3265209372015283</v>
      </c>
    </row>
    <row r="43" spans="1:15" ht="18.75" customHeight="1">
      <c r="K43" s="294"/>
    </row>
  </sheetData>
  <mergeCells count="2">
    <mergeCell ref="A1:O1"/>
    <mergeCell ref="A2:O2"/>
  </mergeCells>
  <phoneticPr fontId="39" type="noConversion"/>
  <printOptions horizontalCentered="1" gridLines="1"/>
  <pageMargins left="0.17" right="0.17" top="0.34" bottom="0.14000000000000001" header="0.11" footer="0.21"/>
  <pageSetup paperSize="9" scale="70" orientation="landscape" r:id="rId1"/>
  <headerFooter alignWithMargins="0">
    <oddHeader>&amp;R&amp;F--&amp;A</oddHeader>
    <oddFooter>&amp;RP.3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indexed="13"/>
    <pageSetUpPr fitToPage="1"/>
  </sheetPr>
  <dimension ref="A1:R596"/>
  <sheetViews>
    <sheetView view="pageBreakPreview" zoomScale="80" zoomScaleSheetLayoutView="80" workbookViewId="0">
      <pane xSplit="4" ySplit="5" topLeftCell="E38" activePane="bottomRight" state="frozen"/>
      <selection pane="topRight" activeCell="E1" sqref="E1"/>
      <selection pane="bottomLeft" activeCell="A6" sqref="A6"/>
      <selection pane="bottomRight" sqref="A1:XFD1048576"/>
    </sheetView>
  </sheetViews>
  <sheetFormatPr baseColWidth="10" defaultColWidth="11.3984375" defaultRowHeight="18" customHeight="1" outlineLevelRow="1" outlineLevelCol="1"/>
  <cols>
    <col min="1" max="1" width="2.19921875" style="321" customWidth="1"/>
    <col min="2" max="2" width="40.796875" style="321" bestFit="1" customWidth="1"/>
    <col min="3" max="3" width="3.59765625" style="321" customWidth="1"/>
    <col min="4" max="4" width="15.59765625" style="368" customWidth="1"/>
    <col min="5" max="6" width="14.3984375" style="368" customWidth="1"/>
    <col min="7" max="10" width="17.59765625" style="368" customWidth="1"/>
    <col min="11" max="11" width="14.19921875" style="368" customWidth="1"/>
    <col min="12" max="12" width="14.19921875" style="368" hidden="1" customWidth="1" outlineLevel="1"/>
    <col min="13" max="13" width="16.19921875" style="368" hidden="1" customWidth="1" outlineLevel="1"/>
    <col min="14" max="14" width="17.19921875" style="368" hidden="1" customWidth="1" outlineLevel="1"/>
    <col min="15" max="15" width="21.3984375" style="368" hidden="1" customWidth="1" outlineLevel="1"/>
    <col min="16" max="16" width="19.796875" style="368" customWidth="1" collapsed="1"/>
    <col min="17" max="17" width="11.19921875" style="369" customWidth="1"/>
    <col min="18" max="18" width="12.3984375" style="297" bestFit="1" customWidth="1"/>
    <col min="19" max="16384" width="11.3984375" style="321"/>
  </cols>
  <sheetData>
    <row r="1" spans="1:18" ht="18" customHeight="1">
      <c r="A1" s="295" t="s">
        <v>616</v>
      </c>
      <c r="B1" s="296"/>
      <c r="C1" s="322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7"/>
    </row>
    <row r="2" spans="1:18" ht="18" customHeight="1">
      <c r="A2" s="296" t="s">
        <v>1841</v>
      </c>
      <c r="B2" s="296"/>
      <c r="C2" s="322"/>
      <c r="D2" s="336"/>
      <c r="E2" s="338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7"/>
    </row>
    <row r="3" spans="1:18" ht="18" customHeight="1">
      <c r="A3" s="295" t="s">
        <v>1125</v>
      </c>
      <c r="B3" s="296"/>
      <c r="C3" s="322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9" t="s">
        <v>1113</v>
      </c>
    </row>
    <row r="4" spans="1:18" s="341" customFormat="1" ht="18" customHeight="1" thickBot="1">
      <c r="A4" s="298" t="s">
        <v>617</v>
      </c>
      <c r="B4" s="340"/>
      <c r="C4" s="340"/>
      <c r="D4" s="299" t="s">
        <v>1767</v>
      </c>
      <c r="E4" s="299" t="s">
        <v>1768</v>
      </c>
      <c r="F4" s="299" t="s">
        <v>1769</v>
      </c>
      <c r="G4" s="299" t="s">
        <v>1770</v>
      </c>
      <c r="H4" s="299" t="s">
        <v>1771</v>
      </c>
      <c r="I4" s="299" t="s">
        <v>1772</v>
      </c>
      <c r="J4" s="299" t="s">
        <v>1773</v>
      </c>
      <c r="K4" s="299" t="s">
        <v>1774</v>
      </c>
      <c r="L4" s="299" t="s">
        <v>1775</v>
      </c>
      <c r="M4" s="299" t="s">
        <v>1776</v>
      </c>
      <c r="N4" s="299" t="s">
        <v>1777</v>
      </c>
      <c r="O4" s="299" t="s">
        <v>1778</v>
      </c>
      <c r="P4" s="300" t="s">
        <v>1791</v>
      </c>
      <c r="Q4" s="301" t="s">
        <v>1114</v>
      </c>
      <c r="R4" s="297"/>
    </row>
    <row r="5" spans="1:18" s="341" customFormat="1" ht="18" customHeight="1" thickTop="1" thickBot="1">
      <c r="A5" s="302"/>
      <c r="B5" s="342"/>
      <c r="C5" s="342" t="s">
        <v>1115</v>
      </c>
      <c r="D5" s="303">
        <f>製造費用明細!E2+銷售費用!E2+管理費用!E2+研發費用!E2</f>
        <v>67</v>
      </c>
      <c r="E5" s="303">
        <f>製造費用明細!F2+銷售費用!F2+管理費用!F2+研發費用!F2</f>
        <v>69</v>
      </c>
      <c r="F5" s="303">
        <f>製造費用明細!G2+銷售費用!G2+管理費用!G2+研發費用!G2</f>
        <v>69</v>
      </c>
      <c r="G5" s="303">
        <f>製造費用明細!H2+銷售費用!H2+管理費用!H2+研發費用!H2</f>
        <v>68</v>
      </c>
      <c r="H5" s="303">
        <f>製造費用明細!I2+銷售費用!I2+管理費用!I2+研發費用!I2</f>
        <v>70</v>
      </c>
      <c r="I5" s="303">
        <f>製造費用明細!J2+銷售費用!J2+管理費用!J2+研發費用!J2</f>
        <v>71</v>
      </c>
      <c r="J5" s="303">
        <f>製造費用明細!K2+銷售費用!K2+管理費用!K2+研發費用!K2</f>
        <v>70</v>
      </c>
      <c r="K5" s="303">
        <f>製造費用明細!L2+銷售費用!L2+管理費用!L2+研發費用!L2</f>
        <v>70</v>
      </c>
      <c r="L5" s="303">
        <f>製造費用明細!M2+銷售費用!M2+管理費用!M2+研發費用!M2</f>
        <v>0</v>
      </c>
      <c r="M5" s="303">
        <f>製造費用明細!N2+銷售費用!N2+管理費用!N2+研發費用!N2</f>
        <v>0</v>
      </c>
      <c r="N5" s="303">
        <f>製造費用明細!O2+銷售費用!O2+管理費用!O2+研發費用!O2</f>
        <v>0</v>
      </c>
      <c r="O5" s="303">
        <f>製造費用明細!P2+銷售費用!P2+管理費用!P2+研發費用!P2</f>
        <v>0</v>
      </c>
      <c r="P5" s="303"/>
      <c r="Q5" s="301"/>
      <c r="R5" s="297"/>
    </row>
    <row r="6" spans="1:18" ht="18" customHeight="1" outlineLevel="1" thickTop="1">
      <c r="A6" s="343" t="s">
        <v>1117</v>
      </c>
      <c r="B6" s="344"/>
      <c r="C6" s="322"/>
      <c r="D6" s="336"/>
      <c r="E6" s="336"/>
      <c r="F6" s="336"/>
      <c r="G6" s="336"/>
      <c r="H6" s="336"/>
      <c r="I6" s="336"/>
      <c r="J6" s="336"/>
      <c r="K6" s="336"/>
      <c r="L6" s="336"/>
      <c r="M6" s="336"/>
      <c r="N6" s="336"/>
      <c r="O6" s="336"/>
      <c r="P6" s="336"/>
      <c r="Q6" s="345"/>
    </row>
    <row r="7" spans="1:18" ht="18" customHeight="1" outlineLevel="1">
      <c r="A7" s="344"/>
      <c r="B7" s="346" t="s">
        <v>618</v>
      </c>
      <c r="C7" s="322"/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45"/>
      <c r="R7" s="304"/>
    </row>
    <row r="8" spans="1:18" ht="18" customHeight="1" outlineLevel="1">
      <c r="A8" s="344"/>
      <c r="B8" s="344" t="s">
        <v>619</v>
      </c>
      <c r="C8" s="322"/>
      <c r="D8" s="306">
        <f>IF(ISNA(VLOOKUP($B8,IS明細!$B:D,3,0)),0,VLOOKUP($B8,IS明細!$B:D,3,0))</f>
        <v>60242992</v>
      </c>
      <c r="E8" s="306">
        <f>IF(ISNA(VLOOKUP($B8,IS明細!$B:F,5,0)),0,VLOOKUP($B8,IS明細!$B:F,5,0))</f>
        <v>53027714</v>
      </c>
      <c r="F8" s="306">
        <f>IF(ISNA(VLOOKUP($B8,IS明細!$B:H,7,0)),0,VLOOKUP($B8,IS明細!$B:H,7,0))</f>
        <v>65197616</v>
      </c>
      <c r="G8" s="306">
        <f>IF(ISNA(VLOOKUP($B8,IS明細!$B:J,9,0)),0,VLOOKUP($B8,IS明細!$B:J,9,0))</f>
        <v>67460983</v>
      </c>
      <c r="H8" s="306">
        <f>IF(ISNA(VLOOKUP($B8,IS明細!$B:L,11,0)),0,VLOOKUP($B8,IS明細!$B:L,11,0))</f>
        <v>53238236</v>
      </c>
      <c r="I8" s="306">
        <f>IF(ISNA(VLOOKUP($B8,IS明細!$B:N,13,0)),0,VLOOKUP($B8,IS明細!$B:N,13,0))</f>
        <v>87451211</v>
      </c>
      <c r="J8" s="306">
        <f>IF(ISNA(VLOOKUP($B8,IS明細!$B:P,15,0)),0,VLOOKUP($B8,IS明細!$B:P,15,0))</f>
        <v>98237627</v>
      </c>
      <c r="K8" s="306">
        <f>IF(ISNA(VLOOKUP($B8,IS明細!$B:R,17,0)),0,VLOOKUP($B8,IS明細!$B:R,17,0))</f>
        <v>82131376</v>
      </c>
      <c r="L8" s="306">
        <f>IF(ISNA(VLOOKUP($B8,IS明細!$B:T,19,0)),0,VLOOKUP($B8,IS明細!$B:T,19,0))</f>
        <v>0</v>
      </c>
      <c r="M8" s="306">
        <f>IF(ISNA(VLOOKUP($B8,IS明細!$B:V,21,0)),0,VLOOKUP($B8,IS明細!$B:V,21,0))</f>
        <v>0</v>
      </c>
      <c r="N8" s="306">
        <f>IF(ISNA(VLOOKUP($B8,IS明細!$B:X,23,0)),0,VLOOKUP($B8,IS明細!$B:X,23,0))</f>
        <v>0</v>
      </c>
      <c r="O8" s="306">
        <f>IF(ISNA(VLOOKUP($B8,IS明細!$B:Z,25,0)),0,VLOOKUP($B8,IS明細!$B:Z,25,0))</f>
        <v>0</v>
      </c>
      <c r="P8" s="306">
        <f>SUM(D8:O8)</f>
        <v>566987755</v>
      </c>
      <c r="Q8" s="337">
        <f t="shared" ref="Q8:Q20" si="0">P8/$P$8</f>
        <v>1</v>
      </c>
      <c r="R8" s="321"/>
    </row>
    <row r="9" spans="1:18" ht="18" customHeight="1" outlineLevel="1">
      <c r="A9" s="344"/>
      <c r="B9" s="344" t="s">
        <v>620</v>
      </c>
      <c r="C9" s="322"/>
      <c r="D9" s="306">
        <f>IF(ISNA(VLOOKUP($B9,IS明細!$B:D,3,0)),0,VLOOKUP($B9,IS明細!$B:D,3,0))</f>
        <v>6052118</v>
      </c>
      <c r="E9" s="306">
        <f>IF(ISNA(VLOOKUP($B9,IS明細!$B:F,5,0)),0,VLOOKUP($B9,IS明細!$B:F,5,0))</f>
        <v>6516828</v>
      </c>
      <c r="F9" s="306">
        <f>IF(ISNA(VLOOKUP($B9,IS明細!$B:H,7,0)),0,VLOOKUP($B9,IS明細!$B:H,7,0))</f>
        <v>4965549</v>
      </c>
      <c r="G9" s="306">
        <f>IF(ISNA(VLOOKUP($B9,IS明細!$B:J,9,0)),0,VLOOKUP($B9,IS明細!$B:J,9,0))</f>
        <v>3547544</v>
      </c>
      <c r="H9" s="306">
        <f>IF(ISNA(VLOOKUP($B9,IS明細!$B:L,11,0)),0,VLOOKUP($B9,IS明細!$B:L,11,0))</f>
        <v>4730748</v>
      </c>
      <c r="I9" s="306">
        <f>IF(ISNA(VLOOKUP($B9,IS明細!$B:N,13,0)),0,VLOOKUP($B9,IS明細!$B:N,13,0))</f>
        <v>10034944</v>
      </c>
      <c r="J9" s="306">
        <f>IF(ISNA(VLOOKUP($B9,IS明細!$B:P,15,0)),0,VLOOKUP($B9,IS明細!$B:P,15,0))</f>
        <v>8173236</v>
      </c>
      <c r="K9" s="306">
        <f>IF(ISNA(VLOOKUP($B9,IS明細!$B:R,17,0)),0,VLOOKUP($B9,IS明細!$B:R,17,0))</f>
        <v>8365372</v>
      </c>
      <c r="L9" s="306">
        <f>IF(ISNA(VLOOKUP($B9,IS明細!$B:T,19,0)),0,VLOOKUP($B9,IS明細!$B:T,19,0))</f>
        <v>0</v>
      </c>
      <c r="M9" s="306">
        <f>IF(ISNA(VLOOKUP($B9,IS明細!$B:V,21,0)),0,VLOOKUP($B9,IS明細!$B:V,21,0))</f>
        <v>0</v>
      </c>
      <c r="N9" s="306">
        <f>IF(ISNA(VLOOKUP($B9,IS明細!$B:X,23,0)),0,VLOOKUP($B9,IS明細!$B:X,23,0))</f>
        <v>0</v>
      </c>
      <c r="O9" s="306">
        <f>IF(ISNA(VLOOKUP($B9,IS明細!$B:Z,25,0)),0,VLOOKUP($B9,IS明細!$B:Z,25,0))</f>
        <v>0</v>
      </c>
      <c r="P9" s="306">
        <f t="shared" ref="P9:P72" si="1">SUM(D9:O9)</f>
        <v>52386339</v>
      </c>
      <c r="Q9" s="337">
        <f t="shared" si="0"/>
        <v>9.2394127629793349E-2</v>
      </c>
      <c r="R9" s="321"/>
    </row>
    <row r="10" spans="1:18" ht="18" customHeight="1" outlineLevel="1">
      <c r="A10" s="344"/>
      <c r="B10" s="344" t="s">
        <v>1118</v>
      </c>
      <c r="C10" s="322"/>
      <c r="D10" s="306">
        <f>IF(ISNA(VLOOKUP($B10,IS明細!$B:D,3,0)),0,VLOOKUP($B10,IS明細!$B:D,3,0))</f>
        <v>54190874</v>
      </c>
      <c r="E10" s="306">
        <f>IF(ISNA(VLOOKUP($B10,IS明細!$B:F,5,0)),0,VLOOKUP($B10,IS明細!$B:F,5,0))</f>
        <v>46510886</v>
      </c>
      <c r="F10" s="306">
        <f>IF(ISNA(VLOOKUP($B10,IS明細!$B:H,7,0)),0,VLOOKUP($B10,IS明細!$B:H,7,0))</f>
        <v>60232067</v>
      </c>
      <c r="G10" s="306">
        <f>IF(ISNA(VLOOKUP($B10,IS明細!$B:J,9,0)),0,VLOOKUP($B10,IS明細!$B:J,9,0))</f>
        <v>63913439</v>
      </c>
      <c r="H10" s="306">
        <f>IF(ISNA(VLOOKUP($B10,IS明細!$B:L,11,0)),0,VLOOKUP($B10,IS明細!$B:L,11,0))</f>
        <v>48507488</v>
      </c>
      <c r="I10" s="306">
        <f>IF(ISNA(VLOOKUP($B10,IS明細!$B:N,13,0)),0,VLOOKUP($B10,IS明細!$B:N,13,0))</f>
        <v>77416267</v>
      </c>
      <c r="J10" s="306">
        <f>IF(ISNA(VLOOKUP($B10,IS明細!$B:P,15,0)),0,VLOOKUP($B10,IS明細!$B:P,15,0))</f>
        <v>90064391</v>
      </c>
      <c r="K10" s="306">
        <f>IF(ISNA(VLOOKUP($B10,IS明細!$B:R,17,0)),0,VLOOKUP($B10,IS明細!$B:R,17,0))</f>
        <v>73766004</v>
      </c>
      <c r="L10" s="306">
        <f>IF(ISNA(VLOOKUP($B10,IS明細!$B:T,19,0)),0,VLOOKUP($B10,IS明細!$B:T,19,0))</f>
        <v>0</v>
      </c>
      <c r="M10" s="306">
        <f>IF(ISNA(VLOOKUP($B10,IS明細!$B:V,21,0)),0,VLOOKUP($B10,IS明細!$B:V,21,0))</f>
        <v>0</v>
      </c>
      <c r="N10" s="306">
        <f>IF(ISNA(VLOOKUP($B10,IS明細!$B:X,23,0)),0,VLOOKUP($B10,IS明細!$B:X,23,0))</f>
        <v>0</v>
      </c>
      <c r="O10" s="306">
        <f>IF(ISNA(VLOOKUP($B10,IS明細!$B:Z,25,0)),0,VLOOKUP($B10,IS明細!$B:Z,25,0))</f>
        <v>0</v>
      </c>
      <c r="P10" s="306">
        <f t="shared" si="1"/>
        <v>514601416</v>
      </c>
      <c r="Q10" s="337">
        <f t="shared" si="0"/>
        <v>0.90760587237020662</v>
      </c>
      <c r="R10" s="321"/>
    </row>
    <row r="11" spans="1:18" ht="18" customHeight="1" outlineLevel="1">
      <c r="A11" s="344"/>
      <c r="B11" s="344" t="s">
        <v>1119</v>
      </c>
      <c r="C11" s="322"/>
      <c r="D11" s="306">
        <f>IF(ISNA(VLOOKUP($B11,IS明細!$B:D,3,0)),0,VLOOKUP($B11,IS明細!$B:D,3,0))</f>
        <v>0</v>
      </c>
      <c r="E11" s="306">
        <f>IF(ISNA(VLOOKUP($B11,IS明細!$B:F,5,0)),0,VLOOKUP($B11,IS明細!$B:F,5,0))</f>
        <v>0</v>
      </c>
      <c r="F11" s="306">
        <f>IF(ISNA(VLOOKUP($B11,IS明細!$B:H,7,0)),0,VLOOKUP($B11,IS明細!$B:H,7,0))</f>
        <v>0</v>
      </c>
      <c r="G11" s="306">
        <f>IF(ISNA(VLOOKUP($B11,IS明細!$B:J,9,0)),0,VLOOKUP($B11,IS明細!$B:J,9,0))</f>
        <v>116289</v>
      </c>
      <c r="H11" s="306">
        <f>IF(ISNA(VLOOKUP($B11,IS明細!$B:L,11,0)),0,VLOOKUP($B11,IS明細!$B:L,11,0))</f>
        <v>0</v>
      </c>
      <c r="I11" s="306">
        <f>IF(ISNA(VLOOKUP($B11,IS明細!$B:N,13,0)),0,VLOOKUP($B11,IS明細!$B:N,13,0))</f>
        <v>13559</v>
      </c>
      <c r="J11" s="306">
        <f>IF(ISNA(VLOOKUP($B11,IS明細!$B:P,15,0)),0,VLOOKUP($B11,IS明細!$B:P,15,0))</f>
        <v>0</v>
      </c>
      <c r="K11" s="306">
        <f>IF(ISNA(VLOOKUP($B11,IS明細!$B:R,17,0)),0,VLOOKUP($B11,IS明細!$B:R,17,0))</f>
        <v>0</v>
      </c>
      <c r="L11" s="306">
        <f>IF(ISNA(VLOOKUP($B11,IS明細!$B:T,19,0)),0,VLOOKUP($B11,IS明細!$B:T,19,0))</f>
        <v>0</v>
      </c>
      <c r="M11" s="306">
        <f>IF(ISNA(VLOOKUP($B11,IS明細!$B:V,21,0)),0,VLOOKUP($B11,IS明細!$B:V,21,0))</f>
        <v>0</v>
      </c>
      <c r="N11" s="306">
        <f>IF(ISNA(VLOOKUP($B11,IS明細!$B:X,23,0)),0,VLOOKUP($B11,IS明細!$B:X,23,0))</f>
        <v>0</v>
      </c>
      <c r="O11" s="306">
        <f>IF(ISNA(VLOOKUP($B11,IS明細!$B:Z,25,0)),0,VLOOKUP($B11,IS明細!$B:Z,25,0))</f>
        <v>0</v>
      </c>
      <c r="P11" s="306">
        <f t="shared" si="1"/>
        <v>129848</v>
      </c>
      <c r="Q11" s="337">
        <f t="shared" si="0"/>
        <v>2.2901376415086777E-4</v>
      </c>
      <c r="R11" s="321"/>
    </row>
    <row r="12" spans="1:18" ht="18" customHeight="1" outlineLevel="1">
      <c r="A12" s="344"/>
      <c r="B12" s="344" t="s">
        <v>1120</v>
      </c>
      <c r="C12" s="322"/>
      <c r="D12" s="306">
        <f>IF(ISNA(VLOOKUP($B12,IS明細!$B:D,3,0)),0,VLOOKUP($B12,IS明細!$B:D,3,0))</f>
        <v>0</v>
      </c>
      <c r="E12" s="306">
        <f>IF(ISNA(VLOOKUP($B12,IS明細!$B:F,5,0)),0,VLOOKUP($B12,IS明細!$B:F,5,0))</f>
        <v>0</v>
      </c>
      <c r="F12" s="306">
        <f>IF(ISNA(VLOOKUP($B12,IS明細!$B:H,7,0)),0,VLOOKUP($B12,IS明細!$B:H,7,0))</f>
        <v>1493168</v>
      </c>
      <c r="G12" s="306">
        <f>IF(ISNA(VLOOKUP($B12,IS明細!$B:J,9,0)),0,VLOOKUP($B12,IS明細!$B:J,9,0))</f>
        <v>0</v>
      </c>
      <c r="H12" s="306">
        <f>IF(ISNA(VLOOKUP($B12,IS明細!$B:L,11,0)),0,VLOOKUP($B12,IS明細!$B:L,11,0))</f>
        <v>0</v>
      </c>
      <c r="I12" s="306">
        <f>IF(ISNA(VLOOKUP($B12,IS明細!$B:N,13,0)),0,VLOOKUP($B12,IS明細!$B:N,13,0))</f>
        <v>31565</v>
      </c>
      <c r="J12" s="306">
        <f>IF(ISNA(VLOOKUP($B12,IS明細!$B:P,15,0)),0,VLOOKUP($B12,IS明細!$B:P,15,0))</f>
        <v>0</v>
      </c>
      <c r="K12" s="306">
        <f>IF(ISNA(VLOOKUP($B12,IS明細!$B:R,17,0)),0,VLOOKUP($B12,IS明細!$B:R,17,0))</f>
        <v>0</v>
      </c>
      <c r="L12" s="306">
        <f>IF(ISNA(VLOOKUP($B12,IS明細!$B:T,19,0)),0,VLOOKUP($B12,IS明細!$B:T,19,0))</f>
        <v>0</v>
      </c>
      <c r="M12" s="306">
        <f>IF(ISNA(VLOOKUP($B12,IS明細!$B:V,21,0)),0,VLOOKUP($B12,IS明細!$B:V,21,0))</f>
        <v>0</v>
      </c>
      <c r="N12" s="306">
        <f>IF(ISNA(VLOOKUP($B12,IS明細!$B:X,23,0)),0,VLOOKUP($B12,IS明細!$B:X,23,0))</f>
        <v>0</v>
      </c>
      <c r="O12" s="306">
        <f>IF(ISNA(VLOOKUP($B12,IS明細!$B:Z,25,0)),0,VLOOKUP($B12,IS明細!$B:Z,25,0))</f>
        <v>0</v>
      </c>
      <c r="P12" s="306">
        <f t="shared" si="1"/>
        <v>1524733</v>
      </c>
      <c r="Q12" s="337">
        <f t="shared" si="0"/>
        <v>2.689181532677015E-3</v>
      </c>
      <c r="R12" s="321"/>
    </row>
    <row r="13" spans="1:18" ht="18" customHeight="1" outlineLevel="1">
      <c r="A13" s="344"/>
      <c r="B13" s="346" t="s">
        <v>621</v>
      </c>
      <c r="C13" s="322"/>
      <c r="D13" s="306">
        <f>IF(ISNA(VLOOKUP($B13,IS明細!$B:D,3,0)),0,VLOOKUP($B13,IS明細!$B:D,3,0))</f>
        <v>60242992</v>
      </c>
      <c r="E13" s="306">
        <f>IF(ISNA(VLOOKUP($B13,IS明細!$B:F,5,0)),0,VLOOKUP($B13,IS明細!$B:F,5,0))</f>
        <v>53027714</v>
      </c>
      <c r="F13" s="306">
        <f>IF(ISNA(VLOOKUP($B13,IS明細!$B:H,7,0)),0,VLOOKUP($B13,IS明細!$B:H,7,0))</f>
        <v>63704448</v>
      </c>
      <c r="G13" s="306">
        <f>IF(ISNA(VLOOKUP($B13,IS明細!$B:J,9,0)),0,VLOOKUP($B13,IS明細!$B:J,9,0))</f>
        <v>67344694</v>
      </c>
      <c r="H13" s="306">
        <f>IF(ISNA(VLOOKUP($B13,IS明細!$B:L,11,0)),0,VLOOKUP($B13,IS明細!$B:L,11,0))</f>
        <v>53238236</v>
      </c>
      <c r="I13" s="306">
        <f>IF(ISNA(VLOOKUP($B13,IS明細!$B:N,13,0)),0,VLOOKUP($B13,IS明細!$B:N,13,0))</f>
        <v>87406087</v>
      </c>
      <c r="J13" s="306">
        <f>IF(ISNA(VLOOKUP($B13,IS明細!$B:P,15,0)),0,VLOOKUP($B13,IS明細!$B:P,15,0))</f>
        <v>98237627</v>
      </c>
      <c r="K13" s="306">
        <f>IF(ISNA(VLOOKUP($B13,IS明細!$B:R,17,0)),0,VLOOKUP($B13,IS明細!$B:R,17,0))</f>
        <v>82131376</v>
      </c>
      <c r="L13" s="306">
        <f>IF(ISNA(VLOOKUP($B13,IS明細!$B:T,19,0)),0,VLOOKUP($B13,IS明細!$B:T,19,0))</f>
        <v>0</v>
      </c>
      <c r="M13" s="306">
        <f>IF(ISNA(VLOOKUP($B13,IS明細!$B:V,21,0)),0,VLOOKUP($B13,IS明細!$B:V,21,0))</f>
        <v>0</v>
      </c>
      <c r="N13" s="306">
        <f>IF(ISNA(VLOOKUP($B13,IS明細!$B:X,23,0)),0,VLOOKUP($B13,IS明細!$B:X,23,0))</f>
        <v>0</v>
      </c>
      <c r="O13" s="306">
        <f>IF(ISNA(VLOOKUP($B13,IS明細!$B:Z,25,0)),0,VLOOKUP($B13,IS明細!$B:Z,25,0))</f>
        <v>0</v>
      </c>
      <c r="P13" s="306">
        <f t="shared" si="1"/>
        <v>565333174</v>
      </c>
      <c r="Q13" s="337">
        <f t="shared" si="0"/>
        <v>0.99708180470317209</v>
      </c>
      <c r="R13" s="321"/>
    </row>
    <row r="14" spans="1:18" ht="18" customHeight="1" outlineLevel="1">
      <c r="A14" s="344"/>
      <c r="B14" s="346" t="s">
        <v>622</v>
      </c>
      <c r="C14" s="322"/>
      <c r="D14" s="306"/>
      <c r="E14" s="306">
        <f>IF(ISNA(VLOOKUP($B14,IS明細!$B:F,5,0)),0,VLOOKUP($B14,IS明細!$B:F,5,0))</f>
        <v>0</v>
      </c>
      <c r="F14" s="306">
        <f>IF(ISNA(VLOOKUP($B14,IS明細!$B:H,7,0)),0,VLOOKUP($B14,IS明細!$B:H,7,0))</f>
        <v>0</v>
      </c>
      <c r="G14" s="306">
        <f>IF(ISNA(VLOOKUP($B14,IS明細!$B:J,9,0)),0,VLOOKUP($B14,IS明細!$B:J,9,0))</f>
        <v>0</v>
      </c>
      <c r="H14" s="306">
        <f>IF(ISNA(VLOOKUP($B14,IS明細!$B:L,11,0)),0,VLOOKUP($B14,IS明細!$B:L,11,0))</f>
        <v>0</v>
      </c>
      <c r="I14" s="306">
        <f>IF(ISNA(VLOOKUP($B14,IS明細!$B:N,13,0)),0,VLOOKUP($B14,IS明細!$B:N,13,0))</f>
        <v>0</v>
      </c>
      <c r="J14" s="306">
        <f>IF(ISNA(VLOOKUP($B14,IS明細!$B:P,15,0)),0,VLOOKUP($B14,IS明細!$B:P,15,0))</f>
        <v>0</v>
      </c>
      <c r="K14" s="306">
        <f>IF(ISNA(VLOOKUP($B14,IS明細!$B:R,17,0)),0,VLOOKUP($B14,IS明細!$B:R,17,0))</f>
        <v>0</v>
      </c>
      <c r="L14" s="306">
        <f>IF(ISNA(VLOOKUP($B14,IS明細!$B:T,19,0)),0,VLOOKUP($B14,IS明細!$B:T,19,0))</f>
        <v>0</v>
      </c>
      <c r="M14" s="306">
        <f>IF(ISNA(VLOOKUP($B14,IS明細!$B:V,21,0)),0,VLOOKUP($B14,IS明細!$B:V,21,0))</f>
        <v>0</v>
      </c>
      <c r="N14" s="306">
        <f>IF(ISNA(VLOOKUP($B14,IS明細!$B:X,23,0)),0,VLOOKUP($B14,IS明細!$B:X,23,0))</f>
        <v>0</v>
      </c>
      <c r="O14" s="306">
        <f>IF(ISNA(VLOOKUP($B14,IS明細!$B:Z,25,0)),0,VLOOKUP($B14,IS明細!$B:Z,25,0))</f>
        <v>0</v>
      </c>
      <c r="P14" s="306"/>
      <c r="Q14" s="337">
        <f t="shared" si="0"/>
        <v>0</v>
      </c>
      <c r="R14" s="321"/>
    </row>
    <row r="15" spans="1:18" ht="18" customHeight="1" outlineLevel="1">
      <c r="A15" s="344"/>
      <c r="B15" s="344" t="s">
        <v>623</v>
      </c>
      <c r="C15" s="322"/>
      <c r="D15" s="306">
        <f>IF(ISNA(VLOOKUP($B15,IS明細!B:D,3,0)),0,VLOOKUP($B15,IS明細!B:D,3,0))</f>
        <v>3959</v>
      </c>
      <c r="E15" s="306">
        <f>IF(ISNA(VLOOKUP($B15,IS明細!$B:F,5,0)),0,VLOOKUP($B15,IS明細!$B:F,5,0))</f>
        <v>43786</v>
      </c>
      <c r="F15" s="306">
        <f>IF(ISNA(VLOOKUP($B15,IS明細!$B:H,7,0)),0,VLOOKUP($B15,IS明細!$B:H,7,0))</f>
        <v>27522</v>
      </c>
      <c r="G15" s="306">
        <f>IF(ISNA(VLOOKUP($B15,IS明細!$B:J,9,0)),0,VLOOKUP($B15,IS明細!$B:J,9,0))</f>
        <v>20986</v>
      </c>
      <c r="H15" s="306">
        <f>IF(ISNA(VLOOKUP($B15,IS明細!$B:L,11,0)),0,VLOOKUP($B15,IS明細!$B:L,11,0))</f>
        <v>43107</v>
      </c>
      <c r="I15" s="306">
        <f>IF(ISNA(VLOOKUP($B15,IS明細!$B:N,13,0)),0,VLOOKUP($B15,IS明細!$B:N,13,0))</f>
        <v>81879</v>
      </c>
      <c r="J15" s="306">
        <f>IF(ISNA(VLOOKUP($B15,IS明細!$B:P,15,0)),0,VLOOKUP($B15,IS明細!$B:P,15,0))</f>
        <v>3539</v>
      </c>
      <c r="K15" s="306">
        <f>IF(ISNA(VLOOKUP($B15,IS明細!$B:R,17,0)),0,VLOOKUP($B15,IS明細!$B:R,17,0))</f>
        <v>3539</v>
      </c>
      <c r="L15" s="306">
        <f>IF(ISNA(VLOOKUP($B15,IS明細!$B:T,19,0)),0,VLOOKUP($B15,IS明細!$B:T,19,0))</f>
        <v>0</v>
      </c>
      <c r="M15" s="306">
        <f>IF(ISNA(VLOOKUP($B15,IS明細!$B:V,21,0)),0,VLOOKUP($B15,IS明細!$B:V,21,0))</f>
        <v>0</v>
      </c>
      <c r="N15" s="306">
        <f>IF(ISNA(VLOOKUP($B15,IS明細!$B:X,23,0)),0,VLOOKUP($B15,IS明細!$B:X,23,0))</f>
        <v>0</v>
      </c>
      <c r="O15" s="306">
        <f>IF(ISNA(VLOOKUP($B15,IS明細!$B:Z,25,0)),0,VLOOKUP($B15,IS明細!$B:Z,25,0))</f>
        <v>0</v>
      </c>
      <c r="P15" s="306">
        <f t="shared" si="1"/>
        <v>228317</v>
      </c>
      <c r="Q15" s="337">
        <f t="shared" si="0"/>
        <v>4.0268418142469406E-4</v>
      </c>
      <c r="R15" s="321"/>
    </row>
    <row r="16" spans="1:18" ht="18" customHeight="1" outlineLevel="1">
      <c r="A16" s="344"/>
      <c r="B16" s="344" t="s">
        <v>1121</v>
      </c>
      <c r="C16" s="322"/>
      <c r="D16" s="306">
        <f>IF(ISNA(VLOOKUP($B16,IS明細!B:D,3,0)),0,VLOOKUP($B16,IS明細!B:D,3,0))</f>
        <v>3959</v>
      </c>
      <c r="E16" s="306">
        <f>IF(ISNA(VLOOKUP($B16,IS明細!$B:F,5,0)),0,VLOOKUP($B16,IS明細!$B:F,5,0))</f>
        <v>43786</v>
      </c>
      <c r="F16" s="306">
        <f>IF(ISNA(VLOOKUP($B16,IS明細!$B:H,7,0)),0,VLOOKUP($B16,IS明細!$B:H,7,0))</f>
        <v>27522</v>
      </c>
      <c r="G16" s="306">
        <f>IF(ISNA(VLOOKUP($B16,IS明細!$B:J,9,0)),0,VLOOKUP($B16,IS明細!$B:J,9,0))</f>
        <v>20986</v>
      </c>
      <c r="H16" s="306">
        <f>IF(ISNA(VLOOKUP($B16,IS明細!$B:L,11,0)),0,VLOOKUP($B16,IS明細!$B:L,11,0))</f>
        <v>43107</v>
      </c>
      <c r="I16" s="306">
        <f>IF(ISNA(VLOOKUP($B16,IS明細!$B:N,13,0)),0,VLOOKUP($B16,IS明細!$B:N,13,0))</f>
        <v>81879</v>
      </c>
      <c r="J16" s="306">
        <f>IF(ISNA(VLOOKUP($B16,IS明細!$B:P,15,0)),0,VLOOKUP($B16,IS明細!$B:P,15,0))</f>
        <v>3539</v>
      </c>
      <c r="K16" s="306">
        <f>IF(ISNA(VLOOKUP($B16,IS明細!$B:R,17,0)),0,VLOOKUP($B16,IS明細!$B:R,17,0))</f>
        <v>3539</v>
      </c>
      <c r="L16" s="306">
        <f>IF(ISNA(VLOOKUP($B16,IS明細!$B:T,19,0)),0,VLOOKUP($B16,IS明細!$B:T,19,0))</f>
        <v>0</v>
      </c>
      <c r="M16" s="306">
        <f>IF(ISNA(VLOOKUP($B16,IS明細!$B:V,21,0)),0,VLOOKUP($B16,IS明細!$B:V,21,0))</f>
        <v>0</v>
      </c>
      <c r="N16" s="306">
        <f>IF(ISNA(VLOOKUP($B16,IS明細!$B:X,23,0)),0,VLOOKUP($B16,IS明細!$B:X,23,0))</f>
        <v>0</v>
      </c>
      <c r="O16" s="306">
        <f>IF(ISNA(VLOOKUP($B16,IS明細!$B:Z,25,0)),0,VLOOKUP($B16,IS明細!$B:Z,25,0))</f>
        <v>0</v>
      </c>
      <c r="P16" s="306">
        <f t="shared" si="1"/>
        <v>228317</v>
      </c>
      <c r="Q16" s="337">
        <f t="shared" si="0"/>
        <v>4.0268418142469406E-4</v>
      </c>
      <c r="R16" s="321"/>
    </row>
    <row r="17" spans="1:18" ht="18" customHeight="1" outlineLevel="1">
      <c r="A17" s="344"/>
      <c r="B17" s="344" t="s">
        <v>1122</v>
      </c>
      <c r="C17" s="322"/>
      <c r="D17" s="306">
        <f>IF(ISNA(VLOOKUP($B17,IS明細!B:D,3,0)),0,VLOOKUP($B17,IS明細!B:D,3,0))</f>
        <v>0</v>
      </c>
      <c r="E17" s="306">
        <f>IF(ISNA(VLOOKUP($B17,IS明細!$B:F,5,0)),0,VLOOKUP($B17,IS明細!$B:F,5,0))</f>
        <v>0</v>
      </c>
      <c r="F17" s="306">
        <f>IF(ISNA(VLOOKUP($B17,IS明細!$B:H,7,0)),0,VLOOKUP($B17,IS明細!$B:H,7,0))</f>
        <v>0</v>
      </c>
      <c r="G17" s="306">
        <f>IF(ISNA(VLOOKUP($B17,IS明細!$B:J,9,0)),0,VLOOKUP($B17,IS明細!$B:J,9,0))</f>
        <v>0</v>
      </c>
      <c r="H17" s="306">
        <f>IF(ISNA(VLOOKUP($B17,IS明細!$B:L,11,0)),0,VLOOKUP($B17,IS明細!$B:L,11,0))</f>
        <v>0</v>
      </c>
      <c r="I17" s="306">
        <f>IF(ISNA(VLOOKUP($B17,IS明細!$B:N,13,0)),0,VLOOKUP($B17,IS明細!$B:N,13,0))</f>
        <v>0</v>
      </c>
      <c r="J17" s="306">
        <f>IF(ISNA(VLOOKUP($B17,IS明細!$B:P,15,0)),0,VLOOKUP($B17,IS明細!$B:P,15,0))</f>
        <v>0</v>
      </c>
      <c r="K17" s="306">
        <f>IF(ISNA(VLOOKUP($B17,IS明細!$B:R,17,0)),0,VLOOKUP($B17,IS明細!$B:R,17,0))</f>
        <v>0</v>
      </c>
      <c r="L17" s="306">
        <f>IF(ISNA(VLOOKUP($B17,IS明細!$B:T,19,0)),0,VLOOKUP($B17,IS明細!$B:T,19,0))</f>
        <v>0</v>
      </c>
      <c r="M17" s="306">
        <f>IF(ISNA(VLOOKUP($B17,IS明細!$B:V,21,0)),0,VLOOKUP($B17,IS明細!$B:V,21,0))</f>
        <v>0</v>
      </c>
      <c r="N17" s="306">
        <f>IF(ISNA(VLOOKUP($B17,IS明細!$B:X,23,0)),0,VLOOKUP($B17,IS明細!$B:X,23,0))</f>
        <v>0</v>
      </c>
      <c r="O17" s="306">
        <f>IF(ISNA(VLOOKUP($B17,IS明細!$B:Z,25,0)),0,VLOOKUP($B17,IS明細!$B:Z,25,0))</f>
        <v>0</v>
      </c>
      <c r="P17" s="306">
        <f t="shared" si="1"/>
        <v>0</v>
      </c>
      <c r="Q17" s="337">
        <f t="shared" si="0"/>
        <v>0</v>
      </c>
      <c r="R17" s="321"/>
    </row>
    <row r="18" spans="1:18" ht="18" customHeight="1" outlineLevel="1">
      <c r="A18" s="344"/>
      <c r="B18" s="344" t="s">
        <v>624</v>
      </c>
      <c r="C18" s="322"/>
      <c r="D18" s="306">
        <f>IF(ISNA(VLOOKUP($B18,IS明細!B:D,3,0)),0,VLOOKUP($B18,IS明細!B:D,3,0))</f>
        <v>0</v>
      </c>
      <c r="E18" s="306">
        <f>IF(ISNA(VLOOKUP($B18,IS明細!$B:F,5,0)),0,VLOOKUP($B18,IS明細!$B:F,5,0))</f>
        <v>0</v>
      </c>
      <c r="F18" s="306">
        <f>IF(ISNA(VLOOKUP($B18,IS明細!$B:H,7,0)),0,VLOOKUP($B18,IS明細!$B:H,7,0))</f>
        <v>0</v>
      </c>
      <c r="G18" s="306">
        <f>IF(ISNA(VLOOKUP($B18,IS明細!$B:J,9,0)),0,VLOOKUP($B18,IS明細!$B:J,9,0))</f>
        <v>0</v>
      </c>
      <c r="H18" s="306">
        <f>IF(ISNA(VLOOKUP($B18,IS明細!$B:L,11,0)),0,VLOOKUP($B18,IS明細!$B:L,11,0))</f>
        <v>0</v>
      </c>
      <c r="I18" s="306">
        <f>IF(ISNA(VLOOKUP($B18,IS明細!$B:N,13,0)),0,VLOOKUP($B18,IS明細!$B:N,13,0))</f>
        <v>0</v>
      </c>
      <c r="J18" s="306">
        <f>IF(ISNA(VLOOKUP($B18,IS明細!$B:P,15,0)),0,VLOOKUP($B18,IS明細!$B:P,15,0))</f>
        <v>0</v>
      </c>
      <c r="K18" s="306">
        <f>IF(ISNA(VLOOKUP($B18,IS明細!$B:R,17,0)),0,VLOOKUP($B18,IS明細!$B:R,17,0))</f>
        <v>0</v>
      </c>
      <c r="L18" s="306">
        <f>IF(ISNA(VLOOKUP($B18,IS明細!$B:T,19,0)),0,VLOOKUP($B18,IS明細!$B:T,19,0))</f>
        <v>0</v>
      </c>
      <c r="M18" s="306">
        <f>IF(ISNA(VLOOKUP($B18,IS明細!$B:V,21,0)),0,VLOOKUP($B18,IS明細!$B:V,21,0))</f>
        <v>0</v>
      </c>
      <c r="N18" s="306">
        <f>IF(ISNA(VLOOKUP($B18,IS明細!$B:X,23,0)),0,VLOOKUP($B18,IS明細!$B:X,23,0))</f>
        <v>0</v>
      </c>
      <c r="O18" s="306">
        <f>IF(ISNA(VLOOKUP($B18,IS明細!$B:Z,25,0)),0,VLOOKUP($B18,IS明細!$B:Z,25,0))</f>
        <v>0</v>
      </c>
      <c r="P18" s="306">
        <f t="shared" si="1"/>
        <v>0</v>
      </c>
      <c r="Q18" s="337">
        <f t="shared" si="0"/>
        <v>0</v>
      </c>
      <c r="R18" s="321"/>
    </row>
    <row r="19" spans="1:18" ht="18" customHeight="1" outlineLevel="1">
      <c r="A19" s="344"/>
      <c r="B19" s="344" t="s">
        <v>625</v>
      </c>
      <c r="C19" s="322"/>
      <c r="D19" s="306">
        <f>IF(ISNA(VLOOKUP($B19,IS明細!B:D,3,0)),0,VLOOKUP($B19,IS明細!B:D,3,0))</f>
        <v>0</v>
      </c>
      <c r="E19" s="306">
        <f>IF(ISNA(VLOOKUP($B19,IS明細!$B:F,5,0)),0,VLOOKUP($B19,IS明細!$B:F,5,0))</f>
        <v>0</v>
      </c>
      <c r="F19" s="306">
        <f>IF(ISNA(VLOOKUP($B19,IS明細!$B:H,7,0)),0,VLOOKUP($B19,IS明細!$B:H,7,0))</f>
        <v>0</v>
      </c>
      <c r="G19" s="306">
        <f>IF(ISNA(VLOOKUP($B19,IS明細!$B:J,9,0)),0,VLOOKUP($B19,IS明細!$B:J,9,0))</f>
        <v>0</v>
      </c>
      <c r="H19" s="306">
        <f>IF(ISNA(VLOOKUP($B19,IS明細!$B:L,11,0)),0,VLOOKUP($B19,IS明細!$B:L,11,0))</f>
        <v>0</v>
      </c>
      <c r="I19" s="306">
        <f>IF(ISNA(VLOOKUP($B19,IS明細!$B:N,13,0)),0,VLOOKUP($B19,IS明細!$B:N,13,0))</f>
        <v>0</v>
      </c>
      <c r="J19" s="306">
        <f>IF(ISNA(VLOOKUP($B19,IS明細!$B:P,15,0)),0,VLOOKUP($B19,IS明細!$B:P,15,0))</f>
        <v>0</v>
      </c>
      <c r="K19" s="306">
        <f>IF(ISNA(VLOOKUP($B19,IS明細!$B:R,17,0)),0,VLOOKUP($B19,IS明細!$B:R,17,0))</f>
        <v>0</v>
      </c>
      <c r="L19" s="306">
        <f>IF(ISNA(VLOOKUP($B19,IS明細!$B:T,19,0)),0,VLOOKUP($B19,IS明細!$B:T,19,0))</f>
        <v>0</v>
      </c>
      <c r="M19" s="306">
        <f>IF(ISNA(VLOOKUP($B19,IS明細!$B:V,21,0)),0,VLOOKUP($B19,IS明細!$B:V,21,0))</f>
        <v>0</v>
      </c>
      <c r="N19" s="306">
        <f>IF(ISNA(VLOOKUP($B19,IS明細!$B:X,23,0)),0,VLOOKUP($B19,IS明細!$B:X,23,0))</f>
        <v>0</v>
      </c>
      <c r="O19" s="306">
        <f>IF(ISNA(VLOOKUP($B19,IS明細!$B:Z,25,0)),0,VLOOKUP($B19,IS明細!$B:Z,25,0))</f>
        <v>0</v>
      </c>
      <c r="P19" s="306">
        <f t="shared" si="1"/>
        <v>0</v>
      </c>
      <c r="Q19" s="337">
        <f t="shared" si="0"/>
        <v>0</v>
      </c>
      <c r="R19" s="321"/>
    </row>
    <row r="20" spans="1:18" ht="18" customHeight="1" outlineLevel="1">
      <c r="A20" s="344"/>
      <c r="B20" s="346" t="s">
        <v>626</v>
      </c>
      <c r="C20" s="322"/>
      <c r="D20" s="306">
        <f>IF(ISNA(VLOOKUP($B20,IS明細!B:D,3,0)),0,VLOOKUP($B20,IS明細!B:D,3,0))</f>
        <v>3959</v>
      </c>
      <c r="E20" s="306">
        <f>IF(ISNA(VLOOKUP($B20,IS明細!$B:F,5,0)),0,VLOOKUP($B20,IS明細!$B:F,5,0))</f>
        <v>43786</v>
      </c>
      <c r="F20" s="306">
        <f>IF(ISNA(VLOOKUP($B20,IS明細!$B:H,7,0)),0,VLOOKUP($B20,IS明細!$B:H,7,0))</f>
        <v>27522</v>
      </c>
      <c r="G20" s="306">
        <f>IF(ISNA(VLOOKUP($B20,IS明細!$B:J,9,0)),0,VLOOKUP($B20,IS明細!$B:J,9,0))</f>
        <v>20986</v>
      </c>
      <c r="H20" s="306">
        <f>IF(ISNA(VLOOKUP($B20,IS明細!$B:L,11,0)),0,VLOOKUP($B20,IS明細!$B:L,11,0))</f>
        <v>43107</v>
      </c>
      <c r="I20" s="306">
        <f>IF(ISNA(VLOOKUP($B20,IS明細!$B:N,13,0)),0,VLOOKUP($B20,IS明細!$B:N,13,0))</f>
        <v>81879</v>
      </c>
      <c r="J20" s="306">
        <f>IF(ISNA(VLOOKUP($B20,IS明細!$B:P,15,0)),0,VLOOKUP($B20,IS明細!$B:P,15,0))</f>
        <v>3539</v>
      </c>
      <c r="K20" s="306">
        <f>IF(ISNA(VLOOKUP($B20,IS明細!$B:R,17,0)),0,VLOOKUP($B20,IS明細!$B:R,17,0))</f>
        <v>3539</v>
      </c>
      <c r="L20" s="306">
        <f>IF(ISNA(VLOOKUP($B20,IS明細!$B:T,19,0)),0,VLOOKUP($B20,IS明細!$B:T,19,0))</f>
        <v>0</v>
      </c>
      <c r="M20" s="306">
        <f>IF(ISNA(VLOOKUP($B20,IS明細!$B:V,21,0)),0,VLOOKUP($B20,IS明細!$B:V,21,0))</f>
        <v>0</v>
      </c>
      <c r="N20" s="306">
        <f>IF(ISNA(VLOOKUP($B20,IS明細!$B:X,23,0)),0,VLOOKUP($B20,IS明細!$B:X,23,0))</f>
        <v>0</v>
      </c>
      <c r="O20" s="306">
        <f>IF(ISNA(VLOOKUP($B20,IS明細!$B:Z,25,0)),0,VLOOKUP($B20,IS明細!$B:Z,25,0))</f>
        <v>0</v>
      </c>
      <c r="P20" s="306">
        <f t="shared" si="1"/>
        <v>228317</v>
      </c>
      <c r="Q20" s="337">
        <f t="shared" si="0"/>
        <v>4.0268418142469406E-4</v>
      </c>
      <c r="R20" s="321"/>
    </row>
    <row r="21" spans="1:18" ht="21" customHeight="1">
      <c r="A21" s="344" t="s">
        <v>627</v>
      </c>
      <c r="B21" s="344"/>
      <c r="C21" s="322"/>
      <c r="D21" s="306">
        <f>IF(ISNA(VLOOKUP($A21,IS明細!A:D,4,0)),0,VLOOKUP($A21,IS明細!A:D,4,0))</f>
        <v>60246951</v>
      </c>
      <c r="E21" s="306">
        <f>IF(ISNA(VLOOKUP($A21,IS明細!$A:F,6,0)),0,VLOOKUP($A21,IS明細!$A:F,6,0))</f>
        <v>53071500</v>
      </c>
      <c r="F21" s="306">
        <f>IF(ISNA(VLOOKUP($A21,IS明細!$A:H,8,0)),0,VLOOKUP($A21,IS明細!$A:H,8,0))</f>
        <v>63731970</v>
      </c>
      <c r="G21" s="306">
        <f>IF(ISNA(VLOOKUP($A21,IS明細!$A:J,10,0)),0,VLOOKUP($A21,IS明細!$A:J,10,0))</f>
        <v>67365680</v>
      </c>
      <c r="H21" s="306">
        <f>IF(ISNA(VLOOKUP($A21,IS明細!$A:L,12,0)),0,VLOOKUP($A21,IS明細!$A:L,12,0))</f>
        <v>53281343</v>
      </c>
      <c r="I21" s="306">
        <f>IF(ISNA(VLOOKUP($A21,IS明細!$A:N,14,0)),0,VLOOKUP($A21,IS明細!$A:N,14,0))</f>
        <v>87487966</v>
      </c>
      <c r="J21" s="306">
        <f>IF(ISNA(VLOOKUP($A21,IS明細!$A:P,16,0)),0,VLOOKUP($A21,IS明細!$A:P,16,0))</f>
        <v>98241166</v>
      </c>
      <c r="K21" s="306">
        <f>IF(ISNA(VLOOKUP($A21,IS明細!$A:R,18,0)),0,VLOOKUP($A21,IS明細!$A:R,18,0))</f>
        <v>82134915</v>
      </c>
      <c r="L21" s="306">
        <f>IF(ISNA(VLOOKUP($A21,IS明細!$A:T,20,0)),0,VLOOKUP($A21,IS明細!$A:T,20,0))</f>
        <v>0</v>
      </c>
      <c r="M21" s="306">
        <f>IF(ISNA(VLOOKUP($A21,IS明細!$A:V,22,0)),0,VLOOKUP($A21,IS明細!$A:V,22,0))</f>
        <v>0</v>
      </c>
      <c r="N21" s="306">
        <f>IF(ISNA(VLOOKUP($A21,IS明細!$A:X,24,0)),0,VLOOKUP($A21,IS明細!$A:X,24,0))</f>
        <v>0</v>
      </c>
      <c r="O21" s="306">
        <f>IF(ISNA(VLOOKUP($A21,IS明細!$A:Z,26,0)),0,VLOOKUP($A21,IS明細!$A:Z,26,0))</f>
        <v>0</v>
      </c>
      <c r="P21" s="306">
        <f>SUM(D21:O21)</f>
        <v>565561491</v>
      </c>
      <c r="Q21" s="337">
        <f>P21/$P$21</f>
        <v>1</v>
      </c>
      <c r="R21" s="321"/>
    </row>
    <row r="22" spans="1:18" ht="18" customHeight="1" outlineLevel="1">
      <c r="A22" s="344" t="s">
        <v>628</v>
      </c>
      <c r="B22" s="344"/>
      <c r="C22" s="322"/>
      <c r="D22" s="306"/>
      <c r="E22" s="306"/>
      <c r="F22" s="306"/>
      <c r="G22" s="306"/>
      <c r="H22" s="306"/>
      <c r="I22" s="306"/>
      <c r="J22" s="306"/>
      <c r="K22" s="306"/>
      <c r="L22" s="306"/>
      <c r="M22" s="306"/>
      <c r="N22" s="306"/>
      <c r="O22" s="306"/>
      <c r="P22" s="336"/>
      <c r="Q22" s="337"/>
      <c r="R22" s="321"/>
    </row>
    <row r="23" spans="1:18" ht="18" customHeight="1" outlineLevel="1">
      <c r="A23" s="344"/>
      <c r="B23" s="344" t="s">
        <v>629</v>
      </c>
      <c r="C23" s="322"/>
      <c r="D23" s="306"/>
      <c r="E23" s="306"/>
      <c r="F23" s="306"/>
      <c r="G23" s="306"/>
      <c r="H23" s="306"/>
      <c r="I23" s="306"/>
      <c r="J23" s="306"/>
      <c r="K23" s="306"/>
      <c r="L23" s="306"/>
      <c r="M23" s="306"/>
      <c r="N23" s="306"/>
      <c r="O23" s="306"/>
      <c r="P23" s="336"/>
      <c r="Q23" s="337"/>
      <c r="R23" s="321"/>
    </row>
    <row r="24" spans="1:18" ht="18" customHeight="1" outlineLevel="1">
      <c r="A24" s="344"/>
      <c r="B24" s="344" t="s">
        <v>1123</v>
      </c>
      <c r="C24" s="322"/>
      <c r="D24" s="306">
        <f>IF(ISNA(VLOOKUP($B24,IS明細!B:D,3,0)),0,VLOOKUP($B24,IS明細!B:D,3,0))</f>
        <v>0</v>
      </c>
      <c r="E24" s="306">
        <f>IF(ISNA(VLOOKUP($B24,IS明細!$B:F,5,0)),0,VLOOKUP($B24,IS明細!$B:F,5,0))</f>
        <v>0</v>
      </c>
      <c r="F24" s="306">
        <f>IF(ISNA(VLOOKUP($B24,IS明細!$B:H,7,0)),0,VLOOKUP($B24,IS明細!$B:H,7,0))</f>
        <v>205528</v>
      </c>
      <c r="G24" s="306">
        <f>IF(ISNA(VLOOKUP($B24,IS明細!$B:J,9,0)),0,VLOOKUP($B24,IS明細!$B:J,9,0))</f>
        <v>24730</v>
      </c>
      <c r="H24" s="306">
        <f>IF(ISNA(VLOOKUP($B24,IS明細!$B:L,11,0)),0,VLOOKUP($B24,IS明細!$B:L,11,0))</f>
        <v>-13892</v>
      </c>
      <c r="I24" s="306">
        <f>IF(ISNA(VLOOKUP($B24,IS明細!$B:N,13,0)),0,VLOOKUP($B24,IS明細!$B:N,13,0))</f>
        <v>21297</v>
      </c>
      <c r="J24" s="306">
        <f>IF(ISNA(VLOOKUP($B24,IS明細!$B:P,15,0)),0,VLOOKUP($B24,IS明細!$B:P,15,0))</f>
        <v>21992</v>
      </c>
      <c r="K24" s="306">
        <f>IF(ISNA(VLOOKUP($B24,IS明細!$B:R,17,0)),0,VLOOKUP($B24,IS明細!$B:R,17,0))</f>
        <v>0</v>
      </c>
      <c r="L24" s="306">
        <f>IF(ISNA(VLOOKUP($B24,IS明細!$B:T,19,0)),0,VLOOKUP($B24,IS明細!$B:T,19,0))</f>
        <v>0</v>
      </c>
      <c r="M24" s="306">
        <f>IF(ISNA(VLOOKUP($B24,IS明細!$B:V,21,0)),0,VLOOKUP($B24,IS明細!$B:V,21,0))</f>
        <v>0</v>
      </c>
      <c r="N24" s="306">
        <f>IF(ISNA(VLOOKUP($B24,IS明細!$B:X,23,0)),0,VLOOKUP($B24,IS明細!$B:X,23,0))</f>
        <v>0</v>
      </c>
      <c r="O24" s="306">
        <f>IF(ISNA(VLOOKUP($B24,IS明細!$B:Z,25,0)),0,VLOOKUP($B24,IS明細!$B:Z,25,0))</f>
        <v>0</v>
      </c>
      <c r="P24" s="306">
        <f t="shared" si="1"/>
        <v>259655</v>
      </c>
      <c r="Q24" s="337">
        <f t="shared" ref="Q24:Q55" si="2">P24/$P$8</f>
        <v>4.5795521633443389E-4</v>
      </c>
      <c r="R24" s="321"/>
    </row>
    <row r="25" spans="1:18" ht="18" customHeight="1" outlineLevel="1">
      <c r="A25" s="344"/>
      <c r="B25" s="344" t="s">
        <v>630</v>
      </c>
      <c r="C25" s="322"/>
      <c r="D25" s="306">
        <f>IF(ISNA(VLOOKUP($B25,IS明細!B:D,3,0)),0,VLOOKUP($B25,IS明細!B:D,3,0))</f>
        <v>52605395</v>
      </c>
      <c r="E25" s="306">
        <f>IF(ISNA(VLOOKUP($B25,IS明細!$B:F,5,0)),0,VLOOKUP($B25,IS明細!$B:F,5,0))</f>
        <v>49188788</v>
      </c>
      <c r="F25" s="306">
        <f>IF(ISNA(VLOOKUP($B25,IS明細!$B:H,7,0)),0,VLOOKUP($B25,IS明細!$B:H,7,0))</f>
        <v>54845750</v>
      </c>
      <c r="G25" s="306">
        <f>IF(ISNA(VLOOKUP($B25,IS明細!$B:J,9,0)),0,VLOOKUP($B25,IS明細!$B:J,9,0))</f>
        <v>59713244</v>
      </c>
      <c r="H25" s="306">
        <f>IF(ISNA(VLOOKUP($B25,IS明細!$B:L,11,0)),0,VLOOKUP($B25,IS明細!$B:L,11,0))</f>
        <v>45764439</v>
      </c>
      <c r="I25" s="306">
        <f>IF(ISNA(VLOOKUP($B25,IS明細!$B:N,13,0)),0,VLOOKUP($B25,IS明細!$B:N,13,0))</f>
        <v>74659138</v>
      </c>
      <c r="J25" s="306">
        <f>IF(ISNA(VLOOKUP($B25,IS明細!$B:P,15,0)),0,VLOOKUP($B25,IS明細!$B:P,15,0))</f>
        <v>84930497</v>
      </c>
      <c r="K25" s="306">
        <f>IF(ISNA(VLOOKUP($B25,IS明細!$B:R,17,0)),0,VLOOKUP($B25,IS明細!$B:R,17,0))</f>
        <v>70526211</v>
      </c>
      <c r="L25" s="306">
        <f>IF(ISNA(VLOOKUP($B25,IS明細!$B:T,19,0)),0,VLOOKUP($B25,IS明細!$B:T,19,0))</f>
        <v>0</v>
      </c>
      <c r="M25" s="306">
        <f>IF(ISNA(VLOOKUP($B25,IS明細!$B:V,21,0)),0,VLOOKUP($B25,IS明細!$B:V,21,0))</f>
        <v>0</v>
      </c>
      <c r="N25" s="306">
        <f>IF(ISNA(VLOOKUP($B25,IS明細!$B:X,23,0)),0,VLOOKUP($B25,IS明細!$B:X,23,0))</f>
        <v>0</v>
      </c>
      <c r="O25" s="306">
        <f>IF(ISNA(VLOOKUP($B25,IS明細!$B:Z,25,0)),0,VLOOKUP($B25,IS明細!$B:Z,25,0))</f>
        <v>0</v>
      </c>
      <c r="P25" s="306">
        <f t="shared" si="1"/>
        <v>492233462</v>
      </c>
      <c r="Q25" s="337">
        <f t="shared" si="2"/>
        <v>0.86815536607135368</v>
      </c>
      <c r="R25" s="321"/>
    </row>
    <row r="26" spans="1:18" ht="18" customHeight="1" outlineLevel="1">
      <c r="A26" s="344"/>
      <c r="B26" s="344" t="s">
        <v>631</v>
      </c>
      <c r="C26" s="322"/>
      <c r="D26" s="306">
        <f>IF(ISNA(VLOOKUP($B26,IS明細!B:D,3,0)),0,VLOOKUP($B26,IS明細!B:D,3,0))</f>
        <v>52737740</v>
      </c>
      <c r="E26" s="306">
        <f>IF(ISNA(VLOOKUP($B26,IS明細!$B:F,5,0)),0,VLOOKUP($B26,IS明細!$B:F,5,0))</f>
        <v>49056975</v>
      </c>
      <c r="F26" s="306">
        <f>IF(ISNA(VLOOKUP($B26,IS明細!$B:H,7,0)),0,VLOOKUP($B26,IS明細!$B:H,7,0))</f>
        <v>54832535</v>
      </c>
      <c r="G26" s="306">
        <f>IF(ISNA(VLOOKUP($B26,IS明細!$B:J,9,0)),0,VLOOKUP($B26,IS明細!$B:J,9,0))</f>
        <v>59713260</v>
      </c>
      <c r="H26" s="306">
        <f>IF(ISNA(VLOOKUP($B26,IS明細!$B:L,11,0)),0,VLOOKUP($B26,IS明細!$B:L,11,0))</f>
        <v>45764439</v>
      </c>
      <c r="I26" s="306">
        <f>IF(ISNA(VLOOKUP($B26,IS明細!$B:N,13,0)),0,VLOOKUP($B26,IS明細!$B:N,13,0))</f>
        <v>74659138</v>
      </c>
      <c r="J26" s="306">
        <f>IF(ISNA(VLOOKUP($B26,IS明細!$B:P,15,0)),0,VLOOKUP($B26,IS明細!$B:P,15,0))</f>
        <v>84930497</v>
      </c>
      <c r="K26" s="306">
        <f>IF(ISNA(VLOOKUP($B26,IS明細!$B:R,17,0)),0,VLOOKUP($B26,IS明細!$B:R,17,0))</f>
        <v>70526211</v>
      </c>
      <c r="L26" s="306">
        <f>IF(ISNA(VLOOKUP($B26,IS明細!$B:T,19,0)),0,VLOOKUP($B26,IS明細!$B:T,19,0))</f>
        <v>0</v>
      </c>
      <c r="M26" s="306">
        <f>IF(ISNA(VLOOKUP($B26,IS明細!$B:V,21,0)),0,VLOOKUP($B26,IS明細!$B:V,21,0))</f>
        <v>0</v>
      </c>
      <c r="N26" s="306">
        <f>IF(ISNA(VLOOKUP($B26,IS明細!$B:X,23,0)),0,VLOOKUP($B26,IS明細!$B:X,23,0))</f>
        <v>0</v>
      </c>
      <c r="O26" s="306">
        <f>IF(ISNA(VLOOKUP($B26,IS明細!$B:Z,25,0)),0,VLOOKUP($B26,IS明細!$B:Z,25,0))</f>
        <v>0</v>
      </c>
      <c r="P26" s="306">
        <f t="shared" si="1"/>
        <v>492220795</v>
      </c>
      <c r="Q26" s="337">
        <f t="shared" si="2"/>
        <v>0.86813302520087055</v>
      </c>
      <c r="R26" s="321"/>
    </row>
    <row r="27" spans="1:18" ht="18" customHeight="1" outlineLevel="1">
      <c r="A27" s="344"/>
      <c r="B27" s="344" t="s">
        <v>632</v>
      </c>
      <c r="C27" s="322"/>
      <c r="D27" s="306">
        <f>IF(ISNA(VLOOKUP($B27,IS明細!B:D,3,0)),0,VLOOKUP($B27,IS明細!B:D,3,0))</f>
        <v>0</v>
      </c>
      <c r="E27" s="306">
        <f>IF(ISNA(VLOOKUP($B27,IS明細!$B:F,5,0)),0,VLOOKUP($B27,IS明細!$B:F,5,0))</f>
        <v>0</v>
      </c>
      <c r="F27" s="306">
        <f>IF(ISNA(VLOOKUP($B27,IS明細!$B:H,7,0)),0,VLOOKUP($B27,IS明細!$B:H,7,0))</f>
        <v>12667</v>
      </c>
      <c r="G27" s="306">
        <f>IF(ISNA(VLOOKUP($B27,IS明細!$B:J,9,0)),0,VLOOKUP($B27,IS明細!$B:J,9,0))</f>
        <v>0</v>
      </c>
      <c r="H27" s="306">
        <f>IF(ISNA(VLOOKUP($B27,IS明細!$B:L,11,0)),0,VLOOKUP($B27,IS明細!$B:L,11,0))</f>
        <v>0</v>
      </c>
      <c r="I27" s="306">
        <f>IF(ISNA(VLOOKUP($B27,IS明細!$B:N,13,0)),0,VLOOKUP($B27,IS明細!$B:N,13,0))</f>
        <v>0</v>
      </c>
      <c r="J27" s="306">
        <f>IF(ISNA(VLOOKUP($B27,IS明細!$B:P,15,0)),0,VLOOKUP($B27,IS明細!$B:P,15,0))</f>
        <v>0</v>
      </c>
      <c r="K27" s="306">
        <f>IF(ISNA(VLOOKUP($B27,IS明細!$B:R,17,0)),0,VLOOKUP($B27,IS明細!$B:R,17,0))</f>
        <v>0</v>
      </c>
      <c r="L27" s="306">
        <f>IF(ISNA(VLOOKUP($B27,IS明細!$B:T,19,0)),0,VLOOKUP($B27,IS明細!$B:T,19,0))</f>
        <v>0</v>
      </c>
      <c r="M27" s="306">
        <f>IF(ISNA(VLOOKUP($B27,IS明細!$B:V,21,0)),0,VLOOKUP($B27,IS明細!$B:V,21,0))</f>
        <v>0</v>
      </c>
      <c r="N27" s="306">
        <f>IF(ISNA(VLOOKUP($B27,IS明細!$B:X,23,0)),0,VLOOKUP($B27,IS明細!$B:X,23,0))</f>
        <v>0</v>
      </c>
      <c r="O27" s="306">
        <f>IF(ISNA(VLOOKUP($B27,IS明細!$B:Z,25,0)),0,VLOOKUP($B27,IS明細!$B:Z,25,0))</f>
        <v>0</v>
      </c>
      <c r="P27" s="306">
        <f t="shared" si="1"/>
        <v>12667</v>
      </c>
      <c r="Q27" s="337">
        <f t="shared" si="2"/>
        <v>2.2340870483172956E-5</v>
      </c>
      <c r="R27" s="321"/>
    </row>
    <row r="28" spans="1:18" ht="18" customHeight="1" outlineLevel="1">
      <c r="A28" s="344"/>
      <c r="B28" s="344" t="s">
        <v>1124</v>
      </c>
      <c r="C28" s="322"/>
      <c r="D28" s="306">
        <f>IF(ISNA(VLOOKUP($B28,IS明細!B:D,3,0)),0,VLOOKUP($B28,IS明細!B:D,3,0))</f>
        <v>0</v>
      </c>
      <c r="E28" s="306">
        <f>IF(ISNA(VLOOKUP($B28,IS明細!$B:F,5,0)),0,VLOOKUP($B28,IS明細!$B:F,5,0))</f>
        <v>0</v>
      </c>
      <c r="F28" s="306">
        <f>IF(ISNA(VLOOKUP($B28,IS明細!$B:H,7,0)),0,VLOOKUP($B28,IS明細!$B:H,7,0))</f>
        <v>0</v>
      </c>
      <c r="G28" s="306">
        <f>IF(ISNA(VLOOKUP($B28,IS明細!$B:J,9,0)),0,VLOOKUP($B28,IS明細!$B:J,9,0))</f>
        <v>0</v>
      </c>
      <c r="H28" s="306">
        <f>IF(ISNA(VLOOKUP($B28,IS明細!$B:L,11,0)),0,VLOOKUP($B28,IS明細!$B:L,11,0))</f>
        <v>0</v>
      </c>
      <c r="I28" s="306">
        <f>IF(ISNA(VLOOKUP($B28,IS明細!$B:N,13,0)),0,VLOOKUP($B28,IS明細!$B:N,13,0))</f>
        <v>0</v>
      </c>
      <c r="J28" s="306">
        <f>IF(ISNA(VLOOKUP($B28,IS明細!$B:P,15,0)),0,VLOOKUP($B28,IS明細!$B:P,15,0))</f>
        <v>0</v>
      </c>
      <c r="K28" s="306">
        <f>IF(ISNA(VLOOKUP($B28,IS明細!$B:R,17,0)),0,VLOOKUP($B28,IS明細!$B:R,17,0))</f>
        <v>0</v>
      </c>
      <c r="L28" s="306">
        <f>IF(ISNA(VLOOKUP($B28,IS明細!$B:T,19,0)),0,VLOOKUP($B28,IS明細!$B:T,19,0))</f>
        <v>0</v>
      </c>
      <c r="M28" s="306">
        <f>IF(ISNA(VLOOKUP($B28,IS明細!$B:V,21,0)),0,VLOOKUP($B28,IS明細!$B:V,21,0))</f>
        <v>0</v>
      </c>
      <c r="N28" s="306">
        <f>IF(ISNA(VLOOKUP($B28,IS明細!$B:X,23,0)),0,VLOOKUP($B28,IS明細!$B:X,23,0))</f>
        <v>0</v>
      </c>
      <c r="O28" s="306">
        <f>IF(ISNA(VLOOKUP($B28,IS明細!$B:Z,25,0)),0,VLOOKUP($B28,IS明細!$B:Z,25,0))</f>
        <v>0</v>
      </c>
      <c r="P28" s="306">
        <f t="shared" si="1"/>
        <v>0</v>
      </c>
      <c r="Q28" s="337">
        <f t="shared" si="2"/>
        <v>0</v>
      </c>
      <c r="R28" s="321"/>
    </row>
    <row r="29" spans="1:18" ht="18" customHeight="1" outlineLevel="1">
      <c r="A29" s="344"/>
      <c r="B29" s="344" t="s">
        <v>633</v>
      </c>
      <c r="C29" s="322"/>
      <c r="D29" s="306">
        <f>IF(ISNA(VLOOKUP($B29,IS明細!B:D,3,0)),0,VLOOKUP($B29,IS明細!B:D,3,0))</f>
        <v>0</v>
      </c>
      <c r="E29" s="306">
        <f>IF(ISNA(VLOOKUP($B29,IS明細!$B:F,5,0)),0,VLOOKUP($B29,IS明細!$B:F,5,0))</f>
        <v>0</v>
      </c>
      <c r="F29" s="306">
        <f>IF(ISNA(VLOOKUP($B29,IS明細!$B:H,7,0)),0,VLOOKUP($B29,IS明細!$B:H,7,0))</f>
        <v>0</v>
      </c>
      <c r="G29" s="306">
        <f>IF(ISNA(VLOOKUP($B29,IS明細!$B:J,9,0)),0,VLOOKUP($B29,IS明細!$B:J,9,0))</f>
        <v>0</v>
      </c>
      <c r="H29" s="306">
        <f>IF(ISNA(VLOOKUP($B29,IS明細!$B:L,11,0)),0,VLOOKUP($B29,IS明細!$B:L,11,0))</f>
        <v>0</v>
      </c>
      <c r="I29" s="306">
        <f>IF(ISNA(VLOOKUP($B29,IS明細!$B:N,13,0)),0,VLOOKUP($B29,IS明細!$B:N,13,0))</f>
        <v>0</v>
      </c>
      <c r="J29" s="306">
        <f>IF(ISNA(VLOOKUP($B29,IS明細!$B:P,15,0)),0,VLOOKUP($B29,IS明細!$B:P,15,0))</f>
        <v>0</v>
      </c>
      <c r="K29" s="306">
        <f>IF(ISNA(VLOOKUP($B29,IS明細!$B:R,17,0)),0,VLOOKUP($B29,IS明細!$B:R,17,0))</f>
        <v>0</v>
      </c>
      <c r="L29" s="306">
        <f>IF(ISNA(VLOOKUP($B29,IS明細!$B:T,19,0)),0,VLOOKUP($B29,IS明細!$B:T,19,0))</f>
        <v>0</v>
      </c>
      <c r="M29" s="306">
        <f>IF(ISNA(VLOOKUP($B29,IS明細!$B:V,21,0)),0,VLOOKUP($B29,IS明細!$B:V,21,0))</f>
        <v>0</v>
      </c>
      <c r="N29" s="306">
        <f>IF(ISNA(VLOOKUP($B29,IS明細!$B:X,23,0)),0,VLOOKUP($B29,IS明細!$B:X,23,0))</f>
        <v>0</v>
      </c>
      <c r="O29" s="306">
        <f>IF(ISNA(VLOOKUP($B29,IS明細!$B:Z,25,0)),0,VLOOKUP($B29,IS明細!$B:Z,25,0))</f>
        <v>0</v>
      </c>
      <c r="P29" s="306">
        <f t="shared" si="1"/>
        <v>0</v>
      </c>
      <c r="Q29" s="337">
        <f t="shared" si="2"/>
        <v>0</v>
      </c>
      <c r="R29" s="321"/>
    </row>
    <row r="30" spans="1:18" ht="18" customHeight="1" outlineLevel="1">
      <c r="A30" s="344"/>
      <c r="B30" s="344" t="s">
        <v>634</v>
      </c>
      <c r="C30" s="322"/>
      <c r="D30" s="306">
        <f>IF(ISNA(VLOOKUP($B30,IS明細!B:D,3,0)),0,VLOOKUP($B30,IS明細!B:D,3,0))</f>
        <v>0</v>
      </c>
      <c r="E30" s="306">
        <f>IF(ISNA(VLOOKUP($B30,IS明細!$B:F,5,0)),0,VLOOKUP($B30,IS明細!$B:F,5,0))</f>
        <v>0</v>
      </c>
      <c r="F30" s="306">
        <f>IF(ISNA(VLOOKUP($B30,IS明細!$B:H,7,0)),0,VLOOKUP($B30,IS明細!$B:H,7,0))</f>
        <v>0</v>
      </c>
      <c r="G30" s="306">
        <f>IF(ISNA(VLOOKUP($B30,IS明細!$B:J,9,0)),0,VLOOKUP($B30,IS明細!$B:J,9,0))</f>
        <v>0</v>
      </c>
      <c r="H30" s="306">
        <f>IF(ISNA(VLOOKUP($B30,IS明細!$B:L,11,0)),0,VLOOKUP($B30,IS明細!$B:L,11,0))</f>
        <v>0</v>
      </c>
      <c r="I30" s="306">
        <f>IF(ISNA(VLOOKUP($B30,IS明細!$B:N,13,0)),0,VLOOKUP($B30,IS明細!$B:N,13,0))</f>
        <v>0</v>
      </c>
      <c r="J30" s="306">
        <f>IF(ISNA(VLOOKUP($B30,IS明細!$B:P,15,0)),0,VLOOKUP($B30,IS明細!$B:P,15,0))</f>
        <v>0</v>
      </c>
      <c r="K30" s="306">
        <f>IF(ISNA(VLOOKUP($B30,IS明細!$B:R,17,0)),0,VLOOKUP($B30,IS明細!$B:R,17,0))</f>
        <v>0</v>
      </c>
      <c r="L30" s="306">
        <f>IF(ISNA(VLOOKUP($B30,IS明細!$B:T,19,0)),0,VLOOKUP($B30,IS明細!$B:T,19,0))</f>
        <v>0</v>
      </c>
      <c r="M30" s="306">
        <f>IF(ISNA(VLOOKUP($B30,IS明細!$B:V,21,0)),0,VLOOKUP($B30,IS明細!$B:V,21,0))</f>
        <v>0</v>
      </c>
      <c r="N30" s="306">
        <f>IF(ISNA(VLOOKUP($B30,IS明細!$B:X,23,0)),0,VLOOKUP($B30,IS明細!$B:X,23,0))</f>
        <v>0</v>
      </c>
      <c r="O30" s="306">
        <f>IF(ISNA(VLOOKUP($B30,IS明細!$B:Z,25,0)),0,VLOOKUP($B30,IS明細!$B:Z,25,0))</f>
        <v>0</v>
      </c>
      <c r="P30" s="306">
        <f t="shared" si="1"/>
        <v>0</v>
      </c>
      <c r="Q30" s="337">
        <f t="shared" si="2"/>
        <v>0</v>
      </c>
      <c r="R30" s="321"/>
    </row>
    <row r="31" spans="1:18" ht="18" customHeight="1" outlineLevel="1">
      <c r="A31" s="344"/>
      <c r="B31" s="344" t="s">
        <v>635</v>
      </c>
      <c r="C31" s="322"/>
      <c r="D31" s="306">
        <f>IF(ISNA(VLOOKUP($B31,IS明細!B:D,3,0)),0,VLOOKUP($B31,IS明細!B:D,3,0))</f>
        <v>0</v>
      </c>
      <c r="E31" s="306">
        <f>IF(ISNA(VLOOKUP($B31,IS明細!$B:F,5,0)),0,VLOOKUP($B31,IS明細!$B:F,5,0))</f>
        <v>0</v>
      </c>
      <c r="F31" s="306">
        <f>IF(ISNA(VLOOKUP($B31,IS明細!$B:H,7,0)),0,VLOOKUP($B31,IS明細!$B:H,7,0))</f>
        <v>0</v>
      </c>
      <c r="G31" s="306">
        <f>IF(ISNA(VLOOKUP($B31,IS明細!$B:J,9,0)),0,VLOOKUP($B31,IS明細!$B:J,9,0))</f>
        <v>0</v>
      </c>
      <c r="H31" s="306">
        <f>IF(ISNA(VLOOKUP($B31,IS明細!$B:L,11,0)),0,VLOOKUP($B31,IS明細!$B:L,11,0))</f>
        <v>0</v>
      </c>
      <c r="I31" s="306">
        <f>IF(ISNA(VLOOKUP($B31,IS明細!$B:N,13,0)),0,VLOOKUP($B31,IS明細!$B:N,13,0))</f>
        <v>0</v>
      </c>
      <c r="J31" s="306">
        <f>IF(ISNA(VLOOKUP($B31,IS明細!$B:P,15,0)),0,VLOOKUP($B31,IS明細!$B:P,15,0))</f>
        <v>0</v>
      </c>
      <c r="K31" s="306">
        <f>IF(ISNA(VLOOKUP($B31,IS明細!$B:R,17,0)),0,VLOOKUP($B31,IS明細!$B:R,17,0))</f>
        <v>0</v>
      </c>
      <c r="L31" s="306">
        <f>IF(ISNA(VLOOKUP($B31,IS明細!$B:T,19,0)),0,VLOOKUP($B31,IS明細!$B:T,19,0))</f>
        <v>0</v>
      </c>
      <c r="M31" s="306">
        <f>IF(ISNA(VLOOKUP($B31,IS明細!$B:V,21,0)),0,VLOOKUP($B31,IS明細!$B:V,21,0))</f>
        <v>0</v>
      </c>
      <c r="N31" s="306">
        <f>IF(ISNA(VLOOKUP($B31,IS明細!$B:X,23,0)),0,VLOOKUP($B31,IS明細!$B:X,23,0))</f>
        <v>0</v>
      </c>
      <c r="O31" s="306">
        <f>IF(ISNA(VLOOKUP($B31,IS明細!$B:Z,25,0)),0,VLOOKUP($B31,IS明細!$B:Z,25,0))</f>
        <v>0</v>
      </c>
      <c r="P31" s="306">
        <f t="shared" si="1"/>
        <v>0</v>
      </c>
      <c r="Q31" s="337">
        <f t="shared" si="2"/>
        <v>0</v>
      </c>
      <c r="R31" s="321"/>
    </row>
    <row r="32" spans="1:18" ht="18" customHeight="1" outlineLevel="1">
      <c r="A32" s="344"/>
      <c r="B32" s="344" t="s">
        <v>636</v>
      </c>
      <c r="C32" s="322"/>
      <c r="D32" s="306">
        <f>IF(ISNA(VLOOKUP($B32,IS明細!B:D,3,0)),0,VLOOKUP($B32,IS明細!B:D,3,0))</f>
        <v>0</v>
      </c>
      <c r="E32" s="306">
        <f>IF(ISNA(VLOOKUP($B32,IS明細!$B:F,5,0)),0,VLOOKUP($B32,IS明細!$B:F,5,0))</f>
        <v>0</v>
      </c>
      <c r="F32" s="306">
        <f>IF(ISNA(VLOOKUP($B32,IS明細!$B:H,7,0)),0,VLOOKUP($B32,IS明細!$B:H,7,0))</f>
        <v>0</v>
      </c>
      <c r="G32" s="306">
        <f>IF(ISNA(VLOOKUP($B32,IS明細!$B:J,9,0)),0,VLOOKUP($B32,IS明細!$B:J,9,0))</f>
        <v>0</v>
      </c>
      <c r="H32" s="306">
        <f>IF(ISNA(VLOOKUP($B32,IS明細!$B:L,11,0)),0,VLOOKUP($B32,IS明細!$B:L,11,0))</f>
        <v>0</v>
      </c>
      <c r="I32" s="306">
        <f>IF(ISNA(VLOOKUP($B32,IS明細!$B:N,13,0)),0,VLOOKUP($B32,IS明細!$B:N,13,0))</f>
        <v>0</v>
      </c>
      <c r="J32" s="306">
        <f>IF(ISNA(VLOOKUP($B32,IS明細!$B:P,15,0)),0,VLOOKUP($B32,IS明細!$B:P,15,0))</f>
        <v>0</v>
      </c>
      <c r="K32" s="306">
        <f>IF(ISNA(VLOOKUP($B32,IS明細!$B:R,17,0)),0,VLOOKUP($B32,IS明細!$B:R,17,0))</f>
        <v>0</v>
      </c>
      <c r="L32" s="306">
        <f>IF(ISNA(VLOOKUP($B32,IS明細!$B:T,19,0)),0,VLOOKUP($B32,IS明細!$B:T,19,0))</f>
        <v>0</v>
      </c>
      <c r="M32" s="306">
        <f>IF(ISNA(VLOOKUP($B32,IS明細!$B:V,21,0)),0,VLOOKUP($B32,IS明細!$B:V,21,0))</f>
        <v>0</v>
      </c>
      <c r="N32" s="306">
        <f>IF(ISNA(VLOOKUP($B32,IS明細!$B:X,23,0)),0,VLOOKUP($B32,IS明細!$B:X,23,0))</f>
        <v>0</v>
      </c>
      <c r="O32" s="306">
        <f>IF(ISNA(VLOOKUP($B32,IS明細!$B:Z,25,0)),0,VLOOKUP($B32,IS明細!$B:Z,25,0))</f>
        <v>0</v>
      </c>
      <c r="P32" s="306">
        <f t="shared" si="1"/>
        <v>0</v>
      </c>
      <c r="Q32" s="337">
        <f t="shared" si="2"/>
        <v>0</v>
      </c>
      <c r="R32" s="321"/>
    </row>
    <row r="33" spans="1:18" ht="18" customHeight="1" outlineLevel="1">
      <c r="A33" s="344"/>
      <c r="B33" s="344" t="s">
        <v>637</v>
      </c>
      <c r="C33" s="322"/>
      <c r="D33" s="306">
        <f>IF(ISNA(VLOOKUP($B33,IS明細!B:D,3,0)),0,VLOOKUP($B33,IS明細!B:D,3,0))</f>
        <v>0</v>
      </c>
      <c r="E33" s="306">
        <f>IF(ISNA(VLOOKUP($B33,IS明細!$B:F,5,0)),0,VLOOKUP($B33,IS明細!$B:F,5,0))</f>
        <v>0</v>
      </c>
      <c r="F33" s="306">
        <f>IF(ISNA(VLOOKUP($B33,IS明細!$B:H,7,0)),0,VLOOKUP($B33,IS明細!$B:H,7,0))</f>
        <v>0</v>
      </c>
      <c r="G33" s="306">
        <f>IF(ISNA(VLOOKUP($B33,IS明細!$B:J,9,0)),0,VLOOKUP($B33,IS明細!$B:J,9,0))</f>
        <v>0</v>
      </c>
      <c r="H33" s="306">
        <f>IF(ISNA(VLOOKUP($B33,IS明細!$B:L,11,0)),0,VLOOKUP($B33,IS明細!$B:L,11,0))</f>
        <v>0</v>
      </c>
      <c r="I33" s="306">
        <f>IF(ISNA(VLOOKUP($B33,IS明細!$B:N,13,0)),0,VLOOKUP($B33,IS明細!$B:N,13,0))</f>
        <v>0</v>
      </c>
      <c r="J33" s="306">
        <f>IF(ISNA(VLOOKUP($B33,IS明細!$B:P,15,0)),0,VLOOKUP($B33,IS明細!$B:P,15,0))</f>
        <v>0</v>
      </c>
      <c r="K33" s="306">
        <f>IF(ISNA(VLOOKUP($B33,IS明細!$B:R,17,0)),0,VLOOKUP($B33,IS明細!$B:R,17,0))</f>
        <v>0</v>
      </c>
      <c r="L33" s="306">
        <f>IF(ISNA(VLOOKUP($B33,IS明細!$B:T,19,0)),0,VLOOKUP($B33,IS明細!$B:T,19,0))</f>
        <v>0</v>
      </c>
      <c r="M33" s="306">
        <f>IF(ISNA(VLOOKUP($B33,IS明細!$B:V,21,0)),0,VLOOKUP($B33,IS明細!$B:V,21,0))</f>
        <v>0</v>
      </c>
      <c r="N33" s="306">
        <f>IF(ISNA(VLOOKUP($B33,IS明細!$B:X,23,0)),0,VLOOKUP($B33,IS明細!$B:X,23,0))</f>
        <v>0</v>
      </c>
      <c r="O33" s="306">
        <f>IF(ISNA(VLOOKUP($B33,IS明細!$B:Z,25,0)),0,VLOOKUP($B33,IS明細!$B:Z,25,0))</f>
        <v>0</v>
      </c>
      <c r="P33" s="306">
        <f t="shared" si="1"/>
        <v>0</v>
      </c>
      <c r="Q33" s="337">
        <f t="shared" si="2"/>
        <v>0</v>
      </c>
      <c r="R33" s="321"/>
    </row>
    <row r="34" spans="1:18" ht="18" customHeight="1" outlineLevel="1">
      <c r="A34" s="344"/>
      <c r="B34" s="344" t="s">
        <v>638</v>
      </c>
      <c r="C34" s="322"/>
      <c r="D34" s="306">
        <f>IF(ISNA(VLOOKUP($B34,IS明細!B:D,3,0)),0,VLOOKUP($B34,IS明細!B:D,3,0))</f>
        <v>0</v>
      </c>
      <c r="E34" s="306">
        <f>IF(ISNA(VLOOKUP($B34,IS明細!$B:F,5,0)),0,VLOOKUP($B34,IS明細!$B:F,5,0))</f>
        <v>0</v>
      </c>
      <c r="F34" s="306">
        <f>IF(ISNA(VLOOKUP($B34,IS明細!$B:H,7,0)),0,VLOOKUP($B34,IS明細!$B:H,7,0))</f>
        <v>0</v>
      </c>
      <c r="G34" s="306">
        <f>IF(ISNA(VLOOKUP($B34,IS明細!$B:J,9,0)),0,VLOOKUP($B34,IS明細!$B:J,9,0))</f>
        <v>0</v>
      </c>
      <c r="H34" s="306">
        <f>IF(ISNA(VLOOKUP($B34,IS明細!$B:L,11,0)),0,VLOOKUP($B34,IS明細!$B:L,11,0))</f>
        <v>0</v>
      </c>
      <c r="I34" s="306">
        <f>IF(ISNA(VLOOKUP($B34,IS明細!$B:N,13,0)),0,VLOOKUP($B34,IS明細!$B:N,13,0))</f>
        <v>0</v>
      </c>
      <c r="J34" s="306">
        <f>IF(ISNA(VLOOKUP($B34,IS明細!$B:P,15,0)),0,VLOOKUP($B34,IS明細!$B:P,15,0))</f>
        <v>0</v>
      </c>
      <c r="K34" s="306">
        <f>IF(ISNA(VLOOKUP($B34,IS明細!$B:R,17,0)),0,VLOOKUP($B34,IS明細!$B:R,17,0))</f>
        <v>0</v>
      </c>
      <c r="L34" s="306">
        <f>IF(ISNA(VLOOKUP($B34,IS明細!$B:T,19,0)),0,VLOOKUP($B34,IS明細!$B:T,19,0))</f>
        <v>0</v>
      </c>
      <c r="M34" s="306">
        <f>IF(ISNA(VLOOKUP($B34,IS明細!$B:V,21,0)),0,VLOOKUP($B34,IS明細!$B:V,21,0))</f>
        <v>0</v>
      </c>
      <c r="N34" s="306">
        <f>IF(ISNA(VLOOKUP($B34,IS明細!$B:X,23,0)),0,VLOOKUP($B34,IS明細!$B:X,23,0))</f>
        <v>0</v>
      </c>
      <c r="O34" s="306">
        <f>IF(ISNA(VLOOKUP($B34,IS明細!$B:Z,25,0)),0,VLOOKUP($B34,IS明細!$B:Z,25,0))</f>
        <v>0</v>
      </c>
      <c r="P34" s="306">
        <f t="shared" si="1"/>
        <v>0</v>
      </c>
      <c r="Q34" s="337">
        <f t="shared" si="2"/>
        <v>0</v>
      </c>
      <c r="R34" s="321"/>
    </row>
    <row r="35" spans="1:18" ht="18" customHeight="1" outlineLevel="1">
      <c r="A35" s="344"/>
      <c r="B35" s="344" t="s">
        <v>639</v>
      </c>
      <c r="C35" s="322"/>
      <c r="D35" s="306">
        <f>IF(ISNA(VLOOKUP($B35,IS明細!B:D,3,0)),0,VLOOKUP($B35,IS明細!B:D,3,0))</f>
        <v>0</v>
      </c>
      <c r="E35" s="306">
        <f>IF(ISNA(VLOOKUP($B35,IS明細!$B:F,5,0)),0,VLOOKUP($B35,IS明細!$B:F,5,0))</f>
        <v>0</v>
      </c>
      <c r="F35" s="306">
        <f>IF(ISNA(VLOOKUP($B35,IS明細!$B:H,7,0)),0,VLOOKUP($B35,IS明細!$B:H,7,0))</f>
        <v>0</v>
      </c>
      <c r="G35" s="306">
        <f>IF(ISNA(VLOOKUP($B35,IS明細!$B:J,9,0)),0,VLOOKUP($B35,IS明細!$B:J,9,0))</f>
        <v>0</v>
      </c>
      <c r="H35" s="306">
        <f>IF(ISNA(VLOOKUP($B35,IS明細!$B:L,11,0)),0,VLOOKUP($B35,IS明細!$B:L,11,0))</f>
        <v>0</v>
      </c>
      <c r="I35" s="306">
        <f>IF(ISNA(VLOOKUP($B35,IS明細!$B:N,13,0)),0,VLOOKUP($B35,IS明細!$B:N,13,0))</f>
        <v>0</v>
      </c>
      <c r="J35" s="306">
        <f>IF(ISNA(VLOOKUP($B35,IS明細!$B:P,15,0)),0,VLOOKUP($B35,IS明細!$B:P,15,0))</f>
        <v>0</v>
      </c>
      <c r="K35" s="306">
        <f>IF(ISNA(VLOOKUP($B35,IS明細!$B:R,17,0)),0,VLOOKUP($B35,IS明細!$B:R,17,0))</f>
        <v>0</v>
      </c>
      <c r="L35" s="306">
        <f>IF(ISNA(VLOOKUP($B35,IS明細!$B:T,19,0)),0,VLOOKUP($B35,IS明細!$B:T,19,0))</f>
        <v>0</v>
      </c>
      <c r="M35" s="306">
        <f>IF(ISNA(VLOOKUP($B35,IS明細!$B:V,21,0)),0,VLOOKUP($B35,IS明細!$B:V,21,0))</f>
        <v>0</v>
      </c>
      <c r="N35" s="306">
        <f>IF(ISNA(VLOOKUP($B35,IS明細!$B:X,23,0)),0,VLOOKUP($B35,IS明細!$B:X,23,0))</f>
        <v>0</v>
      </c>
      <c r="O35" s="306">
        <f>IF(ISNA(VLOOKUP($B35,IS明細!$B:Z,25,0)),0,VLOOKUP($B35,IS明細!$B:Z,25,0))</f>
        <v>0</v>
      </c>
      <c r="P35" s="306">
        <f t="shared" si="1"/>
        <v>0</v>
      </c>
      <c r="Q35" s="337">
        <f t="shared" si="2"/>
        <v>0</v>
      </c>
      <c r="R35" s="321"/>
    </row>
    <row r="36" spans="1:18" ht="18" customHeight="1" outlineLevel="1">
      <c r="A36" s="344"/>
      <c r="B36" s="344" t="s">
        <v>640</v>
      </c>
      <c r="C36" s="322"/>
      <c r="D36" s="306">
        <f>IF(ISNA(VLOOKUP($B36,IS明細!B:D,3,0)),0,VLOOKUP($B36,IS明細!B:D,3,0))</f>
        <v>0</v>
      </c>
      <c r="E36" s="306">
        <f>IF(ISNA(VLOOKUP($B36,IS明細!$B:F,5,0)),0,VLOOKUP($B36,IS明細!$B:F,5,0))</f>
        <v>0</v>
      </c>
      <c r="F36" s="306">
        <f>IF(ISNA(VLOOKUP($B36,IS明細!$B:H,7,0)),0,VLOOKUP($B36,IS明細!$B:H,7,0))</f>
        <v>0</v>
      </c>
      <c r="G36" s="306">
        <f>IF(ISNA(VLOOKUP($B36,IS明細!$B:J,9,0)),0,VLOOKUP($B36,IS明細!$B:J,9,0))</f>
        <v>0</v>
      </c>
      <c r="H36" s="306">
        <f>IF(ISNA(VLOOKUP($B36,IS明細!$B:L,11,0)),0,VLOOKUP($B36,IS明細!$B:L,11,0))</f>
        <v>0</v>
      </c>
      <c r="I36" s="306">
        <f>IF(ISNA(VLOOKUP($B36,IS明細!$B:N,13,0)),0,VLOOKUP($B36,IS明細!$B:N,13,0))</f>
        <v>0</v>
      </c>
      <c r="J36" s="306">
        <f>IF(ISNA(VLOOKUP($B36,IS明細!$B:P,15,0)),0,VLOOKUP($B36,IS明細!$B:P,15,0))</f>
        <v>0</v>
      </c>
      <c r="K36" s="306">
        <f>IF(ISNA(VLOOKUP($B36,IS明細!$B:R,17,0)),0,VLOOKUP($B36,IS明細!$B:R,17,0))</f>
        <v>0</v>
      </c>
      <c r="L36" s="306">
        <f>IF(ISNA(VLOOKUP($B36,IS明細!$B:T,19,0)),0,VLOOKUP($B36,IS明細!$B:T,19,0))</f>
        <v>0</v>
      </c>
      <c r="M36" s="306">
        <f>IF(ISNA(VLOOKUP($B36,IS明細!$B:V,21,0)),0,VLOOKUP($B36,IS明細!$B:V,21,0))</f>
        <v>0</v>
      </c>
      <c r="N36" s="306">
        <f>IF(ISNA(VLOOKUP($B36,IS明細!$B:X,23,0)),0,VLOOKUP($B36,IS明細!$B:X,23,0))</f>
        <v>0</v>
      </c>
      <c r="O36" s="306">
        <f>IF(ISNA(VLOOKUP($B36,IS明細!$B:Z,25,0)),0,VLOOKUP($B36,IS明細!$B:Z,25,0))</f>
        <v>0</v>
      </c>
      <c r="P36" s="306">
        <f t="shared" si="1"/>
        <v>0</v>
      </c>
      <c r="Q36" s="337">
        <f t="shared" si="2"/>
        <v>0</v>
      </c>
      <c r="R36" s="321"/>
    </row>
    <row r="37" spans="1:18" ht="18" customHeight="1" outlineLevel="1">
      <c r="A37" s="344"/>
      <c r="B37" s="344" t="s">
        <v>641</v>
      </c>
      <c r="C37" s="322"/>
      <c r="D37" s="306">
        <f>IF(ISNA(VLOOKUP($B37,IS明細!B:D,3,0)),0,VLOOKUP($B37,IS明細!B:D,3,0))</f>
        <v>0</v>
      </c>
      <c r="E37" s="306">
        <f>IF(ISNA(VLOOKUP($B37,IS明細!$B:F,5,0)),0,VLOOKUP($B37,IS明細!$B:F,5,0))</f>
        <v>0</v>
      </c>
      <c r="F37" s="306">
        <f>IF(ISNA(VLOOKUP($B37,IS明細!$B:H,7,0)),0,VLOOKUP($B37,IS明細!$B:H,7,0))</f>
        <v>0</v>
      </c>
      <c r="G37" s="306">
        <f>IF(ISNA(VLOOKUP($B37,IS明細!$B:J,9,0)),0,VLOOKUP($B37,IS明細!$B:J,9,0))</f>
        <v>0</v>
      </c>
      <c r="H37" s="306">
        <f>IF(ISNA(VLOOKUP($B37,IS明細!$B:L,11,0)),0,VLOOKUP($B37,IS明細!$B:L,11,0))</f>
        <v>0</v>
      </c>
      <c r="I37" s="306">
        <f>IF(ISNA(VLOOKUP($B37,IS明細!$B:N,13,0)),0,VLOOKUP($B37,IS明細!$B:N,13,0))</f>
        <v>0</v>
      </c>
      <c r="J37" s="306">
        <f>IF(ISNA(VLOOKUP($B37,IS明細!$B:P,15,0)),0,VLOOKUP($B37,IS明細!$B:P,15,0))</f>
        <v>0</v>
      </c>
      <c r="K37" s="306">
        <f>IF(ISNA(VLOOKUP($B37,IS明細!$B:R,17,0)),0,VLOOKUP($B37,IS明細!$B:R,17,0))</f>
        <v>0</v>
      </c>
      <c r="L37" s="306">
        <f>IF(ISNA(VLOOKUP($B37,IS明細!$B:T,19,0)),0,VLOOKUP($B37,IS明細!$B:T,19,0))</f>
        <v>0</v>
      </c>
      <c r="M37" s="306">
        <f>IF(ISNA(VLOOKUP($B37,IS明細!$B:V,21,0)),0,VLOOKUP($B37,IS明細!$B:V,21,0))</f>
        <v>0</v>
      </c>
      <c r="N37" s="306">
        <f>IF(ISNA(VLOOKUP($B37,IS明細!$B:X,23,0)),0,VLOOKUP($B37,IS明細!$B:X,23,0))</f>
        <v>0</v>
      </c>
      <c r="O37" s="306">
        <f>IF(ISNA(VLOOKUP($B37,IS明細!$B:Z,25,0)),0,VLOOKUP($B37,IS明細!$B:Z,25,0))</f>
        <v>0</v>
      </c>
      <c r="P37" s="306">
        <f t="shared" si="1"/>
        <v>0</v>
      </c>
      <c r="Q37" s="337">
        <f t="shared" si="2"/>
        <v>0</v>
      </c>
      <c r="R37" s="321"/>
    </row>
    <row r="38" spans="1:18" ht="18" customHeight="1" outlineLevel="1">
      <c r="A38" s="344"/>
      <c r="B38" s="344" t="s">
        <v>642</v>
      </c>
      <c r="C38" s="322"/>
      <c r="D38" s="306">
        <f>IF(ISNA(VLOOKUP($B38,IS明細!B:D,3,0)),0,VLOOKUP($B38,IS明細!B:D,3,0))</f>
        <v>0</v>
      </c>
      <c r="E38" s="306">
        <f>IF(ISNA(VLOOKUP($B38,IS明細!$B:F,5,0)),0,VLOOKUP($B38,IS明細!$B:F,5,0))</f>
        <v>0</v>
      </c>
      <c r="F38" s="306">
        <f>IF(ISNA(VLOOKUP($B38,IS明細!$B:H,7,0)),0,VLOOKUP($B38,IS明細!$B:H,7,0))</f>
        <v>0</v>
      </c>
      <c r="G38" s="306">
        <f>IF(ISNA(VLOOKUP($B38,IS明細!$B:J,9,0)),0,VLOOKUP($B38,IS明細!$B:J,9,0))</f>
        <v>0</v>
      </c>
      <c r="H38" s="306">
        <f>IF(ISNA(VLOOKUP($B38,IS明細!$B:L,11,0)),0,VLOOKUP($B38,IS明細!$B:L,11,0))</f>
        <v>0</v>
      </c>
      <c r="I38" s="306">
        <f>IF(ISNA(VLOOKUP($B38,IS明細!$B:N,13,0)),0,VLOOKUP($B38,IS明細!$B:N,13,0))</f>
        <v>0</v>
      </c>
      <c r="J38" s="306">
        <f>IF(ISNA(VLOOKUP($B38,IS明細!$B:P,15,0)),0,VLOOKUP($B38,IS明細!$B:P,15,0))</f>
        <v>0</v>
      </c>
      <c r="K38" s="306">
        <f>IF(ISNA(VLOOKUP($B38,IS明細!$B:R,17,0)),0,VLOOKUP($B38,IS明細!$B:R,17,0))</f>
        <v>0</v>
      </c>
      <c r="L38" s="306">
        <f>IF(ISNA(VLOOKUP($B38,IS明細!$B:T,19,0)),0,VLOOKUP($B38,IS明細!$B:T,19,0))</f>
        <v>0</v>
      </c>
      <c r="M38" s="306">
        <f>IF(ISNA(VLOOKUP($B38,IS明細!$B:V,21,0)),0,VLOOKUP($B38,IS明細!$B:V,21,0))</f>
        <v>0</v>
      </c>
      <c r="N38" s="306">
        <f>IF(ISNA(VLOOKUP($B38,IS明細!$B:X,23,0)),0,VLOOKUP($B38,IS明細!$B:X,23,0))</f>
        <v>0</v>
      </c>
      <c r="O38" s="306">
        <f>IF(ISNA(VLOOKUP($B38,IS明細!$B:Z,25,0)),0,VLOOKUP($B38,IS明細!$B:Z,25,0))</f>
        <v>0</v>
      </c>
      <c r="P38" s="306">
        <f t="shared" si="1"/>
        <v>0</v>
      </c>
      <c r="Q38" s="337">
        <f t="shared" si="2"/>
        <v>0</v>
      </c>
      <c r="R38" s="321"/>
    </row>
    <row r="39" spans="1:18" ht="18" customHeight="1" outlineLevel="1">
      <c r="A39" s="344"/>
      <c r="B39" s="344" t="s">
        <v>643</v>
      </c>
      <c r="C39" s="322"/>
      <c r="D39" s="306">
        <f>IF(ISNA(VLOOKUP($B39,IS明細!B:D,3,0)),0,VLOOKUP($B39,IS明細!B:D,3,0))</f>
        <v>-132345</v>
      </c>
      <c r="E39" s="306">
        <f>IF(ISNA(VLOOKUP($B39,IS明細!$B:F,5,0)),0,VLOOKUP($B39,IS明細!$B:F,5,0))</f>
        <v>131813</v>
      </c>
      <c r="F39" s="306">
        <f>IF(ISNA(VLOOKUP($B39,IS明細!$B:H,7,0)),0,VLOOKUP($B39,IS明細!$B:H,7,0))</f>
        <v>548</v>
      </c>
      <c r="G39" s="306">
        <f>IF(ISNA(VLOOKUP($B39,IS明細!$B:J,9,0)),0,VLOOKUP($B39,IS明細!$B:J,9,0))</f>
        <v>-16</v>
      </c>
      <c r="H39" s="306">
        <f>IF(ISNA(VLOOKUP($B39,IS明細!$B:L,11,0)),0,VLOOKUP($B39,IS明細!$B:L,11,0))</f>
        <v>0</v>
      </c>
      <c r="I39" s="306">
        <f>IF(ISNA(VLOOKUP($B39,IS明細!$B:N,13,0)),0,VLOOKUP($B39,IS明細!$B:N,13,0))</f>
        <v>0</v>
      </c>
      <c r="J39" s="306">
        <f>IF(ISNA(VLOOKUP($B39,IS明細!$B:P,15,0)),0,VLOOKUP($B39,IS明細!$B:P,15,0))</f>
        <v>0</v>
      </c>
      <c r="K39" s="306">
        <f>IF(ISNA(VLOOKUP($B39,IS明細!$B:R,17,0)),0,VLOOKUP($B39,IS明細!$B:R,17,0))</f>
        <v>0</v>
      </c>
      <c r="L39" s="306">
        <f>IF(ISNA(VLOOKUP($B39,IS明細!$B:T,19,0)),0,VLOOKUP($B39,IS明細!$B:T,19,0))</f>
        <v>0</v>
      </c>
      <c r="M39" s="306">
        <f>IF(ISNA(VLOOKUP($B39,IS明細!$B:V,21,0)),0,VLOOKUP($B39,IS明細!$B:V,21,0))</f>
        <v>0</v>
      </c>
      <c r="N39" s="306">
        <f>IF(ISNA(VLOOKUP($B39,IS明細!$B:X,23,0)),0,VLOOKUP($B39,IS明細!$B:X,23,0))</f>
        <v>0</v>
      </c>
      <c r="O39" s="306">
        <f>IF(ISNA(VLOOKUP($B39,IS明細!$B:Z,25,0)),0,VLOOKUP($B39,IS明細!$B:Z,25,0))</f>
        <v>0</v>
      </c>
      <c r="P39" s="306">
        <f t="shared" si="1"/>
        <v>0</v>
      </c>
      <c r="Q39" s="337">
        <f t="shared" si="2"/>
        <v>0</v>
      </c>
      <c r="R39" s="321"/>
    </row>
    <row r="40" spans="1:18" ht="18" customHeight="1" outlineLevel="1">
      <c r="A40" s="344"/>
      <c r="B40" s="344" t="s">
        <v>644</v>
      </c>
      <c r="C40" s="322"/>
      <c r="D40" s="306">
        <f>IF(ISNA(VLOOKUP($B40,IS明細!B:D,3,0)),0,VLOOKUP($B40,IS明細!B:D,3,0))</f>
        <v>1023451</v>
      </c>
      <c r="E40" s="306">
        <f>IF(ISNA(VLOOKUP($B40,IS明細!$B:F,5,0)),0,VLOOKUP($B40,IS明細!$B:F,5,0))</f>
        <v>1006220</v>
      </c>
      <c r="F40" s="306">
        <f>IF(ISNA(VLOOKUP($B40,IS明細!$B:H,7,0)),0,VLOOKUP($B40,IS明細!$B:H,7,0))</f>
        <v>1020731</v>
      </c>
      <c r="G40" s="306">
        <f>IF(ISNA(VLOOKUP($B40,IS明細!$B:J,9,0)),0,VLOOKUP($B40,IS明細!$B:J,9,0))</f>
        <v>1062155</v>
      </c>
      <c r="H40" s="306">
        <f>IF(ISNA(VLOOKUP($B40,IS明細!$B:L,11,0)),0,VLOOKUP($B40,IS明細!$B:L,11,0))</f>
        <v>1055778</v>
      </c>
      <c r="I40" s="306">
        <f>IF(ISNA(VLOOKUP($B40,IS明細!$B:N,13,0)),0,VLOOKUP($B40,IS明細!$B:N,13,0))</f>
        <v>1051561</v>
      </c>
      <c r="J40" s="306">
        <f>IF(ISNA(VLOOKUP($B40,IS明細!$B:P,15,0)),0,VLOOKUP($B40,IS明細!$B:P,15,0))</f>
        <v>1065149</v>
      </c>
      <c r="K40" s="306">
        <f>IF(ISNA(VLOOKUP($B40,IS明細!$B:R,17,0)),0,VLOOKUP($B40,IS明細!$B:R,17,0))</f>
        <v>1088082</v>
      </c>
      <c r="L40" s="306">
        <f>IF(ISNA(VLOOKUP($B40,IS明細!$B:T,19,0)),0,VLOOKUP($B40,IS明細!$B:T,19,0))</f>
        <v>0</v>
      </c>
      <c r="M40" s="306">
        <f>IF(ISNA(VLOOKUP($B40,IS明細!$B:V,21,0)),0,VLOOKUP($B40,IS明細!$B:V,21,0))</f>
        <v>0</v>
      </c>
      <c r="N40" s="306">
        <f>IF(ISNA(VLOOKUP($B40,IS明細!$B:X,23,0)),0,VLOOKUP($B40,IS明細!$B:X,23,0))</f>
        <v>0</v>
      </c>
      <c r="O40" s="306">
        <f>IF(ISNA(VLOOKUP($B40,IS明細!$B:Z,25,0)),0,VLOOKUP($B40,IS明細!$B:Z,25,0))</f>
        <v>0</v>
      </c>
      <c r="P40" s="306">
        <f t="shared" si="1"/>
        <v>8373127</v>
      </c>
      <c r="Q40" s="337">
        <f t="shared" si="2"/>
        <v>1.4767738678942016E-2</v>
      </c>
      <c r="R40" s="321"/>
    </row>
    <row r="41" spans="1:18" ht="18" customHeight="1" outlineLevel="1">
      <c r="A41" s="344"/>
      <c r="B41" s="344" t="s">
        <v>645</v>
      </c>
      <c r="C41" s="322"/>
      <c r="D41" s="306">
        <f>IF(ISNA(VLOOKUP($B41,IS明細!B:D,3,0)),0,VLOOKUP($B41,IS明細!B:D,3,0))</f>
        <v>726247</v>
      </c>
      <c r="E41" s="306">
        <f>IF(ISNA(VLOOKUP($B41,IS明細!$B:F,5,0)),0,VLOOKUP($B41,IS明細!$B:F,5,0))</f>
        <v>741039</v>
      </c>
      <c r="F41" s="306">
        <f>IF(ISNA(VLOOKUP($B41,IS明細!$B:H,7,0)),0,VLOOKUP($B41,IS明細!$B:H,7,0))</f>
        <v>734100</v>
      </c>
      <c r="G41" s="306">
        <f>IF(ISNA(VLOOKUP($B41,IS明細!$B:J,9,0)),0,VLOOKUP($B41,IS明細!$B:J,9,0))</f>
        <v>771882</v>
      </c>
      <c r="H41" s="306">
        <f>IF(ISNA(VLOOKUP($B41,IS明細!$B:L,11,0)),0,VLOOKUP($B41,IS明細!$B:L,11,0))</f>
        <v>771217</v>
      </c>
      <c r="I41" s="306">
        <f>IF(ISNA(VLOOKUP($B41,IS明細!$B:N,13,0)),0,VLOOKUP($B41,IS明細!$B:N,13,0))</f>
        <v>770641</v>
      </c>
      <c r="J41" s="306">
        <f>IF(ISNA(VLOOKUP($B41,IS明細!$B:P,15,0)),0,VLOOKUP($B41,IS明細!$B:P,15,0))</f>
        <v>792332</v>
      </c>
      <c r="K41" s="306">
        <f>IF(ISNA(VLOOKUP($B41,IS明細!$B:R,17,0)),0,VLOOKUP($B41,IS明細!$B:R,17,0))</f>
        <v>796776</v>
      </c>
      <c r="L41" s="306">
        <f>IF(ISNA(VLOOKUP($B41,IS明細!$B:T,19,0)),0,VLOOKUP($B41,IS明細!$B:T,19,0))</f>
        <v>0</v>
      </c>
      <c r="M41" s="306">
        <f>IF(ISNA(VLOOKUP($B41,IS明細!$B:V,21,0)),0,VLOOKUP($B41,IS明細!$B:V,21,0))</f>
        <v>0</v>
      </c>
      <c r="N41" s="306">
        <f>IF(ISNA(VLOOKUP($B41,IS明細!$B:X,23,0)),0,VLOOKUP($B41,IS明細!$B:X,23,0))</f>
        <v>0</v>
      </c>
      <c r="O41" s="306">
        <f>IF(ISNA(VLOOKUP($B41,IS明細!$B:Z,25,0)),0,VLOOKUP($B41,IS明細!$B:Z,25,0))</f>
        <v>0</v>
      </c>
      <c r="P41" s="306">
        <f t="shared" si="1"/>
        <v>6104234</v>
      </c>
      <c r="Q41" s="337">
        <f t="shared" si="2"/>
        <v>1.076607730267473E-2</v>
      </c>
      <c r="R41" s="321"/>
    </row>
    <row r="42" spans="1:18" ht="18" customHeight="1" outlineLevel="1">
      <c r="A42" s="344"/>
      <c r="B42" s="344" t="s">
        <v>646</v>
      </c>
      <c r="C42" s="322"/>
      <c r="D42" s="306">
        <f>IF(ISNA(VLOOKUP($B42,IS明細!B:D,3,0)),0,VLOOKUP($B42,IS明細!B:D,3,0))</f>
        <v>0</v>
      </c>
      <c r="E42" s="306">
        <f>IF(ISNA(VLOOKUP($B42,IS明細!$B:F,5,0)),0,VLOOKUP($B42,IS明細!$B:F,5,0))</f>
        <v>14913</v>
      </c>
      <c r="F42" s="306">
        <f>IF(ISNA(VLOOKUP($B42,IS明細!$B:H,7,0)),0,VLOOKUP($B42,IS明細!$B:H,7,0))</f>
        <v>19383</v>
      </c>
      <c r="G42" s="306">
        <f>IF(ISNA(VLOOKUP($B42,IS明細!$B:J,9,0)),0,VLOOKUP($B42,IS明細!$B:J,9,0))</f>
        <v>21000</v>
      </c>
      <c r="H42" s="306">
        <f>IF(ISNA(VLOOKUP($B42,IS明細!$B:L,11,0)),0,VLOOKUP($B42,IS明細!$B:L,11,0))</f>
        <v>12994</v>
      </c>
      <c r="I42" s="306">
        <f>IF(ISNA(VLOOKUP($B42,IS明細!$B:N,13,0)),0,VLOOKUP($B42,IS明細!$B:N,13,0))</f>
        <v>8283</v>
      </c>
      <c r="J42" s="306">
        <f>IF(ISNA(VLOOKUP($B42,IS明細!$B:P,15,0)),0,VLOOKUP($B42,IS明細!$B:P,15,0))</f>
        <v>0</v>
      </c>
      <c r="K42" s="306">
        <f>IF(ISNA(VLOOKUP($B42,IS明細!$B:R,17,0)),0,VLOOKUP($B42,IS明細!$B:R,17,0))</f>
        <v>17567</v>
      </c>
      <c r="L42" s="306">
        <f>IF(ISNA(VLOOKUP($B42,IS明細!$B:T,19,0)),0,VLOOKUP($B42,IS明細!$B:T,19,0))</f>
        <v>0</v>
      </c>
      <c r="M42" s="306">
        <f>IF(ISNA(VLOOKUP($B42,IS明細!$B:V,21,0)),0,VLOOKUP($B42,IS明細!$B:V,21,0))</f>
        <v>0</v>
      </c>
      <c r="N42" s="306">
        <f>IF(ISNA(VLOOKUP($B42,IS明細!$B:X,23,0)),0,VLOOKUP($B42,IS明細!$B:X,23,0))</f>
        <v>0</v>
      </c>
      <c r="O42" s="306">
        <f>IF(ISNA(VLOOKUP($B42,IS明細!$B:Z,25,0)),0,VLOOKUP($B42,IS明細!$B:Z,25,0))</f>
        <v>0</v>
      </c>
      <c r="P42" s="306">
        <f t="shared" si="1"/>
        <v>94140</v>
      </c>
      <c r="Q42" s="337">
        <f t="shared" si="2"/>
        <v>1.6603533175068306E-4</v>
      </c>
      <c r="R42" s="321"/>
    </row>
    <row r="43" spans="1:18" ht="18" customHeight="1" outlineLevel="1">
      <c r="A43" s="344"/>
      <c r="B43" s="344" t="s">
        <v>647</v>
      </c>
      <c r="C43" s="322"/>
      <c r="D43" s="306">
        <f>IF(ISNA(VLOOKUP($B43,IS明細!B:D,3,0)),0,VLOOKUP($B43,IS明細!B:D,3,0))</f>
        <v>0</v>
      </c>
      <c r="E43" s="306">
        <f>IF(ISNA(VLOOKUP($B43,IS明細!$B:F,5,0)),0,VLOOKUP($B43,IS明細!$B:F,5,0))</f>
        <v>0</v>
      </c>
      <c r="F43" s="306">
        <f>IF(ISNA(VLOOKUP($B43,IS明細!$B:H,7,0)),0,VLOOKUP($B43,IS明細!$B:H,7,0))</f>
        <v>0</v>
      </c>
      <c r="G43" s="306">
        <f>IF(ISNA(VLOOKUP($B43,IS明細!$B:J,9,0)),0,VLOOKUP($B43,IS明細!$B:J,9,0))</f>
        <v>0</v>
      </c>
      <c r="H43" s="306">
        <f>IF(ISNA(VLOOKUP($B43,IS明細!$B:L,11,0)),0,VLOOKUP($B43,IS明細!$B:L,11,0))</f>
        <v>0</v>
      </c>
      <c r="I43" s="306">
        <f>IF(ISNA(VLOOKUP($B43,IS明細!$B:N,13,0)),0,VLOOKUP($B43,IS明細!$B:N,13,0))</f>
        <v>0</v>
      </c>
      <c r="J43" s="306">
        <f>IF(ISNA(VLOOKUP($B43,IS明細!$B:P,15,0)),0,VLOOKUP($B43,IS明細!$B:P,15,0))</f>
        <v>0</v>
      </c>
      <c r="K43" s="306">
        <f>IF(ISNA(VLOOKUP($B43,IS明細!$B:R,17,0)),0,VLOOKUP($B43,IS明細!$B:R,17,0))</f>
        <v>0</v>
      </c>
      <c r="L43" s="306">
        <f>IF(ISNA(VLOOKUP($B43,IS明細!$B:T,19,0)),0,VLOOKUP($B43,IS明細!$B:T,19,0))</f>
        <v>0</v>
      </c>
      <c r="M43" s="306">
        <f>IF(ISNA(VLOOKUP($B43,IS明細!$B:V,21,0)),0,VLOOKUP($B43,IS明細!$B:V,21,0))</f>
        <v>0</v>
      </c>
      <c r="N43" s="306">
        <f>IF(ISNA(VLOOKUP($B43,IS明細!$B:X,23,0)),0,VLOOKUP($B43,IS明細!$B:X,23,0))</f>
        <v>0</v>
      </c>
      <c r="O43" s="306">
        <f>IF(ISNA(VLOOKUP($B43,IS明細!$B:Z,25,0)),0,VLOOKUP($B43,IS明細!$B:Z,25,0))</f>
        <v>0</v>
      </c>
      <c r="P43" s="306">
        <f t="shared" si="1"/>
        <v>0</v>
      </c>
      <c r="Q43" s="337">
        <f t="shared" si="2"/>
        <v>0</v>
      </c>
      <c r="R43" s="321"/>
    </row>
    <row r="44" spans="1:18" ht="18" customHeight="1" outlineLevel="1">
      <c r="A44" s="344"/>
      <c r="B44" s="344" t="s">
        <v>648</v>
      </c>
      <c r="C44" s="322"/>
      <c r="D44" s="306">
        <f>IF(ISNA(VLOOKUP($B44,IS明細!B:D,3,0)),0,VLOOKUP($B44,IS明細!B:D,3,0))</f>
        <v>46704</v>
      </c>
      <c r="E44" s="306">
        <f>IF(ISNA(VLOOKUP($B44,IS明細!$B:F,5,0)),0,VLOOKUP($B44,IS明細!$B:F,5,0))</f>
        <v>47368</v>
      </c>
      <c r="F44" s="306">
        <f>IF(ISNA(VLOOKUP($B44,IS明細!$B:H,7,0)),0,VLOOKUP($B44,IS明細!$B:H,7,0))</f>
        <v>47328</v>
      </c>
      <c r="G44" s="306">
        <f>IF(ISNA(VLOOKUP($B44,IS明細!$B:J,9,0)),0,VLOOKUP($B44,IS明細!$B:J,9,0))</f>
        <v>49573</v>
      </c>
      <c r="H44" s="306">
        <f>IF(ISNA(VLOOKUP($B44,IS明細!$B:L,11,0)),0,VLOOKUP($B44,IS明細!$B:L,11,0))</f>
        <v>49867</v>
      </c>
      <c r="I44" s="306">
        <f>IF(ISNA(VLOOKUP($B44,IS明細!$B:N,13,0)),0,VLOOKUP($B44,IS明細!$B:N,13,0))</f>
        <v>50137</v>
      </c>
      <c r="J44" s="306">
        <f>IF(ISNA(VLOOKUP($B44,IS明細!$B:P,15,0)),0,VLOOKUP($B44,IS明細!$B:P,15,0))</f>
        <v>50317</v>
      </c>
      <c r="K44" s="306">
        <f>IF(ISNA(VLOOKUP($B44,IS明細!$B:R,17,0)),0,VLOOKUP($B44,IS明細!$B:R,17,0))</f>
        <v>50539</v>
      </c>
      <c r="L44" s="306">
        <f>IF(ISNA(VLOOKUP($B44,IS明細!$B:T,19,0)),0,VLOOKUP($B44,IS明細!$B:T,19,0))</f>
        <v>0</v>
      </c>
      <c r="M44" s="306">
        <f>IF(ISNA(VLOOKUP($B44,IS明細!$B:V,21,0)),0,VLOOKUP($B44,IS明細!$B:V,21,0))</f>
        <v>0</v>
      </c>
      <c r="N44" s="306">
        <f>IF(ISNA(VLOOKUP($B44,IS明細!$B:X,23,0)),0,VLOOKUP($B44,IS明細!$B:X,23,0))</f>
        <v>0</v>
      </c>
      <c r="O44" s="306">
        <f>IF(ISNA(VLOOKUP($B44,IS明細!$B:Z,25,0)),0,VLOOKUP($B44,IS明細!$B:Z,25,0))</f>
        <v>0</v>
      </c>
      <c r="P44" s="306">
        <f t="shared" si="1"/>
        <v>391833</v>
      </c>
      <c r="Q44" s="337">
        <f t="shared" si="2"/>
        <v>6.9107841667585921E-4</v>
      </c>
      <c r="R44" s="321"/>
    </row>
    <row r="45" spans="1:18" ht="18" customHeight="1" outlineLevel="1">
      <c r="A45" s="344"/>
      <c r="B45" s="344" t="s">
        <v>649</v>
      </c>
      <c r="C45" s="322"/>
      <c r="D45" s="306">
        <f>IF(ISNA(VLOOKUP($B45,IS明細!B:D,3,0)),0,VLOOKUP($B45,IS明細!B:D,3,0))</f>
        <v>250500</v>
      </c>
      <c r="E45" s="306">
        <f>IF(ISNA(VLOOKUP($B45,IS明細!$B:F,5,0)),0,VLOOKUP($B45,IS明細!$B:F,5,0))</f>
        <v>202900</v>
      </c>
      <c r="F45" s="306">
        <f>IF(ISNA(VLOOKUP($B45,IS明細!$B:H,7,0)),0,VLOOKUP($B45,IS明細!$B:H,7,0))</f>
        <v>219920</v>
      </c>
      <c r="G45" s="306">
        <f>IF(ISNA(VLOOKUP($B45,IS明細!$B:J,9,0)),0,VLOOKUP($B45,IS明細!$B:J,9,0))</f>
        <v>219700</v>
      </c>
      <c r="H45" s="306">
        <f>IF(ISNA(VLOOKUP($B45,IS明細!$B:L,11,0)),0,VLOOKUP($B45,IS明細!$B:L,11,0))</f>
        <v>221700</v>
      </c>
      <c r="I45" s="306">
        <f>IF(ISNA(VLOOKUP($B45,IS明細!$B:N,13,0)),0,VLOOKUP($B45,IS明細!$B:N,13,0))</f>
        <v>222500</v>
      </c>
      <c r="J45" s="306">
        <f>IF(ISNA(VLOOKUP($B45,IS明細!$B:P,15,0)),0,VLOOKUP($B45,IS明細!$B:P,15,0))</f>
        <v>222500</v>
      </c>
      <c r="K45" s="306">
        <f>IF(ISNA(VLOOKUP($B45,IS明細!$B:R,17,0)),0,VLOOKUP($B45,IS明細!$B:R,17,0))</f>
        <v>223200</v>
      </c>
      <c r="L45" s="306">
        <f>IF(ISNA(VLOOKUP($B45,IS明細!$B:T,19,0)),0,VLOOKUP($B45,IS明細!$B:T,19,0))</f>
        <v>0</v>
      </c>
      <c r="M45" s="306">
        <f>IF(ISNA(VLOOKUP($B45,IS明細!$B:V,21,0)),0,VLOOKUP($B45,IS明細!$B:V,21,0))</f>
        <v>0</v>
      </c>
      <c r="N45" s="306">
        <f>IF(ISNA(VLOOKUP($B45,IS明細!$B:X,23,0)),0,VLOOKUP($B45,IS明細!$B:X,23,0))</f>
        <v>0</v>
      </c>
      <c r="O45" s="306">
        <f>IF(ISNA(VLOOKUP($B45,IS明細!$B:Z,25,0)),0,VLOOKUP($B45,IS明細!$B:Z,25,0))</f>
        <v>0</v>
      </c>
      <c r="P45" s="306">
        <f t="shared" si="1"/>
        <v>1782920</v>
      </c>
      <c r="Q45" s="337">
        <f t="shared" si="2"/>
        <v>3.1445476278407457E-3</v>
      </c>
      <c r="R45" s="321"/>
    </row>
    <row r="46" spans="1:18" ht="18" customHeight="1" outlineLevel="1">
      <c r="A46" s="344"/>
      <c r="B46" s="344" t="s">
        <v>650</v>
      </c>
      <c r="C46" s="322"/>
      <c r="D46" s="306">
        <f>IF(ISNA(VLOOKUP($B46,IS明細!B:D,3,0)),0,VLOOKUP($B46,IS明細!B:D,3,0))</f>
        <v>0</v>
      </c>
      <c r="E46" s="306">
        <f>IF(ISNA(VLOOKUP($B46,IS明細!$B:F,5,0)),0,VLOOKUP($B46,IS明細!$B:F,5,0))</f>
        <v>0</v>
      </c>
      <c r="F46" s="306">
        <f>IF(ISNA(VLOOKUP($B46,IS明細!$B:H,7,0)),0,VLOOKUP($B46,IS明細!$B:H,7,0))</f>
        <v>0</v>
      </c>
      <c r="G46" s="306">
        <f>IF(ISNA(VLOOKUP($B46,IS明細!$B:J,9,0)),0,VLOOKUP($B46,IS明細!$B:J,9,0))</f>
        <v>0</v>
      </c>
      <c r="H46" s="306">
        <f>IF(ISNA(VLOOKUP($B46,IS明細!$B:L,11,0)),0,VLOOKUP($B46,IS明細!$B:L,11,0))</f>
        <v>0</v>
      </c>
      <c r="I46" s="306">
        <f>IF(ISNA(VLOOKUP($B46,IS明細!$B:N,13,0)),0,VLOOKUP($B46,IS明細!$B:N,13,0))</f>
        <v>0</v>
      </c>
      <c r="J46" s="306">
        <f>IF(ISNA(VLOOKUP($B46,IS明細!$B:P,15,0)),0,VLOOKUP($B46,IS明細!$B:P,15,0))</f>
        <v>0</v>
      </c>
      <c r="K46" s="306">
        <f>IF(ISNA(VLOOKUP($B46,IS明細!$B:R,17,0)),0,VLOOKUP($B46,IS明細!$B:R,17,0))</f>
        <v>0</v>
      </c>
      <c r="L46" s="306">
        <f>IF(ISNA(VLOOKUP($B46,IS明細!$B:T,19,0)),0,VLOOKUP($B46,IS明細!$B:T,19,0))</f>
        <v>0</v>
      </c>
      <c r="M46" s="306">
        <f>IF(ISNA(VLOOKUP($B46,IS明細!$B:V,21,0)),0,VLOOKUP($B46,IS明細!$B:V,21,0))</f>
        <v>0</v>
      </c>
      <c r="N46" s="306">
        <f>IF(ISNA(VLOOKUP($B46,IS明細!$B:X,23,0)),0,VLOOKUP($B46,IS明細!$B:X,23,0))</f>
        <v>0</v>
      </c>
      <c r="O46" s="306">
        <f>IF(ISNA(VLOOKUP($B46,IS明細!$B:Z,25,0)),0,VLOOKUP($B46,IS明細!$B:Z,25,0))</f>
        <v>0</v>
      </c>
      <c r="P46" s="306">
        <f t="shared" si="1"/>
        <v>0</v>
      </c>
      <c r="Q46" s="337">
        <f t="shared" si="2"/>
        <v>0</v>
      </c>
      <c r="R46" s="321"/>
    </row>
    <row r="47" spans="1:18" ht="18" customHeight="1" outlineLevel="1">
      <c r="A47" s="344"/>
      <c r="B47" s="344" t="s">
        <v>651</v>
      </c>
      <c r="C47" s="322"/>
      <c r="D47" s="306">
        <f>IF(ISNA(VLOOKUP($B47,IS明細!B:D,3,0)),0,VLOOKUP($B47,IS明細!B:D,3,0))</f>
        <v>194800</v>
      </c>
      <c r="E47" s="306">
        <f>IF(ISNA(VLOOKUP($B47,IS明細!$B:F,5,0)),0,VLOOKUP($B47,IS明細!$B:F,5,0))</f>
        <v>194800</v>
      </c>
      <c r="F47" s="306">
        <f>IF(ISNA(VLOOKUP($B47,IS明細!$B:H,7,0)),0,VLOOKUP($B47,IS明細!$B:H,7,0))</f>
        <v>194800</v>
      </c>
      <c r="G47" s="306">
        <f>IF(ISNA(VLOOKUP($B47,IS明細!$B:J,9,0)),0,VLOOKUP($B47,IS明細!$B:J,9,0))</f>
        <v>194800</v>
      </c>
      <c r="H47" s="306">
        <f>IF(ISNA(VLOOKUP($B47,IS明細!$B:L,11,0)),0,VLOOKUP($B47,IS明細!$B:L,11,0))</f>
        <v>194800</v>
      </c>
      <c r="I47" s="306">
        <f>IF(ISNA(VLOOKUP($B47,IS明細!$B:N,13,0)),0,VLOOKUP($B47,IS明細!$B:N,13,0))</f>
        <v>194800</v>
      </c>
      <c r="J47" s="306">
        <f>IF(ISNA(VLOOKUP($B47,IS明細!$B:P,15,0)),0,VLOOKUP($B47,IS明細!$B:P,15,0))</f>
        <v>194800</v>
      </c>
      <c r="K47" s="306">
        <f>IF(ISNA(VLOOKUP($B47,IS明細!$B:R,17,0)),0,VLOOKUP($B47,IS明細!$B:R,17,0))</f>
        <v>194800</v>
      </c>
      <c r="L47" s="306">
        <f>IF(ISNA(VLOOKUP($B47,IS明細!$B:T,19,0)),0,VLOOKUP($B47,IS明細!$B:T,19,0))</f>
        <v>0</v>
      </c>
      <c r="M47" s="306">
        <f>IF(ISNA(VLOOKUP($B47,IS明細!$B:V,21,0)),0,VLOOKUP($B47,IS明細!$B:V,21,0))</f>
        <v>0</v>
      </c>
      <c r="N47" s="306">
        <f>IF(ISNA(VLOOKUP($B47,IS明細!$B:X,23,0)),0,VLOOKUP($B47,IS明細!$B:X,23,0))</f>
        <v>0</v>
      </c>
      <c r="O47" s="306">
        <f>IF(ISNA(VLOOKUP($B47,IS明細!$B:Z,25,0)),0,VLOOKUP($B47,IS明細!$B:Z,25,0))</f>
        <v>0</v>
      </c>
      <c r="P47" s="306">
        <f t="shared" si="1"/>
        <v>1558400</v>
      </c>
      <c r="Q47" s="337">
        <f t="shared" si="2"/>
        <v>2.7485602400707933E-3</v>
      </c>
      <c r="R47" s="321"/>
    </row>
    <row r="48" spans="1:18" ht="18" customHeight="1" outlineLevel="1">
      <c r="A48" s="344"/>
      <c r="B48" s="344" t="s">
        <v>652</v>
      </c>
      <c r="C48" s="322"/>
      <c r="D48" s="306">
        <f>IF(ISNA(VLOOKUP($B48,IS明細!B:D,3,0)),0,VLOOKUP($B48,IS明細!B:D,3,0))</f>
        <v>0</v>
      </c>
      <c r="E48" s="306">
        <f>IF(ISNA(VLOOKUP($B48,IS明細!$B:F,5,0)),0,VLOOKUP($B48,IS明細!$B:F,5,0))</f>
        <v>0</v>
      </c>
      <c r="F48" s="306">
        <f>IF(ISNA(VLOOKUP($B48,IS明細!$B:H,7,0)),0,VLOOKUP($B48,IS明細!$B:H,7,0))</f>
        <v>0</v>
      </c>
      <c r="G48" s="306">
        <f>IF(ISNA(VLOOKUP($B48,IS明細!$B:J,9,0)),0,VLOOKUP($B48,IS明細!$B:J,9,0))</f>
        <v>2106</v>
      </c>
      <c r="H48" s="306">
        <f>IF(ISNA(VLOOKUP($B48,IS明細!$B:L,11,0)),0,VLOOKUP($B48,IS明細!$B:L,11,0))</f>
        <v>0</v>
      </c>
      <c r="I48" s="306">
        <f>IF(ISNA(VLOOKUP($B48,IS明細!$B:N,13,0)),0,VLOOKUP($B48,IS明細!$B:N,13,0))</f>
        <v>300</v>
      </c>
      <c r="J48" s="306">
        <f>IF(ISNA(VLOOKUP($B48,IS明細!$B:P,15,0)),0,VLOOKUP($B48,IS明細!$B:P,15,0))</f>
        <v>3250</v>
      </c>
      <c r="K48" s="306">
        <f>IF(ISNA(VLOOKUP($B48,IS明細!$B:R,17,0)),0,VLOOKUP($B48,IS明細!$B:R,17,0))</f>
        <v>0</v>
      </c>
      <c r="L48" s="306">
        <f>IF(ISNA(VLOOKUP($B48,IS明細!$B:T,19,0)),0,VLOOKUP($B48,IS明細!$B:T,19,0))</f>
        <v>0</v>
      </c>
      <c r="M48" s="306">
        <f>IF(ISNA(VLOOKUP($B48,IS明細!$B:V,21,0)),0,VLOOKUP($B48,IS明細!$B:V,21,0))</f>
        <v>0</v>
      </c>
      <c r="N48" s="306">
        <f>IF(ISNA(VLOOKUP($B48,IS明細!$B:X,23,0)),0,VLOOKUP($B48,IS明細!$B:X,23,0))</f>
        <v>0</v>
      </c>
      <c r="O48" s="306">
        <f>IF(ISNA(VLOOKUP($B48,IS明細!$B:Z,25,0)),0,VLOOKUP($B48,IS明細!$B:Z,25,0))</f>
        <v>0</v>
      </c>
      <c r="P48" s="306">
        <f t="shared" si="1"/>
        <v>5656</v>
      </c>
      <c r="Q48" s="337">
        <f t="shared" si="2"/>
        <v>9.9755240745895827E-6</v>
      </c>
      <c r="R48" s="321"/>
    </row>
    <row r="49" spans="1:18" ht="18" customHeight="1" outlineLevel="1">
      <c r="A49" s="344"/>
      <c r="B49" s="344" t="s">
        <v>653</v>
      </c>
      <c r="C49" s="322"/>
      <c r="D49" s="306">
        <f>IF(ISNA(VLOOKUP($B49,IS明細!B:D,3,0)),0,VLOOKUP($B49,IS明細!B:D,3,0))</f>
        <v>1000</v>
      </c>
      <c r="E49" s="306">
        <f>IF(ISNA(VLOOKUP($B49,IS明細!$B:F,5,0)),0,VLOOKUP($B49,IS明細!$B:F,5,0))</f>
        <v>39000</v>
      </c>
      <c r="F49" s="306">
        <f>IF(ISNA(VLOOKUP($B49,IS明細!$B:H,7,0)),0,VLOOKUP($B49,IS明細!$B:H,7,0))</f>
        <v>65426</v>
      </c>
      <c r="G49" s="306">
        <f>IF(ISNA(VLOOKUP($B49,IS明細!$B:J,9,0)),0,VLOOKUP($B49,IS明細!$B:J,9,0))</f>
        <v>36619</v>
      </c>
      <c r="H49" s="306">
        <f>IF(ISNA(VLOOKUP($B49,IS明細!$B:L,11,0)),0,VLOOKUP($B49,IS明細!$B:L,11,0))</f>
        <v>37680</v>
      </c>
      <c r="I49" s="306">
        <f>IF(ISNA(VLOOKUP($B49,IS明細!$B:N,13,0)),0,VLOOKUP($B49,IS明細!$B:N,13,0))</f>
        <v>3600</v>
      </c>
      <c r="J49" s="306">
        <f>IF(ISNA(VLOOKUP($B49,IS明細!$B:P,15,0)),0,VLOOKUP($B49,IS明細!$B:P,15,0))</f>
        <v>14900</v>
      </c>
      <c r="K49" s="306">
        <f>IF(ISNA(VLOOKUP($B49,IS明細!$B:R,17,0)),0,VLOOKUP($B49,IS明細!$B:R,17,0))</f>
        <v>43302</v>
      </c>
      <c r="L49" s="306">
        <f>IF(ISNA(VLOOKUP($B49,IS明細!$B:T,19,0)),0,VLOOKUP($B49,IS明細!$B:T,19,0))</f>
        <v>0</v>
      </c>
      <c r="M49" s="306">
        <f>IF(ISNA(VLOOKUP($B49,IS明細!$B:V,21,0)),0,VLOOKUP($B49,IS明細!$B:V,21,0))</f>
        <v>0</v>
      </c>
      <c r="N49" s="306">
        <f>IF(ISNA(VLOOKUP($B49,IS明細!$B:X,23,0)),0,VLOOKUP($B49,IS明細!$B:X,23,0))</f>
        <v>0</v>
      </c>
      <c r="O49" s="306">
        <f>IF(ISNA(VLOOKUP($B49,IS明細!$B:Z,25,0)),0,VLOOKUP($B49,IS明細!$B:Z,25,0))</f>
        <v>0</v>
      </c>
      <c r="P49" s="306">
        <f t="shared" si="1"/>
        <v>241527</v>
      </c>
      <c r="Q49" s="337">
        <f t="shared" si="2"/>
        <v>4.2598274454798413E-4</v>
      </c>
      <c r="R49" s="321"/>
    </row>
    <row r="50" spans="1:18" ht="18" customHeight="1" outlineLevel="1">
      <c r="A50" s="344"/>
      <c r="B50" s="344" t="s">
        <v>654</v>
      </c>
      <c r="C50" s="322"/>
      <c r="D50" s="306">
        <f>IF(ISNA(VLOOKUP($B50,IS明細!B:D,3,0)),0,VLOOKUP($B50,IS明細!B:D,3,0))</f>
        <v>218647</v>
      </c>
      <c r="E50" s="306">
        <f>IF(ISNA(VLOOKUP($B50,IS明細!$B:F,5,0)),0,VLOOKUP($B50,IS明細!$B:F,5,0))</f>
        <v>281290</v>
      </c>
      <c r="F50" s="306">
        <f>IF(ISNA(VLOOKUP($B50,IS明細!$B:H,7,0)),0,VLOOKUP($B50,IS明細!$B:H,7,0))</f>
        <v>85115</v>
      </c>
      <c r="G50" s="306">
        <f>IF(ISNA(VLOOKUP($B50,IS明細!$B:J,9,0)),0,VLOOKUP($B50,IS明細!$B:J,9,0))</f>
        <v>209308</v>
      </c>
      <c r="H50" s="306">
        <f>IF(ISNA(VLOOKUP($B50,IS明細!$B:L,11,0)),0,VLOOKUP($B50,IS明細!$B:L,11,0))</f>
        <v>98647</v>
      </c>
      <c r="I50" s="306">
        <f>IF(ISNA(VLOOKUP($B50,IS明細!$B:N,13,0)),0,VLOOKUP($B50,IS明細!$B:N,13,0))</f>
        <v>154436</v>
      </c>
      <c r="J50" s="306">
        <f>IF(ISNA(VLOOKUP($B50,IS明細!$B:P,15,0)),0,VLOOKUP($B50,IS明細!$B:P,15,0))</f>
        <v>226398</v>
      </c>
      <c r="K50" s="306">
        <f>IF(ISNA(VLOOKUP($B50,IS明細!$B:R,17,0)),0,VLOOKUP($B50,IS明細!$B:R,17,0))</f>
        <v>179376</v>
      </c>
      <c r="L50" s="306">
        <f>IF(ISNA(VLOOKUP($B50,IS明細!$B:T,19,0)),0,VLOOKUP($B50,IS明細!$B:T,19,0))</f>
        <v>0</v>
      </c>
      <c r="M50" s="306">
        <f>IF(ISNA(VLOOKUP($B50,IS明細!$B:V,21,0)),0,VLOOKUP($B50,IS明細!$B:V,21,0))</f>
        <v>0</v>
      </c>
      <c r="N50" s="306">
        <f>IF(ISNA(VLOOKUP($B50,IS明細!$B:X,23,0)),0,VLOOKUP($B50,IS明細!$B:X,23,0))</f>
        <v>0</v>
      </c>
      <c r="O50" s="306">
        <f>IF(ISNA(VLOOKUP($B50,IS明細!$B:Z,25,0)),0,VLOOKUP($B50,IS明細!$B:Z,25,0))</f>
        <v>0</v>
      </c>
      <c r="P50" s="306">
        <f t="shared" si="1"/>
        <v>1453217</v>
      </c>
      <c r="Q50" s="337">
        <f t="shared" si="2"/>
        <v>2.5630482972246907E-3</v>
      </c>
      <c r="R50" s="321"/>
    </row>
    <row r="51" spans="1:18" ht="18" customHeight="1" outlineLevel="1">
      <c r="A51" s="344"/>
      <c r="B51" s="344" t="s">
        <v>655</v>
      </c>
      <c r="C51" s="322"/>
      <c r="D51" s="306">
        <f>IF(ISNA(VLOOKUP($B51,IS明細!B:D,3,0)),0,VLOOKUP($B51,IS明細!B:D,3,0))</f>
        <v>7122</v>
      </c>
      <c r="E51" s="306">
        <f>IF(ISNA(VLOOKUP($B51,IS明細!$B:F,5,0)),0,VLOOKUP($B51,IS明細!$B:F,5,0))</f>
        <v>0</v>
      </c>
      <c r="F51" s="306">
        <f>IF(ISNA(VLOOKUP($B51,IS明細!$B:H,7,0)),0,VLOOKUP($B51,IS明細!$B:H,7,0))</f>
        <v>18222</v>
      </c>
      <c r="G51" s="306">
        <f>IF(ISNA(VLOOKUP($B51,IS明細!$B:J,9,0)),0,VLOOKUP($B51,IS明細!$B:J,9,0))</f>
        <v>8520</v>
      </c>
      <c r="H51" s="306">
        <f>IF(ISNA(VLOOKUP($B51,IS明細!$B:L,11,0)),0,VLOOKUP($B51,IS明細!$B:L,11,0))</f>
        <v>7759</v>
      </c>
      <c r="I51" s="306">
        <f>IF(ISNA(VLOOKUP($B51,IS明細!$B:N,13,0)),0,VLOOKUP($B51,IS明細!$B:N,13,0))</f>
        <v>11388</v>
      </c>
      <c r="J51" s="306">
        <f>IF(ISNA(VLOOKUP($B51,IS明細!$B:P,15,0)),0,VLOOKUP($B51,IS明細!$B:P,15,0))</f>
        <v>7485</v>
      </c>
      <c r="K51" s="306">
        <f>IF(ISNA(VLOOKUP($B51,IS明細!$B:R,17,0)),0,VLOOKUP($B51,IS明細!$B:R,17,0))</f>
        <v>7021</v>
      </c>
      <c r="L51" s="306">
        <f>IF(ISNA(VLOOKUP($B51,IS明細!$B:T,19,0)),0,VLOOKUP($B51,IS明細!$B:T,19,0))</f>
        <v>0</v>
      </c>
      <c r="M51" s="306">
        <f>IF(ISNA(VLOOKUP($B51,IS明細!$B:V,21,0)),0,VLOOKUP($B51,IS明細!$B:V,21,0))</f>
        <v>0</v>
      </c>
      <c r="N51" s="306">
        <f>IF(ISNA(VLOOKUP($B51,IS明細!$B:X,23,0)),0,VLOOKUP($B51,IS明細!$B:X,23,0))</f>
        <v>0</v>
      </c>
      <c r="O51" s="306">
        <f>IF(ISNA(VLOOKUP($B51,IS明細!$B:Z,25,0)),0,VLOOKUP($B51,IS明細!$B:Z,25,0))</f>
        <v>0</v>
      </c>
      <c r="P51" s="306">
        <f t="shared" si="1"/>
        <v>67517</v>
      </c>
      <c r="Q51" s="337">
        <f t="shared" si="2"/>
        <v>1.1908017308063381E-4</v>
      </c>
      <c r="R51" s="321"/>
    </row>
    <row r="52" spans="1:18" ht="18" customHeight="1" outlineLevel="1">
      <c r="A52" s="344"/>
      <c r="B52" s="344" t="s">
        <v>656</v>
      </c>
      <c r="C52" s="322"/>
      <c r="D52" s="306">
        <f>IF(ISNA(VLOOKUP($B52,IS明細!B:D,3,0)),0,VLOOKUP($B52,IS明細!B:D,3,0))</f>
        <v>5000</v>
      </c>
      <c r="E52" s="306">
        <f>IF(ISNA(VLOOKUP($B52,IS明細!$B:F,5,0)),0,VLOOKUP($B52,IS明細!$B:F,5,0))</f>
        <v>1500</v>
      </c>
      <c r="F52" s="306">
        <f>IF(ISNA(VLOOKUP($B52,IS明細!$B:H,7,0)),0,VLOOKUP($B52,IS明細!$B:H,7,0))</f>
        <v>23000</v>
      </c>
      <c r="G52" s="306">
        <f>IF(ISNA(VLOOKUP($B52,IS明細!$B:J,9,0)),0,VLOOKUP($B52,IS明細!$B:J,9,0))</f>
        <v>6300</v>
      </c>
      <c r="H52" s="306">
        <f>IF(ISNA(VLOOKUP($B52,IS明細!$B:L,11,0)),0,VLOOKUP($B52,IS明細!$B:L,11,0))</f>
        <v>1500</v>
      </c>
      <c r="I52" s="306">
        <f>IF(ISNA(VLOOKUP($B52,IS明細!$B:N,13,0)),0,VLOOKUP($B52,IS明細!$B:N,13,0))</f>
        <v>1500</v>
      </c>
      <c r="J52" s="306">
        <f>IF(ISNA(VLOOKUP($B52,IS明細!$B:P,15,0)),0,VLOOKUP($B52,IS明細!$B:P,15,0))</f>
        <v>1500</v>
      </c>
      <c r="K52" s="306">
        <f>IF(ISNA(VLOOKUP($B52,IS明細!$B:R,17,0)),0,VLOOKUP($B52,IS明細!$B:R,17,0))</f>
        <v>49414</v>
      </c>
      <c r="L52" s="306">
        <f>IF(ISNA(VLOOKUP($B52,IS明細!$B:T,19,0)),0,VLOOKUP($B52,IS明細!$B:T,19,0))</f>
        <v>0</v>
      </c>
      <c r="M52" s="306">
        <f>IF(ISNA(VLOOKUP($B52,IS明細!$B:V,21,0)),0,VLOOKUP($B52,IS明細!$B:V,21,0))</f>
        <v>0</v>
      </c>
      <c r="N52" s="306">
        <f>IF(ISNA(VLOOKUP($B52,IS明細!$B:X,23,0)),0,VLOOKUP($B52,IS明細!$B:X,23,0))</f>
        <v>0</v>
      </c>
      <c r="O52" s="306">
        <f>IF(ISNA(VLOOKUP($B52,IS明細!$B:Z,25,0)),0,VLOOKUP($B52,IS明細!$B:Z,25,0))</f>
        <v>0</v>
      </c>
      <c r="P52" s="306">
        <f t="shared" si="1"/>
        <v>89714</v>
      </c>
      <c r="Q52" s="337">
        <f t="shared" si="2"/>
        <v>1.5822916669514317E-4</v>
      </c>
      <c r="R52" s="321"/>
    </row>
    <row r="53" spans="1:18" ht="18" customHeight="1" outlineLevel="1">
      <c r="A53" s="344"/>
      <c r="B53" s="344" t="s">
        <v>657</v>
      </c>
      <c r="C53" s="322"/>
      <c r="D53" s="306">
        <f>IF(ISNA(VLOOKUP($B53,IS明細!B:D,3,0)),0,VLOOKUP($B53,IS明細!B:D,3,0))</f>
        <v>4880</v>
      </c>
      <c r="E53" s="306">
        <f>IF(ISNA(VLOOKUP($B53,IS明細!$B:F,5,0)),0,VLOOKUP($B53,IS明細!$B:F,5,0))</f>
        <v>8770</v>
      </c>
      <c r="F53" s="306">
        <f>IF(ISNA(VLOOKUP($B53,IS明細!$B:H,7,0)),0,VLOOKUP($B53,IS明細!$B:H,7,0))</f>
        <v>47400</v>
      </c>
      <c r="G53" s="306">
        <f>IF(ISNA(VLOOKUP($B53,IS明細!$B:J,9,0)),0,VLOOKUP($B53,IS明細!$B:J,9,0))</f>
        <v>0</v>
      </c>
      <c r="H53" s="306">
        <f>IF(ISNA(VLOOKUP($B53,IS明細!$B:L,11,0)),0,VLOOKUP($B53,IS明細!$B:L,11,0))</f>
        <v>8770</v>
      </c>
      <c r="I53" s="306">
        <f>IF(ISNA(VLOOKUP($B53,IS明細!$B:N,13,0)),0,VLOOKUP($B53,IS明細!$B:N,13,0))</f>
        <v>5800</v>
      </c>
      <c r="J53" s="306">
        <f>IF(ISNA(VLOOKUP($B53,IS明細!$B:P,15,0)),0,VLOOKUP($B53,IS明細!$B:P,15,0))</f>
        <v>8770</v>
      </c>
      <c r="K53" s="306">
        <f>IF(ISNA(VLOOKUP($B53,IS明細!$B:R,17,0)),0,VLOOKUP($B53,IS明細!$B:R,17,0))</f>
        <v>11670</v>
      </c>
      <c r="L53" s="306">
        <f>IF(ISNA(VLOOKUP($B53,IS明細!$B:T,19,0)),0,VLOOKUP($B53,IS明細!$B:T,19,0))</f>
        <v>0</v>
      </c>
      <c r="M53" s="306">
        <f>IF(ISNA(VLOOKUP($B53,IS明細!$B:V,21,0)),0,VLOOKUP($B53,IS明細!$B:V,21,0))</f>
        <v>0</v>
      </c>
      <c r="N53" s="306">
        <f>IF(ISNA(VLOOKUP($B53,IS明細!$B:X,23,0)),0,VLOOKUP($B53,IS明細!$B:X,23,0))</f>
        <v>0</v>
      </c>
      <c r="O53" s="306">
        <f>IF(ISNA(VLOOKUP($B53,IS明細!$B:Z,25,0)),0,VLOOKUP($B53,IS明細!$B:Z,25,0))</f>
        <v>0</v>
      </c>
      <c r="P53" s="306">
        <f t="shared" si="1"/>
        <v>96060</v>
      </c>
      <c r="Q53" s="337">
        <f t="shared" si="2"/>
        <v>1.6942164826822407E-4</v>
      </c>
      <c r="R53" s="321"/>
    </row>
    <row r="54" spans="1:18" ht="18" customHeight="1" outlineLevel="1">
      <c r="A54" s="344"/>
      <c r="B54" s="344" t="s">
        <v>658</v>
      </c>
      <c r="C54" s="322"/>
      <c r="D54" s="306">
        <f>IF(ISNA(VLOOKUP($B54,IS明細!B:D,3,0)),0,VLOOKUP($B54,IS明細!B:D,3,0))</f>
        <v>62134</v>
      </c>
      <c r="E54" s="306">
        <f>IF(ISNA(VLOOKUP($B54,IS明細!$B:F,5,0)),0,VLOOKUP($B54,IS明細!$B:F,5,0))</f>
        <v>18389</v>
      </c>
      <c r="F54" s="306">
        <f>IF(ISNA(VLOOKUP($B54,IS明細!$B:H,7,0)),0,VLOOKUP($B54,IS明細!$B:H,7,0))</f>
        <v>21035</v>
      </c>
      <c r="G54" s="306">
        <f>IF(ISNA(VLOOKUP($B54,IS明細!$B:J,9,0)),0,VLOOKUP($B54,IS明細!$B:J,9,0))</f>
        <v>33734</v>
      </c>
      <c r="H54" s="306">
        <f>IF(ISNA(VLOOKUP($B54,IS明細!$B:L,11,0)),0,VLOOKUP($B54,IS明細!$B:L,11,0))</f>
        <v>20689</v>
      </c>
      <c r="I54" s="306">
        <f>IF(ISNA(VLOOKUP($B54,IS明細!$B:N,13,0)),0,VLOOKUP($B54,IS明細!$B:N,13,0))</f>
        <v>21271</v>
      </c>
      <c r="J54" s="306">
        <f>IF(ISNA(VLOOKUP($B54,IS明細!$B:P,15,0)),0,VLOOKUP($B54,IS明細!$B:P,15,0))</f>
        <v>6217</v>
      </c>
      <c r="K54" s="306">
        <f>IF(ISNA(VLOOKUP($B54,IS明細!$B:R,17,0)),0,VLOOKUP($B54,IS明細!$B:R,17,0))</f>
        <v>49570</v>
      </c>
      <c r="L54" s="306">
        <f>IF(ISNA(VLOOKUP($B54,IS明細!$B:T,19,0)),0,VLOOKUP($B54,IS明細!$B:T,19,0))</f>
        <v>0</v>
      </c>
      <c r="M54" s="306">
        <f>IF(ISNA(VLOOKUP($B54,IS明細!$B:V,21,0)),0,VLOOKUP($B54,IS明細!$B:V,21,0))</f>
        <v>0</v>
      </c>
      <c r="N54" s="306">
        <f>IF(ISNA(VLOOKUP($B54,IS明細!$B:X,23,0)),0,VLOOKUP($B54,IS明細!$B:X,23,0))</f>
        <v>0</v>
      </c>
      <c r="O54" s="306">
        <f>IF(ISNA(VLOOKUP($B54,IS明細!$B:Z,25,0)),0,VLOOKUP($B54,IS明細!$B:Z,25,0))</f>
        <v>0</v>
      </c>
      <c r="P54" s="306">
        <f t="shared" si="1"/>
        <v>233039</v>
      </c>
      <c r="Q54" s="337">
        <f t="shared" si="2"/>
        <v>4.1101240361002153E-4</v>
      </c>
      <c r="R54" s="321"/>
    </row>
    <row r="55" spans="1:18" ht="18" customHeight="1" outlineLevel="1">
      <c r="A55" s="344"/>
      <c r="B55" s="344" t="s">
        <v>659</v>
      </c>
      <c r="C55" s="322"/>
      <c r="D55" s="306">
        <f>IF(ISNA(VLOOKUP($B55,IS明細!B:D,3,0)),0,VLOOKUP($B55,IS明細!B:D,3,0))</f>
        <v>91284</v>
      </c>
      <c r="E55" s="306">
        <f>IF(ISNA(VLOOKUP($B55,IS明細!$B:F,5,0)),0,VLOOKUP($B55,IS明細!$B:F,5,0))</f>
        <v>98978</v>
      </c>
      <c r="F55" s="306">
        <f>IF(ISNA(VLOOKUP($B55,IS明細!$B:H,7,0)),0,VLOOKUP($B55,IS明細!$B:H,7,0))</f>
        <v>97237</v>
      </c>
      <c r="G55" s="306">
        <f>IF(ISNA(VLOOKUP($B55,IS明細!$B:J,9,0)),0,VLOOKUP($B55,IS明細!$B:J,9,0))</f>
        <v>100077</v>
      </c>
      <c r="H55" s="306">
        <f>IF(ISNA(VLOOKUP($B55,IS明細!$B:L,11,0)),0,VLOOKUP($B55,IS明細!$B:L,11,0))</f>
        <v>100395</v>
      </c>
      <c r="I55" s="306">
        <f>IF(ISNA(VLOOKUP($B55,IS明細!$B:N,13,0)),0,VLOOKUP($B55,IS明細!$B:N,13,0))</f>
        <v>104340</v>
      </c>
      <c r="J55" s="306">
        <f>IF(ISNA(VLOOKUP($B55,IS明細!$B:P,15,0)),0,VLOOKUP($B55,IS明細!$B:P,15,0))</f>
        <v>101292</v>
      </c>
      <c r="K55" s="306">
        <f>IF(ISNA(VLOOKUP($B55,IS明細!$B:R,17,0)),0,VLOOKUP($B55,IS明細!$B:R,17,0))</f>
        <v>101223</v>
      </c>
      <c r="L55" s="306">
        <f>IF(ISNA(VLOOKUP($B55,IS明細!$B:T,19,0)),0,VLOOKUP($B55,IS明細!$B:T,19,0))</f>
        <v>0</v>
      </c>
      <c r="M55" s="306">
        <f>IF(ISNA(VLOOKUP($B55,IS明細!$B:V,21,0)),0,VLOOKUP($B55,IS明細!$B:V,21,0))</f>
        <v>0</v>
      </c>
      <c r="N55" s="306">
        <f>IF(ISNA(VLOOKUP($B55,IS明細!$B:X,23,0)),0,VLOOKUP($B55,IS明細!$B:X,23,0))</f>
        <v>0</v>
      </c>
      <c r="O55" s="306">
        <f>IF(ISNA(VLOOKUP($B55,IS明細!$B:Z,25,0)),0,VLOOKUP($B55,IS明細!$B:Z,25,0))</f>
        <v>0</v>
      </c>
      <c r="P55" s="306">
        <f t="shared" si="1"/>
        <v>794826</v>
      </c>
      <c r="Q55" s="337">
        <f t="shared" si="2"/>
        <v>1.4018397981099256E-3</v>
      </c>
      <c r="R55" s="321"/>
    </row>
    <row r="56" spans="1:18" ht="18" customHeight="1" outlineLevel="1">
      <c r="A56" s="344"/>
      <c r="B56" s="344" t="s">
        <v>660</v>
      </c>
      <c r="C56" s="322"/>
      <c r="D56" s="306">
        <f>IF(ISNA(VLOOKUP($B56,IS明細!B:D,3,0)),0,VLOOKUP($B56,IS明細!B:D,3,0))</f>
        <v>0</v>
      </c>
      <c r="E56" s="306">
        <f>IF(ISNA(VLOOKUP($B56,IS明細!$B:F,5,0)),0,VLOOKUP($B56,IS明細!$B:F,5,0))</f>
        <v>0</v>
      </c>
      <c r="F56" s="306">
        <f>IF(ISNA(VLOOKUP($B56,IS明細!$B:H,7,0)),0,VLOOKUP($B56,IS明細!$B:H,7,0))</f>
        <v>0</v>
      </c>
      <c r="G56" s="306">
        <f>IF(ISNA(VLOOKUP($B56,IS明細!$B:J,9,0)),0,VLOOKUP($B56,IS明細!$B:J,9,0))</f>
        <v>0</v>
      </c>
      <c r="H56" s="306">
        <f>IF(ISNA(VLOOKUP($B56,IS明細!$B:L,11,0)),0,VLOOKUP($B56,IS明細!$B:L,11,0))</f>
        <v>0</v>
      </c>
      <c r="I56" s="306">
        <f>IF(ISNA(VLOOKUP($B56,IS明細!$B:N,13,0)),0,VLOOKUP($B56,IS明細!$B:N,13,0))</f>
        <v>0</v>
      </c>
      <c r="J56" s="306">
        <f>IF(ISNA(VLOOKUP($B56,IS明細!$B:P,15,0)),0,VLOOKUP($B56,IS明細!$B:P,15,0))</f>
        <v>0</v>
      </c>
      <c r="K56" s="306">
        <f>IF(ISNA(VLOOKUP($B56,IS明細!$B:R,17,0)),0,VLOOKUP($B56,IS明細!$B:R,17,0))</f>
        <v>0</v>
      </c>
      <c r="L56" s="306">
        <f>IF(ISNA(VLOOKUP($B56,IS明細!$B:T,19,0)),0,VLOOKUP($B56,IS明細!$B:T,19,0))</f>
        <v>0</v>
      </c>
      <c r="M56" s="306">
        <f>IF(ISNA(VLOOKUP($B56,IS明細!$B:V,21,0)),0,VLOOKUP($B56,IS明細!$B:V,21,0))</f>
        <v>0</v>
      </c>
      <c r="N56" s="306">
        <f>IF(ISNA(VLOOKUP($B56,IS明細!$B:X,23,0)),0,VLOOKUP($B56,IS明細!$B:X,23,0))</f>
        <v>0</v>
      </c>
      <c r="O56" s="306">
        <f>IF(ISNA(VLOOKUP($B56,IS明細!$B:Z,25,0)),0,VLOOKUP($B56,IS明細!$B:Z,25,0))</f>
        <v>0</v>
      </c>
      <c r="P56" s="306">
        <f t="shared" si="1"/>
        <v>0</v>
      </c>
      <c r="Q56" s="337">
        <f t="shared" ref="Q56:Q73" si="3">P56/$P$8</f>
        <v>0</v>
      </c>
      <c r="R56" s="321"/>
    </row>
    <row r="57" spans="1:18" ht="18" customHeight="1" outlineLevel="1">
      <c r="A57" s="344"/>
      <c r="B57" s="344" t="s">
        <v>661</v>
      </c>
      <c r="C57" s="322"/>
      <c r="D57" s="306">
        <f>IF(ISNA(VLOOKUP($B57,IS明細!B:D,3,0)),0,VLOOKUP($B57,IS明細!B:D,3,0))</f>
        <v>0</v>
      </c>
      <c r="E57" s="306">
        <f>IF(ISNA(VLOOKUP($B57,IS明細!$B:F,5,0)),0,VLOOKUP($B57,IS明細!$B:F,5,0))</f>
        <v>0</v>
      </c>
      <c r="F57" s="306">
        <f>IF(ISNA(VLOOKUP($B57,IS明細!$B:H,7,0)),0,VLOOKUP($B57,IS明細!$B:H,7,0))</f>
        <v>0</v>
      </c>
      <c r="G57" s="306">
        <f>IF(ISNA(VLOOKUP($B57,IS明細!$B:J,9,0)),0,VLOOKUP($B57,IS明細!$B:J,9,0))</f>
        <v>0</v>
      </c>
      <c r="H57" s="306">
        <f>IF(ISNA(VLOOKUP($B57,IS明細!$B:L,11,0)),0,VLOOKUP($B57,IS明細!$B:L,11,0))</f>
        <v>0</v>
      </c>
      <c r="I57" s="306">
        <f>IF(ISNA(VLOOKUP($B57,IS明細!$B:N,13,0)),0,VLOOKUP($B57,IS明細!$B:N,13,0))</f>
        <v>0</v>
      </c>
      <c r="J57" s="306">
        <f>IF(ISNA(VLOOKUP($B57,IS明細!$B:P,15,0)),0,VLOOKUP($B57,IS明細!$B:P,15,0))</f>
        <v>0</v>
      </c>
      <c r="K57" s="306">
        <f>IF(ISNA(VLOOKUP($B57,IS明細!$B:R,17,0)),0,VLOOKUP($B57,IS明細!$B:R,17,0))</f>
        <v>0</v>
      </c>
      <c r="L57" s="306">
        <f>IF(ISNA(VLOOKUP($B57,IS明細!$B:T,19,0)),0,VLOOKUP($B57,IS明細!$B:T,19,0))</f>
        <v>0</v>
      </c>
      <c r="M57" s="306">
        <f>IF(ISNA(VLOOKUP($B57,IS明細!$B:V,21,0)),0,VLOOKUP($B57,IS明細!$B:V,21,0))</f>
        <v>0</v>
      </c>
      <c r="N57" s="306">
        <f>IF(ISNA(VLOOKUP($B57,IS明細!$B:X,23,0)),0,VLOOKUP($B57,IS明細!$B:X,23,0))</f>
        <v>0</v>
      </c>
      <c r="O57" s="306">
        <f>IF(ISNA(VLOOKUP($B57,IS明細!$B:Z,25,0)),0,VLOOKUP($B57,IS明細!$B:Z,25,0))</f>
        <v>0</v>
      </c>
      <c r="P57" s="306">
        <f t="shared" si="1"/>
        <v>0</v>
      </c>
      <c r="Q57" s="337">
        <f t="shared" si="3"/>
        <v>0</v>
      </c>
      <c r="R57" s="321"/>
    </row>
    <row r="58" spans="1:18" ht="18" customHeight="1" outlineLevel="1">
      <c r="A58" s="344"/>
      <c r="B58" s="344" t="s">
        <v>662</v>
      </c>
      <c r="C58" s="322"/>
      <c r="D58" s="306">
        <f>IF(ISNA(VLOOKUP($B58,IS明細!B:D,3,0)),0,VLOOKUP($B58,IS明細!B:D,3,0))</f>
        <v>1405542</v>
      </c>
      <c r="E58" s="306">
        <f>IF(ISNA(VLOOKUP($B58,IS明細!$B:F,5,0)),0,VLOOKUP($B58,IS明細!$B:F,5,0))</f>
        <v>1338009</v>
      </c>
      <c r="F58" s="306">
        <f>IF(ISNA(VLOOKUP($B58,IS明細!$B:H,7,0)),0,VLOOKUP($B58,IS明細!$B:H,7,0))</f>
        <v>1301208</v>
      </c>
      <c r="G58" s="306">
        <f>IF(ISNA(VLOOKUP($B58,IS明細!$B:J,9,0)),0,VLOOKUP($B58,IS明細!$B:J,9,0))</f>
        <v>1243846</v>
      </c>
      <c r="H58" s="306">
        <f>IF(ISNA(VLOOKUP($B58,IS明細!$B:L,11,0)),0,VLOOKUP($B58,IS明細!$B:L,11,0))</f>
        <v>1185621</v>
      </c>
      <c r="I58" s="306">
        <f>IF(ISNA(VLOOKUP($B58,IS明細!$B:N,13,0)),0,VLOOKUP($B58,IS明細!$B:N,13,0))</f>
        <v>1199295</v>
      </c>
      <c r="J58" s="306">
        <f>IF(ISNA(VLOOKUP($B58,IS明細!$B:P,15,0)),0,VLOOKUP($B58,IS明細!$B:P,15,0))</f>
        <v>1131349</v>
      </c>
      <c r="K58" s="306">
        <f>IF(ISNA(VLOOKUP($B58,IS明細!$B:R,17,0)),0,VLOOKUP($B58,IS明細!$B:R,17,0))</f>
        <v>992171</v>
      </c>
      <c r="L58" s="306">
        <f>IF(ISNA(VLOOKUP($B58,IS明細!$B:T,19,0)),0,VLOOKUP($B58,IS明細!$B:T,19,0))</f>
        <v>0</v>
      </c>
      <c r="M58" s="306">
        <f>IF(ISNA(VLOOKUP($B58,IS明細!$B:V,21,0)),0,VLOOKUP($B58,IS明細!$B:V,21,0))</f>
        <v>0</v>
      </c>
      <c r="N58" s="306">
        <f>IF(ISNA(VLOOKUP($B58,IS明細!$B:X,23,0)),0,VLOOKUP($B58,IS明細!$B:X,23,0))</f>
        <v>0</v>
      </c>
      <c r="O58" s="306">
        <f>IF(ISNA(VLOOKUP($B58,IS明細!$B:Z,25,0)),0,VLOOKUP($B58,IS明細!$B:Z,25,0))</f>
        <v>0</v>
      </c>
      <c r="P58" s="306">
        <f t="shared" si="1"/>
        <v>9797041</v>
      </c>
      <c r="Q58" s="337">
        <f t="shared" si="3"/>
        <v>1.7279105084024256E-2</v>
      </c>
      <c r="R58" s="321"/>
    </row>
    <row r="59" spans="1:18" ht="18" customHeight="1" outlineLevel="1">
      <c r="A59" s="344"/>
      <c r="B59" s="344" t="s">
        <v>663</v>
      </c>
      <c r="C59" s="322"/>
      <c r="D59" s="306">
        <f>IF(ISNA(VLOOKUP($B59,IS明細!B:D,3,0)),0,VLOOKUP($B59,IS明細!B:D,3,0))</f>
        <v>40560</v>
      </c>
      <c r="E59" s="306">
        <f>IF(ISNA(VLOOKUP($B59,IS明細!$B:F,5,0)),0,VLOOKUP($B59,IS明細!$B:F,5,0))</f>
        <v>40523</v>
      </c>
      <c r="F59" s="306">
        <f>IF(ISNA(VLOOKUP($B59,IS明細!$B:H,7,0)),0,VLOOKUP($B59,IS明細!$B:H,7,0))</f>
        <v>31371</v>
      </c>
      <c r="G59" s="306">
        <f>IF(ISNA(VLOOKUP($B59,IS明細!$B:J,9,0)),0,VLOOKUP($B59,IS明細!$B:J,9,0))</f>
        <v>36042</v>
      </c>
      <c r="H59" s="306">
        <f>IF(ISNA(VLOOKUP($B59,IS明細!$B:L,11,0)),0,VLOOKUP($B59,IS明細!$B:L,11,0))</f>
        <v>35998</v>
      </c>
      <c r="I59" s="306">
        <f>IF(ISNA(VLOOKUP($B59,IS明細!$B:N,13,0)),0,VLOOKUP($B59,IS明細!$B:N,13,0))</f>
        <v>30983</v>
      </c>
      <c r="J59" s="306">
        <f>IF(ISNA(VLOOKUP($B59,IS明細!$B:P,15,0)),0,VLOOKUP($B59,IS明細!$B:P,15,0))</f>
        <v>30998</v>
      </c>
      <c r="K59" s="306">
        <f>IF(ISNA(VLOOKUP($B59,IS明細!$B:R,17,0)),0,VLOOKUP($B59,IS明細!$B:R,17,0))</f>
        <v>44623</v>
      </c>
      <c r="L59" s="306">
        <f>IF(ISNA(VLOOKUP($B59,IS明細!$B:T,19,0)),0,VLOOKUP($B59,IS明細!$B:T,19,0))</f>
        <v>0</v>
      </c>
      <c r="M59" s="306">
        <f>IF(ISNA(VLOOKUP($B59,IS明細!$B:V,21,0)),0,VLOOKUP($B59,IS明細!$B:V,21,0))</f>
        <v>0</v>
      </c>
      <c r="N59" s="306">
        <f>IF(ISNA(VLOOKUP($B59,IS明細!$B:X,23,0)),0,VLOOKUP($B59,IS明細!$B:X,23,0))</f>
        <v>0</v>
      </c>
      <c r="O59" s="306">
        <f>IF(ISNA(VLOOKUP($B59,IS明細!$B:Z,25,0)),0,VLOOKUP($B59,IS明細!$B:Z,25,0))</f>
        <v>0</v>
      </c>
      <c r="P59" s="306">
        <f t="shared" si="1"/>
        <v>291098</v>
      </c>
      <c r="Q59" s="337">
        <f t="shared" si="3"/>
        <v>5.1341144042872677E-4</v>
      </c>
      <c r="R59" s="321"/>
    </row>
    <row r="60" spans="1:18" ht="18" customHeight="1" outlineLevel="1">
      <c r="A60" s="344"/>
      <c r="B60" s="344" t="s">
        <v>664</v>
      </c>
      <c r="C60" s="322"/>
      <c r="D60" s="306">
        <f>IF(ISNA(VLOOKUP($B60,IS明細!B:D,3,0)),0,VLOOKUP($B60,IS明細!B:D,3,0))</f>
        <v>27000</v>
      </c>
      <c r="E60" s="306">
        <f>IF(ISNA(VLOOKUP($B60,IS明細!$B:F,5,0)),0,VLOOKUP($B60,IS明細!$B:F,5,0))</f>
        <v>30680</v>
      </c>
      <c r="F60" s="306">
        <f>IF(ISNA(VLOOKUP($B60,IS明細!$B:H,7,0)),0,VLOOKUP($B60,IS明細!$B:H,7,0))</f>
        <v>28960</v>
      </c>
      <c r="G60" s="306">
        <f>IF(ISNA(VLOOKUP($B60,IS明細!$B:J,9,0)),0,VLOOKUP($B60,IS明細!$B:J,9,0))</f>
        <v>31080</v>
      </c>
      <c r="H60" s="306">
        <f>IF(ISNA(VLOOKUP($B60,IS明細!$B:L,11,0)),0,VLOOKUP($B60,IS明細!$B:L,11,0))</f>
        <v>28800</v>
      </c>
      <c r="I60" s="306">
        <f>IF(ISNA(VLOOKUP($B60,IS明細!$B:N,13,0)),0,VLOOKUP($B60,IS明細!$B:N,13,0))</f>
        <v>29920</v>
      </c>
      <c r="J60" s="306">
        <f>IF(ISNA(VLOOKUP($B60,IS明細!$B:P,15,0)),0,VLOOKUP($B60,IS明細!$B:P,15,0))</f>
        <v>31520</v>
      </c>
      <c r="K60" s="306">
        <f>IF(ISNA(VLOOKUP($B60,IS明細!$B:R,17,0)),0,VLOOKUP($B60,IS明細!$B:R,17,0))</f>
        <v>30320</v>
      </c>
      <c r="L60" s="306">
        <f>IF(ISNA(VLOOKUP($B60,IS明細!$B:T,19,0)),0,VLOOKUP($B60,IS明細!$B:T,19,0))</f>
        <v>0</v>
      </c>
      <c r="M60" s="306">
        <f>IF(ISNA(VLOOKUP($B60,IS明細!$B:V,21,0)),0,VLOOKUP($B60,IS明細!$B:V,21,0))</f>
        <v>0</v>
      </c>
      <c r="N60" s="306">
        <f>IF(ISNA(VLOOKUP($B60,IS明細!$B:X,23,0)),0,VLOOKUP($B60,IS明細!$B:X,23,0))</f>
        <v>0</v>
      </c>
      <c r="O60" s="306">
        <f>IF(ISNA(VLOOKUP($B60,IS明細!$B:Z,25,0)),0,VLOOKUP($B60,IS明細!$B:Z,25,0))</f>
        <v>0</v>
      </c>
      <c r="P60" s="306">
        <f t="shared" si="1"/>
        <v>238280</v>
      </c>
      <c r="Q60" s="337">
        <f t="shared" si="3"/>
        <v>4.2025598947899675E-4</v>
      </c>
      <c r="R60" s="321"/>
    </row>
    <row r="61" spans="1:18" ht="18" customHeight="1" outlineLevel="1">
      <c r="A61" s="344"/>
      <c r="B61" s="344" t="s">
        <v>665</v>
      </c>
      <c r="C61" s="322"/>
      <c r="D61" s="306">
        <f>IF(ISNA(VLOOKUP($B61,IS明細!B:D,3,0)),0,VLOOKUP($B61,IS明細!B:D,3,0))</f>
        <v>20539</v>
      </c>
      <c r="E61" s="306">
        <f>IF(ISNA(VLOOKUP($B61,IS明細!$B:F,5,0)),0,VLOOKUP($B61,IS明細!$B:F,5,0))</f>
        <v>17560</v>
      </c>
      <c r="F61" s="306">
        <f>IF(ISNA(VLOOKUP($B61,IS明細!$B:H,7,0)),0,VLOOKUP($B61,IS明細!$B:H,7,0))</f>
        <v>21904</v>
      </c>
      <c r="G61" s="306">
        <f>IF(ISNA(VLOOKUP($B61,IS明細!$B:J,9,0)),0,VLOOKUP($B61,IS明細!$B:J,9,0))</f>
        <v>23816</v>
      </c>
      <c r="H61" s="306">
        <f>IF(ISNA(VLOOKUP($B61,IS明細!$B:L,11,0)),0,VLOOKUP($B61,IS明細!$B:L,11,0))</f>
        <v>18532</v>
      </c>
      <c r="I61" s="306">
        <f>IF(ISNA(VLOOKUP($B61,IS明細!$B:N,13,0)),0,VLOOKUP($B61,IS明細!$B:N,13,0))</f>
        <v>30011</v>
      </c>
      <c r="J61" s="306">
        <f>IF(ISNA(VLOOKUP($B61,IS明細!$B:P,15,0)),0,VLOOKUP($B61,IS明細!$B:P,15,0))</f>
        <v>34171</v>
      </c>
      <c r="K61" s="306">
        <f>IF(ISNA(VLOOKUP($B61,IS明細!$B:R,17,0)),0,VLOOKUP($B61,IS明細!$B:R,17,0))</f>
        <v>28569</v>
      </c>
      <c r="L61" s="306">
        <f>IF(ISNA(VLOOKUP($B61,IS明細!$B:T,19,0)),0,VLOOKUP($B61,IS明細!$B:T,19,0))</f>
        <v>0</v>
      </c>
      <c r="M61" s="306">
        <f>IF(ISNA(VLOOKUP($B61,IS明細!$B:V,21,0)),0,VLOOKUP($B61,IS明細!$B:V,21,0))</f>
        <v>0</v>
      </c>
      <c r="N61" s="306">
        <f>IF(ISNA(VLOOKUP($B61,IS明細!$B:X,23,0)),0,VLOOKUP($B61,IS明細!$B:X,23,0))</f>
        <v>0</v>
      </c>
      <c r="O61" s="306">
        <f>IF(ISNA(VLOOKUP($B61,IS明細!$B:Z,25,0)),0,VLOOKUP($B61,IS明細!$B:Z,25,0))</f>
        <v>0</v>
      </c>
      <c r="P61" s="306">
        <f t="shared" si="1"/>
        <v>195102</v>
      </c>
      <c r="Q61" s="337">
        <f t="shared" si="3"/>
        <v>3.4410266937775401E-4</v>
      </c>
      <c r="R61" s="321"/>
    </row>
    <row r="62" spans="1:18" ht="18" customHeight="1" outlineLevel="1">
      <c r="A62" s="344"/>
      <c r="B62" s="344" t="s">
        <v>666</v>
      </c>
      <c r="C62" s="322"/>
      <c r="D62" s="306">
        <f>IF(ISNA(VLOOKUP($B62,IS明細!B:D,3,0)),0,VLOOKUP($B62,IS明細!B:D,3,0))</f>
        <v>183</v>
      </c>
      <c r="E62" s="306">
        <f>IF(ISNA(VLOOKUP($B62,IS明細!$B:F,5,0)),0,VLOOKUP($B62,IS明細!$B:F,5,0))</f>
        <v>183</v>
      </c>
      <c r="F62" s="306">
        <f>IF(ISNA(VLOOKUP($B62,IS明細!$B:H,7,0)),0,VLOOKUP($B62,IS明細!$B:H,7,0))</f>
        <v>183</v>
      </c>
      <c r="G62" s="306">
        <f>IF(ISNA(VLOOKUP($B62,IS明細!$B:J,9,0)),0,VLOOKUP($B62,IS明細!$B:J,9,0))</f>
        <v>183</v>
      </c>
      <c r="H62" s="306">
        <f>IF(ISNA(VLOOKUP($B62,IS明細!$B:L,11,0)),0,VLOOKUP($B62,IS明細!$B:L,11,0))</f>
        <v>183</v>
      </c>
      <c r="I62" s="306">
        <f>IF(ISNA(VLOOKUP($B62,IS明細!$B:N,13,0)),0,VLOOKUP($B62,IS明細!$B:N,13,0))</f>
        <v>183</v>
      </c>
      <c r="J62" s="306">
        <f>IF(ISNA(VLOOKUP($B62,IS明細!$B:P,15,0)),0,VLOOKUP($B62,IS明細!$B:P,15,0))</f>
        <v>183</v>
      </c>
      <c r="K62" s="306">
        <f>IF(ISNA(VLOOKUP($B62,IS明細!$B:R,17,0)),0,VLOOKUP($B62,IS明細!$B:R,17,0))</f>
        <v>183</v>
      </c>
      <c r="L62" s="306">
        <f>IF(ISNA(VLOOKUP($B62,IS明細!$B:T,19,0)),0,VLOOKUP($B62,IS明細!$B:T,19,0))</f>
        <v>0</v>
      </c>
      <c r="M62" s="306">
        <f>IF(ISNA(VLOOKUP($B62,IS明細!$B:V,21,0)),0,VLOOKUP($B62,IS明細!$B:V,21,0))</f>
        <v>0</v>
      </c>
      <c r="N62" s="306">
        <f>IF(ISNA(VLOOKUP($B62,IS明細!$B:X,23,0)),0,VLOOKUP($B62,IS明細!$B:X,23,0))</f>
        <v>0</v>
      </c>
      <c r="O62" s="306">
        <f>IF(ISNA(VLOOKUP($B62,IS明細!$B:Z,25,0)),0,VLOOKUP($B62,IS明細!$B:Z,25,0))</f>
        <v>0</v>
      </c>
      <c r="P62" s="306">
        <f t="shared" si="1"/>
        <v>1464</v>
      </c>
      <c r="Q62" s="337">
        <f t="shared" si="3"/>
        <v>2.5820663446250262E-6</v>
      </c>
      <c r="R62" s="321"/>
    </row>
    <row r="63" spans="1:18" ht="18" customHeight="1" outlineLevel="1">
      <c r="A63" s="344"/>
      <c r="B63" s="305" t="s">
        <v>667</v>
      </c>
      <c r="C63" s="322"/>
      <c r="D63" s="306">
        <f>IF(ISNA(VLOOKUP($B63,IS明細!B:D,3,0)),0,VLOOKUP($B63,IS明細!B:D,3,0))</f>
        <v>3024</v>
      </c>
      <c r="E63" s="306">
        <f>IF(ISNA(VLOOKUP($B63,IS明細!$B:F,5,0)),0,VLOOKUP($B63,IS明細!$B:F,5,0))</f>
        <v>3080</v>
      </c>
      <c r="F63" s="306">
        <f>IF(ISNA(VLOOKUP($B63,IS明細!$B:H,7,0)),0,VLOOKUP($B63,IS明細!$B:H,7,0))</f>
        <v>4938</v>
      </c>
      <c r="G63" s="306">
        <f>IF(ISNA(VLOOKUP($B63,IS明細!$B:J,9,0)),0,VLOOKUP($B63,IS明細!$B:J,9,0))</f>
        <v>408</v>
      </c>
      <c r="H63" s="306">
        <f>IF(ISNA(VLOOKUP($B63,IS明細!$B:L,11,0)),0,VLOOKUP($B63,IS明細!$B:L,11,0))</f>
        <v>5583</v>
      </c>
      <c r="I63" s="306">
        <f>IF(ISNA(VLOOKUP($B63,IS明細!$B:N,13,0)),0,VLOOKUP($B63,IS明細!$B:N,13,0))</f>
        <v>448</v>
      </c>
      <c r="J63" s="306">
        <f>IF(ISNA(VLOOKUP($B63,IS明細!$B:P,15,0)),0,VLOOKUP($B63,IS明細!$B:P,15,0))</f>
        <v>1020</v>
      </c>
      <c r="K63" s="306">
        <f>IF(ISNA(VLOOKUP($B63,IS明細!$B:R,17,0)),0,VLOOKUP($B63,IS明細!$B:R,17,0))</f>
        <v>5644</v>
      </c>
      <c r="L63" s="306">
        <f>IF(ISNA(VLOOKUP($B63,IS明細!$B:T,19,0)),0,VLOOKUP($B63,IS明細!$B:T,19,0))</f>
        <v>0</v>
      </c>
      <c r="M63" s="306">
        <f>IF(ISNA(VLOOKUP($B63,IS明細!$B:V,21,0)),0,VLOOKUP($B63,IS明細!$B:V,21,0))</f>
        <v>0</v>
      </c>
      <c r="N63" s="306">
        <f>IF(ISNA(VLOOKUP($B63,IS明細!$B:X,23,0)),0,VLOOKUP($B63,IS明細!$B:X,23,0))</f>
        <v>0</v>
      </c>
      <c r="O63" s="306">
        <f>IF(ISNA(VLOOKUP($B63,IS明細!$B:Z,25,0)),0,VLOOKUP($B63,IS明細!$B:Z,25,0))</f>
        <v>0</v>
      </c>
      <c r="P63" s="306">
        <f t="shared" si="1"/>
        <v>24145</v>
      </c>
      <c r="Q63" s="337">
        <f t="shared" si="3"/>
        <v>4.2584693914597858E-5</v>
      </c>
      <c r="R63" s="321"/>
    </row>
    <row r="64" spans="1:18" ht="18" customHeight="1" outlineLevel="1">
      <c r="A64" s="344"/>
      <c r="B64" s="344" t="s">
        <v>668</v>
      </c>
      <c r="C64" s="322"/>
      <c r="D64" s="306">
        <f>IF(ISNA(VLOOKUP($B64,IS明細!B:D,3,0)),0,VLOOKUP($B64,IS明細!B:D,3,0))</f>
        <v>0</v>
      </c>
      <c r="E64" s="306">
        <f>IF(ISNA(VLOOKUP($B64,IS明細!$B:F,5,0)),0,VLOOKUP($B64,IS明細!$B:F,5,0))</f>
        <v>0</v>
      </c>
      <c r="F64" s="306">
        <f>IF(ISNA(VLOOKUP($B64,IS明細!$B:H,7,0)),0,VLOOKUP($B64,IS明細!$B:H,7,0))</f>
        <v>0</v>
      </c>
      <c r="G64" s="306">
        <f>IF(ISNA(VLOOKUP($B64,IS明細!$B:J,9,0)),0,VLOOKUP($B64,IS明細!$B:J,9,0))</f>
        <v>0</v>
      </c>
      <c r="H64" s="306">
        <f>IF(ISNA(VLOOKUP($B64,IS明細!$B:L,11,0)),0,VLOOKUP($B64,IS明細!$B:L,11,0))</f>
        <v>0</v>
      </c>
      <c r="I64" s="306">
        <f>IF(ISNA(VLOOKUP($B64,IS明細!$B:N,13,0)),0,VLOOKUP($B64,IS明細!$B:N,13,0))</f>
        <v>89286</v>
      </c>
      <c r="J64" s="306">
        <f>IF(ISNA(VLOOKUP($B64,IS明細!$B:P,15,0)),0,VLOOKUP($B64,IS明細!$B:P,15,0))</f>
        <v>0</v>
      </c>
      <c r="K64" s="306">
        <f>IF(ISNA(VLOOKUP($B64,IS明細!$B:R,17,0)),0,VLOOKUP($B64,IS明細!$B:R,17,0))</f>
        <v>0</v>
      </c>
      <c r="L64" s="306">
        <f>IF(ISNA(VLOOKUP($B64,IS明細!$B:T,19,0)),0,VLOOKUP($B64,IS明細!$B:T,19,0))</f>
        <v>0</v>
      </c>
      <c r="M64" s="306">
        <f>IF(ISNA(VLOOKUP($B64,IS明細!$B:V,21,0)),0,VLOOKUP($B64,IS明細!$B:V,21,0))</f>
        <v>0</v>
      </c>
      <c r="N64" s="306">
        <f>IF(ISNA(VLOOKUP($B64,IS明細!$B:X,23,0)),0,VLOOKUP($B64,IS明細!$B:X,23,0))</f>
        <v>0</v>
      </c>
      <c r="O64" s="306">
        <f>IF(ISNA(VLOOKUP($B64,IS明細!$B:Z,25,0)),0,VLOOKUP($B64,IS明細!$B:Z,25,0))</f>
        <v>0</v>
      </c>
      <c r="P64" s="306">
        <f t="shared" si="1"/>
        <v>89286</v>
      </c>
      <c r="Q64" s="337">
        <f t="shared" si="3"/>
        <v>1.5747430030477465E-4</v>
      </c>
      <c r="R64" s="321"/>
    </row>
    <row r="65" spans="1:18" ht="18" customHeight="1" outlineLevel="1">
      <c r="A65" s="344"/>
      <c r="B65" s="344" t="s">
        <v>669</v>
      </c>
      <c r="C65" s="322"/>
      <c r="D65" s="306">
        <f>IF(ISNA(VLOOKUP($B65,IS明細!B:D,3,0)),0,VLOOKUP($B65,IS明細!B:D,3,0))</f>
        <v>-111022</v>
      </c>
      <c r="E65" s="306">
        <f>IF(ISNA(VLOOKUP($B65,IS明細!$B:F,5,0)),0,VLOOKUP($B65,IS明細!$B:F,5,0))</f>
        <v>496869</v>
      </c>
      <c r="F65" s="306">
        <f>IF(ISNA(VLOOKUP($B65,IS明細!$B:H,7,0)),0,VLOOKUP($B65,IS明細!$B:H,7,0))</f>
        <v>226998</v>
      </c>
      <c r="G65" s="306">
        <f>IF(ISNA(VLOOKUP($B65,IS明細!$B:J,9,0)),0,VLOOKUP($B65,IS明細!$B:J,9,0))</f>
        <v>372479</v>
      </c>
      <c r="H65" s="306">
        <f>IF(ISNA(VLOOKUP($B65,IS明細!$B:L,11,0)),0,VLOOKUP($B65,IS明細!$B:L,11,0))</f>
        <v>92498</v>
      </c>
      <c r="I65" s="306">
        <f>IF(ISNA(VLOOKUP($B65,IS明細!$B:N,13,0)),0,VLOOKUP($B65,IS明細!$B:N,13,0))</f>
        <v>158211</v>
      </c>
      <c r="J65" s="306">
        <f>IF(ISNA(VLOOKUP($B65,IS明細!$B:P,15,0)),0,VLOOKUP($B65,IS明細!$B:P,15,0))</f>
        <v>192934</v>
      </c>
      <c r="K65" s="306">
        <f>IF(ISNA(VLOOKUP($B65,IS明細!$B:R,17,0)),0,VLOOKUP($B65,IS明細!$B:R,17,0))</f>
        <v>866827</v>
      </c>
      <c r="L65" s="306">
        <f>IF(ISNA(VLOOKUP($B65,IS明細!$B:T,19,0)),0,VLOOKUP($B65,IS明細!$B:T,19,0))</f>
        <v>0</v>
      </c>
      <c r="M65" s="306">
        <f>IF(ISNA(VLOOKUP($B65,IS明細!$B:V,21,0)),0,VLOOKUP($B65,IS明細!$B:V,21,0))</f>
        <v>0</v>
      </c>
      <c r="N65" s="306">
        <f>IF(ISNA(VLOOKUP($B65,IS明細!$B:X,23,0)),0,VLOOKUP($B65,IS明細!$B:X,23,0))</f>
        <v>0</v>
      </c>
      <c r="O65" s="306">
        <f>IF(ISNA(VLOOKUP($B65,IS明細!$B:Z,25,0)),0,VLOOKUP($B65,IS明細!$B:Z,25,0))</f>
        <v>0</v>
      </c>
      <c r="P65" s="306">
        <f t="shared" si="1"/>
        <v>2295794</v>
      </c>
      <c r="Q65" s="337">
        <f t="shared" si="3"/>
        <v>4.0491068453497731E-3</v>
      </c>
      <c r="R65" s="321"/>
    </row>
    <row r="66" spans="1:18" ht="18" customHeight="1" outlineLevel="1">
      <c r="A66" s="344"/>
      <c r="B66" s="344" t="s">
        <v>670</v>
      </c>
      <c r="C66" s="322"/>
      <c r="D66" s="306">
        <f>IF(ISNA(VLOOKUP($B66,IS明細!B:D,3,0)),0,VLOOKUP($B66,IS明細!B:D,3,0))</f>
        <v>0</v>
      </c>
      <c r="E66" s="306">
        <f>IF(ISNA(VLOOKUP($B66,IS明細!$B:F,5,0)),0,VLOOKUP($B66,IS明細!$B:F,5,0))</f>
        <v>0</v>
      </c>
      <c r="F66" s="306">
        <f>IF(ISNA(VLOOKUP($B66,IS明細!$B:H,7,0)),0,VLOOKUP($B66,IS明細!$B:H,7,0))</f>
        <v>0</v>
      </c>
      <c r="G66" s="306">
        <f>IF(ISNA(VLOOKUP($B66,IS明細!$B:J,9,0)),0,VLOOKUP($B66,IS明細!$B:J,9,0))</f>
        <v>35318</v>
      </c>
      <c r="H66" s="306">
        <f>IF(ISNA(VLOOKUP($B66,IS明細!$B:L,11,0)),0,VLOOKUP($B66,IS明細!$B:L,11,0))</f>
        <v>26000</v>
      </c>
      <c r="I66" s="306">
        <f>IF(ISNA(VLOOKUP($B66,IS明細!$B:N,13,0)),0,VLOOKUP($B66,IS明細!$B:N,13,0))</f>
        <v>448</v>
      </c>
      <c r="J66" s="306">
        <f>IF(ISNA(VLOOKUP($B66,IS明細!$B:P,15,0)),0,VLOOKUP($B66,IS明細!$B:P,15,0))</f>
        <v>2420</v>
      </c>
      <c r="K66" s="306">
        <f>IF(ISNA(VLOOKUP($B66,IS明細!$B:R,17,0)),0,VLOOKUP($B66,IS明細!$B:R,17,0))</f>
        <v>62362</v>
      </c>
      <c r="L66" s="306">
        <f>IF(ISNA(VLOOKUP($B66,IS明細!$B:T,19,0)),0,VLOOKUP($B66,IS明細!$B:T,19,0))</f>
        <v>0</v>
      </c>
      <c r="M66" s="306">
        <f>IF(ISNA(VLOOKUP($B66,IS明細!$B:V,21,0)),0,VLOOKUP($B66,IS明細!$B:V,21,0))</f>
        <v>0</v>
      </c>
      <c r="N66" s="306">
        <f>IF(ISNA(VLOOKUP($B66,IS明細!$B:X,23,0)),0,VLOOKUP($B66,IS明細!$B:X,23,0))</f>
        <v>0</v>
      </c>
      <c r="O66" s="306">
        <f>IF(ISNA(VLOOKUP($B66,IS明細!$B:Z,25,0)),0,VLOOKUP($B66,IS明細!$B:Z,25,0))</f>
        <v>0</v>
      </c>
      <c r="P66" s="306">
        <f t="shared" si="1"/>
        <v>126548</v>
      </c>
      <c r="Q66" s="337">
        <f t="shared" si="3"/>
        <v>2.2319353263634416E-4</v>
      </c>
      <c r="R66" s="321"/>
    </row>
    <row r="67" spans="1:18" ht="18" customHeight="1" outlineLevel="1">
      <c r="A67" s="344"/>
      <c r="B67" s="344" t="s">
        <v>671</v>
      </c>
      <c r="C67" s="322"/>
      <c r="D67" s="306">
        <f>IF(ISNA(VLOOKUP($B67,IS明細!B:D,3,0)),0,VLOOKUP($B67,IS明細!B:D,3,0))</f>
        <v>0</v>
      </c>
      <c r="E67" s="306">
        <f>IF(ISNA(VLOOKUP($B67,IS明細!$B:F,5,0)),0,VLOOKUP($B67,IS明細!$B:F,5,0))</f>
        <v>0</v>
      </c>
      <c r="F67" s="306">
        <f>IF(ISNA(VLOOKUP($B67,IS明細!$B:H,7,0)),0,VLOOKUP($B67,IS明細!$B:H,7,0))</f>
        <v>0</v>
      </c>
      <c r="G67" s="306">
        <f>IF(ISNA(VLOOKUP($B67,IS明細!$B:J,9,0)),0,VLOOKUP($B67,IS明細!$B:J,9,0))</f>
        <v>0</v>
      </c>
      <c r="H67" s="306">
        <f>IF(ISNA(VLOOKUP($B67,IS明細!$B:L,11,0)),0,VLOOKUP($B67,IS明細!$B:L,11,0))</f>
        <v>0</v>
      </c>
      <c r="I67" s="306">
        <f>IF(ISNA(VLOOKUP($B67,IS明細!$B:N,13,0)),0,VLOOKUP($B67,IS明細!$B:N,13,0))</f>
        <v>0</v>
      </c>
      <c r="J67" s="306">
        <f>IF(ISNA(VLOOKUP($B67,IS明細!$B:P,15,0)),0,VLOOKUP($B67,IS明細!$B:P,15,0))</f>
        <v>0</v>
      </c>
      <c r="K67" s="306">
        <f>IF(ISNA(VLOOKUP($B67,IS明細!$B:R,17,0)),0,VLOOKUP($B67,IS明細!$B:R,17,0))</f>
        <v>0</v>
      </c>
      <c r="L67" s="306">
        <f>IF(ISNA(VLOOKUP($B67,IS明細!$B:T,19,0)),0,VLOOKUP($B67,IS明細!$B:T,19,0))</f>
        <v>0</v>
      </c>
      <c r="M67" s="306">
        <f>IF(ISNA(VLOOKUP($B67,IS明細!$B:V,21,0)),0,VLOOKUP($B67,IS明細!$B:V,21,0))</f>
        <v>0</v>
      </c>
      <c r="N67" s="306">
        <f>IF(ISNA(VLOOKUP($B67,IS明細!$B:X,23,0)),0,VLOOKUP($B67,IS明細!$B:X,23,0))</f>
        <v>0</v>
      </c>
      <c r="O67" s="306">
        <f>IF(ISNA(VLOOKUP($B67,IS明細!$B:Z,25,0)),0,VLOOKUP($B67,IS明細!$B:Z,25,0))</f>
        <v>0</v>
      </c>
      <c r="P67" s="306">
        <f t="shared" si="1"/>
        <v>0</v>
      </c>
      <c r="Q67" s="337">
        <f t="shared" si="3"/>
        <v>0</v>
      </c>
      <c r="R67" s="321"/>
    </row>
    <row r="68" spans="1:18" ht="18" customHeight="1" outlineLevel="1">
      <c r="A68" s="344"/>
      <c r="B68" s="344" t="s">
        <v>672</v>
      </c>
      <c r="C68" s="322"/>
      <c r="D68" s="306">
        <f>IF(ISNA(VLOOKUP($B68,IS明細!B:D,3,0)),0,VLOOKUP($B68,IS明細!B:D,3,0))</f>
        <v>0</v>
      </c>
      <c r="E68" s="306">
        <f>IF(ISNA(VLOOKUP($B68,IS明細!$B:F,5,0)),0,VLOOKUP($B68,IS明細!$B:F,5,0))</f>
        <v>0</v>
      </c>
      <c r="F68" s="306">
        <f>IF(ISNA(VLOOKUP($B68,IS明細!$B:H,7,0)),0,VLOOKUP($B68,IS明細!$B:H,7,0))</f>
        <v>0</v>
      </c>
      <c r="G68" s="306">
        <f>IF(ISNA(VLOOKUP($B68,IS明細!$B:J,9,0)),0,VLOOKUP($B68,IS明細!$B:J,9,0))</f>
        <v>0</v>
      </c>
      <c r="H68" s="306">
        <f>IF(ISNA(VLOOKUP($B68,IS明細!$B:L,11,0)),0,VLOOKUP($B68,IS明細!$B:L,11,0))</f>
        <v>0</v>
      </c>
      <c r="I68" s="306">
        <f>IF(ISNA(VLOOKUP($B68,IS明細!$B:N,13,0)),0,VLOOKUP($B68,IS明細!$B:N,13,0))</f>
        <v>0</v>
      </c>
      <c r="J68" s="306">
        <f>IF(ISNA(VLOOKUP($B68,IS明細!$B:P,15,0)),0,VLOOKUP($B68,IS明細!$B:P,15,0))</f>
        <v>0</v>
      </c>
      <c r="K68" s="306">
        <f>IF(ISNA(VLOOKUP($B68,IS明細!$B:R,17,0)),0,VLOOKUP($B68,IS明細!$B:R,17,0))</f>
        <v>0</v>
      </c>
      <c r="L68" s="306">
        <f>IF(ISNA(VLOOKUP($B68,IS明細!$B:T,19,0)),0,VLOOKUP($B68,IS明細!$B:T,19,0))</f>
        <v>0</v>
      </c>
      <c r="M68" s="306">
        <f>IF(ISNA(VLOOKUP($B68,IS明細!$B:V,21,0)),0,VLOOKUP($B68,IS明細!$B:V,21,0))</f>
        <v>0</v>
      </c>
      <c r="N68" s="306">
        <f>IF(ISNA(VLOOKUP($B68,IS明細!$B:X,23,0)),0,VLOOKUP($B68,IS明細!$B:X,23,0))</f>
        <v>0</v>
      </c>
      <c r="O68" s="306">
        <f>IF(ISNA(VLOOKUP($B68,IS明細!$B:Z,25,0)),0,VLOOKUP($B68,IS明細!$B:Z,25,0))</f>
        <v>0</v>
      </c>
      <c r="P68" s="306">
        <f t="shared" si="1"/>
        <v>0</v>
      </c>
      <c r="Q68" s="337">
        <f t="shared" si="3"/>
        <v>0</v>
      </c>
      <c r="R68" s="321"/>
    </row>
    <row r="69" spans="1:18" ht="18" customHeight="1" outlineLevel="1">
      <c r="A69" s="344"/>
      <c r="B69" s="344" t="s">
        <v>673</v>
      </c>
      <c r="C69" s="322"/>
      <c r="D69" s="306">
        <f>IF(ISNA(VLOOKUP($B69,IS明細!B:D,3,0)),0,VLOOKUP($B69,IS明細!B:D,3,0))</f>
        <v>-258335</v>
      </c>
      <c r="E69" s="306">
        <f>IF(ISNA(VLOOKUP($B69,IS明細!$B:F,5,0)),0,VLOOKUP($B69,IS明細!$B:F,5,0))</f>
        <v>39122</v>
      </c>
      <c r="F69" s="306">
        <f>IF(ISNA(VLOOKUP($B69,IS明細!$B:H,7,0)),0,VLOOKUP($B69,IS明細!$B:H,7,0))</f>
        <v>114233</v>
      </c>
      <c r="G69" s="306">
        <f>IF(ISNA(VLOOKUP($B69,IS明細!$B:J,9,0)),0,VLOOKUP($B69,IS明細!$B:J,9,0))</f>
        <v>-45706</v>
      </c>
      <c r="H69" s="306">
        <f>IF(ISNA(VLOOKUP($B69,IS明細!$B:L,11,0)),0,VLOOKUP($B69,IS明細!$B:L,11,0))</f>
        <v>-117503</v>
      </c>
      <c r="I69" s="306">
        <f>IF(ISNA(VLOOKUP($B69,IS明細!$B:N,13,0)),0,VLOOKUP($B69,IS明細!$B:N,13,0))</f>
        <v>-58268</v>
      </c>
      <c r="J69" s="306">
        <f>IF(ISNA(VLOOKUP($B69,IS明細!$B:P,15,0)),0,VLOOKUP($B69,IS明細!$B:P,15,0))</f>
        <v>3112</v>
      </c>
      <c r="K69" s="306">
        <f>IF(ISNA(VLOOKUP($B69,IS明細!$B:R,17,0)),0,VLOOKUP($B69,IS明細!$B:R,17,0))</f>
        <v>465889</v>
      </c>
      <c r="L69" s="306">
        <f>IF(ISNA(VLOOKUP($B69,IS明細!$B:T,19,0)),0,VLOOKUP($B69,IS明細!$B:T,19,0))</f>
        <v>0</v>
      </c>
      <c r="M69" s="306">
        <f>IF(ISNA(VLOOKUP($B69,IS明細!$B:V,21,0)),0,VLOOKUP($B69,IS明細!$B:V,21,0))</f>
        <v>0</v>
      </c>
      <c r="N69" s="306">
        <f>IF(ISNA(VLOOKUP($B69,IS明細!$B:X,23,0)),0,VLOOKUP($B69,IS明細!$B:X,23,0))</f>
        <v>0</v>
      </c>
      <c r="O69" s="306">
        <f>IF(ISNA(VLOOKUP($B69,IS明細!$B:Z,25,0)),0,VLOOKUP($B69,IS明細!$B:Z,25,0))</f>
        <v>0</v>
      </c>
      <c r="P69" s="306">
        <f t="shared" si="1"/>
        <v>142544</v>
      </c>
      <c r="Q69" s="337">
        <f t="shared" si="3"/>
        <v>2.5140578212310777E-4</v>
      </c>
      <c r="R69" s="321"/>
    </row>
    <row r="70" spans="1:18" ht="18" customHeight="1" outlineLevel="1">
      <c r="A70" s="344"/>
      <c r="B70" s="344" t="s">
        <v>674</v>
      </c>
      <c r="C70" s="322"/>
      <c r="D70" s="306">
        <f>IF(ISNA(VLOOKUP($B70,IS明細!B:D,3,0)),0,VLOOKUP($B70,IS明細!B:D,3,0))</f>
        <v>0</v>
      </c>
      <c r="E70" s="306">
        <f>IF(ISNA(VLOOKUP($B70,IS明細!$B:F,5,0)),0,VLOOKUP($B70,IS明細!$B:F,5,0))</f>
        <v>0</v>
      </c>
      <c r="F70" s="306">
        <f>IF(ISNA(VLOOKUP($B70,IS明細!$B:H,7,0)),0,VLOOKUP($B70,IS明細!$B:H,7,0))</f>
        <v>0</v>
      </c>
      <c r="G70" s="306">
        <f>IF(ISNA(VLOOKUP($B70,IS明細!$B:J,9,0)),0,VLOOKUP($B70,IS明細!$B:J,9,0))</f>
        <v>0</v>
      </c>
      <c r="H70" s="306">
        <f>IF(ISNA(VLOOKUP($B70,IS明細!$B:L,11,0)),0,VLOOKUP($B70,IS明細!$B:L,11,0))</f>
        <v>0</v>
      </c>
      <c r="I70" s="306">
        <f>IF(ISNA(VLOOKUP($B70,IS明細!$B:N,13,0)),0,VLOOKUP($B70,IS明細!$B:N,13,0))</f>
        <v>0</v>
      </c>
      <c r="J70" s="306">
        <f>IF(ISNA(VLOOKUP($B70,IS明細!$B:P,15,0)),0,VLOOKUP($B70,IS明細!$B:P,15,0))</f>
        <v>0</v>
      </c>
      <c r="K70" s="306">
        <f>IF(ISNA(VLOOKUP($B70,IS明細!$B:R,17,0)),0,VLOOKUP($B70,IS明細!$B:R,17,0))</f>
        <v>0</v>
      </c>
      <c r="L70" s="306">
        <f>IF(ISNA(VLOOKUP($B70,IS明細!$B:T,19,0)),0,VLOOKUP($B70,IS明細!$B:T,19,0))</f>
        <v>0</v>
      </c>
      <c r="M70" s="306">
        <f>IF(ISNA(VLOOKUP($B70,IS明細!$B:V,21,0)),0,VLOOKUP($B70,IS明細!$B:V,21,0))</f>
        <v>0</v>
      </c>
      <c r="N70" s="306">
        <f>IF(ISNA(VLOOKUP($B70,IS明細!$B:X,23,0)),0,VLOOKUP($B70,IS明細!$B:X,23,0))</f>
        <v>0</v>
      </c>
      <c r="O70" s="306">
        <f>IF(ISNA(VLOOKUP($B70,IS明細!$B:Z,25,0)),0,VLOOKUP($B70,IS明細!$B:Z,25,0))</f>
        <v>0</v>
      </c>
      <c r="P70" s="306">
        <f t="shared" si="1"/>
        <v>0</v>
      </c>
      <c r="Q70" s="337">
        <f t="shared" si="3"/>
        <v>0</v>
      </c>
      <c r="R70" s="321"/>
    </row>
    <row r="71" spans="1:18" ht="18" customHeight="1" outlineLevel="1">
      <c r="A71" s="344"/>
      <c r="B71" s="344" t="s">
        <v>675</v>
      </c>
      <c r="C71" s="322"/>
      <c r="D71" s="306">
        <f>IF(ISNA(VLOOKUP($B71,IS明細!B:D,3,0)),0,VLOOKUP($B71,IS明細!B:D,3,0))</f>
        <v>147313</v>
      </c>
      <c r="E71" s="306">
        <f>IF(ISNA(VLOOKUP($B71,IS明細!$B:F,5,0)),0,VLOOKUP($B71,IS明細!$B:F,5,0))</f>
        <v>457747</v>
      </c>
      <c r="F71" s="306">
        <f>IF(ISNA(VLOOKUP($B71,IS明細!$B:H,7,0)),0,VLOOKUP($B71,IS明細!$B:H,7,0))</f>
        <v>112765</v>
      </c>
      <c r="G71" s="306">
        <f>IF(ISNA(VLOOKUP($B71,IS明細!$B:J,9,0)),0,VLOOKUP($B71,IS明細!$B:J,9,0))</f>
        <v>382867</v>
      </c>
      <c r="H71" s="306">
        <f>IF(ISNA(VLOOKUP($B71,IS明細!$B:L,11,0)),0,VLOOKUP($B71,IS明細!$B:L,11,0))</f>
        <v>184001</v>
      </c>
      <c r="I71" s="306">
        <f>IF(ISNA(VLOOKUP($B71,IS明細!$B:N,13,0)),0,VLOOKUP($B71,IS明細!$B:N,13,0))</f>
        <v>216031</v>
      </c>
      <c r="J71" s="306">
        <f>IF(ISNA(VLOOKUP($B71,IS明細!$B:P,15,0)),0,VLOOKUP($B71,IS明細!$B:P,15,0))</f>
        <v>187402</v>
      </c>
      <c r="K71" s="306">
        <f>IF(ISNA(VLOOKUP($B71,IS明細!$B:R,17,0)),0,VLOOKUP($B71,IS明細!$B:R,17,0))</f>
        <v>338576</v>
      </c>
      <c r="L71" s="306">
        <f>IF(ISNA(VLOOKUP($B71,IS明細!$B:T,19,0)),0,VLOOKUP($B71,IS明細!$B:T,19,0))</f>
        <v>0</v>
      </c>
      <c r="M71" s="306">
        <f>IF(ISNA(VLOOKUP($B71,IS明細!$B:V,21,0)),0,VLOOKUP($B71,IS明細!$B:V,21,0))</f>
        <v>0</v>
      </c>
      <c r="N71" s="306">
        <f>IF(ISNA(VLOOKUP($B71,IS明細!$B:X,23,0)),0,VLOOKUP($B71,IS明細!$B:X,23,0))</f>
        <v>0</v>
      </c>
      <c r="O71" s="306">
        <f>IF(ISNA(VLOOKUP($B71,IS明細!$B:Z,25,0)),0,VLOOKUP($B71,IS明細!$B:Z,25,0))</f>
        <v>0</v>
      </c>
      <c r="P71" s="306">
        <f t="shared" si="1"/>
        <v>2026702</v>
      </c>
      <c r="Q71" s="337">
        <f t="shared" si="3"/>
        <v>3.574507530590321E-3</v>
      </c>
      <c r="R71" s="321"/>
    </row>
    <row r="72" spans="1:18" ht="18" customHeight="1" outlineLevel="1">
      <c r="A72" s="344"/>
      <c r="B72" s="344" t="s">
        <v>676</v>
      </c>
      <c r="C72" s="322"/>
      <c r="D72" s="306">
        <f>IF(ISNA(VLOOKUP($B72,IS明細!B:D,3,0)),0,VLOOKUP($B72,IS明細!B:D,3,0))</f>
        <v>0</v>
      </c>
      <c r="E72" s="306">
        <f>IF(ISNA(VLOOKUP($B72,IS明細!$B:F,5,0)),0,VLOOKUP($B72,IS明細!$B:F,5,0))</f>
        <v>0</v>
      </c>
      <c r="F72" s="306">
        <f>IF(ISNA(VLOOKUP($B72,IS明細!$B:H,7,0)),0,VLOOKUP($B72,IS明細!$B:H,7,0))</f>
        <v>0</v>
      </c>
      <c r="G72" s="306">
        <f>IF(ISNA(VLOOKUP($B72,IS明細!$B:J,9,0)),0,VLOOKUP($B72,IS明細!$B:J,9,0))</f>
        <v>0</v>
      </c>
      <c r="H72" s="306">
        <f>IF(ISNA(VLOOKUP($B72,IS明細!$B:L,11,0)),0,VLOOKUP($B72,IS明細!$B:L,11,0))</f>
        <v>0</v>
      </c>
      <c r="I72" s="306">
        <f>IF(ISNA(VLOOKUP($B72,IS明細!$B:N,13,0)),0,VLOOKUP($B72,IS明細!$B:N,13,0))</f>
        <v>0</v>
      </c>
      <c r="J72" s="306">
        <f>IF(ISNA(VLOOKUP($B72,IS明細!$B:P,15,0)),0,VLOOKUP($B72,IS明細!$B:P,15,0))</f>
        <v>0</v>
      </c>
      <c r="K72" s="306">
        <f>IF(ISNA(VLOOKUP($B72,IS明細!$B:R,17,0)),0,VLOOKUP($B72,IS明細!$B:R,17,0))</f>
        <v>0</v>
      </c>
      <c r="L72" s="306">
        <f>IF(ISNA(VLOOKUP($B72,IS明細!$B:T,19,0)),0,VLOOKUP($B72,IS明細!$B:T,19,0))</f>
        <v>0</v>
      </c>
      <c r="M72" s="306">
        <f>IF(ISNA(VLOOKUP($B72,IS明細!$B:V,21,0)),0,VLOOKUP($B72,IS明細!$B:V,21,0))</f>
        <v>0</v>
      </c>
      <c r="N72" s="306">
        <f>IF(ISNA(VLOOKUP($B72,IS明細!$B:X,23,0)),0,VLOOKUP($B72,IS明細!$B:X,23,0))</f>
        <v>0</v>
      </c>
      <c r="O72" s="306">
        <f>IF(ISNA(VLOOKUP($B72,IS明細!$B:Z,25,0)),0,VLOOKUP($B72,IS明細!$B:Z,25,0))</f>
        <v>0</v>
      </c>
      <c r="P72" s="306">
        <f t="shared" si="1"/>
        <v>0</v>
      </c>
      <c r="Q72" s="337">
        <f t="shared" si="3"/>
        <v>0</v>
      </c>
      <c r="R72" s="321"/>
    </row>
    <row r="73" spans="1:18" ht="18" customHeight="1" outlineLevel="1">
      <c r="A73" s="344"/>
      <c r="B73" s="344" t="s">
        <v>677</v>
      </c>
      <c r="C73" s="322"/>
      <c r="D73" s="306">
        <f>IF(ISNA(VLOOKUP($B73,IS明細!B:D,3,0)),0,VLOOKUP($B73,IS明細!B:D,3,0))</f>
        <v>-3126489</v>
      </c>
      <c r="E73" s="306">
        <f>IF(ISNA(VLOOKUP($B73,IS明細!$B:F,5,0)),0,VLOOKUP($B73,IS明細!$B:F,5,0))</f>
        <v>-3444038</v>
      </c>
      <c r="F73" s="306">
        <f>IF(ISNA(VLOOKUP($B73,IS明細!$B:H,7,0)),0,VLOOKUP($B73,IS明細!$B:H,7,0))</f>
        <v>-3187980</v>
      </c>
      <c r="G73" s="306">
        <f>IF(ISNA(VLOOKUP($B73,IS明細!$B:J,9,0)),0,VLOOKUP($B73,IS明細!$B:J,9,0))</f>
        <v>-3361489</v>
      </c>
      <c r="H73" s="306">
        <f>IF(ISNA(VLOOKUP($B73,IS明細!$B:L,11,0)),0,VLOOKUP($B73,IS明細!$B:L,11,0))</f>
        <v>-2893233</v>
      </c>
      <c r="I73" s="306">
        <f>IF(ISNA(VLOOKUP($B73,IS明細!$B:N,13,0)),0,VLOOKUP($B73,IS明細!$B:N,13,0))</f>
        <v>-3087333</v>
      </c>
      <c r="J73" s="306">
        <f>IF(ISNA(VLOOKUP($B73,IS明細!$B:P,15,0)),0,VLOOKUP($B73,IS明細!$B:P,15,0))</f>
        <v>-3051936</v>
      </c>
      <c r="K73" s="306">
        <f>IF(ISNA(VLOOKUP($B73,IS明細!$B:R,17,0)),0,VLOOKUP($B73,IS明細!$B:R,17,0))</f>
        <v>-3692795</v>
      </c>
      <c r="L73" s="306">
        <f>IF(ISNA(VLOOKUP($B73,IS明細!$B:T,19,0)),0,VLOOKUP($B73,IS明細!$B:T,19,0))</f>
        <v>0</v>
      </c>
      <c r="M73" s="306">
        <f>IF(ISNA(VLOOKUP($B73,IS明細!$B:V,21,0)),0,VLOOKUP($B73,IS明細!$B:V,21,0))</f>
        <v>0</v>
      </c>
      <c r="N73" s="306">
        <f>IF(ISNA(VLOOKUP($B73,IS明細!$B:X,23,0)),0,VLOOKUP($B73,IS明細!$B:X,23,0))</f>
        <v>0</v>
      </c>
      <c r="O73" s="306">
        <f>IF(ISNA(VLOOKUP($B73,IS明細!$B:Z,25,0)),0,VLOOKUP($B73,IS明細!$B:Z,25,0))</f>
        <v>0</v>
      </c>
      <c r="P73" s="306">
        <f t="shared" ref="P73:P134" si="4">SUM(D73:O73)</f>
        <v>-25845293</v>
      </c>
      <c r="Q73" s="337">
        <f t="shared" si="3"/>
        <v>-4.5583511763847527E-2</v>
      </c>
      <c r="R73" s="321"/>
    </row>
    <row r="74" spans="1:18" ht="18" customHeight="1" outlineLevel="1">
      <c r="A74" s="344"/>
      <c r="B74" s="344" t="s">
        <v>678</v>
      </c>
      <c r="C74" s="322"/>
      <c r="D74" s="306">
        <f>IF(ISNA(VLOOKUP($B74,IS明細!B:D,3,0)),0,VLOOKUP($B74,IS明細!B:D,3,0))</f>
        <v>136175</v>
      </c>
      <c r="E74" s="306">
        <f>IF(ISNA(VLOOKUP($B74,IS明細!$B:F,5,0)),0,VLOOKUP($B74,IS明細!$B:F,5,0))</f>
        <v>334294</v>
      </c>
      <c r="F74" s="306">
        <f>IF(ISNA(VLOOKUP($B74,IS明細!$B:H,7,0)),0,VLOOKUP($B74,IS明細!$B:H,7,0))</f>
        <v>5828747</v>
      </c>
      <c r="G74" s="306">
        <f>IF(ISNA(VLOOKUP($B74,IS明細!$B:J,9,0)),0,VLOOKUP($B74,IS明細!$B:J,9,0))</f>
        <v>683423</v>
      </c>
      <c r="H74" s="306">
        <f>IF(ISNA(VLOOKUP($B74,IS明細!$B:L,11,0)),0,VLOOKUP($B74,IS明細!$B:L,11,0))</f>
        <v>90781</v>
      </c>
      <c r="I74" s="306">
        <f>IF(ISNA(VLOOKUP($B74,IS明細!$B:N,13,0)),0,VLOOKUP($B74,IS明細!$B:N,13,0))</f>
        <v>3316275</v>
      </c>
      <c r="J74" s="306">
        <f>IF(ISNA(VLOOKUP($B74,IS明細!$B:P,15,0)),0,VLOOKUP($B74,IS明細!$B:P,15,0))</f>
        <v>4251307</v>
      </c>
      <c r="K74" s="306">
        <f>IF(ISNA(VLOOKUP($B74,IS明細!$B:R,17,0)),0,VLOOKUP($B74,IS明細!$B:R,17,0))</f>
        <v>339132</v>
      </c>
      <c r="L74" s="306">
        <f>IF(ISNA(VLOOKUP($B74,IS明細!$B:T,19,0)),0,VLOOKUP($B74,IS明細!$B:T,19,0))</f>
        <v>0</v>
      </c>
      <c r="M74" s="306">
        <f>IF(ISNA(VLOOKUP($B74,IS明細!$B:V,21,0)),0,VLOOKUP($B74,IS明細!$B:V,21,0))</f>
        <v>0</v>
      </c>
      <c r="N74" s="306">
        <f>IF(ISNA(VLOOKUP($B74,IS明細!$B:X,23,0)),0,VLOOKUP($B74,IS明細!$B:X,23,0))</f>
        <v>0</v>
      </c>
      <c r="O74" s="306">
        <f>IF(ISNA(VLOOKUP($B74,IS明細!$B:Z,25,0)),0,VLOOKUP($B74,IS明細!$B:Z,25,0))</f>
        <v>0</v>
      </c>
      <c r="P74" s="306">
        <f t="shared" si="4"/>
        <v>14980134</v>
      </c>
      <c r="Q74" s="337">
        <f t="shared" ref="Q74:Q137" si="5">P74/$P$8</f>
        <v>2.6420559999571772E-2</v>
      </c>
      <c r="R74" s="321"/>
    </row>
    <row r="75" spans="1:18" ht="18" customHeight="1" outlineLevel="1">
      <c r="A75" s="344"/>
      <c r="B75" s="344" t="s">
        <v>679</v>
      </c>
      <c r="C75" s="322"/>
      <c r="D75" s="306">
        <f>IF(ISNA(VLOOKUP($B75,IS明細!B:D,3,0)),0,VLOOKUP($B75,IS明細!B:D,3,0))</f>
        <v>29313</v>
      </c>
      <c r="E75" s="306">
        <f>IF(ISNA(VLOOKUP($B75,IS明細!$B:F,5,0)),0,VLOOKUP($B75,IS明細!$B:F,5,0))</f>
        <v>33618</v>
      </c>
      <c r="F75" s="306">
        <f>IF(ISNA(VLOOKUP($B75,IS明細!$B:H,7,0)),0,VLOOKUP($B75,IS明細!$B:H,7,0))</f>
        <v>48932</v>
      </c>
      <c r="G75" s="306">
        <f>IF(ISNA(VLOOKUP($B75,IS明細!$B:J,9,0)),0,VLOOKUP($B75,IS明細!$B:J,9,0))</f>
        <v>114245</v>
      </c>
      <c r="H75" s="306">
        <f>IF(ISNA(VLOOKUP($B75,IS明細!$B:L,11,0)),0,VLOOKUP($B75,IS明細!$B:L,11,0))</f>
        <v>43113</v>
      </c>
      <c r="I75" s="306">
        <f>IF(ISNA(VLOOKUP($B75,IS明細!$B:N,13,0)),0,VLOOKUP($B75,IS明細!$B:N,13,0))</f>
        <v>30492</v>
      </c>
      <c r="J75" s="306">
        <f>IF(ISNA(VLOOKUP($B75,IS明細!$B:P,15,0)),0,VLOOKUP($B75,IS明細!$B:P,15,0))</f>
        <v>19416</v>
      </c>
      <c r="K75" s="306">
        <f>IF(ISNA(VLOOKUP($B75,IS明細!$B:R,17,0)),0,VLOOKUP($B75,IS明細!$B:R,17,0))</f>
        <v>61317</v>
      </c>
      <c r="L75" s="306">
        <f>IF(ISNA(VLOOKUP($B75,IS明細!$B:T,19,0)),0,VLOOKUP($B75,IS明細!$B:T,19,0))</f>
        <v>0</v>
      </c>
      <c r="M75" s="306">
        <f>IF(ISNA(VLOOKUP($B75,IS明細!$B:V,21,0)),0,VLOOKUP($B75,IS明細!$B:V,21,0))</f>
        <v>0</v>
      </c>
      <c r="N75" s="306">
        <f>IF(ISNA(VLOOKUP($B75,IS明細!$B:X,23,0)),0,VLOOKUP($B75,IS明細!$B:X,23,0))</f>
        <v>0</v>
      </c>
      <c r="O75" s="306">
        <f>IF(ISNA(VLOOKUP($B75,IS明細!$B:Z,25,0)),0,VLOOKUP($B75,IS明細!$B:Z,25,0))</f>
        <v>0</v>
      </c>
      <c r="P75" s="306">
        <f t="shared" si="4"/>
        <v>380446</v>
      </c>
      <c r="Q75" s="337">
        <f t="shared" si="5"/>
        <v>6.7099509053771369E-4</v>
      </c>
      <c r="R75" s="321"/>
    </row>
    <row r="76" spans="1:18" ht="18" customHeight="1" outlineLevel="1">
      <c r="A76" s="344"/>
      <c r="B76" s="344" t="s">
        <v>680</v>
      </c>
      <c r="C76" s="322"/>
      <c r="D76" s="306">
        <f>IF(ISNA(VLOOKUP($B76,IS明細!B:D,3,0)),0,VLOOKUP($B76,IS明細!B:D,3,0))</f>
        <v>0</v>
      </c>
      <c r="E76" s="306">
        <f>IF(ISNA(VLOOKUP($B76,IS明細!$B:F,5,0)),0,VLOOKUP($B76,IS明細!$B:F,5,0))</f>
        <v>0</v>
      </c>
      <c r="F76" s="306">
        <f>IF(ISNA(VLOOKUP($B76,IS明細!$B:H,7,0)),0,VLOOKUP($B76,IS明細!$B:H,7,0))</f>
        <v>0</v>
      </c>
      <c r="G76" s="306">
        <f>IF(ISNA(VLOOKUP($B76,IS明細!$B:J,9,0)),0,VLOOKUP($B76,IS明細!$B:J,9,0))</f>
        <v>0</v>
      </c>
      <c r="H76" s="306">
        <f>IF(ISNA(VLOOKUP($B76,IS明細!$B:L,11,0)),0,VLOOKUP($B76,IS明細!$B:L,11,0))</f>
        <v>0</v>
      </c>
      <c r="I76" s="306">
        <f>IF(ISNA(VLOOKUP($B76,IS明細!$B:N,13,0)),0,VLOOKUP($B76,IS明細!$B:N,13,0))</f>
        <v>0</v>
      </c>
      <c r="J76" s="306">
        <f>IF(ISNA(VLOOKUP($B76,IS明細!$B:P,15,0)),0,VLOOKUP($B76,IS明細!$B:P,15,0))</f>
        <v>0</v>
      </c>
      <c r="K76" s="306">
        <f>IF(ISNA(VLOOKUP($B76,IS明細!$B:R,17,0)),0,VLOOKUP($B76,IS明細!$B:R,17,0))</f>
        <v>0</v>
      </c>
      <c r="L76" s="306">
        <f>IF(ISNA(VLOOKUP($B76,IS明細!$B:T,19,0)),0,VLOOKUP($B76,IS明細!$B:T,19,0))</f>
        <v>0</v>
      </c>
      <c r="M76" s="306">
        <f>IF(ISNA(VLOOKUP($B76,IS明細!$B:V,21,0)),0,VLOOKUP($B76,IS明細!$B:V,21,0))</f>
        <v>0</v>
      </c>
      <c r="N76" s="306">
        <f>IF(ISNA(VLOOKUP($B76,IS明細!$B:X,23,0)),0,VLOOKUP($B76,IS明細!$B:X,23,0))</f>
        <v>0</v>
      </c>
      <c r="O76" s="306">
        <f>IF(ISNA(VLOOKUP($B76,IS明細!$B:Z,25,0)),0,VLOOKUP($B76,IS明細!$B:Z,25,0))</f>
        <v>0</v>
      </c>
      <c r="P76" s="306">
        <f t="shared" si="4"/>
        <v>0</v>
      </c>
      <c r="Q76" s="337">
        <f t="shared" si="5"/>
        <v>0</v>
      </c>
      <c r="R76" s="321"/>
    </row>
    <row r="77" spans="1:18" ht="18" customHeight="1" outlineLevel="1">
      <c r="A77" s="344"/>
      <c r="B77" s="344" t="s">
        <v>681</v>
      </c>
      <c r="C77" s="322"/>
      <c r="D77" s="306">
        <f>IF(ISNA(VLOOKUP($B77,IS明細!B:D,3,0)),0,VLOOKUP($B77,IS明細!B:D,3,0))</f>
        <v>2874749</v>
      </c>
      <c r="E77" s="306">
        <f>IF(ISNA(VLOOKUP($B77,IS明細!$B:F,5,0)),0,VLOOKUP($B77,IS明細!$B:F,5,0))</f>
        <v>2763471</v>
      </c>
      <c r="F77" s="306">
        <f>IF(ISNA(VLOOKUP($B77,IS明細!$B:H,7,0)),0,VLOOKUP($B77,IS明細!$B:H,7,0))</f>
        <v>-7456555</v>
      </c>
      <c r="G77" s="306">
        <f>IF(ISNA(VLOOKUP($B77,IS明細!$B:J,9,0)),0,VLOOKUP($B77,IS明細!$B:J,9,0))</f>
        <v>-591918</v>
      </c>
      <c r="H77" s="306">
        <f>IF(ISNA(VLOOKUP($B77,IS明細!$B:L,11,0)),0,VLOOKUP($B77,IS明細!$B:L,11,0))</f>
        <v>1054460</v>
      </c>
      <c r="I77" s="306">
        <f>IF(ISNA(VLOOKUP($B77,IS明細!$B:N,13,0)),0,VLOOKUP($B77,IS明細!$B:N,13,0))</f>
        <v>-1470722</v>
      </c>
      <c r="J77" s="306">
        <f>IF(ISNA(VLOOKUP($B77,IS明細!$B:P,15,0)),0,VLOOKUP($B77,IS明細!$B:P,15,0))</f>
        <v>-2031582</v>
      </c>
      <c r="K77" s="306">
        <f>IF(ISNA(VLOOKUP($B77,IS明細!$B:R,17,0)),0,VLOOKUP($B77,IS明細!$B:R,17,0))</f>
        <v>23984</v>
      </c>
      <c r="L77" s="306">
        <f>IF(ISNA(VLOOKUP($B77,IS明細!$B:T,19,0)),0,VLOOKUP($B77,IS明細!$B:T,19,0))</f>
        <v>0</v>
      </c>
      <c r="M77" s="306">
        <f>IF(ISNA(VLOOKUP($B77,IS明細!$B:V,21,0)),0,VLOOKUP($B77,IS明細!$B:V,21,0))</f>
        <v>0</v>
      </c>
      <c r="N77" s="306">
        <f>IF(ISNA(VLOOKUP($B77,IS明細!$B:X,23,0)),0,VLOOKUP($B77,IS明細!$B:X,23,0))</f>
        <v>0</v>
      </c>
      <c r="O77" s="306">
        <f>IF(ISNA(VLOOKUP($B77,IS明細!$B:Z,25,0)),0,VLOOKUP($B77,IS明細!$B:Z,25,0))</f>
        <v>0</v>
      </c>
      <c r="P77" s="306">
        <f t="shared" si="4"/>
        <v>-4834113</v>
      </c>
      <c r="Q77" s="337">
        <f t="shared" si="5"/>
        <v>-8.5259566143540445E-3</v>
      </c>
      <c r="R77" s="321"/>
    </row>
    <row r="78" spans="1:18" ht="18" customHeight="1" outlineLevel="1">
      <c r="A78" s="344"/>
      <c r="B78" s="344" t="s">
        <v>682</v>
      </c>
      <c r="C78" s="322"/>
      <c r="D78" s="306">
        <f>IF(ISNA(VLOOKUP($B78,IS明細!B:D,3,0)),0,VLOOKUP($B78,IS明細!B:D,3,0))</f>
        <v>0</v>
      </c>
      <c r="E78" s="306">
        <f>IF(ISNA(VLOOKUP($B78,IS明細!$B:F,5,0)),0,VLOOKUP($B78,IS明細!$B:F,5,0))</f>
        <v>0</v>
      </c>
      <c r="F78" s="306">
        <f>IF(ISNA(VLOOKUP($B78,IS明細!$B:H,7,0)),0,VLOOKUP($B78,IS明細!$B:H,7,0))</f>
        <v>0</v>
      </c>
      <c r="G78" s="306">
        <f>IF(ISNA(VLOOKUP($B78,IS明細!$B:J,9,0)),0,VLOOKUP($B78,IS明細!$B:J,9,0))</f>
        <v>0</v>
      </c>
      <c r="H78" s="306">
        <f>IF(ISNA(VLOOKUP($B78,IS明細!$B:L,11,0)),0,VLOOKUP($B78,IS明細!$B:L,11,0))</f>
        <v>0</v>
      </c>
      <c r="I78" s="306">
        <f>IF(ISNA(VLOOKUP($B78,IS明細!$B:N,13,0)),0,VLOOKUP($B78,IS明細!$B:N,13,0))</f>
        <v>0</v>
      </c>
      <c r="J78" s="306">
        <f>IF(ISNA(VLOOKUP($B78,IS明細!$B:P,15,0)),0,VLOOKUP($B78,IS明細!$B:P,15,0))</f>
        <v>0</v>
      </c>
      <c r="K78" s="306">
        <f>IF(ISNA(VLOOKUP($B78,IS明細!$B:R,17,0)),0,VLOOKUP($B78,IS明細!$B:R,17,0))</f>
        <v>0</v>
      </c>
      <c r="L78" s="306">
        <f>IF(ISNA(VLOOKUP($B78,IS明細!$B:T,19,0)),0,VLOOKUP($B78,IS明細!$B:T,19,0))</f>
        <v>0</v>
      </c>
      <c r="M78" s="306">
        <f>IF(ISNA(VLOOKUP($B78,IS明細!$B:V,21,0)),0,VLOOKUP($B78,IS明細!$B:V,21,0))</f>
        <v>0</v>
      </c>
      <c r="N78" s="306">
        <f>IF(ISNA(VLOOKUP($B78,IS明細!$B:X,23,0)),0,VLOOKUP($B78,IS明細!$B:X,23,0))</f>
        <v>0</v>
      </c>
      <c r="O78" s="306">
        <f>IF(ISNA(VLOOKUP($B78,IS明細!$B:Z,25,0)),0,VLOOKUP($B78,IS明細!$B:Z,25,0))</f>
        <v>0</v>
      </c>
      <c r="P78" s="306">
        <f t="shared" si="4"/>
        <v>0</v>
      </c>
      <c r="Q78" s="337">
        <f t="shared" si="5"/>
        <v>0</v>
      </c>
      <c r="R78" s="321"/>
    </row>
    <row r="79" spans="1:18" ht="18" customHeight="1" outlineLevel="1">
      <c r="A79" s="344"/>
      <c r="B79" s="344" t="s">
        <v>683</v>
      </c>
      <c r="C79" s="322"/>
      <c r="D79" s="306">
        <f>IF(ISNA(VLOOKUP($B79,IS明細!B:D,3,0)),0,VLOOKUP($B79,IS明細!B:D,3,0))</f>
        <v>0</v>
      </c>
      <c r="E79" s="306">
        <f>IF(ISNA(VLOOKUP($B79,IS明細!$B:F,5,0)),0,VLOOKUP($B79,IS明細!$B:F,5,0))</f>
        <v>0</v>
      </c>
      <c r="F79" s="306">
        <f>IF(ISNA(VLOOKUP($B79,IS明細!$B:H,7,0)),0,VLOOKUP($B79,IS明細!$B:H,7,0))</f>
        <v>0</v>
      </c>
      <c r="G79" s="306">
        <f>IF(ISNA(VLOOKUP($B79,IS明細!$B:J,9,0)),0,VLOOKUP($B79,IS明細!$B:J,9,0))</f>
        <v>0</v>
      </c>
      <c r="H79" s="306">
        <f>IF(ISNA(VLOOKUP($B79,IS明細!$B:L,11,0)),0,VLOOKUP($B79,IS明細!$B:L,11,0))</f>
        <v>0</v>
      </c>
      <c r="I79" s="306">
        <f>IF(ISNA(VLOOKUP($B79,IS明細!$B:N,13,0)),0,VLOOKUP($B79,IS明細!$B:N,13,0))</f>
        <v>0</v>
      </c>
      <c r="J79" s="306">
        <f>IF(ISNA(VLOOKUP($B79,IS明細!$B:P,15,0)),0,VLOOKUP($B79,IS明細!$B:P,15,0))</f>
        <v>0</v>
      </c>
      <c r="K79" s="306">
        <f>IF(ISNA(VLOOKUP($B79,IS明細!$B:R,17,0)),0,VLOOKUP($B79,IS明細!$B:R,17,0))</f>
        <v>0</v>
      </c>
      <c r="L79" s="306">
        <f>IF(ISNA(VLOOKUP($B79,IS明細!$B:T,19,0)),0,VLOOKUP($B79,IS明細!$B:T,19,0))</f>
        <v>0</v>
      </c>
      <c r="M79" s="306">
        <f>IF(ISNA(VLOOKUP($B79,IS明細!$B:V,21,0)),0,VLOOKUP($B79,IS明細!$B:V,21,0))</f>
        <v>0</v>
      </c>
      <c r="N79" s="306">
        <f>IF(ISNA(VLOOKUP($B79,IS明細!$B:X,23,0)),0,VLOOKUP($B79,IS明細!$B:X,23,0))</f>
        <v>0</v>
      </c>
      <c r="O79" s="306">
        <f>IF(ISNA(VLOOKUP($B79,IS明細!$B:Z,25,0)),0,VLOOKUP($B79,IS明細!$B:Z,25,0))</f>
        <v>0</v>
      </c>
      <c r="P79" s="306">
        <f t="shared" si="4"/>
        <v>0</v>
      </c>
      <c r="Q79" s="337">
        <f t="shared" si="5"/>
        <v>0</v>
      </c>
      <c r="R79" s="321"/>
    </row>
    <row r="80" spans="1:18" ht="18" customHeight="1" outlineLevel="1">
      <c r="A80" s="344"/>
      <c r="B80" s="344" t="s">
        <v>684</v>
      </c>
      <c r="C80" s="322"/>
      <c r="D80" s="306">
        <f>IF(ISNA(VLOOKUP($B80,IS明細!B:D,3,0)),0,VLOOKUP($B80,IS明細!B:D,3,0))</f>
        <v>0</v>
      </c>
      <c r="E80" s="306">
        <f>IF(ISNA(VLOOKUP($B80,IS明細!$B:F,5,0)),0,VLOOKUP($B80,IS明細!$B:F,5,0))</f>
        <v>0</v>
      </c>
      <c r="F80" s="306">
        <f>IF(ISNA(VLOOKUP($B80,IS明細!$B:H,7,0)),0,VLOOKUP($B80,IS明細!$B:H,7,0))</f>
        <v>0</v>
      </c>
      <c r="G80" s="306">
        <f>IF(ISNA(VLOOKUP($B80,IS明細!$B:J,9,0)),0,VLOOKUP($B80,IS明細!$B:J,9,0))</f>
        <v>0</v>
      </c>
      <c r="H80" s="306">
        <f>IF(ISNA(VLOOKUP($B80,IS明細!$B:L,11,0)),0,VLOOKUP($B80,IS明細!$B:L,11,0))</f>
        <v>0</v>
      </c>
      <c r="I80" s="306">
        <f>IF(ISNA(VLOOKUP($B80,IS明細!$B:N,13,0)),0,VLOOKUP($B80,IS明細!$B:N,13,0))</f>
        <v>0</v>
      </c>
      <c r="J80" s="306">
        <f>IF(ISNA(VLOOKUP($B80,IS明細!$B:P,15,0)),0,VLOOKUP($B80,IS明細!$B:P,15,0))</f>
        <v>0</v>
      </c>
      <c r="K80" s="306">
        <f>IF(ISNA(VLOOKUP($B80,IS明細!$B:R,17,0)),0,VLOOKUP($B80,IS明細!$B:R,17,0))</f>
        <v>0</v>
      </c>
      <c r="L80" s="306">
        <f>IF(ISNA(VLOOKUP($B80,IS明細!$B:T,19,0)),0,VLOOKUP($B80,IS明細!$B:T,19,0))</f>
        <v>0</v>
      </c>
      <c r="M80" s="306">
        <f>IF(ISNA(VLOOKUP($B80,IS明細!$B:V,21,0)),0,VLOOKUP($B80,IS明細!$B:V,21,0))</f>
        <v>0</v>
      </c>
      <c r="N80" s="306">
        <f>IF(ISNA(VLOOKUP($B80,IS明細!$B:X,23,0)),0,VLOOKUP($B80,IS明細!$B:X,23,0))</f>
        <v>0</v>
      </c>
      <c r="O80" s="306">
        <f>IF(ISNA(VLOOKUP($B80,IS明細!$B:Z,25,0)),0,VLOOKUP($B80,IS明細!$B:Z,25,0))</f>
        <v>0</v>
      </c>
      <c r="P80" s="306">
        <f t="shared" si="4"/>
        <v>0</v>
      </c>
      <c r="Q80" s="337">
        <f t="shared" si="5"/>
        <v>0</v>
      </c>
      <c r="R80" s="321"/>
    </row>
    <row r="81" spans="1:18" ht="18" customHeight="1" outlineLevel="1">
      <c r="A81" s="344"/>
      <c r="B81" s="344" t="s">
        <v>685</v>
      </c>
      <c r="C81" s="322"/>
      <c r="D81" s="306">
        <f>IF(ISNA(VLOOKUP($B81,IS明細!B:D,3,0)),0,VLOOKUP($B81,IS明細!B:D,3,0))</f>
        <v>0</v>
      </c>
      <c r="E81" s="306">
        <f>IF(ISNA(VLOOKUP($B81,IS明細!$B:F,5,0)),0,VLOOKUP($B81,IS明細!$B:F,5,0))</f>
        <v>0</v>
      </c>
      <c r="F81" s="306">
        <f>IF(ISNA(VLOOKUP($B81,IS明細!$B:H,7,0)),0,VLOOKUP($B81,IS明細!$B:H,7,0))</f>
        <v>0</v>
      </c>
      <c r="G81" s="306">
        <f>IF(ISNA(VLOOKUP($B81,IS明細!$B:J,9,0)),0,VLOOKUP($B81,IS明細!$B:J,9,0))</f>
        <v>0</v>
      </c>
      <c r="H81" s="306">
        <f>IF(ISNA(VLOOKUP($B81,IS明細!$B:L,11,0)),0,VLOOKUP($B81,IS明細!$B:L,11,0))</f>
        <v>0</v>
      </c>
      <c r="I81" s="306">
        <f>IF(ISNA(VLOOKUP($B81,IS明細!$B:N,13,0)),0,VLOOKUP($B81,IS明細!$B:N,13,0))</f>
        <v>0</v>
      </c>
      <c r="J81" s="306">
        <f>IF(ISNA(VLOOKUP($B81,IS明細!$B:P,15,0)),0,VLOOKUP($B81,IS明細!$B:P,15,0))</f>
        <v>0</v>
      </c>
      <c r="K81" s="306">
        <f>IF(ISNA(VLOOKUP($B81,IS明細!$B:R,17,0)),0,VLOOKUP($B81,IS明細!$B:R,17,0))</f>
        <v>0</v>
      </c>
      <c r="L81" s="306">
        <f>IF(ISNA(VLOOKUP($B81,IS明細!$B:T,19,0)),0,VLOOKUP($B81,IS明細!$B:T,19,0))</f>
        <v>0</v>
      </c>
      <c r="M81" s="306">
        <f>IF(ISNA(VLOOKUP($B81,IS明細!$B:V,21,0)),0,VLOOKUP($B81,IS明細!$B:V,21,0))</f>
        <v>0</v>
      </c>
      <c r="N81" s="306">
        <f>IF(ISNA(VLOOKUP($B81,IS明細!$B:X,23,0)),0,VLOOKUP($B81,IS明細!$B:X,23,0))</f>
        <v>0</v>
      </c>
      <c r="O81" s="306">
        <f>IF(ISNA(VLOOKUP($B81,IS明細!$B:Z,25,0)),0,VLOOKUP($B81,IS明細!$B:Z,25,0))</f>
        <v>0</v>
      </c>
      <c r="P81" s="306">
        <f t="shared" si="4"/>
        <v>0</v>
      </c>
      <c r="Q81" s="337">
        <f t="shared" si="5"/>
        <v>0</v>
      </c>
      <c r="R81" s="321"/>
    </row>
    <row r="82" spans="1:18" ht="18" customHeight="1" outlineLevel="1">
      <c r="A82" s="344"/>
      <c r="B82" s="344" t="s">
        <v>686</v>
      </c>
      <c r="C82" s="322"/>
      <c r="D82" s="306">
        <f>IF(ISNA(VLOOKUP($B82,IS明細!B:D,3,0)),0,VLOOKUP($B82,IS明細!B:D,3,0))</f>
        <v>0</v>
      </c>
      <c r="E82" s="306">
        <f>IF(ISNA(VLOOKUP($B82,IS明細!$B:F,5,0)),0,VLOOKUP($B82,IS明細!$B:F,5,0))</f>
        <v>0</v>
      </c>
      <c r="F82" s="306">
        <f>IF(ISNA(VLOOKUP($B82,IS明細!$B:H,7,0)),0,VLOOKUP($B82,IS明細!$B:H,7,0))</f>
        <v>0</v>
      </c>
      <c r="G82" s="306">
        <f>IF(ISNA(VLOOKUP($B82,IS明細!$B:J,9,0)),0,VLOOKUP($B82,IS明細!$B:J,9,0))</f>
        <v>0</v>
      </c>
      <c r="H82" s="306">
        <f>IF(ISNA(VLOOKUP($B82,IS明細!$B:L,11,0)),0,VLOOKUP($B82,IS明細!$B:L,11,0))</f>
        <v>0</v>
      </c>
      <c r="I82" s="306">
        <f>IF(ISNA(VLOOKUP($B82,IS明細!$B:N,13,0)),0,VLOOKUP($B82,IS明細!$B:N,13,0))</f>
        <v>0</v>
      </c>
      <c r="J82" s="306">
        <f>IF(ISNA(VLOOKUP($B82,IS明細!$B:P,15,0)),0,VLOOKUP($B82,IS明細!$B:P,15,0))</f>
        <v>0</v>
      </c>
      <c r="K82" s="306">
        <f>IF(ISNA(VLOOKUP($B82,IS明細!$B:R,17,0)),0,VLOOKUP($B82,IS明細!$B:R,17,0))</f>
        <v>0</v>
      </c>
      <c r="L82" s="306">
        <f>IF(ISNA(VLOOKUP($B82,IS明細!$B:T,19,0)),0,VLOOKUP($B82,IS明細!$B:T,19,0))</f>
        <v>0</v>
      </c>
      <c r="M82" s="306">
        <f>IF(ISNA(VLOOKUP($B82,IS明細!$B:V,21,0)),0,VLOOKUP($B82,IS明細!$B:V,21,0))</f>
        <v>0</v>
      </c>
      <c r="N82" s="306">
        <f>IF(ISNA(VLOOKUP($B82,IS明細!$B:X,23,0)),0,VLOOKUP($B82,IS明細!$B:X,23,0))</f>
        <v>0</v>
      </c>
      <c r="O82" s="306">
        <f>IF(ISNA(VLOOKUP($B82,IS明細!$B:Z,25,0)),0,VLOOKUP($B82,IS明細!$B:Z,25,0))</f>
        <v>0</v>
      </c>
      <c r="P82" s="306">
        <f t="shared" si="4"/>
        <v>0</v>
      </c>
      <c r="Q82" s="337">
        <f t="shared" si="5"/>
        <v>0</v>
      </c>
      <c r="R82" s="321"/>
    </row>
    <row r="83" spans="1:18" ht="18" customHeight="1" outlineLevel="1">
      <c r="A83" s="344"/>
      <c r="B83" s="344" t="s">
        <v>687</v>
      </c>
      <c r="C83" s="322"/>
      <c r="D83" s="306">
        <f>IF(ISNA(VLOOKUP($B83,IS明細!B:D,3,0)),0,VLOOKUP($B83,IS明細!B:D,3,0))</f>
        <v>0</v>
      </c>
      <c r="E83" s="306">
        <f>IF(ISNA(VLOOKUP($B83,IS明細!$B:F,5,0)),0,VLOOKUP($B83,IS明細!$B:F,5,0))</f>
        <v>0</v>
      </c>
      <c r="F83" s="306">
        <f>IF(ISNA(VLOOKUP($B83,IS明細!$B:H,7,0)),0,VLOOKUP($B83,IS明細!$B:H,7,0))</f>
        <v>0</v>
      </c>
      <c r="G83" s="306">
        <f>IF(ISNA(VLOOKUP($B83,IS明細!$B:J,9,0)),0,VLOOKUP($B83,IS明細!$B:J,9,0))</f>
        <v>0</v>
      </c>
      <c r="H83" s="306">
        <f>IF(ISNA(VLOOKUP($B83,IS明細!$B:L,11,0)),0,VLOOKUP($B83,IS明細!$B:L,11,0))</f>
        <v>0</v>
      </c>
      <c r="I83" s="306">
        <f>IF(ISNA(VLOOKUP($B83,IS明細!$B:N,13,0)),0,VLOOKUP($B83,IS明細!$B:N,13,0))</f>
        <v>0</v>
      </c>
      <c r="J83" s="306">
        <f>IF(ISNA(VLOOKUP($B83,IS明細!$B:P,15,0)),0,VLOOKUP($B83,IS明細!$B:P,15,0))</f>
        <v>0</v>
      </c>
      <c r="K83" s="306">
        <f>IF(ISNA(VLOOKUP($B83,IS明細!$B:R,17,0)),0,VLOOKUP($B83,IS明細!$B:R,17,0))</f>
        <v>0</v>
      </c>
      <c r="L83" s="306">
        <f>IF(ISNA(VLOOKUP($B83,IS明細!$B:T,19,0)),0,VLOOKUP($B83,IS明細!$B:T,19,0))</f>
        <v>0</v>
      </c>
      <c r="M83" s="306">
        <f>IF(ISNA(VLOOKUP($B83,IS明細!$B:V,21,0)),0,VLOOKUP($B83,IS明細!$B:V,21,0))</f>
        <v>0</v>
      </c>
      <c r="N83" s="306">
        <f>IF(ISNA(VLOOKUP($B83,IS明細!$B:X,23,0)),0,VLOOKUP($B83,IS明細!$B:X,23,0))</f>
        <v>0</v>
      </c>
      <c r="O83" s="306">
        <f>IF(ISNA(VLOOKUP($B83,IS明細!$B:Z,25,0)),0,VLOOKUP($B83,IS明細!$B:Z,25,0))</f>
        <v>0</v>
      </c>
      <c r="P83" s="306">
        <f t="shared" si="4"/>
        <v>0</v>
      </c>
      <c r="Q83" s="337">
        <f t="shared" si="5"/>
        <v>0</v>
      </c>
      <c r="R83" s="321"/>
    </row>
    <row r="84" spans="1:18" ht="18" customHeight="1" outlineLevel="1">
      <c r="A84" s="344"/>
      <c r="B84" s="344" t="s">
        <v>688</v>
      </c>
      <c r="C84" s="322"/>
      <c r="D84" s="306">
        <f>IF(ISNA(VLOOKUP($B84,IS明細!B:D,3,0)),0,VLOOKUP($B84,IS明細!B:D,3,0))</f>
        <v>55645632</v>
      </c>
      <c r="E84" s="306">
        <f>IF(ISNA(VLOOKUP($B84,IS明細!$B:F,5,0)),0,VLOOKUP($B84,IS明細!$B:F,5,0))</f>
        <v>52320171</v>
      </c>
      <c r="F84" s="306">
        <f>IF(ISNA(VLOOKUP($B84,IS明細!$B:H,7,0)),0,VLOOKUP($B84,IS明細!$B:H,7,0))</f>
        <v>53472402</v>
      </c>
      <c r="G84" s="306">
        <f>IF(ISNA(VLOOKUP($B84,IS明細!$B:J,9,0)),0,VLOOKUP($B84,IS明細!$B:J,9,0))</f>
        <v>59943724</v>
      </c>
      <c r="H84" s="306">
        <f>IF(ISNA(VLOOKUP($B84,IS明細!$B:L,11,0)),0,VLOOKUP($B84,IS明細!$B:L,11,0))</f>
        <v>46938901</v>
      </c>
      <c r="I84" s="306">
        <f>IF(ISNA(VLOOKUP($B84,IS明細!$B:N,13,0)),0,VLOOKUP($B84,IS明細!$B:N,13,0))</f>
        <v>76556480</v>
      </c>
      <c r="J84" s="306">
        <f>IF(ISNA(VLOOKUP($B84,IS明細!$B:P,15,0)),0,VLOOKUP($B84,IS明細!$B:P,15,0))</f>
        <v>87191630</v>
      </c>
      <c r="K84" s="306">
        <f>IF(ISNA(VLOOKUP($B84,IS明細!$B:R,17,0)),0,VLOOKUP($B84,IS明細!$B:R,17,0))</f>
        <v>70950644</v>
      </c>
      <c r="L84" s="306">
        <f>IF(ISNA(VLOOKUP($B84,IS明細!$B:T,19,0)),0,VLOOKUP($B84,IS明細!$B:T,19,0))</f>
        <v>0</v>
      </c>
      <c r="M84" s="306">
        <f>IF(ISNA(VLOOKUP($B84,IS明細!$B:V,21,0)),0,VLOOKUP($B84,IS明細!$B:V,21,0))</f>
        <v>0</v>
      </c>
      <c r="N84" s="306">
        <f>IF(ISNA(VLOOKUP($B84,IS明細!$B:X,23,0)),0,VLOOKUP($B84,IS明細!$B:X,23,0))</f>
        <v>0</v>
      </c>
      <c r="O84" s="306">
        <f>IF(ISNA(VLOOKUP($B84,IS明細!$B:Z,25,0)),0,VLOOKUP($B84,IS明細!$B:Z,25,0))</f>
        <v>0</v>
      </c>
      <c r="P84" s="306">
        <f t="shared" si="4"/>
        <v>503019584</v>
      </c>
      <c r="Q84" s="337">
        <f t="shared" si="5"/>
        <v>0.88717891976344354</v>
      </c>
      <c r="R84" s="321"/>
    </row>
    <row r="85" spans="1:18" ht="18" customHeight="1" outlineLevel="1">
      <c r="A85" s="344"/>
      <c r="B85" s="344" t="s">
        <v>689</v>
      </c>
      <c r="C85" s="322"/>
      <c r="D85" s="306">
        <f>IF(ISNA(VLOOKUP($B85,IS明細!B:D,3,0)),0,VLOOKUP($B85,IS明細!B:D,3,0))</f>
        <v>0</v>
      </c>
      <c r="E85" s="306">
        <f>IF(ISNA(VLOOKUP($B85,IS明細!$B:F,5,0)),0,VLOOKUP($B85,IS明細!$B:F,5,0))</f>
        <v>0</v>
      </c>
      <c r="F85" s="306">
        <f>IF(ISNA(VLOOKUP($B85,IS明細!$B:H,7,0)),0,VLOOKUP($B85,IS明細!$B:H,7,0))</f>
        <v>0</v>
      </c>
      <c r="G85" s="306">
        <f>IF(ISNA(VLOOKUP($B85,IS明細!$B:J,9,0)),0,VLOOKUP($B85,IS明細!$B:J,9,0))</f>
        <v>0</v>
      </c>
      <c r="H85" s="306">
        <f>IF(ISNA(VLOOKUP($B85,IS明細!$B:L,11,0)),0,VLOOKUP($B85,IS明細!$B:L,11,0))</f>
        <v>0</v>
      </c>
      <c r="I85" s="306">
        <f>IF(ISNA(VLOOKUP($B85,IS明細!$B:N,13,0)),0,VLOOKUP($B85,IS明細!$B:N,13,0))</f>
        <v>0</v>
      </c>
      <c r="J85" s="306">
        <f>IF(ISNA(VLOOKUP($B85,IS明細!$B:P,15,0)),0,VLOOKUP($B85,IS明細!$B:P,15,0))</f>
        <v>0</v>
      </c>
      <c r="K85" s="306">
        <f>IF(ISNA(VLOOKUP($B85,IS明細!$B:R,17,0)),0,VLOOKUP($B85,IS明細!$B:R,17,0))</f>
        <v>0</v>
      </c>
      <c r="L85" s="306">
        <f>IF(ISNA(VLOOKUP($B85,IS明細!$B:T,19,0)),0,VLOOKUP($B85,IS明細!$B:T,19,0))</f>
        <v>0</v>
      </c>
      <c r="M85" s="306">
        <f>IF(ISNA(VLOOKUP($B85,IS明細!$B:V,21,0)),0,VLOOKUP($B85,IS明細!$B:V,21,0))</f>
        <v>0</v>
      </c>
      <c r="N85" s="306">
        <f>IF(ISNA(VLOOKUP($B85,IS明細!$B:X,23,0)),0,VLOOKUP($B85,IS明細!$B:X,23,0))</f>
        <v>0</v>
      </c>
      <c r="O85" s="306">
        <f>IF(ISNA(VLOOKUP($B85,IS明細!$B:Z,25,0)),0,VLOOKUP($B85,IS明細!$B:Z,25,0))</f>
        <v>0</v>
      </c>
      <c r="P85" s="306">
        <f t="shared" si="4"/>
        <v>0</v>
      </c>
      <c r="Q85" s="337">
        <f t="shared" si="5"/>
        <v>0</v>
      </c>
      <c r="R85" s="321"/>
    </row>
    <row r="86" spans="1:18" ht="18" customHeight="1" outlineLevel="1">
      <c r="A86" s="344"/>
      <c r="B86" s="344" t="s">
        <v>690</v>
      </c>
      <c r="C86" s="322"/>
      <c r="D86" s="306">
        <f>IF(ISNA(VLOOKUP($B86,IS明細!B:D,3,0)),0,VLOOKUP($B86,IS明細!B:D,3,0))</f>
        <v>1237</v>
      </c>
      <c r="E86" s="306">
        <f>IF(ISNA(VLOOKUP($B86,IS明細!$B:F,5,0)),0,VLOOKUP($B86,IS明細!$B:F,5,0))</f>
        <v>0</v>
      </c>
      <c r="F86" s="306">
        <f>IF(ISNA(VLOOKUP($B86,IS明細!$B:H,7,0)),0,VLOOKUP($B86,IS明細!$B:H,7,0))</f>
        <v>0</v>
      </c>
      <c r="G86" s="306">
        <f>IF(ISNA(VLOOKUP($B86,IS明細!$B:J,9,0)),0,VLOOKUP($B86,IS明細!$B:J,9,0))</f>
        <v>3591</v>
      </c>
      <c r="H86" s="306">
        <f>IF(ISNA(VLOOKUP($B86,IS明細!$B:L,11,0)),0,VLOOKUP($B86,IS明細!$B:L,11,0))</f>
        <v>0</v>
      </c>
      <c r="I86" s="306">
        <f>IF(ISNA(VLOOKUP($B86,IS明細!$B:N,13,0)),0,VLOOKUP($B86,IS明細!$B:N,13,0))</f>
        <v>0</v>
      </c>
      <c r="J86" s="306">
        <f>IF(ISNA(VLOOKUP($B86,IS明細!$B:P,15,0)),0,VLOOKUP($B86,IS明細!$B:P,15,0))</f>
        <v>0</v>
      </c>
      <c r="K86" s="306">
        <f>IF(ISNA(VLOOKUP($B86,IS明細!$B:R,17,0)),0,VLOOKUP($B86,IS明細!$B:R,17,0))</f>
        <v>0</v>
      </c>
      <c r="L86" s="306">
        <f>IF(ISNA(VLOOKUP($B86,IS明細!$B:T,19,0)),0,VLOOKUP($B86,IS明細!$B:T,19,0))</f>
        <v>0</v>
      </c>
      <c r="M86" s="306">
        <f>IF(ISNA(VLOOKUP($B86,IS明細!$B:V,21,0)),0,VLOOKUP($B86,IS明細!$B:V,21,0))</f>
        <v>0</v>
      </c>
      <c r="N86" s="306">
        <f>IF(ISNA(VLOOKUP($B86,IS明細!$B:X,23,0)),0,VLOOKUP($B86,IS明細!$B:X,23,0))</f>
        <v>0</v>
      </c>
      <c r="O86" s="306">
        <f>IF(ISNA(VLOOKUP($B86,IS明細!$B:Z,25,0)),0,VLOOKUP($B86,IS明細!$B:Z,25,0))</f>
        <v>0</v>
      </c>
      <c r="P86" s="306">
        <f t="shared" si="4"/>
        <v>4828</v>
      </c>
      <c r="Q86" s="337">
        <f t="shared" si="5"/>
        <v>8.5151750764000181E-6</v>
      </c>
      <c r="R86" s="321"/>
    </row>
    <row r="87" spans="1:18" ht="18" customHeight="1" outlineLevel="1">
      <c r="A87" s="344"/>
      <c r="B87" s="344" t="s">
        <v>691</v>
      </c>
      <c r="C87" s="322"/>
      <c r="D87" s="306">
        <f>IF(ISNA(VLOOKUP($B87,IS明細!B:D,3,0)),0,VLOOKUP($B87,IS明細!B:D,3,0))</f>
        <v>0</v>
      </c>
      <c r="E87" s="306">
        <f>IF(ISNA(VLOOKUP($B87,IS明細!$B:F,5,0)),0,VLOOKUP($B87,IS明細!$B:F,5,0))</f>
        <v>0</v>
      </c>
      <c r="F87" s="306">
        <f>IF(ISNA(VLOOKUP($B87,IS明細!$B:H,7,0)),0,VLOOKUP($B87,IS明細!$B:H,7,0))</f>
        <v>0</v>
      </c>
      <c r="G87" s="306">
        <f>IF(ISNA(VLOOKUP($B87,IS明細!$B:J,9,0)),0,VLOOKUP($B87,IS明細!$B:J,9,0))</f>
        <v>0</v>
      </c>
      <c r="H87" s="306">
        <f>IF(ISNA(VLOOKUP($B87,IS明細!$B:L,11,0)),0,VLOOKUP($B87,IS明細!$B:L,11,0))</f>
        <v>0</v>
      </c>
      <c r="I87" s="306">
        <f>IF(ISNA(VLOOKUP($B87,IS明細!$B:N,13,0)),0,VLOOKUP($B87,IS明細!$B:N,13,0))</f>
        <v>0</v>
      </c>
      <c r="J87" s="306">
        <f>IF(ISNA(VLOOKUP($B87,IS明細!$B:P,15,0)),0,VLOOKUP($B87,IS明細!$B:P,15,0))</f>
        <v>0</v>
      </c>
      <c r="K87" s="306">
        <f>IF(ISNA(VLOOKUP($B87,IS明細!$B:R,17,0)),0,VLOOKUP($B87,IS明細!$B:R,17,0))</f>
        <v>0</v>
      </c>
      <c r="L87" s="306">
        <f>IF(ISNA(VLOOKUP($B87,IS明細!$B:T,19,0)),0,VLOOKUP($B87,IS明細!$B:T,19,0))</f>
        <v>0</v>
      </c>
      <c r="M87" s="306">
        <f>IF(ISNA(VLOOKUP($B87,IS明細!$B:V,21,0)),0,VLOOKUP($B87,IS明細!$B:V,21,0))</f>
        <v>0</v>
      </c>
      <c r="N87" s="306">
        <f>IF(ISNA(VLOOKUP($B87,IS明細!$B:X,23,0)),0,VLOOKUP($B87,IS明細!$B:X,23,0))</f>
        <v>0</v>
      </c>
      <c r="O87" s="306">
        <f>IF(ISNA(VLOOKUP($B87,IS明細!$B:Z,25,0)),0,VLOOKUP($B87,IS明細!$B:Z,25,0))</f>
        <v>0</v>
      </c>
      <c r="P87" s="306">
        <f t="shared" si="4"/>
        <v>0</v>
      </c>
      <c r="Q87" s="337">
        <f t="shared" si="5"/>
        <v>0</v>
      </c>
      <c r="R87" s="321"/>
    </row>
    <row r="88" spans="1:18" ht="18" customHeight="1" outlineLevel="1">
      <c r="A88" s="344"/>
      <c r="B88" s="344" t="s">
        <v>692</v>
      </c>
      <c r="C88" s="322"/>
      <c r="D88" s="306">
        <f>IF(ISNA(VLOOKUP($B88,IS明細!B:D,3,0)),0,VLOOKUP($B88,IS明細!B:D,3,0))</f>
        <v>1237</v>
      </c>
      <c r="E88" s="306">
        <f>IF(ISNA(VLOOKUP($B88,IS明細!$B:F,5,0)),0,VLOOKUP($B88,IS明細!$B:F,5,0))</f>
        <v>0</v>
      </c>
      <c r="F88" s="306">
        <f>IF(ISNA(VLOOKUP($B88,IS明細!$B:H,7,0)),0,VLOOKUP($B88,IS明細!$B:H,7,0))</f>
        <v>0</v>
      </c>
      <c r="G88" s="306">
        <f>IF(ISNA(VLOOKUP($B88,IS明細!$B:J,9,0)),0,VLOOKUP($B88,IS明細!$B:J,9,0))</f>
        <v>3591</v>
      </c>
      <c r="H88" s="306">
        <f>IF(ISNA(VLOOKUP($B88,IS明細!$B:L,11,0)),0,VLOOKUP($B88,IS明細!$B:L,11,0))</f>
        <v>0</v>
      </c>
      <c r="I88" s="306">
        <f>IF(ISNA(VLOOKUP($B88,IS明細!$B:N,13,0)),0,VLOOKUP($B88,IS明細!$B:N,13,0))</f>
        <v>0</v>
      </c>
      <c r="J88" s="306">
        <f>IF(ISNA(VLOOKUP($B88,IS明細!$B:P,15,0)),0,VLOOKUP($B88,IS明細!$B:P,15,0))</f>
        <v>0</v>
      </c>
      <c r="K88" s="306">
        <f>IF(ISNA(VLOOKUP($B88,IS明細!$B:R,17,0)),0,VLOOKUP($B88,IS明細!$B:R,17,0))</f>
        <v>0</v>
      </c>
      <c r="L88" s="306">
        <f>IF(ISNA(VLOOKUP($B88,IS明細!$B:T,19,0)),0,VLOOKUP($B88,IS明細!$B:T,19,0))</f>
        <v>0</v>
      </c>
      <c r="M88" s="306">
        <f>IF(ISNA(VLOOKUP($B88,IS明細!$B:V,21,0)),0,VLOOKUP($B88,IS明細!$B:V,21,0))</f>
        <v>0</v>
      </c>
      <c r="N88" s="306">
        <f>IF(ISNA(VLOOKUP($B88,IS明細!$B:X,23,0)),0,VLOOKUP($B88,IS明細!$B:X,23,0))</f>
        <v>0</v>
      </c>
      <c r="O88" s="306">
        <f>IF(ISNA(VLOOKUP($B88,IS明細!$B:Z,25,0)),0,VLOOKUP($B88,IS明細!$B:Z,25,0))</f>
        <v>0</v>
      </c>
      <c r="P88" s="306">
        <f t="shared" si="4"/>
        <v>4828</v>
      </c>
      <c r="Q88" s="337">
        <f t="shared" si="5"/>
        <v>8.5151750764000181E-6</v>
      </c>
      <c r="R88" s="321"/>
    </row>
    <row r="89" spans="1:18" ht="21" customHeight="1">
      <c r="A89" s="347" t="s">
        <v>693</v>
      </c>
      <c r="B89" s="347"/>
      <c r="C89" s="348"/>
      <c r="D89" s="362">
        <f>IF(ISNA(VLOOKUP($A89,IS明細!A:D,4,0)),0,VLOOKUP($A89,IS明細!A:D,4,0))</f>
        <v>55646869</v>
      </c>
      <c r="E89" s="306">
        <f>IF(ISNA(VLOOKUP($A89,IS明細!$A:F,6,0)),0,VLOOKUP($A89,IS明細!$A:F,6,0))</f>
        <v>52320171</v>
      </c>
      <c r="F89" s="306">
        <f>IF(ISNA(VLOOKUP($A89,IS明細!$A:H,8,0)),0,VLOOKUP($A89,IS明細!$A:H,8,0))</f>
        <v>53472402</v>
      </c>
      <c r="G89" s="306">
        <f>IF(ISNA(VLOOKUP($A89,IS明細!$A:J,10,0)),0,VLOOKUP($A89,IS明細!$A:J,10,0))</f>
        <v>59947315</v>
      </c>
      <c r="H89" s="306">
        <f>IF(ISNA(VLOOKUP($A89,IS明細!$A:L,12,0)),0,VLOOKUP($A89,IS明細!$A:L,12,0))</f>
        <v>46938901</v>
      </c>
      <c r="I89" s="306">
        <f>IF(ISNA(VLOOKUP($A89,IS明細!$A:N,14,0)),0,VLOOKUP($A89,IS明細!$A:N,14,0))</f>
        <v>76556480</v>
      </c>
      <c r="J89" s="306">
        <f>IF(ISNA(VLOOKUP($A89,IS明細!$A:P,16,0)),0,VLOOKUP($A89,IS明細!$A:P,16,0))</f>
        <v>87191630</v>
      </c>
      <c r="K89" s="306">
        <f>IF(ISNA(VLOOKUP($A89,IS明細!$A:R,18,0)),0,VLOOKUP($A89,IS明細!$A:R,18,0))</f>
        <v>70950644</v>
      </c>
      <c r="L89" s="306">
        <f>IF(ISNA(VLOOKUP($A89,IS明細!$A:T,20,0)),0,VLOOKUP($A89,IS明細!$A:T,20,0))</f>
        <v>0</v>
      </c>
      <c r="M89" s="306">
        <f>IF(ISNA(VLOOKUP($A89,IS明細!$A:V,22,0)),0,VLOOKUP($A89,IS明細!$A:V,22,0))</f>
        <v>0</v>
      </c>
      <c r="N89" s="306">
        <f>IF(ISNA(VLOOKUP($A89,IS明細!$A:X,24,0)),0,VLOOKUP($A89,IS明細!$A:X,24,0))</f>
        <v>0</v>
      </c>
      <c r="O89" s="306">
        <f>IF(ISNA(VLOOKUP($A89,IS明細!$A:Z,26,0)),0,VLOOKUP($A89,IS明細!$A:Z,26,0))</f>
        <v>0</v>
      </c>
      <c r="P89" s="306">
        <f t="shared" si="4"/>
        <v>503024412</v>
      </c>
      <c r="Q89" s="349">
        <f>P89/$P$21</f>
        <v>0.88942479289135334</v>
      </c>
      <c r="R89" s="321"/>
    </row>
    <row r="90" spans="1:18" ht="21" customHeight="1">
      <c r="A90" s="344" t="s">
        <v>694</v>
      </c>
      <c r="B90" s="344"/>
      <c r="C90" s="322"/>
      <c r="D90" s="306">
        <f>IF(ISNA(VLOOKUP($A90,IS明細!$A:D,4,0)),0,VLOOKUP($A90,IS明細!$A:D,4,0))</f>
        <v>4600082</v>
      </c>
      <c r="E90" s="350">
        <f>IF(ISNA(VLOOKUP($A90,IS明細!$A:F,6,0)),0,VLOOKUP($A90,IS明細!$A:F,6,0))</f>
        <v>751329</v>
      </c>
      <c r="F90" s="350">
        <f>IF(ISNA(VLOOKUP($A90,IS明細!$A:H,8,0)),0,VLOOKUP($A90,IS明細!$A:H,8,0))</f>
        <v>10259568</v>
      </c>
      <c r="G90" s="350">
        <f>IF(ISNA(VLOOKUP($A90,IS明細!$A:J,10,0)),0,VLOOKUP($A90,IS明細!$A:J,10,0))</f>
        <v>7418365</v>
      </c>
      <c r="H90" s="350">
        <f>IF(ISNA(VLOOKUP($A90,IS明細!$A:L,12,0)),0,VLOOKUP($A90,IS明細!$A:L,12,0))</f>
        <v>6342442</v>
      </c>
      <c r="I90" s="350">
        <f>IF(ISNA(VLOOKUP($A90,IS明細!$A:N,14,0)),0,VLOOKUP($A90,IS明細!$A:N,14,0))</f>
        <v>10931486</v>
      </c>
      <c r="J90" s="350">
        <f>IF(ISNA(VLOOKUP($A90,IS明細!$A:P,16,0)),0,VLOOKUP($A90,IS明細!$A:P,16,0))</f>
        <v>11049536</v>
      </c>
      <c r="K90" s="350">
        <f>IF(ISNA(VLOOKUP($A90,IS明細!$A:R,18,0)),0,VLOOKUP($A90,IS明細!$A:R,18,0))</f>
        <v>11184271</v>
      </c>
      <c r="L90" s="350">
        <f>IF(ISNA(VLOOKUP($A90,IS明細!$A:T,20,0)),0,VLOOKUP($A90,IS明細!$A:T,20,0))</f>
        <v>0</v>
      </c>
      <c r="M90" s="350">
        <f>IF(ISNA(VLOOKUP($A90,IS明細!$A:V,22,0)),0,VLOOKUP($A90,IS明細!$A:V,22,0))</f>
        <v>0</v>
      </c>
      <c r="N90" s="350">
        <f>IF(ISNA(VLOOKUP($A90,IS明細!$A:X,24,0)),0,VLOOKUP($A90,IS明細!$A:X,24,0))</f>
        <v>0</v>
      </c>
      <c r="O90" s="350">
        <f>IF(ISNA(VLOOKUP($A90,IS明細!$A:Z,26,0)),0,VLOOKUP($A90,IS明細!$A:Z,26,0))</f>
        <v>0</v>
      </c>
      <c r="P90" s="350">
        <f t="shared" si="4"/>
        <v>62537079</v>
      </c>
      <c r="Q90" s="337">
        <f>P90/$P$21</f>
        <v>0.11057520710864666</v>
      </c>
      <c r="R90" s="321"/>
    </row>
    <row r="91" spans="1:18" ht="21" customHeight="1" thickBot="1">
      <c r="A91" s="351" t="s">
        <v>695</v>
      </c>
      <c r="B91" s="351"/>
      <c r="C91" s="352"/>
      <c r="D91" s="353">
        <f t="shared" ref="D91:P91" si="6">D90/D21*100</f>
        <v>7.6353772658138332</v>
      </c>
      <c r="E91" s="353">
        <f t="shared" si="6"/>
        <v>1.415692038099545</v>
      </c>
      <c r="F91" s="353">
        <f t="shared" si="6"/>
        <v>16.097992891165923</v>
      </c>
      <c r="G91" s="353">
        <f t="shared" si="6"/>
        <v>11.012083601026516</v>
      </c>
      <c r="H91" s="353">
        <f t="shared" si="6"/>
        <v>11.903682683073511</v>
      </c>
      <c r="I91" s="353">
        <f t="shared" si="6"/>
        <v>12.494845291065516</v>
      </c>
      <c r="J91" s="353">
        <f t="shared" si="6"/>
        <v>11.247358362990113</v>
      </c>
      <c r="K91" s="353">
        <f t="shared" si="6"/>
        <v>13.616950842403625</v>
      </c>
      <c r="L91" s="353" t="e">
        <f t="shared" si="6"/>
        <v>#DIV/0!</v>
      </c>
      <c r="M91" s="353" t="e">
        <f t="shared" si="6"/>
        <v>#DIV/0!</v>
      </c>
      <c r="N91" s="353" t="e">
        <f t="shared" si="6"/>
        <v>#DIV/0!</v>
      </c>
      <c r="O91" s="353" t="e">
        <f t="shared" si="6"/>
        <v>#DIV/0!</v>
      </c>
      <c r="P91" s="353">
        <f t="shared" si="6"/>
        <v>11.057520710864665</v>
      </c>
      <c r="Q91" s="354"/>
      <c r="R91" s="355" t="s">
        <v>696</v>
      </c>
    </row>
    <row r="92" spans="1:18" ht="18" hidden="1" customHeight="1" outlineLevel="1" thickTop="1">
      <c r="A92" s="344" t="s">
        <v>697</v>
      </c>
      <c r="B92" s="344"/>
      <c r="C92" s="322"/>
      <c r="D92" s="306"/>
      <c r="E92" s="306"/>
      <c r="F92" s="306"/>
      <c r="G92" s="306"/>
      <c r="H92" s="306"/>
      <c r="I92" s="306"/>
      <c r="J92" s="306"/>
      <c r="K92" s="306"/>
      <c r="L92" s="306"/>
      <c r="M92" s="306"/>
      <c r="N92" s="306"/>
      <c r="O92" s="306"/>
      <c r="P92" s="306"/>
      <c r="Q92" s="337"/>
      <c r="R92" s="321"/>
    </row>
    <row r="93" spans="1:18" ht="18" hidden="1" customHeight="1" outlineLevel="1">
      <c r="A93" s="344" t="s">
        <v>698</v>
      </c>
      <c r="B93" s="344"/>
      <c r="C93" s="322"/>
      <c r="D93" s="306"/>
      <c r="E93" s="306"/>
      <c r="F93" s="306"/>
      <c r="G93" s="306"/>
      <c r="H93" s="306"/>
      <c r="I93" s="306"/>
      <c r="J93" s="306"/>
      <c r="K93" s="306"/>
      <c r="L93" s="306"/>
      <c r="M93" s="306"/>
      <c r="N93" s="306"/>
      <c r="O93" s="306"/>
      <c r="P93" s="306"/>
      <c r="Q93" s="337"/>
      <c r="R93" s="321"/>
    </row>
    <row r="94" spans="1:18" ht="18" hidden="1" customHeight="1" outlineLevel="1">
      <c r="A94" s="344" t="s">
        <v>699</v>
      </c>
      <c r="B94" s="344"/>
      <c r="C94" s="322"/>
      <c r="D94" s="306"/>
      <c r="E94" s="306"/>
      <c r="F94" s="306"/>
      <c r="G94" s="306"/>
      <c r="H94" s="306"/>
      <c r="I94" s="306"/>
      <c r="J94" s="306"/>
      <c r="K94" s="306"/>
      <c r="L94" s="306"/>
      <c r="M94" s="306"/>
      <c r="N94" s="306"/>
      <c r="O94" s="306"/>
      <c r="P94" s="306"/>
      <c r="Q94" s="337"/>
      <c r="R94" s="321"/>
    </row>
    <row r="95" spans="1:18" s="307" customFormat="1" ht="18" hidden="1" customHeight="1" outlineLevel="1">
      <c r="A95" s="344"/>
      <c r="B95" s="344" t="s">
        <v>700</v>
      </c>
      <c r="C95" s="306"/>
      <c r="D95" s="306"/>
      <c r="E95" s="306"/>
      <c r="F95" s="306"/>
      <c r="G95" s="306"/>
      <c r="H95" s="306"/>
      <c r="I95" s="306"/>
      <c r="J95" s="306"/>
      <c r="K95" s="306"/>
      <c r="L95" s="306"/>
      <c r="M95" s="306"/>
      <c r="N95" s="306"/>
      <c r="O95" s="306"/>
      <c r="P95" s="306"/>
      <c r="Q95" s="337"/>
    </row>
    <row r="96" spans="1:18" ht="18" hidden="1" customHeight="1" outlineLevel="1">
      <c r="A96" s="344"/>
      <c r="B96" s="344" t="s">
        <v>701</v>
      </c>
      <c r="C96" s="322"/>
      <c r="D96" s="306">
        <f>IF(ISNA(VLOOKUP($B96,IS明細!B:D,3,0)),0,VLOOKUP($B96,IS明細!B:D,3,0))</f>
        <v>1400449</v>
      </c>
      <c r="E96" s="306">
        <f>IF(ISNA(VLOOKUP($B96,IS明細!$B:F,5,0)),0,VLOOKUP($B96,IS明細!$B:F,5,0))</f>
        <v>1731573</v>
      </c>
      <c r="F96" s="306">
        <f>IF(ISNA(VLOOKUP($B96,IS明細!$B:H,7,0)),0,VLOOKUP($B96,IS明細!$B:H,7,0))</f>
        <v>1617767</v>
      </c>
      <c r="G96" s="306">
        <f>IF(ISNA(VLOOKUP($B96,IS明細!$B:J,9,0)),0,VLOOKUP($B96,IS明細!$B:J,9,0))</f>
        <v>1595394</v>
      </c>
      <c r="H96" s="306">
        <f>IF(ISNA(VLOOKUP($B96,IS明細!$B:L,11,0)),0,VLOOKUP($B96,IS明細!$B:L,11,0))</f>
        <v>1548120</v>
      </c>
      <c r="I96" s="306">
        <f>IF(ISNA(VLOOKUP($B96,IS明細!$B:N,13,0)),0,VLOOKUP($B96,IS明細!$B:N,13,0))</f>
        <v>1519795</v>
      </c>
      <c r="J96" s="306">
        <f>IF(ISNA(VLOOKUP($B96,IS明細!$B:P,15,0)),0,VLOOKUP($B96,IS明細!$B:P,15,0))</f>
        <v>1616078</v>
      </c>
      <c r="K96" s="306">
        <f>IF(ISNA(VLOOKUP($B96,IS明細!$B:R,17,0)),0,VLOOKUP($B96,IS明細!$B:R,17,0))</f>
        <v>1718648</v>
      </c>
      <c r="L96" s="306">
        <f>IF(ISNA(VLOOKUP($B96,IS明細!$B:T,19,0)),0,VLOOKUP($B96,IS明細!$B:T,19,0))</f>
        <v>0</v>
      </c>
      <c r="M96" s="306">
        <f>IF(ISNA(VLOOKUP($B96,IS明細!$B:V,21,0)),0,VLOOKUP($B96,IS明細!$B:V,21,0))</f>
        <v>0</v>
      </c>
      <c r="N96" s="306">
        <f>IF(ISNA(VLOOKUP($B96,IS明細!$B:X,23,0)),0,VLOOKUP($B96,IS明細!$B:X,23,0))</f>
        <v>0</v>
      </c>
      <c r="O96" s="306">
        <f>IF(ISNA(VLOOKUP($B96,IS明細!$B:Z,25,0)),0,VLOOKUP($B96,IS明細!$B:Z,25,0))</f>
        <v>0</v>
      </c>
      <c r="P96" s="306">
        <f t="shared" si="4"/>
        <v>12747824</v>
      </c>
      <c r="Q96" s="337">
        <f t="shared" si="5"/>
        <v>2.2483420298909276E-2</v>
      </c>
      <c r="R96" s="321"/>
    </row>
    <row r="97" spans="1:18" ht="18" hidden="1" customHeight="1" outlineLevel="1">
      <c r="A97" s="344"/>
      <c r="B97" s="344" t="s">
        <v>702</v>
      </c>
      <c r="C97" s="322"/>
      <c r="D97" s="306">
        <f>IF(ISNA(VLOOKUP($B97,IS明細!B:D,3,0)),0,VLOOKUP($B97,IS明細!B:D,3,0))</f>
        <v>986000</v>
      </c>
      <c r="E97" s="306">
        <f>IF(ISNA(VLOOKUP($B97,IS明細!$B:F,5,0)),0,VLOOKUP($B97,IS明細!$B:F,5,0))</f>
        <v>1193611</v>
      </c>
      <c r="F97" s="306">
        <f>IF(ISNA(VLOOKUP($B97,IS明細!$B:H,7,0)),0,VLOOKUP($B97,IS明細!$B:H,7,0))</f>
        <v>1159419</v>
      </c>
      <c r="G97" s="306">
        <f>IF(ISNA(VLOOKUP($B97,IS明細!$B:J,9,0)),0,VLOOKUP($B97,IS明細!$B:J,9,0))</f>
        <v>1183297</v>
      </c>
      <c r="H97" s="306">
        <f>IF(ISNA(VLOOKUP($B97,IS明細!$B:L,11,0)),0,VLOOKUP($B97,IS明細!$B:L,11,0))</f>
        <v>1122853</v>
      </c>
      <c r="I97" s="306">
        <f>IF(ISNA(VLOOKUP($B97,IS明細!$B:N,13,0)),0,VLOOKUP($B97,IS明細!$B:N,13,0))</f>
        <v>1122449</v>
      </c>
      <c r="J97" s="306">
        <f>IF(ISNA(VLOOKUP($B97,IS明細!$B:P,15,0)),0,VLOOKUP($B97,IS明細!$B:P,15,0))</f>
        <v>1176565</v>
      </c>
      <c r="K97" s="306">
        <f>IF(ISNA(VLOOKUP($B97,IS明細!$B:R,17,0)),0,VLOOKUP($B97,IS明細!$B:R,17,0))</f>
        <v>1275463</v>
      </c>
      <c r="L97" s="306">
        <f>IF(ISNA(VLOOKUP($B97,IS明細!$B:T,19,0)),0,VLOOKUP($B97,IS明細!$B:T,19,0))</f>
        <v>0</v>
      </c>
      <c r="M97" s="306">
        <f>IF(ISNA(VLOOKUP($B97,IS明細!$B:V,21,0)),0,VLOOKUP($B97,IS明細!$B:V,21,0))</f>
        <v>0</v>
      </c>
      <c r="N97" s="306">
        <f>IF(ISNA(VLOOKUP($B97,IS明細!$B:X,23,0)),0,VLOOKUP($B97,IS明細!$B:X,23,0))</f>
        <v>0</v>
      </c>
      <c r="O97" s="306">
        <f>IF(ISNA(VLOOKUP($B97,IS明細!$B:Z,25,0)),0,VLOOKUP($B97,IS明細!$B:Z,25,0))</f>
        <v>0</v>
      </c>
      <c r="P97" s="306">
        <f t="shared" si="4"/>
        <v>9219657</v>
      </c>
      <c r="Q97" s="337">
        <f t="shared" si="5"/>
        <v>1.6260769158938891E-2</v>
      </c>
      <c r="R97" s="321"/>
    </row>
    <row r="98" spans="1:18" ht="18" hidden="1" customHeight="1" outlineLevel="1">
      <c r="A98" s="344"/>
      <c r="B98" s="344" t="s">
        <v>703</v>
      </c>
      <c r="C98" s="322"/>
      <c r="D98" s="306">
        <f>IF(ISNA(VLOOKUP($B98,IS明細!B:D,3,0)),0,VLOOKUP($B98,IS明細!B:D,3,0))</f>
        <v>0</v>
      </c>
      <c r="E98" s="306">
        <f>IF(ISNA(VLOOKUP($B98,IS明細!$B:F,5,0)),0,VLOOKUP($B98,IS明細!$B:F,5,0))</f>
        <v>18700</v>
      </c>
      <c r="F98" s="306">
        <f>IF(ISNA(VLOOKUP($B98,IS明細!$B:H,7,0)),0,VLOOKUP($B98,IS明細!$B:H,7,0))</f>
        <v>52614</v>
      </c>
      <c r="G98" s="306">
        <f>IF(ISNA(VLOOKUP($B98,IS明細!$B:J,9,0)),0,VLOOKUP($B98,IS明細!$B:J,9,0))</f>
        <v>0</v>
      </c>
      <c r="H98" s="306">
        <f>IF(ISNA(VLOOKUP($B98,IS明細!$B:L,11,0)),0,VLOOKUP($B98,IS明細!$B:L,11,0))</f>
        <v>15669</v>
      </c>
      <c r="I98" s="306">
        <f>IF(ISNA(VLOOKUP($B98,IS明細!$B:N,13,0)),0,VLOOKUP($B98,IS明細!$B:N,13,0))</f>
        <v>0</v>
      </c>
      <c r="J98" s="306">
        <f>IF(ISNA(VLOOKUP($B98,IS明細!$B:P,15,0)),0,VLOOKUP($B98,IS明細!$B:P,15,0))</f>
        <v>0</v>
      </c>
      <c r="K98" s="306">
        <f>IF(ISNA(VLOOKUP($B98,IS明細!$B:R,17,0)),0,VLOOKUP($B98,IS明細!$B:R,17,0))</f>
        <v>0</v>
      </c>
      <c r="L98" s="306">
        <f>IF(ISNA(VLOOKUP($B98,IS明細!$B:T,19,0)),0,VLOOKUP($B98,IS明細!$B:T,19,0))</f>
        <v>0</v>
      </c>
      <c r="M98" s="306">
        <f>IF(ISNA(VLOOKUP($B98,IS明細!$B:V,21,0)),0,VLOOKUP($B98,IS明細!$B:V,21,0))</f>
        <v>0</v>
      </c>
      <c r="N98" s="306">
        <f>IF(ISNA(VLOOKUP($B98,IS明細!$B:X,23,0)),0,VLOOKUP($B98,IS明細!$B:X,23,0))</f>
        <v>0</v>
      </c>
      <c r="O98" s="306">
        <f>IF(ISNA(VLOOKUP($B98,IS明細!$B:Z,25,0)),0,VLOOKUP($B98,IS明細!$B:Z,25,0))</f>
        <v>0</v>
      </c>
      <c r="P98" s="306">
        <f t="shared" si="4"/>
        <v>86983</v>
      </c>
      <c r="Q98" s="337">
        <f t="shared" si="5"/>
        <v>1.5341248419024499E-4</v>
      </c>
      <c r="R98" s="321"/>
    </row>
    <row r="99" spans="1:18" ht="18" hidden="1" customHeight="1" outlineLevel="1">
      <c r="A99" s="344"/>
      <c r="B99" s="344" t="s">
        <v>704</v>
      </c>
      <c r="C99" s="322"/>
      <c r="D99" s="306">
        <f>IF(ISNA(VLOOKUP($B99,IS明細!B:D,3,0)),0,VLOOKUP($B99,IS明細!B:D,3,0))</f>
        <v>0</v>
      </c>
      <c r="E99" s="306">
        <f>IF(ISNA(VLOOKUP($B99,IS明細!$B:F,5,0)),0,VLOOKUP($B99,IS明細!$B:F,5,0))</f>
        <v>0</v>
      </c>
      <c r="F99" s="306">
        <f>IF(ISNA(VLOOKUP($B99,IS明細!$B:H,7,0)),0,VLOOKUP($B99,IS明細!$B:H,7,0))</f>
        <v>0</v>
      </c>
      <c r="G99" s="306">
        <f>IF(ISNA(VLOOKUP($B99,IS明細!$B:J,9,0)),0,VLOOKUP($B99,IS明細!$B:J,9,0))</f>
        <v>0</v>
      </c>
      <c r="H99" s="306">
        <f>IF(ISNA(VLOOKUP($B99,IS明細!$B:L,11,0)),0,VLOOKUP($B99,IS明細!$B:L,11,0))</f>
        <v>0</v>
      </c>
      <c r="I99" s="306">
        <f>IF(ISNA(VLOOKUP($B99,IS明細!$B:N,13,0)),0,VLOOKUP($B99,IS明細!$B:N,13,0))</f>
        <v>0</v>
      </c>
      <c r="J99" s="306">
        <f>IF(ISNA(VLOOKUP($B99,IS明細!$B:P,15,0)),0,VLOOKUP($B99,IS明細!$B:P,15,0))</f>
        <v>0</v>
      </c>
      <c r="K99" s="306">
        <f>IF(ISNA(VLOOKUP($B99,IS明細!$B:R,17,0)),0,VLOOKUP($B99,IS明細!$B:R,17,0))</f>
        <v>0</v>
      </c>
      <c r="L99" s="306">
        <f>IF(ISNA(VLOOKUP($B99,IS明細!$B:T,19,0)),0,VLOOKUP($B99,IS明細!$B:T,19,0))</f>
        <v>0</v>
      </c>
      <c r="M99" s="306">
        <f>IF(ISNA(VLOOKUP($B99,IS明細!$B:V,21,0)),0,VLOOKUP($B99,IS明細!$B:V,21,0))</f>
        <v>0</v>
      </c>
      <c r="N99" s="306">
        <f>IF(ISNA(VLOOKUP($B99,IS明細!$B:X,23,0)),0,VLOOKUP($B99,IS明細!$B:X,23,0))</f>
        <v>0</v>
      </c>
      <c r="O99" s="306">
        <f>IF(ISNA(VLOOKUP($B99,IS明細!$B:Z,25,0)),0,VLOOKUP($B99,IS明細!$B:Z,25,0))</f>
        <v>0</v>
      </c>
      <c r="P99" s="306">
        <f t="shared" si="4"/>
        <v>0</v>
      </c>
      <c r="Q99" s="337">
        <f t="shared" si="5"/>
        <v>0</v>
      </c>
      <c r="R99" s="321"/>
    </row>
    <row r="100" spans="1:18" ht="18" hidden="1" customHeight="1" outlineLevel="1">
      <c r="A100" s="344"/>
      <c r="B100" s="344" t="s">
        <v>705</v>
      </c>
      <c r="C100" s="322"/>
      <c r="D100" s="306">
        <f>IF(ISNA(VLOOKUP($B100,IS明細!B:D,3,0)),0,VLOOKUP($B100,IS明細!B:D,3,0))</f>
        <v>0</v>
      </c>
      <c r="E100" s="306">
        <f>IF(ISNA(VLOOKUP($B100,IS明細!$B:F,5,0)),0,VLOOKUP($B100,IS明細!$B:F,5,0))</f>
        <v>18700</v>
      </c>
      <c r="F100" s="306">
        <f>IF(ISNA(VLOOKUP($B100,IS明細!$B:H,7,0)),0,VLOOKUP($B100,IS明細!$B:H,7,0))</f>
        <v>52614</v>
      </c>
      <c r="G100" s="306">
        <f>IF(ISNA(VLOOKUP($B100,IS明細!$B:J,9,0)),0,VLOOKUP($B100,IS明細!$B:J,9,0))</f>
        <v>0</v>
      </c>
      <c r="H100" s="306">
        <f>IF(ISNA(VLOOKUP($B100,IS明細!$B:L,11,0)),0,VLOOKUP($B100,IS明細!$B:L,11,0))</f>
        <v>15669</v>
      </c>
      <c r="I100" s="306">
        <f>IF(ISNA(VLOOKUP($B100,IS明細!$B:N,13,0)),0,VLOOKUP($B100,IS明細!$B:N,13,0))</f>
        <v>0</v>
      </c>
      <c r="J100" s="306">
        <f>IF(ISNA(VLOOKUP($B100,IS明細!$B:P,15,0)),0,VLOOKUP($B100,IS明細!$B:P,15,0))</f>
        <v>0</v>
      </c>
      <c r="K100" s="306">
        <f>IF(ISNA(VLOOKUP($B100,IS明細!$B:R,17,0)),0,VLOOKUP($B100,IS明細!$B:R,17,0))</f>
        <v>0</v>
      </c>
      <c r="L100" s="306">
        <f>IF(ISNA(VLOOKUP($B100,IS明細!$B:T,19,0)),0,VLOOKUP($B100,IS明細!$B:T,19,0))</f>
        <v>0</v>
      </c>
      <c r="M100" s="306">
        <f>IF(ISNA(VLOOKUP($B100,IS明細!$B:V,21,0)),0,VLOOKUP($B100,IS明細!$B:V,21,0))</f>
        <v>0</v>
      </c>
      <c r="N100" s="306">
        <f>IF(ISNA(VLOOKUP($B100,IS明細!$B:X,23,0)),0,VLOOKUP($B100,IS明細!$B:X,23,0))</f>
        <v>0</v>
      </c>
      <c r="O100" s="306">
        <f>IF(ISNA(VLOOKUP($B100,IS明細!$B:Z,25,0)),0,VLOOKUP($B100,IS明細!$B:Z,25,0))</f>
        <v>0</v>
      </c>
      <c r="P100" s="306">
        <f t="shared" si="4"/>
        <v>86983</v>
      </c>
      <c r="Q100" s="337">
        <f t="shared" si="5"/>
        <v>1.5341248419024499E-4</v>
      </c>
      <c r="R100" s="321"/>
    </row>
    <row r="101" spans="1:18" ht="18" hidden="1" customHeight="1" outlineLevel="1">
      <c r="A101" s="344"/>
      <c r="B101" s="344" t="s">
        <v>706</v>
      </c>
      <c r="C101" s="322"/>
      <c r="D101" s="306">
        <f>IF(ISNA(VLOOKUP($B101,IS明細!B:D,3,0)),0,VLOOKUP($B101,IS明細!B:D,3,0))</f>
        <v>353500</v>
      </c>
      <c r="E101" s="306">
        <f>IF(ISNA(VLOOKUP($B101,IS明細!$B:F,5,0)),0,VLOOKUP($B101,IS明細!$B:F,5,0))</f>
        <v>447100</v>
      </c>
      <c r="F101" s="306">
        <f>IF(ISNA(VLOOKUP($B101,IS明細!$B:H,7,0)),0,VLOOKUP($B101,IS明細!$B:H,7,0))</f>
        <v>335840</v>
      </c>
      <c r="G101" s="306">
        <f>IF(ISNA(VLOOKUP($B101,IS明細!$B:J,9,0)),0,VLOOKUP($B101,IS明細!$B:J,9,0))</f>
        <v>340900</v>
      </c>
      <c r="H101" s="306">
        <f>IF(ISNA(VLOOKUP($B101,IS明細!$B:L,11,0)),0,VLOOKUP($B101,IS明細!$B:L,11,0))</f>
        <v>342100</v>
      </c>
      <c r="I101" s="306">
        <f>IF(ISNA(VLOOKUP($B101,IS明細!$B:N,13,0)),0,VLOOKUP($B101,IS明細!$B:N,13,0))</f>
        <v>324800</v>
      </c>
      <c r="J101" s="306">
        <f>IF(ISNA(VLOOKUP($B101,IS明細!$B:P,15,0)),0,VLOOKUP($B101,IS明細!$B:P,15,0))</f>
        <v>364300</v>
      </c>
      <c r="K101" s="306">
        <f>IF(ISNA(VLOOKUP($B101,IS明細!$B:R,17,0)),0,VLOOKUP($B101,IS明細!$B:R,17,0))</f>
        <v>364300</v>
      </c>
      <c r="L101" s="306">
        <f>IF(ISNA(VLOOKUP($B101,IS明細!$B:T,19,0)),0,VLOOKUP($B101,IS明細!$B:T,19,0))</f>
        <v>0</v>
      </c>
      <c r="M101" s="306">
        <f>IF(ISNA(VLOOKUP($B101,IS明細!$B:V,21,0)),0,VLOOKUP($B101,IS明細!$B:V,21,0))</f>
        <v>0</v>
      </c>
      <c r="N101" s="306">
        <f>IF(ISNA(VLOOKUP($B101,IS明細!$B:X,23,0)),0,VLOOKUP($B101,IS明細!$B:X,23,0))</f>
        <v>0</v>
      </c>
      <c r="O101" s="306">
        <f>IF(ISNA(VLOOKUP($B101,IS明細!$B:Z,25,0)),0,VLOOKUP($B101,IS明細!$B:Z,25,0))</f>
        <v>0</v>
      </c>
      <c r="P101" s="306">
        <f t="shared" si="4"/>
        <v>2872840</v>
      </c>
      <c r="Q101" s="337">
        <f t="shared" si="5"/>
        <v>5.0668466376315308E-3</v>
      </c>
      <c r="R101" s="321"/>
    </row>
    <row r="102" spans="1:18" ht="18" hidden="1" customHeight="1" outlineLevel="1">
      <c r="A102" s="344"/>
      <c r="B102" s="344" t="s">
        <v>707</v>
      </c>
      <c r="C102" s="322"/>
      <c r="D102" s="306">
        <f>IF(ISNA(VLOOKUP($B102,IS明細!B:D,3,0)),0,VLOOKUP($B102,IS明細!B:D,3,0))</f>
        <v>60949</v>
      </c>
      <c r="E102" s="306">
        <f>IF(ISNA(VLOOKUP($B102,IS明細!$B:F,5,0)),0,VLOOKUP($B102,IS明細!$B:F,5,0))</f>
        <v>72162</v>
      </c>
      <c r="F102" s="306">
        <f>IF(ISNA(VLOOKUP($B102,IS明細!$B:H,7,0)),0,VLOOKUP($B102,IS明細!$B:H,7,0))</f>
        <v>69894</v>
      </c>
      <c r="G102" s="306">
        <f>IF(ISNA(VLOOKUP($B102,IS明細!$B:J,9,0)),0,VLOOKUP($B102,IS明細!$B:J,9,0))</f>
        <v>71197</v>
      </c>
      <c r="H102" s="306">
        <f>IF(ISNA(VLOOKUP($B102,IS明細!$B:L,11,0)),0,VLOOKUP($B102,IS明細!$B:L,11,0))</f>
        <v>67498</v>
      </c>
      <c r="I102" s="306">
        <f>IF(ISNA(VLOOKUP($B102,IS明細!$B:N,13,0)),0,VLOOKUP($B102,IS明細!$B:N,13,0))</f>
        <v>72546</v>
      </c>
      <c r="J102" s="306">
        <f>IF(ISNA(VLOOKUP($B102,IS明細!$B:P,15,0)),0,VLOOKUP($B102,IS明細!$B:P,15,0))</f>
        <v>75213</v>
      </c>
      <c r="K102" s="306">
        <f>IF(ISNA(VLOOKUP($B102,IS明細!$B:R,17,0)),0,VLOOKUP($B102,IS明細!$B:R,17,0))</f>
        <v>78885</v>
      </c>
      <c r="L102" s="306">
        <f>IF(ISNA(VLOOKUP($B102,IS明細!$B:T,19,0)),0,VLOOKUP($B102,IS明細!$B:T,19,0))</f>
        <v>0</v>
      </c>
      <c r="M102" s="306">
        <f>IF(ISNA(VLOOKUP($B102,IS明細!$B:V,21,0)),0,VLOOKUP($B102,IS明細!$B:V,21,0))</f>
        <v>0</v>
      </c>
      <c r="N102" s="306">
        <f>IF(ISNA(VLOOKUP($B102,IS明細!$B:X,23,0)),0,VLOOKUP($B102,IS明細!$B:X,23,0))</f>
        <v>0</v>
      </c>
      <c r="O102" s="306">
        <f>IF(ISNA(VLOOKUP($B102,IS明細!$B:Z,25,0)),0,VLOOKUP($B102,IS明細!$B:Z,25,0))</f>
        <v>0</v>
      </c>
      <c r="P102" s="306">
        <f t="shared" si="4"/>
        <v>568344</v>
      </c>
      <c r="Q102" s="337">
        <f t="shared" si="5"/>
        <v>1.0023920181486106E-3</v>
      </c>
      <c r="R102" s="321"/>
    </row>
    <row r="103" spans="1:18" ht="18" hidden="1" customHeight="1" outlineLevel="1">
      <c r="A103" s="344"/>
      <c r="B103" s="344" t="s">
        <v>708</v>
      </c>
      <c r="C103" s="322"/>
      <c r="D103" s="306">
        <f>IF(ISNA(VLOOKUP($B103,IS明細!B:D,3,0)),0,VLOOKUP($B103,IS明細!B:D,3,0))</f>
        <v>0</v>
      </c>
      <c r="E103" s="306">
        <f>IF(ISNA(VLOOKUP($B103,IS明細!$B:F,5,0)),0,VLOOKUP($B103,IS明細!$B:F,5,0))</f>
        <v>0</v>
      </c>
      <c r="F103" s="306">
        <f>IF(ISNA(VLOOKUP($B103,IS明細!$B:H,7,0)),0,VLOOKUP($B103,IS明細!$B:H,7,0))</f>
        <v>0</v>
      </c>
      <c r="G103" s="306">
        <f>IF(ISNA(VLOOKUP($B103,IS明細!$B:J,9,0)),0,VLOOKUP($B103,IS明細!$B:J,9,0))</f>
        <v>0</v>
      </c>
      <c r="H103" s="306">
        <f>IF(ISNA(VLOOKUP($B103,IS明細!$B:L,11,0)),0,VLOOKUP($B103,IS明細!$B:L,11,0))</f>
        <v>0</v>
      </c>
      <c r="I103" s="306">
        <f>IF(ISNA(VLOOKUP($B103,IS明細!$B:N,13,0)),0,VLOOKUP($B103,IS明細!$B:N,13,0))</f>
        <v>0</v>
      </c>
      <c r="J103" s="306">
        <f>IF(ISNA(VLOOKUP($B103,IS明細!$B:P,15,0)),0,VLOOKUP($B103,IS明細!$B:P,15,0))</f>
        <v>0</v>
      </c>
      <c r="K103" s="306">
        <f>IF(ISNA(VLOOKUP($B103,IS明細!$B:R,17,0)),0,VLOOKUP($B103,IS明細!$B:R,17,0))</f>
        <v>0</v>
      </c>
      <c r="L103" s="306">
        <f>IF(ISNA(VLOOKUP($B103,IS明細!$B:T,19,0)),0,VLOOKUP($B103,IS明細!$B:T,19,0))</f>
        <v>0</v>
      </c>
      <c r="M103" s="306">
        <f>IF(ISNA(VLOOKUP($B103,IS明細!$B:V,21,0)),0,VLOOKUP($B103,IS明細!$B:V,21,0))</f>
        <v>0</v>
      </c>
      <c r="N103" s="306">
        <f>IF(ISNA(VLOOKUP($B103,IS明細!$B:X,23,0)),0,VLOOKUP($B103,IS明細!$B:X,23,0))</f>
        <v>0</v>
      </c>
      <c r="O103" s="306">
        <f>IF(ISNA(VLOOKUP($B103,IS明細!$B:Z,25,0)),0,VLOOKUP($B103,IS明細!$B:Z,25,0))</f>
        <v>0</v>
      </c>
      <c r="P103" s="306">
        <f t="shared" si="4"/>
        <v>0</v>
      </c>
      <c r="Q103" s="337">
        <f t="shared" si="5"/>
        <v>0</v>
      </c>
      <c r="R103" s="321"/>
    </row>
    <row r="104" spans="1:18" ht="18" hidden="1" customHeight="1" outlineLevel="1">
      <c r="A104" s="344"/>
      <c r="B104" s="344" t="s">
        <v>709</v>
      </c>
      <c r="C104" s="322"/>
      <c r="D104" s="306">
        <f>IF(ISNA(VLOOKUP($B104,IS明細!B:D,3,0)),0,VLOOKUP($B104,IS明細!B:D,3,0))</f>
        <v>0</v>
      </c>
      <c r="E104" s="306">
        <f>IF(ISNA(VLOOKUP($B104,IS明細!$B:F,5,0)),0,VLOOKUP($B104,IS明細!$B:F,5,0))</f>
        <v>0</v>
      </c>
      <c r="F104" s="306">
        <f>IF(ISNA(VLOOKUP($B104,IS明細!$B:H,7,0)),0,VLOOKUP($B104,IS明細!$B:H,7,0))</f>
        <v>0</v>
      </c>
      <c r="G104" s="306">
        <f>IF(ISNA(VLOOKUP($B104,IS明細!$B:J,9,0)),0,VLOOKUP($B104,IS明細!$B:J,9,0))</f>
        <v>0</v>
      </c>
      <c r="H104" s="306">
        <f>IF(ISNA(VLOOKUP($B104,IS明細!$B:L,11,0)),0,VLOOKUP($B104,IS明細!$B:L,11,0))</f>
        <v>0</v>
      </c>
      <c r="I104" s="306">
        <f>IF(ISNA(VLOOKUP($B104,IS明細!$B:N,13,0)),0,VLOOKUP($B104,IS明細!$B:N,13,0))</f>
        <v>0</v>
      </c>
      <c r="J104" s="306">
        <f>IF(ISNA(VLOOKUP($B104,IS明細!$B:P,15,0)),0,VLOOKUP($B104,IS明細!$B:P,15,0))</f>
        <v>0</v>
      </c>
      <c r="K104" s="306">
        <f>IF(ISNA(VLOOKUP($B104,IS明細!$B:R,17,0)),0,VLOOKUP($B104,IS明細!$B:R,17,0))</f>
        <v>0</v>
      </c>
      <c r="L104" s="306">
        <f>IF(ISNA(VLOOKUP($B104,IS明細!$B:T,19,0)),0,VLOOKUP($B104,IS明細!$B:T,19,0))</f>
        <v>0</v>
      </c>
      <c r="M104" s="306">
        <f>IF(ISNA(VLOOKUP($B104,IS明細!$B:V,21,0)),0,VLOOKUP($B104,IS明細!$B:V,21,0))</f>
        <v>0</v>
      </c>
      <c r="N104" s="306">
        <f>IF(ISNA(VLOOKUP($B104,IS明細!$B:X,23,0)),0,VLOOKUP($B104,IS明細!$B:X,23,0))</f>
        <v>0</v>
      </c>
      <c r="O104" s="306">
        <f>IF(ISNA(VLOOKUP($B104,IS明細!$B:Z,25,0)),0,VLOOKUP($B104,IS明細!$B:Z,25,0))</f>
        <v>0</v>
      </c>
      <c r="P104" s="306">
        <f t="shared" si="4"/>
        <v>0</v>
      </c>
      <c r="Q104" s="337">
        <f t="shared" si="5"/>
        <v>0</v>
      </c>
      <c r="R104" s="321"/>
    </row>
    <row r="105" spans="1:18" ht="18" hidden="1" customHeight="1" outlineLevel="1">
      <c r="A105" s="344"/>
      <c r="B105" s="344" t="s">
        <v>710</v>
      </c>
      <c r="C105" s="322"/>
      <c r="D105" s="306">
        <f>IF(ISNA(VLOOKUP($B105,IS明細!B:D,3,0)),0,VLOOKUP($B105,IS明細!B:D,3,0))</f>
        <v>0</v>
      </c>
      <c r="E105" s="306">
        <f>IF(ISNA(VLOOKUP($B105,IS明細!$B:F,5,0)),0,VLOOKUP($B105,IS明細!$B:F,5,0))</f>
        <v>0</v>
      </c>
      <c r="F105" s="306">
        <f>IF(ISNA(VLOOKUP($B105,IS明細!$B:H,7,0)),0,VLOOKUP($B105,IS明細!$B:H,7,0))</f>
        <v>492</v>
      </c>
      <c r="G105" s="306">
        <f>IF(ISNA(VLOOKUP($B105,IS明細!$B:J,9,0)),0,VLOOKUP($B105,IS明細!$B:J,9,0))</f>
        <v>600</v>
      </c>
      <c r="H105" s="306">
        <f>IF(ISNA(VLOOKUP($B105,IS明細!$B:L,11,0)),0,VLOOKUP($B105,IS明細!$B:L,11,0))</f>
        <v>0</v>
      </c>
      <c r="I105" s="306">
        <f>IF(ISNA(VLOOKUP($B105,IS明細!$B:N,13,0)),0,VLOOKUP($B105,IS明細!$B:N,13,0))</f>
        <v>1491</v>
      </c>
      <c r="J105" s="306">
        <f>IF(ISNA(VLOOKUP($B105,IS明細!$B:P,15,0)),0,VLOOKUP($B105,IS明細!$B:P,15,0))</f>
        <v>2766</v>
      </c>
      <c r="K105" s="306">
        <f>IF(ISNA(VLOOKUP($B105,IS明細!$B:R,17,0)),0,VLOOKUP($B105,IS明細!$B:R,17,0))</f>
        <v>510</v>
      </c>
      <c r="L105" s="306">
        <f>IF(ISNA(VLOOKUP($B105,IS明細!$B:T,19,0)),0,VLOOKUP($B105,IS明細!$B:T,19,0))</f>
        <v>0</v>
      </c>
      <c r="M105" s="306">
        <f>IF(ISNA(VLOOKUP($B105,IS明細!$B:V,21,0)),0,VLOOKUP($B105,IS明細!$B:V,21,0))</f>
        <v>0</v>
      </c>
      <c r="N105" s="306">
        <f>IF(ISNA(VLOOKUP($B105,IS明細!$B:X,23,0)),0,VLOOKUP($B105,IS明細!$B:X,23,0))</f>
        <v>0</v>
      </c>
      <c r="O105" s="306">
        <f>IF(ISNA(VLOOKUP($B105,IS明細!$B:Z,25,0)),0,VLOOKUP($B105,IS明細!$B:Z,25,0))</f>
        <v>0</v>
      </c>
      <c r="P105" s="306">
        <f t="shared" si="4"/>
        <v>5859</v>
      </c>
      <c r="Q105" s="337">
        <f t="shared" si="5"/>
        <v>1.0333556498058763E-5</v>
      </c>
      <c r="R105" s="321"/>
    </row>
    <row r="106" spans="1:18" ht="18" hidden="1" customHeight="1" outlineLevel="1">
      <c r="A106" s="344"/>
      <c r="B106" s="344" t="s">
        <v>711</v>
      </c>
      <c r="C106" s="322"/>
      <c r="D106" s="306">
        <f>IF(ISNA(VLOOKUP($B106,IS明細!B:D,3,0)),0,VLOOKUP($B106,IS明細!B:D,3,0))</f>
        <v>14500</v>
      </c>
      <c r="E106" s="306">
        <f>IF(ISNA(VLOOKUP($B106,IS明細!$B:F,5,0)),0,VLOOKUP($B106,IS明細!$B:F,5,0))</f>
        <v>70700</v>
      </c>
      <c r="F106" s="306">
        <f>IF(ISNA(VLOOKUP($B106,IS明細!$B:H,7,0)),0,VLOOKUP($B106,IS明細!$B:H,7,0))</f>
        <v>98827</v>
      </c>
      <c r="G106" s="306">
        <f>IF(ISNA(VLOOKUP($B106,IS明細!$B:J,9,0)),0,VLOOKUP($B106,IS明細!$B:J,9,0))</f>
        <v>36419</v>
      </c>
      <c r="H106" s="306">
        <f>IF(ISNA(VLOOKUP($B106,IS明細!$B:L,11,0)),0,VLOOKUP($B106,IS明細!$B:L,11,0))</f>
        <v>160433</v>
      </c>
      <c r="I106" s="306">
        <f>IF(ISNA(VLOOKUP($B106,IS明細!$B:N,13,0)),0,VLOOKUP($B106,IS明細!$B:N,13,0))</f>
        <v>94864</v>
      </c>
      <c r="J106" s="306">
        <f>IF(ISNA(VLOOKUP($B106,IS明細!$B:P,15,0)),0,VLOOKUP($B106,IS明細!$B:P,15,0))</f>
        <v>83134</v>
      </c>
      <c r="K106" s="306">
        <f>IF(ISNA(VLOOKUP($B106,IS明細!$B:R,17,0)),0,VLOOKUP($B106,IS明細!$B:R,17,0))</f>
        <v>34846</v>
      </c>
      <c r="L106" s="306">
        <f>IF(ISNA(VLOOKUP($B106,IS明細!$B:T,19,0)),0,VLOOKUP($B106,IS明細!$B:T,19,0))</f>
        <v>0</v>
      </c>
      <c r="M106" s="306">
        <f>IF(ISNA(VLOOKUP($B106,IS明細!$B:V,21,0)),0,VLOOKUP($B106,IS明細!$B:V,21,0))</f>
        <v>0</v>
      </c>
      <c r="N106" s="306">
        <f>IF(ISNA(VLOOKUP($B106,IS明細!$B:X,23,0)),0,VLOOKUP($B106,IS明細!$B:X,23,0))</f>
        <v>0</v>
      </c>
      <c r="O106" s="306">
        <f>IF(ISNA(VLOOKUP($B106,IS明細!$B:Z,25,0)),0,VLOOKUP($B106,IS明細!$B:Z,25,0))</f>
        <v>0</v>
      </c>
      <c r="P106" s="306">
        <f t="shared" si="4"/>
        <v>593723</v>
      </c>
      <c r="Q106" s="337">
        <f t="shared" si="5"/>
        <v>1.0471531259083364E-3</v>
      </c>
      <c r="R106" s="321"/>
    </row>
    <row r="107" spans="1:18" ht="18" hidden="1" customHeight="1" outlineLevel="1">
      <c r="A107" s="344"/>
      <c r="B107" s="344" t="s">
        <v>712</v>
      </c>
      <c r="C107" s="322"/>
      <c r="D107" s="306">
        <f>IF(ISNA(VLOOKUP($B107,IS明細!B:D,3,0)),0,VLOOKUP($B107,IS明細!B:D,3,0))</f>
        <v>51044</v>
      </c>
      <c r="E107" s="306">
        <f>IF(ISNA(VLOOKUP($B107,IS明細!$B:F,5,0)),0,VLOOKUP($B107,IS明細!$B:F,5,0))</f>
        <v>18828</v>
      </c>
      <c r="F107" s="306">
        <f>IF(ISNA(VLOOKUP($B107,IS明細!$B:H,7,0)),0,VLOOKUP($B107,IS明細!$B:H,7,0))</f>
        <v>191659</v>
      </c>
      <c r="G107" s="306">
        <f>IF(ISNA(VLOOKUP($B107,IS明細!$B:J,9,0)),0,VLOOKUP($B107,IS明細!$B:J,9,0))</f>
        <v>-175991</v>
      </c>
      <c r="H107" s="306">
        <f>IF(ISNA(VLOOKUP($B107,IS明細!$B:L,11,0)),0,VLOOKUP($B107,IS明細!$B:L,11,0))</f>
        <v>15619</v>
      </c>
      <c r="I107" s="306">
        <f>IF(ISNA(VLOOKUP($B107,IS明細!$B:N,13,0)),0,VLOOKUP($B107,IS明細!$B:N,13,0))</f>
        <v>15194</v>
      </c>
      <c r="J107" s="306">
        <f>IF(ISNA(VLOOKUP($B107,IS明細!$B:P,15,0)),0,VLOOKUP($B107,IS明細!$B:P,15,0))</f>
        <v>10051</v>
      </c>
      <c r="K107" s="306">
        <f>IF(ISNA(VLOOKUP($B107,IS明細!$B:R,17,0)),0,VLOOKUP($B107,IS明細!$B:R,17,0))</f>
        <v>60530</v>
      </c>
      <c r="L107" s="306">
        <f>IF(ISNA(VLOOKUP($B107,IS明細!$B:T,19,0)),0,VLOOKUP($B107,IS明細!$B:T,19,0))</f>
        <v>0</v>
      </c>
      <c r="M107" s="306">
        <f>IF(ISNA(VLOOKUP($B107,IS明細!$B:V,21,0)),0,VLOOKUP($B107,IS明細!$B:V,21,0))</f>
        <v>0</v>
      </c>
      <c r="N107" s="306">
        <f>IF(ISNA(VLOOKUP($B107,IS明細!$B:X,23,0)),0,VLOOKUP($B107,IS明細!$B:X,23,0))</f>
        <v>0</v>
      </c>
      <c r="O107" s="306">
        <f>IF(ISNA(VLOOKUP($B107,IS明細!$B:Z,25,0)),0,VLOOKUP($B107,IS明細!$B:Z,25,0))</f>
        <v>0</v>
      </c>
      <c r="P107" s="306">
        <f t="shared" si="4"/>
        <v>186934</v>
      </c>
      <c r="Q107" s="337">
        <f t="shared" si="5"/>
        <v>3.2969671452604828E-4</v>
      </c>
      <c r="R107" s="321"/>
    </row>
    <row r="108" spans="1:18" ht="18" hidden="1" customHeight="1" outlineLevel="1">
      <c r="A108" s="344"/>
      <c r="B108" s="344" t="s">
        <v>713</v>
      </c>
      <c r="C108" s="322"/>
      <c r="D108" s="306">
        <f>IF(ISNA(VLOOKUP($B108,IS明細!B:D,3,0)),0,VLOOKUP($B108,IS明細!B:D,3,0))</f>
        <v>12943</v>
      </c>
      <c r="E108" s="306">
        <f>IF(ISNA(VLOOKUP($B108,IS明細!$B:F,5,0)),0,VLOOKUP($B108,IS明細!$B:F,5,0))</f>
        <v>0</v>
      </c>
      <c r="F108" s="306">
        <f>IF(ISNA(VLOOKUP($B108,IS明細!$B:H,7,0)),0,VLOOKUP($B108,IS明細!$B:H,7,0))</f>
        <v>19883</v>
      </c>
      <c r="G108" s="306">
        <f>IF(ISNA(VLOOKUP($B108,IS明細!$B:J,9,0)),0,VLOOKUP($B108,IS明細!$B:J,9,0))</f>
        <v>11820</v>
      </c>
      <c r="H108" s="306">
        <f>IF(ISNA(VLOOKUP($B108,IS明細!$B:L,11,0)),0,VLOOKUP($B108,IS明細!$B:L,11,0))</f>
        <v>12903</v>
      </c>
      <c r="I108" s="306">
        <f>IF(ISNA(VLOOKUP($B108,IS明細!$B:N,13,0)),0,VLOOKUP($B108,IS明細!$B:N,13,0))</f>
        <v>10150</v>
      </c>
      <c r="J108" s="306">
        <f>IF(ISNA(VLOOKUP($B108,IS明細!$B:P,15,0)),0,VLOOKUP($B108,IS明細!$B:P,15,0))</f>
        <v>10853</v>
      </c>
      <c r="K108" s="306">
        <f>IF(ISNA(VLOOKUP($B108,IS明細!$B:R,17,0)),0,VLOOKUP($B108,IS明細!$B:R,17,0))</f>
        <v>12045</v>
      </c>
      <c r="L108" s="306">
        <f>IF(ISNA(VLOOKUP($B108,IS明細!$B:T,19,0)),0,VLOOKUP($B108,IS明細!$B:T,19,0))</f>
        <v>0</v>
      </c>
      <c r="M108" s="306">
        <f>IF(ISNA(VLOOKUP($B108,IS明細!$B:V,21,0)),0,VLOOKUP($B108,IS明細!$B:V,21,0))</f>
        <v>0</v>
      </c>
      <c r="N108" s="306">
        <f>IF(ISNA(VLOOKUP($B108,IS明細!$B:X,23,0)),0,VLOOKUP($B108,IS明細!$B:X,23,0))</f>
        <v>0</v>
      </c>
      <c r="O108" s="306">
        <f>IF(ISNA(VLOOKUP($B108,IS明細!$B:Z,25,0)),0,VLOOKUP($B108,IS明細!$B:Z,25,0))</f>
        <v>0</v>
      </c>
      <c r="P108" s="306">
        <f t="shared" si="4"/>
        <v>90597</v>
      </c>
      <c r="Q108" s="337">
        <f t="shared" si="5"/>
        <v>1.5978651955190815E-4</v>
      </c>
      <c r="R108" s="321"/>
    </row>
    <row r="109" spans="1:18" ht="18" hidden="1" customHeight="1" outlineLevel="1">
      <c r="A109" s="344"/>
      <c r="B109" s="344" t="s">
        <v>714</v>
      </c>
      <c r="C109" s="322"/>
      <c r="D109" s="306">
        <f>IF(ISNA(VLOOKUP($B109,IS明細!B:D,3,0)),0,VLOOKUP($B109,IS明細!B:D,3,0))</f>
        <v>0</v>
      </c>
      <c r="E109" s="306">
        <f>IF(ISNA(VLOOKUP($B109,IS明細!$B:F,5,0)),0,VLOOKUP($B109,IS明細!$B:F,5,0))</f>
        <v>0</v>
      </c>
      <c r="F109" s="306">
        <f>IF(ISNA(VLOOKUP($B109,IS明細!$B:H,7,0)),0,VLOOKUP($B109,IS明細!$B:H,7,0))</f>
        <v>0</v>
      </c>
      <c r="G109" s="306">
        <f>IF(ISNA(VLOOKUP($B109,IS明細!$B:J,9,0)),0,VLOOKUP($B109,IS明細!$B:J,9,0))</f>
        <v>0</v>
      </c>
      <c r="H109" s="306">
        <f>IF(ISNA(VLOOKUP($B109,IS明細!$B:L,11,0)),0,VLOOKUP($B109,IS明細!$B:L,11,0))</f>
        <v>0</v>
      </c>
      <c r="I109" s="306">
        <f>IF(ISNA(VLOOKUP($B109,IS明細!$B:N,13,0)),0,VLOOKUP($B109,IS明細!$B:N,13,0))</f>
        <v>0</v>
      </c>
      <c r="J109" s="306">
        <f>IF(ISNA(VLOOKUP($B109,IS明細!$B:P,15,0)),0,VLOOKUP($B109,IS明細!$B:P,15,0))</f>
        <v>0</v>
      </c>
      <c r="K109" s="306">
        <f>IF(ISNA(VLOOKUP($B109,IS明細!$B:R,17,0)),0,VLOOKUP($B109,IS明細!$B:R,17,0))</f>
        <v>0</v>
      </c>
      <c r="L109" s="306">
        <f>IF(ISNA(VLOOKUP($B109,IS明細!$B:T,19,0)),0,VLOOKUP($B109,IS明細!$B:T,19,0))</f>
        <v>0</v>
      </c>
      <c r="M109" s="306">
        <f>IF(ISNA(VLOOKUP($B109,IS明細!$B:V,21,0)),0,VLOOKUP($B109,IS明細!$B:V,21,0))</f>
        <v>0</v>
      </c>
      <c r="N109" s="306">
        <f>IF(ISNA(VLOOKUP($B109,IS明細!$B:X,23,0)),0,VLOOKUP($B109,IS明細!$B:X,23,0))</f>
        <v>0</v>
      </c>
      <c r="O109" s="306">
        <f>IF(ISNA(VLOOKUP($B109,IS明細!$B:Z,25,0)),0,VLOOKUP($B109,IS明細!$B:Z,25,0))</f>
        <v>0</v>
      </c>
      <c r="P109" s="306">
        <f t="shared" si="4"/>
        <v>0</v>
      </c>
      <c r="Q109" s="337">
        <f t="shared" si="5"/>
        <v>0</v>
      </c>
      <c r="R109" s="321"/>
    </row>
    <row r="110" spans="1:18" ht="18" hidden="1" customHeight="1" outlineLevel="1">
      <c r="A110" s="344"/>
      <c r="B110" s="344" t="s">
        <v>715</v>
      </c>
      <c r="C110" s="322"/>
      <c r="D110" s="306">
        <f>IF(ISNA(VLOOKUP($B110,IS明細!B:D,3,0)),0,VLOOKUP($B110,IS明細!B:D,3,0))</f>
        <v>0</v>
      </c>
      <c r="E110" s="306">
        <f>IF(ISNA(VLOOKUP($B110,IS明細!$B:F,5,0)),0,VLOOKUP($B110,IS明細!$B:F,5,0))</f>
        <v>10000</v>
      </c>
      <c r="F110" s="306">
        <f>IF(ISNA(VLOOKUP($B110,IS明細!$B:H,7,0)),0,VLOOKUP($B110,IS明細!$B:H,7,0))</f>
        <v>0</v>
      </c>
      <c r="G110" s="306">
        <f>IF(ISNA(VLOOKUP($B110,IS明細!$B:J,9,0)),0,VLOOKUP($B110,IS明細!$B:J,9,0))</f>
        <v>0</v>
      </c>
      <c r="H110" s="306">
        <f>IF(ISNA(VLOOKUP($B110,IS明細!$B:L,11,0)),0,VLOOKUP($B110,IS明細!$B:L,11,0))</f>
        <v>0</v>
      </c>
      <c r="I110" s="306">
        <f>IF(ISNA(VLOOKUP($B110,IS明細!$B:N,13,0)),0,VLOOKUP($B110,IS明細!$B:N,13,0))</f>
        <v>489954</v>
      </c>
      <c r="J110" s="306">
        <f>IF(ISNA(VLOOKUP($B110,IS明細!$B:P,15,0)),0,VLOOKUP($B110,IS明細!$B:P,15,0))</f>
        <v>0</v>
      </c>
      <c r="K110" s="306">
        <f>IF(ISNA(VLOOKUP($B110,IS明細!$B:R,17,0)),0,VLOOKUP($B110,IS明細!$B:R,17,0))</f>
        <v>22625</v>
      </c>
      <c r="L110" s="306">
        <f>IF(ISNA(VLOOKUP($B110,IS明細!$B:T,19,0)),0,VLOOKUP($B110,IS明細!$B:T,19,0))</f>
        <v>0</v>
      </c>
      <c r="M110" s="306">
        <f>IF(ISNA(VLOOKUP($B110,IS明細!$B:V,21,0)),0,VLOOKUP($B110,IS明細!$B:V,21,0))</f>
        <v>0</v>
      </c>
      <c r="N110" s="306">
        <f>IF(ISNA(VLOOKUP($B110,IS明細!$B:X,23,0)),0,VLOOKUP($B110,IS明細!$B:X,23,0))</f>
        <v>0</v>
      </c>
      <c r="O110" s="306">
        <f>IF(ISNA(VLOOKUP($B110,IS明細!$B:Z,25,0)),0,VLOOKUP($B110,IS明細!$B:Z,25,0))</f>
        <v>0</v>
      </c>
      <c r="P110" s="306">
        <f t="shared" si="4"/>
        <v>522579</v>
      </c>
      <c r="Q110" s="337">
        <f t="shared" si="5"/>
        <v>9.2167598928128531E-4</v>
      </c>
      <c r="R110" s="321"/>
    </row>
    <row r="111" spans="1:18" ht="18" hidden="1" customHeight="1" outlineLevel="1">
      <c r="A111" s="344"/>
      <c r="B111" s="344" t="s">
        <v>716</v>
      </c>
      <c r="C111" s="322"/>
      <c r="D111" s="306">
        <f>IF(ISNA(VLOOKUP($B111,IS明細!B:D,3,0)),0,VLOOKUP($B111,IS明細!B:D,3,0))</f>
        <v>17701</v>
      </c>
      <c r="E111" s="306">
        <f>IF(ISNA(VLOOKUP($B111,IS明細!$B:F,5,0)),0,VLOOKUP($B111,IS明細!$B:F,5,0))</f>
        <v>10962</v>
      </c>
      <c r="F111" s="306">
        <f>IF(ISNA(VLOOKUP($B111,IS明細!$B:H,7,0)),0,VLOOKUP($B111,IS明細!$B:H,7,0))</f>
        <v>14270</v>
      </c>
      <c r="G111" s="306">
        <f>IF(ISNA(VLOOKUP($B111,IS明細!$B:J,9,0)),0,VLOOKUP($B111,IS明細!$B:J,9,0))</f>
        <v>14710</v>
      </c>
      <c r="H111" s="306">
        <f>IF(ISNA(VLOOKUP($B111,IS明細!$B:L,11,0)),0,VLOOKUP($B111,IS明細!$B:L,11,0))</f>
        <v>17659</v>
      </c>
      <c r="I111" s="306">
        <f>IF(ISNA(VLOOKUP($B111,IS明細!$B:N,13,0)),0,VLOOKUP($B111,IS明細!$B:N,13,0))</f>
        <v>18979</v>
      </c>
      <c r="J111" s="306">
        <f>IF(ISNA(VLOOKUP($B111,IS明細!$B:P,15,0)),0,VLOOKUP($B111,IS明細!$B:P,15,0))</f>
        <v>18905</v>
      </c>
      <c r="K111" s="306">
        <f>IF(ISNA(VLOOKUP($B111,IS明細!$B:R,17,0)),0,VLOOKUP($B111,IS明細!$B:R,17,0))</f>
        <v>26442</v>
      </c>
      <c r="L111" s="306">
        <f>IF(ISNA(VLOOKUP($B111,IS明細!$B:T,19,0)),0,VLOOKUP($B111,IS明細!$B:T,19,0))</f>
        <v>0</v>
      </c>
      <c r="M111" s="306">
        <f>IF(ISNA(VLOOKUP($B111,IS明細!$B:V,21,0)),0,VLOOKUP($B111,IS明細!$B:V,21,0))</f>
        <v>0</v>
      </c>
      <c r="N111" s="306">
        <f>IF(ISNA(VLOOKUP($B111,IS明細!$B:X,23,0)),0,VLOOKUP($B111,IS明細!$B:X,23,0))</f>
        <v>0</v>
      </c>
      <c r="O111" s="306">
        <f>IF(ISNA(VLOOKUP($B111,IS明細!$B:Z,25,0)),0,VLOOKUP($B111,IS明細!$B:Z,25,0))</f>
        <v>0</v>
      </c>
      <c r="P111" s="306">
        <f t="shared" si="4"/>
        <v>139628</v>
      </c>
      <c r="Q111" s="337">
        <f t="shared" si="5"/>
        <v>2.4626281391209231E-4</v>
      </c>
      <c r="R111" s="321"/>
    </row>
    <row r="112" spans="1:18" ht="18" hidden="1" customHeight="1" outlineLevel="1">
      <c r="A112" s="344"/>
      <c r="B112" s="344" t="s">
        <v>717</v>
      </c>
      <c r="C112" s="322"/>
      <c r="D112" s="306">
        <f>IF(ISNA(VLOOKUP($B112,IS明細!B:D,3,0)),0,VLOOKUP($B112,IS明細!B:D,3,0))</f>
        <v>103517</v>
      </c>
      <c r="E112" s="306">
        <f>IF(ISNA(VLOOKUP($B112,IS明細!$B:F,5,0)),0,VLOOKUP($B112,IS明細!$B:F,5,0))</f>
        <v>122908</v>
      </c>
      <c r="F112" s="306">
        <f>IF(ISNA(VLOOKUP($B112,IS明細!$B:H,7,0)),0,VLOOKUP($B112,IS明細!$B:H,7,0))</f>
        <v>122347</v>
      </c>
      <c r="G112" s="306">
        <f>IF(ISNA(VLOOKUP($B112,IS明細!$B:J,9,0)),0,VLOOKUP($B112,IS明細!$B:J,9,0))</f>
        <v>125238</v>
      </c>
      <c r="H112" s="306">
        <f>IF(ISNA(VLOOKUP($B112,IS明細!$B:L,11,0)),0,VLOOKUP($B112,IS明細!$B:L,11,0))</f>
        <v>121879</v>
      </c>
      <c r="I112" s="306">
        <f>IF(ISNA(VLOOKUP($B112,IS明細!$B:N,13,0)),0,VLOOKUP($B112,IS明細!$B:N,13,0))</f>
        <v>125170</v>
      </c>
      <c r="J112" s="306">
        <f>IF(ISNA(VLOOKUP($B112,IS明細!$B:P,15,0)),0,VLOOKUP($B112,IS明細!$B:P,15,0))</f>
        <v>128998</v>
      </c>
      <c r="K112" s="306">
        <f>IF(ISNA(VLOOKUP($B112,IS明細!$B:R,17,0)),0,VLOOKUP($B112,IS明細!$B:R,17,0))</f>
        <v>133537</v>
      </c>
      <c r="L112" s="306">
        <f>IF(ISNA(VLOOKUP($B112,IS明細!$B:T,19,0)),0,VLOOKUP($B112,IS明細!$B:T,19,0))</f>
        <v>0</v>
      </c>
      <c r="M112" s="306">
        <f>IF(ISNA(VLOOKUP($B112,IS明細!$B:V,21,0)),0,VLOOKUP($B112,IS明細!$B:V,21,0))</f>
        <v>0</v>
      </c>
      <c r="N112" s="306">
        <f>IF(ISNA(VLOOKUP($B112,IS明細!$B:X,23,0)),0,VLOOKUP($B112,IS明細!$B:X,23,0))</f>
        <v>0</v>
      </c>
      <c r="O112" s="306">
        <f>IF(ISNA(VLOOKUP($B112,IS明細!$B:Z,25,0)),0,VLOOKUP($B112,IS明細!$B:Z,25,0))</f>
        <v>0</v>
      </c>
      <c r="P112" s="306">
        <f t="shared" si="4"/>
        <v>983594</v>
      </c>
      <c r="Q112" s="337">
        <f t="shared" si="5"/>
        <v>1.7347711503928334E-3</v>
      </c>
      <c r="R112" s="321"/>
    </row>
    <row r="113" spans="1:18" ht="18" hidden="1" customHeight="1" outlineLevel="1">
      <c r="A113" s="344"/>
      <c r="B113" s="344" t="s">
        <v>718</v>
      </c>
      <c r="C113" s="322"/>
      <c r="D113" s="306">
        <f>IF(ISNA(VLOOKUP($B113,IS明細!B:D,3,0)),0,VLOOKUP($B113,IS明細!B:D,3,0))</f>
        <v>1245</v>
      </c>
      <c r="E113" s="306">
        <f>IF(ISNA(VLOOKUP($B113,IS明細!$B:F,5,0)),0,VLOOKUP($B113,IS明細!$B:F,5,0))</f>
        <v>4745</v>
      </c>
      <c r="F113" s="306">
        <f>IF(ISNA(VLOOKUP($B113,IS明細!$B:H,7,0)),0,VLOOKUP($B113,IS明細!$B:H,7,0))</f>
        <v>101010</v>
      </c>
      <c r="G113" s="306">
        <f>IF(ISNA(VLOOKUP($B113,IS明細!$B:J,9,0)),0,VLOOKUP($B113,IS明細!$B:J,9,0))</f>
        <v>84510</v>
      </c>
      <c r="H113" s="306">
        <f>IF(ISNA(VLOOKUP($B113,IS明細!$B:L,11,0)),0,VLOOKUP($B113,IS明細!$B:L,11,0))</f>
        <v>35922</v>
      </c>
      <c r="I113" s="306">
        <f>IF(ISNA(VLOOKUP($B113,IS明細!$B:N,13,0)),0,VLOOKUP($B113,IS明細!$B:N,13,0))</f>
        <v>163716</v>
      </c>
      <c r="J113" s="306">
        <f>IF(ISNA(VLOOKUP($B113,IS明細!$B:P,15,0)),0,VLOOKUP($B113,IS明細!$B:P,15,0))</f>
        <v>46187</v>
      </c>
      <c r="K113" s="306">
        <f>IF(ISNA(VLOOKUP($B113,IS明細!$B:R,17,0)),0,VLOOKUP($B113,IS明細!$B:R,17,0))</f>
        <v>45967</v>
      </c>
      <c r="L113" s="306">
        <f>IF(ISNA(VLOOKUP($B113,IS明細!$B:T,19,0)),0,VLOOKUP($B113,IS明細!$B:T,19,0))</f>
        <v>0</v>
      </c>
      <c r="M113" s="306">
        <f>IF(ISNA(VLOOKUP($B113,IS明細!$B:V,21,0)),0,VLOOKUP($B113,IS明細!$B:V,21,0))</f>
        <v>0</v>
      </c>
      <c r="N113" s="306">
        <f>IF(ISNA(VLOOKUP($B113,IS明細!$B:X,23,0)),0,VLOOKUP($B113,IS明細!$B:X,23,0))</f>
        <v>0</v>
      </c>
      <c r="O113" s="306">
        <f>IF(ISNA(VLOOKUP($B113,IS明細!$B:Z,25,0)),0,VLOOKUP($B113,IS明細!$B:Z,25,0))</f>
        <v>0</v>
      </c>
      <c r="P113" s="306">
        <f t="shared" si="4"/>
        <v>483302</v>
      </c>
      <c r="Q113" s="337">
        <f t="shared" si="5"/>
        <v>8.5240288831281723E-4</v>
      </c>
      <c r="R113" s="321"/>
    </row>
    <row r="114" spans="1:18" ht="18" hidden="1" customHeight="1" outlineLevel="1">
      <c r="A114" s="344"/>
      <c r="B114" s="344" t="s">
        <v>719</v>
      </c>
      <c r="C114" s="322"/>
      <c r="D114" s="306">
        <f>IF(ISNA(VLOOKUP($B114,IS明細!B:D,3,0)),0,VLOOKUP($B114,IS明細!B:D,3,0))</f>
        <v>0</v>
      </c>
      <c r="E114" s="306">
        <f>IF(ISNA(VLOOKUP($B114,IS明細!$B:F,5,0)),0,VLOOKUP($B114,IS明細!$B:F,5,0))</f>
        <v>0</v>
      </c>
      <c r="F114" s="306">
        <f>IF(ISNA(VLOOKUP($B114,IS明細!$B:H,7,0)),0,VLOOKUP($B114,IS明細!$B:H,7,0))</f>
        <v>0</v>
      </c>
      <c r="G114" s="306">
        <f>IF(ISNA(VLOOKUP($B114,IS明細!$B:J,9,0)),0,VLOOKUP($B114,IS明細!$B:J,9,0))</f>
        <v>0</v>
      </c>
      <c r="H114" s="306">
        <f>IF(ISNA(VLOOKUP($B114,IS明細!$B:L,11,0)),0,VLOOKUP($B114,IS明細!$B:L,11,0))</f>
        <v>0</v>
      </c>
      <c r="I114" s="306">
        <f>IF(ISNA(VLOOKUP($B114,IS明細!$B:N,13,0)),0,VLOOKUP($B114,IS明細!$B:N,13,0))</f>
        <v>0</v>
      </c>
      <c r="J114" s="306">
        <f>IF(ISNA(VLOOKUP($B114,IS明細!$B:P,15,0)),0,VLOOKUP($B114,IS明細!$B:P,15,0))</f>
        <v>0</v>
      </c>
      <c r="K114" s="306">
        <f>IF(ISNA(VLOOKUP($B114,IS明細!$B:R,17,0)),0,VLOOKUP($B114,IS明細!$B:R,17,0))</f>
        <v>0</v>
      </c>
      <c r="L114" s="306">
        <f>IF(ISNA(VLOOKUP($B114,IS明細!$B:T,19,0)),0,VLOOKUP($B114,IS明細!$B:T,19,0))</f>
        <v>0</v>
      </c>
      <c r="M114" s="306">
        <f>IF(ISNA(VLOOKUP($B114,IS明細!$B:V,21,0)),0,VLOOKUP($B114,IS明細!$B:V,21,0))</f>
        <v>0</v>
      </c>
      <c r="N114" s="306">
        <f>IF(ISNA(VLOOKUP($B114,IS明細!$B:X,23,0)),0,VLOOKUP($B114,IS明細!$B:X,23,0))</f>
        <v>0</v>
      </c>
      <c r="O114" s="306">
        <f>IF(ISNA(VLOOKUP($B114,IS明細!$B:Z,25,0)),0,VLOOKUP($B114,IS明細!$B:Z,25,0))</f>
        <v>0</v>
      </c>
      <c r="P114" s="306">
        <f t="shared" si="4"/>
        <v>0</v>
      </c>
      <c r="Q114" s="337">
        <f t="shared" si="5"/>
        <v>0</v>
      </c>
      <c r="R114" s="321"/>
    </row>
    <row r="115" spans="1:18" ht="18" hidden="1" customHeight="1" outlineLevel="1">
      <c r="A115" s="344"/>
      <c r="B115" s="344" t="s">
        <v>720</v>
      </c>
      <c r="C115" s="322"/>
      <c r="D115" s="306">
        <f>IF(ISNA(VLOOKUP($B115,IS明細!B:D,3,0)),0,VLOOKUP($B115,IS明細!B:D,3,0))</f>
        <v>0</v>
      </c>
      <c r="E115" s="306">
        <f>IF(ISNA(VLOOKUP($B115,IS明細!$B:F,5,0)),0,VLOOKUP($B115,IS明細!$B:F,5,0))</f>
        <v>0</v>
      </c>
      <c r="F115" s="306">
        <f>IF(ISNA(VLOOKUP($B115,IS明細!$B:H,7,0)),0,VLOOKUP($B115,IS明細!$B:H,7,0))</f>
        <v>0</v>
      </c>
      <c r="G115" s="306">
        <f>IF(ISNA(VLOOKUP($B115,IS明細!$B:J,9,0)),0,VLOOKUP($B115,IS明細!$B:J,9,0))</f>
        <v>0</v>
      </c>
      <c r="H115" s="306">
        <f>IF(ISNA(VLOOKUP($B115,IS明細!$B:L,11,0)),0,VLOOKUP($B115,IS明細!$B:L,11,0))</f>
        <v>0</v>
      </c>
      <c r="I115" s="306">
        <f>IF(ISNA(VLOOKUP($B115,IS明細!$B:N,13,0)),0,VLOOKUP($B115,IS明細!$B:N,13,0))</f>
        <v>0</v>
      </c>
      <c r="J115" s="306">
        <f>IF(ISNA(VLOOKUP($B115,IS明細!$B:P,15,0)),0,VLOOKUP($B115,IS明細!$B:P,15,0))</f>
        <v>0</v>
      </c>
      <c r="K115" s="306">
        <f>IF(ISNA(VLOOKUP($B115,IS明細!$B:R,17,0)),0,VLOOKUP($B115,IS明細!$B:R,17,0))</f>
        <v>0</v>
      </c>
      <c r="L115" s="306">
        <f>IF(ISNA(VLOOKUP($B115,IS明細!$B:T,19,0)),0,VLOOKUP($B115,IS明細!$B:T,19,0))</f>
        <v>0</v>
      </c>
      <c r="M115" s="306">
        <f>IF(ISNA(VLOOKUP($B115,IS明細!$B:V,21,0)),0,VLOOKUP($B115,IS明細!$B:V,21,0))</f>
        <v>0</v>
      </c>
      <c r="N115" s="306">
        <f>IF(ISNA(VLOOKUP($B115,IS明細!$B:X,23,0)),0,VLOOKUP($B115,IS明細!$B:X,23,0))</f>
        <v>0</v>
      </c>
      <c r="O115" s="306">
        <f>IF(ISNA(VLOOKUP($B115,IS明細!$B:Z,25,0)),0,VLOOKUP($B115,IS明細!$B:Z,25,0))</f>
        <v>0</v>
      </c>
      <c r="P115" s="306">
        <f t="shared" si="4"/>
        <v>0</v>
      </c>
      <c r="Q115" s="337">
        <f t="shared" si="5"/>
        <v>0</v>
      </c>
      <c r="R115" s="321"/>
    </row>
    <row r="116" spans="1:18" ht="18" hidden="1" customHeight="1" outlineLevel="1">
      <c r="A116" s="344"/>
      <c r="B116" s="344" t="s">
        <v>721</v>
      </c>
      <c r="C116" s="322"/>
      <c r="D116" s="306">
        <f>IF(ISNA(VLOOKUP($B116,IS明細!B:D,3,0)),0,VLOOKUP($B116,IS明細!B:D,3,0))</f>
        <v>0</v>
      </c>
      <c r="E116" s="306">
        <f>IF(ISNA(VLOOKUP($B116,IS明細!$B:F,5,0)),0,VLOOKUP($B116,IS明細!$B:F,5,0))</f>
        <v>-153329</v>
      </c>
      <c r="F116" s="306">
        <f>IF(ISNA(VLOOKUP($B116,IS明細!$B:H,7,0)),0,VLOOKUP($B116,IS明細!$B:H,7,0))</f>
        <v>-419419</v>
      </c>
      <c r="G116" s="306">
        <f>IF(ISNA(VLOOKUP($B116,IS明細!$B:J,9,0)),0,VLOOKUP($B116,IS明細!$B:J,9,0))</f>
        <v>5198</v>
      </c>
      <c r="H116" s="306">
        <f>IF(ISNA(VLOOKUP($B116,IS明細!$B:L,11,0)),0,VLOOKUP($B116,IS明細!$B:L,11,0))</f>
        <v>-5198</v>
      </c>
      <c r="I116" s="306">
        <f>IF(ISNA(VLOOKUP($B116,IS明細!$B:N,13,0)),0,VLOOKUP($B116,IS明細!$B:N,13,0))</f>
        <v>0</v>
      </c>
      <c r="J116" s="306">
        <f>IF(ISNA(VLOOKUP($B116,IS明細!$B:P,15,0)),0,VLOOKUP($B116,IS明細!$B:P,15,0))</f>
        <v>0</v>
      </c>
      <c r="K116" s="306">
        <f>IF(ISNA(VLOOKUP($B116,IS明細!$B:R,17,0)),0,VLOOKUP($B116,IS明細!$B:R,17,0))</f>
        <v>0</v>
      </c>
      <c r="L116" s="306">
        <f>IF(ISNA(VLOOKUP($B116,IS明細!$B:T,19,0)),0,VLOOKUP($B116,IS明細!$B:T,19,0))</f>
        <v>0</v>
      </c>
      <c r="M116" s="306">
        <f>IF(ISNA(VLOOKUP($B116,IS明細!$B:V,21,0)),0,VLOOKUP($B116,IS明細!$B:V,21,0))</f>
        <v>0</v>
      </c>
      <c r="N116" s="306">
        <f>IF(ISNA(VLOOKUP($B116,IS明細!$B:X,23,0)),0,VLOOKUP($B116,IS明細!$B:X,23,0))</f>
        <v>0</v>
      </c>
      <c r="O116" s="306">
        <f>IF(ISNA(VLOOKUP($B116,IS明細!$B:Z,25,0)),0,VLOOKUP($B116,IS明細!$B:Z,25,0))</f>
        <v>0</v>
      </c>
      <c r="P116" s="306">
        <f t="shared" si="4"/>
        <v>-572748</v>
      </c>
      <c r="Q116" s="337">
        <f t="shared" si="5"/>
        <v>-1.0101593816607204E-3</v>
      </c>
      <c r="R116" s="321"/>
    </row>
    <row r="117" spans="1:18" ht="18" hidden="1" customHeight="1" outlineLevel="1">
      <c r="A117" s="344"/>
      <c r="B117" s="344" t="s">
        <v>722</v>
      </c>
      <c r="C117" s="322"/>
      <c r="D117" s="306">
        <f>IF(ISNA(VLOOKUP($B117,IS明細!B:D,3,0)),0,VLOOKUP($B117,IS明細!B:D,3,0))</f>
        <v>391</v>
      </c>
      <c r="E117" s="306">
        <f>IF(ISNA(VLOOKUP($B117,IS明細!$B:F,5,0)),0,VLOOKUP($B117,IS明細!$B:F,5,0))</f>
        <v>392</v>
      </c>
      <c r="F117" s="306">
        <f>IF(ISNA(VLOOKUP($B117,IS明細!$B:H,7,0)),0,VLOOKUP($B117,IS明細!$B:H,7,0))</f>
        <v>391</v>
      </c>
      <c r="G117" s="306">
        <f>IF(ISNA(VLOOKUP($B117,IS明細!$B:J,9,0)),0,VLOOKUP($B117,IS明細!$B:J,9,0))</f>
        <v>392</v>
      </c>
      <c r="H117" s="306">
        <f>IF(ISNA(VLOOKUP($B117,IS明細!$B:L,11,0)),0,VLOOKUP($B117,IS明細!$B:L,11,0))</f>
        <v>391</v>
      </c>
      <c r="I117" s="306">
        <f>IF(ISNA(VLOOKUP($B117,IS明細!$B:N,13,0)),0,VLOOKUP($B117,IS明細!$B:N,13,0))</f>
        <v>392</v>
      </c>
      <c r="J117" s="306">
        <f>IF(ISNA(VLOOKUP($B117,IS明細!$B:P,15,0)),0,VLOOKUP($B117,IS明細!$B:P,15,0))</f>
        <v>391</v>
      </c>
      <c r="K117" s="306">
        <f>IF(ISNA(VLOOKUP($B117,IS明細!$B:R,17,0)),0,VLOOKUP($B117,IS明細!$B:R,17,0))</f>
        <v>392</v>
      </c>
      <c r="L117" s="306">
        <f>IF(ISNA(VLOOKUP($B117,IS明細!$B:T,19,0)),0,VLOOKUP($B117,IS明細!$B:T,19,0))</f>
        <v>0</v>
      </c>
      <c r="M117" s="306">
        <f>IF(ISNA(VLOOKUP($B117,IS明細!$B:V,21,0)),0,VLOOKUP($B117,IS明細!$B:V,21,0))</f>
        <v>0</v>
      </c>
      <c r="N117" s="306">
        <f>IF(ISNA(VLOOKUP($B117,IS明細!$B:X,23,0)),0,VLOOKUP($B117,IS明細!$B:X,23,0))</f>
        <v>0</v>
      </c>
      <c r="O117" s="306">
        <f>IF(ISNA(VLOOKUP($B117,IS明細!$B:Z,25,0)),0,VLOOKUP($B117,IS明細!$B:Z,25,0))</f>
        <v>0</v>
      </c>
      <c r="P117" s="306">
        <f t="shared" si="4"/>
        <v>3132</v>
      </c>
      <c r="Q117" s="337">
        <f t="shared" si="5"/>
        <v>5.5239288192387856E-6</v>
      </c>
      <c r="R117" s="321"/>
    </row>
    <row r="118" spans="1:18" ht="18" hidden="1" customHeight="1" outlineLevel="1">
      <c r="A118" s="344"/>
      <c r="B118" s="344" t="s">
        <v>723</v>
      </c>
      <c r="C118" s="322"/>
      <c r="D118" s="306">
        <f>IF(ISNA(VLOOKUP($B118,IS明細!B:D,3,0)),0,VLOOKUP($B118,IS明細!B:D,3,0))</f>
        <v>3288</v>
      </c>
      <c r="E118" s="306">
        <f>IF(ISNA(VLOOKUP($B118,IS明細!$B:F,5,0)),0,VLOOKUP($B118,IS明細!$B:F,5,0))</f>
        <v>3347</v>
      </c>
      <c r="F118" s="306">
        <f>IF(ISNA(VLOOKUP($B118,IS明細!$B:H,7,0)),0,VLOOKUP($B118,IS明細!$B:H,7,0))</f>
        <v>3266</v>
      </c>
      <c r="G118" s="306">
        <f>IF(ISNA(VLOOKUP($B118,IS明細!$B:J,9,0)),0,VLOOKUP($B118,IS明細!$B:J,9,0))</f>
        <v>3348</v>
      </c>
      <c r="H118" s="306">
        <f>IF(ISNA(VLOOKUP($B118,IS明細!$B:L,11,0)),0,VLOOKUP($B118,IS明細!$B:L,11,0))</f>
        <v>3422</v>
      </c>
      <c r="I118" s="306">
        <f>IF(ISNA(VLOOKUP($B118,IS明細!$B:N,13,0)),0,VLOOKUP($B118,IS明細!$B:N,13,0))</f>
        <v>3194</v>
      </c>
      <c r="J118" s="306">
        <f>IF(ISNA(VLOOKUP($B118,IS明細!$B:P,15,0)),0,VLOOKUP($B118,IS明細!$B:P,15,0))</f>
        <v>3421</v>
      </c>
      <c r="K118" s="306">
        <f>IF(ISNA(VLOOKUP($B118,IS明細!$B:R,17,0)),0,VLOOKUP($B118,IS明細!$B:R,17,0))</f>
        <v>3421</v>
      </c>
      <c r="L118" s="306">
        <f>IF(ISNA(VLOOKUP($B118,IS明細!$B:T,19,0)),0,VLOOKUP($B118,IS明細!$B:T,19,0))</f>
        <v>0</v>
      </c>
      <c r="M118" s="306">
        <f>IF(ISNA(VLOOKUP($B118,IS明細!$B:V,21,0)),0,VLOOKUP($B118,IS明細!$B:V,21,0))</f>
        <v>0</v>
      </c>
      <c r="N118" s="306">
        <f>IF(ISNA(VLOOKUP($B118,IS明細!$B:X,23,0)),0,VLOOKUP($B118,IS明細!$B:X,23,0))</f>
        <v>0</v>
      </c>
      <c r="O118" s="306">
        <f>IF(ISNA(VLOOKUP($B118,IS明細!$B:Z,25,0)),0,VLOOKUP($B118,IS明細!$B:Z,25,0))</f>
        <v>0</v>
      </c>
      <c r="P118" s="306">
        <f t="shared" si="4"/>
        <v>26707</v>
      </c>
      <c r="Q118" s="337">
        <f t="shared" si="5"/>
        <v>4.7103310017691653E-5</v>
      </c>
      <c r="R118" s="321"/>
    </row>
    <row r="119" spans="1:18" ht="18" hidden="1" customHeight="1" outlineLevel="1">
      <c r="A119" s="344"/>
      <c r="B119" s="344" t="s">
        <v>724</v>
      </c>
      <c r="C119" s="322"/>
      <c r="D119" s="306">
        <f>IF(ISNA(VLOOKUP($B119,IS明細!B:D,3,0)),0,VLOOKUP($B119,IS明細!B:D,3,0))</f>
        <v>27000</v>
      </c>
      <c r="E119" s="306">
        <f>IF(ISNA(VLOOKUP($B119,IS明細!$B:F,5,0)),0,VLOOKUP($B119,IS明細!$B:F,5,0))</f>
        <v>30580</v>
      </c>
      <c r="F119" s="306">
        <f>IF(ISNA(VLOOKUP($B119,IS明細!$B:H,7,0)),0,VLOOKUP($B119,IS明細!$B:H,7,0))</f>
        <v>30400</v>
      </c>
      <c r="G119" s="306">
        <f>IF(ISNA(VLOOKUP($B119,IS明細!$B:J,9,0)),0,VLOOKUP($B119,IS明細!$B:J,9,0))</f>
        <v>31340</v>
      </c>
      <c r="H119" s="306">
        <f>IF(ISNA(VLOOKUP($B119,IS明細!$B:L,11,0)),0,VLOOKUP($B119,IS明細!$B:L,11,0))</f>
        <v>28080</v>
      </c>
      <c r="I119" s="306">
        <f>IF(ISNA(VLOOKUP($B119,IS明細!$B:N,13,0)),0,VLOOKUP($B119,IS明細!$B:N,13,0))</f>
        <v>29120</v>
      </c>
      <c r="J119" s="306">
        <f>IF(ISNA(VLOOKUP($B119,IS明細!$B:P,15,0)),0,VLOOKUP($B119,IS明細!$B:P,15,0))</f>
        <v>30080</v>
      </c>
      <c r="K119" s="306">
        <f>IF(ISNA(VLOOKUP($B119,IS明細!$B:R,17,0)),0,VLOOKUP($B119,IS明細!$B:R,17,0))</f>
        <v>31880</v>
      </c>
      <c r="L119" s="306">
        <f>IF(ISNA(VLOOKUP($B119,IS明細!$B:T,19,0)),0,VLOOKUP($B119,IS明細!$B:T,19,0))</f>
        <v>0</v>
      </c>
      <c r="M119" s="306">
        <f>IF(ISNA(VLOOKUP($B119,IS明細!$B:V,21,0)),0,VLOOKUP($B119,IS明細!$B:V,21,0))</f>
        <v>0</v>
      </c>
      <c r="N119" s="306">
        <f>IF(ISNA(VLOOKUP($B119,IS明細!$B:X,23,0)),0,VLOOKUP($B119,IS明細!$B:X,23,0))</f>
        <v>0</v>
      </c>
      <c r="O119" s="306">
        <f>IF(ISNA(VLOOKUP($B119,IS明細!$B:Z,25,0)),0,VLOOKUP($B119,IS明細!$B:Z,25,0))</f>
        <v>0</v>
      </c>
      <c r="P119" s="306">
        <f t="shared" si="4"/>
        <v>238480</v>
      </c>
      <c r="Q119" s="337">
        <f t="shared" si="5"/>
        <v>4.2060873078290727E-4</v>
      </c>
      <c r="R119" s="321"/>
    </row>
    <row r="120" spans="1:18" ht="18" hidden="1" customHeight="1" outlineLevel="1">
      <c r="A120" s="344"/>
      <c r="B120" s="344" t="s">
        <v>725</v>
      </c>
      <c r="C120" s="322"/>
      <c r="D120" s="306">
        <f>IF(ISNA(VLOOKUP($B120,IS明細!B:D,3,0)),0,VLOOKUP($B120,IS明細!B:D,3,0))</f>
        <v>21907</v>
      </c>
      <c r="E120" s="306">
        <f>IF(ISNA(VLOOKUP($B120,IS明細!$B:F,5,0)),0,VLOOKUP($B120,IS明細!$B:F,5,0))</f>
        <v>19903</v>
      </c>
      <c r="F120" s="306">
        <f>IF(ISNA(VLOOKUP($B120,IS明細!$B:H,7,0)),0,VLOOKUP($B120,IS明細!$B:H,7,0))</f>
        <v>23364</v>
      </c>
      <c r="G120" s="306">
        <f>IF(ISNA(VLOOKUP($B120,IS明細!$B:J,9,0)),0,VLOOKUP($B120,IS明細!$B:J,9,0))</f>
        <v>25308</v>
      </c>
      <c r="H120" s="306">
        <f>IF(ISNA(VLOOKUP($B120,IS明細!$B:L,11,0)),0,VLOOKUP($B120,IS明細!$B:L,11,0))</f>
        <v>20848</v>
      </c>
      <c r="I120" s="306">
        <f>IF(ISNA(VLOOKUP($B120,IS明細!$B:N,13,0)),0,VLOOKUP($B120,IS明細!$B:N,13,0))</f>
        <v>30012</v>
      </c>
      <c r="J120" s="306">
        <f>IF(ISNA(VLOOKUP($B120,IS明細!$B:P,15,0)),0,VLOOKUP($B120,IS明細!$B:P,15,0))</f>
        <v>38443</v>
      </c>
      <c r="K120" s="306">
        <f>IF(ISNA(VLOOKUP($B120,IS明細!$B:R,17,0)),0,VLOOKUP($B120,IS明細!$B:R,17,0))</f>
        <v>32141</v>
      </c>
      <c r="L120" s="306">
        <f>IF(ISNA(VLOOKUP($B120,IS明細!$B:T,19,0)),0,VLOOKUP($B120,IS明細!$B:T,19,0))</f>
        <v>0</v>
      </c>
      <c r="M120" s="306">
        <f>IF(ISNA(VLOOKUP($B120,IS明細!$B:V,21,0)),0,VLOOKUP($B120,IS明細!$B:V,21,0))</f>
        <v>0</v>
      </c>
      <c r="N120" s="306">
        <f>IF(ISNA(VLOOKUP($B120,IS明細!$B:X,23,0)),0,VLOOKUP($B120,IS明細!$B:X,23,0))</f>
        <v>0</v>
      </c>
      <c r="O120" s="306">
        <f>IF(ISNA(VLOOKUP($B120,IS明細!$B:Z,25,0)),0,VLOOKUP($B120,IS明細!$B:Z,25,0))</f>
        <v>0</v>
      </c>
      <c r="P120" s="306">
        <f t="shared" si="4"/>
        <v>211926</v>
      </c>
      <c r="Q120" s="337">
        <f t="shared" si="5"/>
        <v>3.7377526786270719E-4</v>
      </c>
      <c r="R120" s="321"/>
    </row>
    <row r="121" spans="1:18" ht="18" hidden="1" customHeight="1" outlineLevel="1">
      <c r="A121" s="344"/>
      <c r="B121" s="344" t="s">
        <v>726</v>
      </c>
      <c r="C121" s="322"/>
      <c r="D121" s="306">
        <f>IF(ISNA(VLOOKUP($B121,IS明細!B:D,3,0)),0,VLOOKUP($B121,IS明細!B:D,3,0))</f>
        <v>0</v>
      </c>
      <c r="E121" s="306">
        <f>IF(ISNA(VLOOKUP($B121,IS明細!$B:F,5,0)),0,VLOOKUP($B121,IS明細!$B:F,5,0))</f>
        <v>294658</v>
      </c>
      <c r="F121" s="306">
        <f>IF(ISNA(VLOOKUP($B121,IS明細!$B:H,7,0)),0,VLOOKUP($B121,IS明細!$B:H,7,0))</f>
        <v>0</v>
      </c>
      <c r="G121" s="306">
        <f>IF(ISNA(VLOOKUP($B121,IS明細!$B:J,9,0)),0,VLOOKUP($B121,IS明細!$B:J,9,0))</f>
        <v>52383</v>
      </c>
      <c r="H121" s="306">
        <f>IF(ISNA(VLOOKUP($B121,IS明細!$B:L,11,0)),0,VLOOKUP($B121,IS明細!$B:L,11,0))</f>
        <v>231552</v>
      </c>
      <c r="I121" s="306">
        <f>IF(ISNA(VLOOKUP($B121,IS明細!$B:N,13,0)),0,VLOOKUP($B121,IS明細!$B:N,13,0))</f>
        <v>0</v>
      </c>
      <c r="J121" s="306">
        <f>IF(ISNA(VLOOKUP($B121,IS明細!$B:P,15,0)),0,VLOOKUP($B121,IS明細!$B:P,15,0))</f>
        <v>293885</v>
      </c>
      <c r="K121" s="306">
        <f>IF(ISNA(VLOOKUP($B121,IS明細!$B:R,17,0)),0,VLOOKUP($B121,IS明細!$B:R,17,0))</f>
        <v>12080</v>
      </c>
      <c r="L121" s="306">
        <f>IF(ISNA(VLOOKUP($B121,IS明細!$B:T,19,0)),0,VLOOKUP($B121,IS明細!$B:T,19,0))</f>
        <v>0</v>
      </c>
      <c r="M121" s="306">
        <f>IF(ISNA(VLOOKUP($B121,IS明細!$B:V,21,0)),0,VLOOKUP($B121,IS明細!$B:V,21,0))</f>
        <v>0</v>
      </c>
      <c r="N121" s="306">
        <f>IF(ISNA(VLOOKUP($B121,IS明細!$B:X,23,0)),0,VLOOKUP($B121,IS明細!$B:X,23,0))</f>
        <v>0</v>
      </c>
      <c r="O121" s="306">
        <f>IF(ISNA(VLOOKUP($B121,IS明細!$B:Z,25,0)),0,VLOOKUP($B121,IS明細!$B:Z,25,0))</f>
        <v>0</v>
      </c>
      <c r="P121" s="306">
        <f t="shared" si="4"/>
        <v>884558</v>
      </c>
      <c r="Q121" s="337">
        <f t="shared" si="5"/>
        <v>1.5601007115224209E-3</v>
      </c>
      <c r="R121" s="321"/>
    </row>
    <row r="122" spans="1:18" ht="18" hidden="1" customHeight="1" outlineLevel="1">
      <c r="A122" s="344"/>
      <c r="B122" s="344" t="s">
        <v>727</v>
      </c>
      <c r="C122" s="322"/>
      <c r="D122" s="306">
        <f>IF(ISNA(VLOOKUP($B122,IS明細!B:D,3,0)),0,VLOOKUP($B122,IS明細!B:D,3,0))</f>
        <v>0</v>
      </c>
      <c r="E122" s="306">
        <f>IF(ISNA(VLOOKUP($B122,IS明細!$B:F,5,0)),0,VLOOKUP($B122,IS明細!$B:F,5,0))</f>
        <v>0</v>
      </c>
      <c r="F122" s="306">
        <f>IF(ISNA(VLOOKUP($B122,IS明細!$B:H,7,0)),0,VLOOKUP($B122,IS明細!$B:H,7,0))</f>
        <v>0</v>
      </c>
      <c r="G122" s="306">
        <f>IF(ISNA(VLOOKUP($B122,IS明細!$B:J,9,0)),0,VLOOKUP($B122,IS明細!$B:J,9,0))</f>
        <v>0</v>
      </c>
      <c r="H122" s="306">
        <f>IF(ISNA(VLOOKUP($B122,IS明細!$B:L,11,0)),0,VLOOKUP($B122,IS明細!$B:L,11,0))</f>
        <v>0</v>
      </c>
      <c r="I122" s="306">
        <f>IF(ISNA(VLOOKUP($B122,IS明細!$B:N,13,0)),0,VLOOKUP($B122,IS明細!$B:N,13,0))</f>
        <v>0</v>
      </c>
      <c r="J122" s="306">
        <f>IF(ISNA(VLOOKUP($B122,IS明細!$B:P,15,0)),0,VLOOKUP($B122,IS明細!$B:P,15,0))</f>
        <v>0</v>
      </c>
      <c r="K122" s="306">
        <f>IF(ISNA(VLOOKUP($B122,IS明細!$B:R,17,0)),0,VLOOKUP($B122,IS明細!$B:R,17,0))</f>
        <v>0</v>
      </c>
      <c r="L122" s="306">
        <f>IF(ISNA(VLOOKUP($B122,IS明細!$B:T,19,0)),0,VLOOKUP($B122,IS明細!$B:T,19,0))</f>
        <v>0</v>
      </c>
      <c r="M122" s="306">
        <f>IF(ISNA(VLOOKUP($B122,IS明細!$B:V,21,0)),0,VLOOKUP($B122,IS明細!$B:V,21,0))</f>
        <v>0</v>
      </c>
      <c r="N122" s="306">
        <f>IF(ISNA(VLOOKUP($B122,IS明細!$B:X,23,0)),0,VLOOKUP($B122,IS明細!$B:X,23,0))</f>
        <v>0</v>
      </c>
      <c r="O122" s="306">
        <f>IF(ISNA(VLOOKUP($B122,IS明細!$B:Z,25,0)),0,VLOOKUP($B122,IS明細!$B:Z,25,0))</f>
        <v>0</v>
      </c>
      <c r="P122" s="306">
        <f t="shared" si="4"/>
        <v>0</v>
      </c>
      <c r="Q122" s="337">
        <f t="shared" si="5"/>
        <v>0</v>
      </c>
      <c r="R122" s="321"/>
    </row>
    <row r="123" spans="1:18" ht="18" hidden="1" customHeight="1" outlineLevel="1">
      <c r="A123" s="344"/>
      <c r="B123" s="344" t="s">
        <v>728</v>
      </c>
      <c r="C123" s="322"/>
      <c r="D123" s="306">
        <f>IF(ISNA(VLOOKUP($B123,IS明細!B:D,3,0)),0,VLOOKUP($B123,IS明細!B:D,3,0))</f>
        <v>175645</v>
      </c>
      <c r="E123" s="306">
        <f>IF(ISNA(VLOOKUP($B123,IS明細!$B:F,5,0)),0,VLOOKUP($B123,IS明細!$B:F,5,0))</f>
        <v>302795</v>
      </c>
      <c r="F123" s="306">
        <f>IF(ISNA(VLOOKUP($B123,IS明細!$B:H,7,0)),0,VLOOKUP($B123,IS明細!$B:H,7,0))</f>
        <v>214478</v>
      </c>
      <c r="G123" s="306">
        <f>IF(ISNA(VLOOKUP($B123,IS明細!$B:J,9,0)),0,VLOOKUP($B123,IS明細!$B:J,9,0))</f>
        <v>191200</v>
      </c>
      <c r="H123" s="306">
        <f>IF(ISNA(VLOOKUP($B123,IS明細!$B:L,11,0)),0,VLOOKUP($B123,IS明細!$B:L,11,0))</f>
        <v>273885</v>
      </c>
      <c r="I123" s="306">
        <f>IF(ISNA(VLOOKUP($B123,IS明細!$B:N,13,0)),0,VLOOKUP($B123,IS明細!$B:N,13,0))</f>
        <v>226367</v>
      </c>
      <c r="J123" s="306">
        <f>IF(ISNA(VLOOKUP($B123,IS明細!$B:P,15,0)),0,VLOOKUP($B123,IS明細!$B:P,15,0))</f>
        <v>254953</v>
      </c>
      <c r="K123" s="306">
        <f>IF(ISNA(VLOOKUP($B123,IS明細!$B:R,17,0)),0,VLOOKUP($B123,IS明細!$B:R,17,0))</f>
        <v>402536</v>
      </c>
      <c r="L123" s="306">
        <f>IF(ISNA(VLOOKUP($B123,IS明細!$B:T,19,0)),0,VLOOKUP($B123,IS明細!$B:T,19,0))</f>
        <v>0</v>
      </c>
      <c r="M123" s="306">
        <f>IF(ISNA(VLOOKUP($B123,IS明細!$B:V,21,0)),0,VLOOKUP($B123,IS明細!$B:V,21,0))</f>
        <v>0</v>
      </c>
      <c r="N123" s="306">
        <f>IF(ISNA(VLOOKUP($B123,IS明細!$B:X,23,0)),0,VLOOKUP($B123,IS明細!$B:X,23,0))</f>
        <v>0</v>
      </c>
      <c r="O123" s="306">
        <f>IF(ISNA(VLOOKUP($B123,IS明細!$B:Z,25,0)),0,VLOOKUP($B123,IS明細!$B:Z,25,0))</f>
        <v>0</v>
      </c>
      <c r="P123" s="306">
        <f t="shared" si="4"/>
        <v>2041859</v>
      </c>
      <c r="Q123" s="337">
        <f t="shared" si="5"/>
        <v>3.6012400303071803E-3</v>
      </c>
      <c r="R123" s="321"/>
    </row>
    <row r="124" spans="1:18" ht="18" hidden="1" customHeight="1" outlineLevel="1">
      <c r="A124" s="344"/>
      <c r="B124" s="344" t="s">
        <v>729</v>
      </c>
      <c r="C124" s="322"/>
      <c r="D124" s="306">
        <f>IF(ISNA(VLOOKUP($B124,IS明細!B:D,3,0)),0,VLOOKUP($B124,IS明細!B:D,3,0))</f>
        <v>928</v>
      </c>
      <c r="E124" s="306">
        <f>IF(ISNA(VLOOKUP($B124,IS明細!$B:F,5,0)),0,VLOOKUP($B124,IS明細!$B:F,5,0))</f>
        <v>928</v>
      </c>
      <c r="F124" s="306">
        <f>IF(ISNA(VLOOKUP($B124,IS明細!$B:H,7,0)),0,VLOOKUP($B124,IS明細!$B:H,7,0))</f>
        <v>928</v>
      </c>
      <c r="G124" s="306">
        <f>IF(ISNA(VLOOKUP($B124,IS明細!$B:J,9,0)),0,VLOOKUP($B124,IS明細!$B:J,9,0))</f>
        <v>928</v>
      </c>
      <c r="H124" s="306">
        <f>IF(ISNA(VLOOKUP($B124,IS明細!$B:L,11,0)),0,VLOOKUP($B124,IS明細!$B:L,11,0))</f>
        <v>928</v>
      </c>
      <c r="I124" s="306">
        <f>IF(ISNA(VLOOKUP($B124,IS明細!$B:N,13,0)),0,VLOOKUP($B124,IS明細!$B:N,13,0))</f>
        <v>928</v>
      </c>
      <c r="J124" s="306">
        <f>IF(ISNA(VLOOKUP($B124,IS明細!$B:P,15,0)),0,VLOOKUP($B124,IS明細!$B:P,15,0))</f>
        <v>928</v>
      </c>
      <c r="K124" s="306">
        <f>IF(ISNA(VLOOKUP($B124,IS明細!$B:R,17,0)),0,VLOOKUP($B124,IS明細!$B:R,17,0))</f>
        <v>928</v>
      </c>
      <c r="L124" s="306">
        <f>IF(ISNA(VLOOKUP($B124,IS明細!$B:T,19,0)),0,VLOOKUP($B124,IS明細!$B:T,19,0))</f>
        <v>0</v>
      </c>
      <c r="M124" s="306">
        <f>IF(ISNA(VLOOKUP($B124,IS明細!$B:V,21,0)),0,VLOOKUP($B124,IS明細!$B:V,21,0))</f>
        <v>0</v>
      </c>
      <c r="N124" s="306">
        <f>IF(ISNA(VLOOKUP($B124,IS明細!$B:X,23,0)),0,VLOOKUP($B124,IS明細!$B:X,23,0))</f>
        <v>0</v>
      </c>
      <c r="O124" s="306">
        <f>IF(ISNA(VLOOKUP($B124,IS明細!$B:Z,25,0)),0,VLOOKUP($B124,IS明細!$B:Z,25,0))</f>
        <v>0</v>
      </c>
      <c r="P124" s="306">
        <f t="shared" si="4"/>
        <v>7424</v>
      </c>
      <c r="Q124" s="337">
        <f t="shared" si="5"/>
        <v>1.3093757201158604E-5</v>
      </c>
      <c r="R124" s="321"/>
    </row>
    <row r="125" spans="1:18" ht="18" hidden="1" customHeight="1" outlineLevel="1">
      <c r="A125" s="344"/>
      <c r="B125" s="305" t="s">
        <v>730</v>
      </c>
      <c r="C125" s="322"/>
      <c r="D125" s="306">
        <f>IF(ISNA(VLOOKUP($B125,IS明細!B:D,3,0)),0,VLOOKUP($B125,IS明細!B:D,3,0))</f>
        <v>448</v>
      </c>
      <c r="E125" s="306">
        <f>IF(ISNA(VLOOKUP($B125,IS明細!$B:F,5,0)),0,VLOOKUP($B125,IS明細!$B:F,5,0))</f>
        <v>8670</v>
      </c>
      <c r="F125" s="306">
        <f>IF(ISNA(VLOOKUP($B125,IS明細!$B:H,7,0)),0,VLOOKUP($B125,IS明細!$B:H,7,0))</f>
        <v>21047</v>
      </c>
      <c r="G125" s="306">
        <f>IF(ISNA(VLOOKUP($B125,IS明細!$B:J,9,0)),0,VLOOKUP($B125,IS明細!$B:J,9,0))</f>
        <v>20244</v>
      </c>
      <c r="H125" s="306">
        <f>IF(ISNA(VLOOKUP($B125,IS明細!$B:L,11,0)),0,VLOOKUP($B125,IS明細!$B:L,11,0))</f>
        <v>1055</v>
      </c>
      <c r="I125" s="306">
        <f>IF(ISNA(VLOOKUP($B125,IS明細!$B:N,13,0)),0,VLOOKUP($B125,IS明細!$B:N,13,0))</f>
        <v>53618</v>
      </c>
      <c r="J125" s="306">
        <f>IF(ISNA(VLOOKUP($B125,IS明細!$B:P,15,0)),0,VLOOKUP($B125,IS明細!$B:P,15,0))</f>
        <v>2006</v>
      </c>
      <c r="K125" s="306">
        <f>IF(ISNA(VLOOKUP($B125,IS明細!$B:R,17,0)),0,VLOOKUP($B125,IS明細!$B:R,17,0))</f>
        <v>30190</v>
      </c>
      <c r="L125" s="306">
        <f>IF(ISNA(VLOOKUP($B125,IS明細!$B:T,19,0)),0,VLOOKUP($B125,IS明細!$B:T,19,0))</f>
        <v>0</v>
      </c>
      <c r="M125" s="306">
        <f>IF(ISNA(VLOOKUP($B125,IS明細!$B:V,21,0)),0,VLOOKUP($B125,IS明細!$B:V,21,0))</f>
        <v>0</v>
      </c>
      <c r="N125" s="306">
        <f>IF(ISNA(VLOOKUP($B125,IS明細!$B:X,23,0)),0,VLOOKUP($B125,IS明細!$B:X,23,0))</f>
        <v>0</v>
      </c>
      <c r="O125" s="306">
        <f>IF(ISNA(VLOOKUP($B125,IS明細!$B:Z,25,0)),0,VLOOKUP($B125,IS明細!$B:Z,25,0))</f>
        <v>0</v>
      </c>
      <c r="P125" s="306">
        <f t="shared" si="4"/>
        <v>137278</v>
      </c>
      <c r="Q125" s="337">
        <f t="shared" si="5"/>
        <v>2.4211810359114368E-4</v>
      </c>
      <c r="R125" s="321"/>
    </row>
    <row r="126" spans="1:18" ht="18" hidden="1" customHeight="1" outlineLevel="1">
      <c r="A126" s="344"/>
      <c r="B126" s="344" t="s">
        <v>731</v>
      </c>
      <c r="C126" s="322"/>
      <c r="D126" s="306">
        <f>IF(ISNA(VLOOKUP($B126,IS明細!B:D,3,0)),0,VLOOKUP($B126,IS明細!B:D,3,0))</f>
        <v>602430</v>
      </c>
      <c r="E126" s="306">
        <f>IF(ISNA(VLOOKUP($B126,IS明細!$B:F,5,0)),0,VLOOKUP($B126,IS明細!$B:F,5,0))</f>
        <v>530277</v>
      </c>
      <c r="F126" s="306">
        <f>IF(ISNA(VLOOKUP($B126,IS明細!$B:H,7,0)),0,VLOOKUP($B126,IS明細!$B:H,7,0))</f>
        <v>637044</v>
      </c>
      <c r="G126" s="306">
        <f>IF(ISNA(VLOOKUP($B126,IS明細!$B:J,9,0)),0,VLOOKUP($B126,IS明細!$B:J,9,0))</f>
        <v>673447</v>
      </c>
      <c r="H126" s="306">
        <f>IF(ISNA(VLOOKUP($B126,IS明細!$B:L,11,0)),0,VLOOKUP($B126,IS明細!$B:L,11,0))</f>
        <v>532382</v>
      </c>
      <c r="I126" s="306">
        <f>IF(ISNA(VLOOKUP($B126,IS明細!$B:N,13,0)),0,VLOOKUP($B126,IS明細!$B:N,13,0))</f>
        <v>874061</v>
      </c>
      <c r="J126" s="306">
        <f>IF(ISNA(VLOOKUP($B126,IS明細!$B:P,15,0)),0,VLOOKUP($B126,IS明細!$B:P,15,0))</f>
        <v>982376</v>
      </c>
      <c r="K126" s="306">
        <f>IF(ISNA(VLOOKUP($B126,IS明細!$B:R,17,0)),0,VLOOKUP($B126,IS明細!$B:R,17,0))</f>
        <v>821314</v>
      </c>
      <c r="L126" s="306">
        <f>IF(ISNA(VLOOKUP($B126,IS明細!$B:T,19,0)),0,VLOOKUP($B126,IS明細!$B:T,19,0))</f>
        <v>0</v>
      </c>
      <c r="M126" s="306">
        <f>IF(ISNA(VLOOKUP($B126,IS明細!$B:V,21,0)),0,VLOOKUP($B126,IS明細!$B:V,21,0))</f>
        <v>0</v>
      </c>
      <c r="N126" s="306">
        <f>IF(ISNA(VLOOKUP($B126,IS明細!$B:X,23,0)),0,VLOOKUP($B126,IS明細!$B:X,23,0))</f>
        <v>0</v>
      </c>
      <c r="O126" s="306">
        <f>IF(ISNA(VLOOKUP($B126,IS明細!$B:Z,25,0)),0,VLOOKUP($B126,IS明細!$B:Z,25,0))</f>
        <v>0</v>
      </c>
      <c r="P126" s="306">
        <f t="shared" si="4"/>
        <v>5653331</v>
      </c>
      <c r="Q126" s="337">
        <f t="shared" si="5"/>
        <v>9.9708167418888962E-3</v>
      </c>
      <c r="R126" s="321"/>
    </row>
    <row r="127" spans="1:18" ht="18" hidden="1" customHeight="1" outlineLevel="1">
      <c r="A127" s="344"/>
      <c r="B127" s="344" t="s">
        <v>732</v>
      </c>
      <c r="C127" s="322"/>
      <c r="D127" s="306">
        <f>IF(ISNA(VLOOKUP($B127,IS明細!B:D,3,0)),0,VLOOKUP($B127,IS明細!B:D,3,0))</f>
        <v>248745</v>
      </c>
      <c r="E127" s="306">
        <f>IF(ISNA(VLOOKUP($B127,IS明細!$B:F,5,0)),0,VLOOKUP($B127,IS明細!$B:F,5,0))</f>
        <v>26641</v>
      </c>
      <c r="F127" s="306">
        <f>IF(ISNA(VLOOKUP($B127,IS明細!$B:H,7,0)),0,VLOOKUP($B127,IS明細!$B:H,7,0))</f>
        <v>-612774</v>
      </c>
      <c r="G127" s="306">
        <f>IF(ISNA(VLOOKUP($B127,IS明細!$B:J,9,0)),0,VLOOKUP($B127,IS明細!$B:J,9,0))</f>
        <v>132228</v>
      </c>
      <c r="H127" s="306">
        <f>IF(ISNA(VLOOKUP($B127,IS明細!$B:L,11,0)),0,VLOOKUP($B127,IS明細!$B:L,11,0))</f>
        <v>-100773</v>
      </c>
      <c r="I127" s="306">
        <f>IF(ISNA(VLOOKUP($B127,IS明細!$B:N,13,0)),0,VLOOKUP($B127,IS明細!$B:N,13,0))</f>
        <v>89556</v>
      </c>
      <c r="J127" s="306">
        <f>IF(ISNA(VLOOKUP($B127,IS明細!$B:P,15,0)),0,VLOOKUP($B127,IS明細!$B:P,15,0))</f>
        <v>171259</v>
      </c>
      <c r="K127" s="306">
        <f>IF(ISNA(VLOOKUP($B127,IS明細!$B:R,17,0)),0,VLOOKUP($B127,IS明細!$B:R,17,0))</f>
        <v>196785</v>
      </c>
      <c r="L127" s="306">
        <f>IF(ISNA(VLOOKUP($B127,IS明細!$B:T,19,0)),0,VLOOKUP($B127,IS明細!$B:T,19,0))</f>
        <v>0</v>
      </c>
      <c r="M127" s="306">
        <f>IF(ISNA(VLOOKUP($B127,IS明細!$B:V,21,0)),0,VLOOKUP($B127,IS明細!$B:V,21,0))</f>
        <v>0</v>
      </c>
      <c r="N127" s="306">
        <f>IF(ISNA(VLOOKUP($B127,IS明細!$B:X,23,0)),0,VLOOKUP($B127,IS明細!$B:X,23,0))</f>
        <v>0</v>
      </c>
      <c r="O127" s="306">
        <f>IF(ISNA(VLOOKUP($B127,IS明細!$B:Z,25,0)),0,VLOOKUP($B127,IS明細!$B:Z,25,0))</f>
        <v>0</v>
      </c>
      <c r="P127" s="306">
        <f t="shared" si="4"/>
        <v>151667</v>
      </c>
      <c r="Q127" s="337">
        <f t="shared" si="5"/>
        <v>2.6749607670098626E-4</v>
      </c>
      <c r="R127" s="321"/>
    </row>
    <row r="128" spans="1:18" ht="18" hidden="1" customHeight="1" outlineLevel="1">
      <c r="A128" s="344"/>
      <c r="B128" s="344" t="s">
        <v>733</v>
      </c>
      <c r="C128" s="322"/>
      <c r="D128" s="306">
        <f>IF(ISNA(VLOOKUP($B128,IS明細!B:D,3,0)),0,VLOOKUP($B128,IS明細!B:D,3,0))</f>
        <v>0</v>
      </c>
      <c r="E128" s="306">
        <f>IF(ISNA(VLOOKUP($B128,IS明細!$B:F,5,0)),0,VLOOKUP($B128,IS明細!$B:F,5,0))</f>
        <v>23227</v>
      </c>
      <c r="F128" s="306">
        <f>IF(ISNA(VLOOKUP($B128,IS明細!$B:H,7,0)),0,VLOOKUP($B128,IS明細!$B:H,7,0))</f>
        <v>0</v>
      </c>
      <c r="G128" s="306">
        <f>IF(ISNA(VLOOKUP($B128,IS明細!$B:J,9,0)),0,VLOOKUP($B128,IS明細!$B:J,9,0))</f>
        <v>0</v>
      </c>
      <c r="H128" s="306">
        <f>IF(ISNA(VLOOKUP($B128,IS明細!$B:L,11,0)),0,VLOOKUP($B128,IS明細!$B:L,11,0))</f>
        <v>8486</v>
      </c>
      <c r="I128" s="306">
        <f>IF(ISNA(VLOOKUP($B128,IS明細!$B:N,13,0)),0,VLOOKUP($B128,IS明細!$B:N,13,0))</f>
        <v>19655</v>
      </c>
      <c r="J128" s="306">
        <f>IF(ISNA(VLOOKUP($B128,IS明細!$B:P,15,0)),0,VLOOKUP($B128,IS明細!$B:P,15,0))</f>
        <v>0</v>
      </c>
      <c r="K128" s="306">
        <f>IF(ISNA(VLOOKUP($B128,IS明細!$B:R,17,0)),0,VLOOKUP($B128,IS明細!$B:R,17,0))</f>
        <v>1243</v>
      </c>
      <c r="L128" s="306">
        <f>IF(ISNA(VLOOKUP($B128,IS明細!$B:T,19,0)),0,VLOOKUP($B128,IS明細!$B:T,19,0))</f>
        <v>0</v>
      </c>
      <c r="M128" s="306">
        <f>IF(ISNA(VLOOKUP($B128,IS明細!$B:V,21,0)),0,VLOOKUP($B128,IS明細!$B:V,21,0))</f>
        <v>0</v>
      </c>
      <c r="N128" s="306">
        <f>IF(ISNA(VLOOKUP($B128,IS明細!$B:X,23,0)),0,VLOOKUP($B128,IS明細!$B:X,23,0))</f>
        <v>0</v>
      </c>
      <c r="O128" s="306">
        <f>IF(ISNA(VLOOKUP($B128,IS明細!$B:Z,25,0)),0,VLOOKUP($B128,IS明細!$B:Z,25,0))</f>
        <v>0</v>
      </c>
      <c r="P128" s="306">
        <f t="shared" si="4"/>
        <v>52611</v>
      </c>
      <c r="Q128" s="337">
        <f t="shared" si="5"/>
        <v>9.2790363700182558E-5</v>
      </c>
      <c r="R128" s="321"/>
    </row>
    <row r="129" spans="1:18" ht="18" hidden="1" customHeight="1" outlineLevel="1">
      <c r="A129" s="344"/>
      <c r="B129" s="344" t="s">
        <v>734</v>
      </c>
      <c r="C129" s="322"/>
      <c r="D129" s="306">
        <f>IF(ISNA(VLOOKUP($B129,IS明細!B:D,3,0)),0,VLOOKUP($B129,IS明細!B:D,3,0))</f>
        <v>0</v>
      </c>
      <c r="E129" s="306">
        <f>IF(ISNA(VLOOKUP($B129,IS明細!$B:F,5,0)),0,VLOOKUP($B129,IS明細!$B:F,5,0))</f>
        <v>0</v>
      </c>
      <c r="F129" s="306">
        <f>IF(ISNA(VLOOKUP($B129,IS明細!$B:H,7,0)),0,VLOOKUP($B129,IS明細!$B:H,7,0))</f>
        <v>0</v>
      </c>
      <c r="G129" s="306">
        <f>IF(ISNA(VLOOKUP($B129,IS明細!$B:J,9,0)),0,VLOOKUP($B129,IS明細!$B:J,9,0))</f>
        <v>0</v>
      </c>
      <c r="H129" s="306">
        <f>IF(ISNA(VLOOKUP($B129,IS明細!$B:L,11,0)),0,VLOOKUP($B129,IS明細!$B:L,11,0))</f>
        <v>0</v>
      </c>
      <c r="I129" s="306">
        <f>IF(ISNA(VLOOKUP($B129,IS明細!$B:N,13,0)),0,VLOOKUP($B129,IS明細!$B:N,13,0))</f>
        <v>0</v>
      </c>
      <c r="J129" s="306">
        <f>IF(ISNA(VLOOKUP($B129,IS明細!$B:P,15,0)),0,VLOOKUP($B129,IS明細!$B:P,15,0))</f>
        <v>0</v>
      </c>
      <c r="K129" s="306">
        <f>IF(ISNA(VLOOKUP($B129,IS明細!$B:R,17,0)),0,VLOOKUP($B129,IS明細!$B:R,17,0))</f>
        <v>0</v>
      </c>
      <c r="L129" s="306">
        <f>IF(ISNA(VLOOKUP($B129,IS明細!$B:T,19,0)),0,VLOOKUP($B129,IS明細!$B:T,19,0))</f>
        <v>0</v>
      </c>
      <c r="M129" s="306">
        <f>IF(ISNA(VLOOKUP($B129,IS明細!$B:V,21,0)),0,VLOOKUP($B129,IS明細!$B:V,21,0))</f>
        <v>0</v>
      </c>
      <c r="N129" s="306">
        <f>IF(ISNA(VLOOKUP($B129,IS明細!$B:X,23,0)),0,VLOOKUP($B129,IS明細!$B:X,23,0))</f>
        <v>0</v>
      </c>
      <c r="O129" s="306">
        <f>IF(ISNA(VLOOKUP($B129,IS明細!$B:Z,25,0)),0,VLOOKUP($B129,IS明細!$B:Z,25,0))</f>
        <v>0</v>
      </c>
      <c r="P129" s="306">
        <f t="shared" si="4"/>
        <v>0</v>
      </c>
      <c r="Q129" s="337">
        <f t="shared" si="5"/>
        <v>0</v>
      </c>
      <c r="R129" s="321"/>
    </row>
    <row r="130" spans="1:18" ht="18" hidden="1" customHeight="1" outlineLevel="1">
      <c r="A130" s="344"/>
      <c r="B130" s="344" t="s">
        <v>735</v>
      </c>
      <c r="C130" s="322"/>
      <c r="D130" s="306">
        <f>IF(ISNA(VLOOKUP($B130,IS明細!B:D,3,0)),0,VLOOKUP($B130,IS明細!B:D,3,0))</f>
        <v>0</v>
      </c>
      <c r="E130" s="306">
        <f>IF(ISNA(VLOOKUP($B130,IS明細!$B:F,5,0)),0,VLOOKUP($B130,IS明細!$B:F,5,0))</f>
        <v>0</v>
      </c>
      <c r="F130" s="306">
        <f>IF(ISNA(VLOOKUP($B130,IS明細!$B:H,7,0)),0,VLOOKUP($B130,IS明細!$B:H,7,0))</f>
        <v>0</v>
      </c>
      <c r="G130" s="306">
        <f>IF(ISNA(VLOOKUP($B130,IS明細!$B:J,9,0)),0,VLOOKUP($B130,IS明細!$B:J,9,0))</f>
        <v>0</v>
      </c>
      <c r="H130" s="306">
        <f>IF(ISNA(VLOOKUP($B130,IS明細!$B:L,11,0)),0,VLOOKUP($B130,IS明細!$B:L,11,0))</f>
        <v>0</v>
      </c>
      <c r="I130" s="306">
        <f>IF(ISNA(VLOOKUP($B130,IS明細!$B:N,13,0)),0,VLOOKUP($B130,IS明細!$B:N,13,0))</f>
        <v>0</v>
      </c>
      <c r="J130" s="306">
        <f>IF(ISNA(VLOOKUP($B130,IS明細!$B:P,15,0)),0,VLOOKUP($B130,IS明細!$B:P,15,0))</f>
        <v>0</v>
      </c>
      <c r="K130" s="306">
        <f>IF(ISNA(VLOOKUP($B130,IS明細!$B:R,17,0)),0,VLOOKUP($B130,IS明細!$B:R,17,0))</f>
        <v>0</v>
      </c>
      <c r="L130" s="306">
        <f>IF(ISNA(VLOOKUP($B130,IS明細!$B:T,19,0)),0,VLOOKUP($B130,IS明細!$B:T,19,0))</f>
        <v>0</v>
      </c>
      <c r="M130" s="306">
        <f>IF(ISNA(VLOOKUP($B130,IS明細!$B:V,21,0)),0,VLOOKUP($B130,IS明細!$B:V,21,0))</f>
        <v>0</v>
      </c>
      <c r="N130" s="306">
        <f>IF(ISNA(VLOOKUP($B130,IS明細!$B:X,23,0)),0,VLOOKUP($B130,IS明細!$B:X,23,0))</f>
        <v>0</v>
      </c>
      <c r="O130" s="306">
        <f>IF(ISNA(VLOOKUP($B130,IS明細!$B:Z,25,0)),0,VLOOKUP($B130,IS明細!$B:Z,25,0))</f>
        <v>0</v>
      </c>
      <c r="P130" s="306">
        <f t="shared" si="4"/>
        <v>0</v>
      </c>
      <c r="Q130" s="337">
        <f t="shared" si="5"/>
        <v>0</v>
      </c>
      <c r="R130" s="321"/>
    </row>
    <row r="131" spans="1:18" ht="18" hidden="1" customHeight="1" outlineLevel="1">
      <c r="A131" s="344"/>
      <c r="B131" s="344" t="s">
        <v>736</v>
      </c>
      <c r="C131" s="322"/>
      <c r="D131" s="306">
        <f>IF(ISNA(VLOOKUP($B131,IS明細!B:D,3,0)),0,VLOOKUP($B131,IS明細!B:D,3,0))</f>
        <v>0</v>
      </c>
      <c r="E131" s="306">
        <f>IF(ISNA(VLOOKUP($B131,IS明細!$B:F,5,0)),0,VLOOKUP($B131,IS明細!$B:F,5,0))</f>
        <v>0</v>
      </c>
      <c r="F131" s="306">
        <f>IF(ISNA(VLOOKUP($B131,IS明細!$B:H,7,0)),0,VLOOKUP($B131,IS明細!$B:H,7,0))</f>
        <v>0</v>
      </c>
      <c r="G131" s="306">
        <f>IF(ISNA(VLOOKUP($B131,IS明細!$B:J,9,0)),0,VLOOKUP($B131,IS明細!$B:J,9,0))</f>
        <v>0</v>
      </c>
      <c r="H131" s="306">
        <f>IF(ISNA(VLOOKUP($B131,IS明細!$B:L,11,0)),0,VLOOKUP($B131,IS明細!$B:L,11,0))</f>
        <v>0</v>
      </c>
      <c r="I131" s="306">
        <f>IF(ISNA(VLOOKUP($B131,IS明細!$B:N,13,0)),0,VLOOKUP($B131,IS明細!$B:N,13,0))</f>
        <v>0</v>
      </c>
      <c r="J131" s="306">
        <f>IF(ISNA(VLOOKUP($B131,IS明細!$B:P,15,0)),0,VLOOKUP($B131,IS明細!$B:P,15,0))</f>
        <v>0</v>
      </c>
      <c r="K131" s="306">
        <f>IF(ISNA(VLOOKUP($B131,IS明細!$B:R,17,0)),0,VLOOKUP($B131,IS明細!$B:R,17,0))</f>
        <v>0</v>
      </c>
      <c r="L131" s="306">
        <f>IF(ISNA(VLOOKUP($B131,IS明細!$B:T,19,0)),0,VLOOKUP($B131,IS明細!$B:T,19,0))</f>
        <v>0</v>
      </c>
      <c r="M131" s="306">
        <f>IF(ISNA(VLOOKUP($B131,IS明細!$B:V,21,0)),0,VLOOKUP($B131,IS明細!$B:V,21,0))</f>
        <v>0</v>
      </c>
      <c r="N131" s="306">
        <f>IF(ISNA(VLOOKUP($B131,IS明細!$B:X,23,0)),0,VLOOKUP($B131,IS明細!$B:X,23,0))</f>
        <v>0</v>
      </c>
      <c r="O131" s="306">
        <f>IF(ISNA(VLOOKUP($B131,IS明細!$B:Z,25,0)),0,VLOOKUP($B131,IS明細!$B:Z,25,0))</f>
        <v>0</v>
      </c>
      <c r="P131" s="306">
        <f t="shared" si="4"/>
        <v>0</v>
      </c>
      <c r="Q131" s="337">
        <f t="shared" si="5"/>
        <v>0</v>
      </c>
      <c r="R131" s="321"/>
    </row>
    <row r="132" spans="1:18" ht="18" hidden="1" customHeight="1" outlineLevel="1">
      <c r="A132" s="344"/>
      <c r="B132" s="344" t="s">
        <v>737</v>
      </c>
      <c r="C132" s="322"/>
      <c r="D132" s="306">
        <f>IF(ISNA(VLOOKUP($B132,IS明細!B:D,3,0)),0,VLOOKUP($B132,IS明細!B:D,3,0))</f>
        <v>237798</v>
      </c>
      <c r="E132" s="306">
        <f>IF(ISNA(VLOOKUP($B132,IS明細!$B:F,5,0)),0,VLOOKUP($B132,IS明細!$B:F,5,0))</f>
        <v>-7596</v>
      </c>
      <c r="F132" s="306">
        <f>IF(ISNA(VLOOKUP($B132,IS明細!$B:H,7,0)),0,VLOOKUP($B132,IS明細!$B:H,7,0))</f>
        <v>-642916</v>
      </c>
      <c r="G132" s="306">
        <f>IF(ISNA(VLOOKUP($B132,IS明細!$B:J,9,0)),0,VLOOKUP($B132,IS明細!$B:J,9,0))</f>
        <v>105729</v>
      </c>
      <c r="H132" s="306">
        <f>IF(ISNA(VLOOKUP($B132,IS明細!$B:L,11,0)),0,VLOOKUP($B132,IS明細!$B:L,11,0))</f>
        <v>-129796</v>
      </c>
      <c r="I132" s="306">
        <f>IF(ISNA(VLOOKUP($B132,IS明細!$B:N,13,0)),0,VLOOKUP($B132,IS明細!$B:N,13,0))</f>
        <v>48013</v>
      </c>
      <c r="J132" s="306">
        <f>IF(ISNA(VLOOKUP($B132,IS明細!$B:P,15,0)),0,VLOOKUP($B132,IS明細!$B:P,15,0))</f>
        <v>160693</v>
      </c>
      <c r="K132" s="306">
        <f>IF(ISNA(VLOOKUP($B132,IS明細!$B:R,17,0)),0,VLOOKUP($B132,IS明細!$B:R,17,0))</f>
        <v>180620</v>
      </c>
      <c r="L132" s="306">
        <f>IF(ISNA(VLOOKUP($B132,IS明細!$B:T,19,0)),0,VLOOKUP($B132,IS明細!$B:T,19,0))</f>
        <v>0</v>
      </c>
      <c r="M132" s="306">
        <f>IF(ISNA(VLOOKUP($B132,IS明細!$B:V,21,0)),0,VLOOKUP($B132,IS明細!$B:V,21,0))</f>
        <v>0</v>
      </c>
      <c r="N132" s="306">
        <f>IF(ISNA(VLOOKUP($B132,IS明細!$B:X,23,0)),0,VLOOKUP($B132,IS明細!$B:X,23,0))</f>
        <v>0</v>
      </c>
      <c r="O132" s="306">
        <f>IF(ISNA(VLOOKUP($B132,IS明細!$B:Z,25,0)),0,VLOOKUP($B132,IS明細!$B:Z,25,0))</f>
        <v>0</v>
      </c>
      <c r="P132" s="306">
        <f t="shared" si="4"/>
        <v>-47455</v>
      </c>
      <c r="Q132" s="337">
        <f t="shared" si="5"/>
        <v>-8.3696692885369285E-5</v>
      </c>
      <c r="R132" s="321"/>
    </row>
    <row r="133" spans="1:18" ht="18" hidden="1" customHeight="1" outlineLevel="1">
      <c r="A133" s="344"/>
      <c r="B133" s="344" t="s">
        <v>738</v>
      </c>
      <c r="C133" s="322"/>
      <c r="D133" s="306">
        <f>IF(ISNA(VLOOKUP($B133,IS明細!B:D,3,0)),0,VLOOKUP($B133,IS明細!B:D,3,0))</f>
        <v>10947</v>
      </c>
      <c r="E133" s="306">
        <f>IF(ISNA(VLOOKUP($B133,IS明細!$B:F,5,0)),0,VLOOKUP($B133,IS明細!$B:F,5,0))</f>
        <v>11010</v>
      </c>
      <c r="F133" s="306">
        <f>IF(ISNA(VLOOKUP($B133,IS明細!$B:H,7,0)),0,VLOOKUP($B133,IS明細!$B:H,7,0))</f>
        <v>30142</v>
      </c>
      <c r="G133" s="306">
        <f>IF(ISNA(VLOOKUP($B133,IS明細!$B:J,9,0)),0,VLOOKUP($B133,IS明細!$B:J,9,0))</f>
        <v>26499</v>
      </c>
      <c r="H133" s="306">
        <f>IF(ISNA(VLOOKUP($B133,IS明細!$B:L,11,0)),0,VLOOKUP($B133,IS明細!$B:L,11,0))</f>
        <v>20537</v>
      </c>
      <c r="I133" s="306">
        <f>IF(ISNA(VLOOKUP($B133,IS明細!$B:N,13,0)),0,VLOOKUP($B133,IS明細!$B:N,13,0))</f>
        <v>21888</v>
      </c>
      <c r="J133" s="306">
        <f>IF(ISNA(VLOOKUP($B133,IS明細!$B:P,15,0)),0,VLOOKUP($B133,IS明細!$B:P,15,0))</f>
        <v>10566</v>
      </c>
      <c r="K133" s="306">
        <f>IF(ISNA(VLOOKUP($B133,IS明細!$B:R,17,0)),0,VLOOKUP($B133,IS明細!$B:R,17,0))</f>
        <v>14922</v>
      </c>
      <c r="L133" s="306">
        <f>IF(ISNA(VLOOKUP($B133,IS明細!$B:T,19,0)),0,VLOOKUP($B133,IS明細!$B:T,19,0))</f>
        <v>0</v>
      </c>
      <c r="M133" s="306">
        <f>IF(ISNA(VLOOKUP($B133,IS明細!$B:V,21,0)),0,VLOOKUP($B133,IS明細!$B:V,21,0))</f>
        <v>0</v>
      </c>
      <c r="N133" s="306">
        <f>IF(ISNA(VLOOKUP($B133,IS明細!$B:X,23,0)),0,VLOOKUP($B133,IS明細!$B:X,23,0))</f>
        <v>0</v>
      </c>
      <c r="O133" s="306">
        <f>IF(ISNA(VLOOKUP($B133,IS明細!$B:Z,25,0)),0,VLOOKUP($B133,IS明細!$B:Z,25,0))</f>
        <v>0</v>
      </c>
      <c r="P133" s="306">
        <f t="shared" si="4"/>
        <v>146511</v>
      </c>
      <c r="Q133" s="337">
        <f t="shared" si="5"/>
        <v>2.5840240588617295E-4</v>
      </c>
      <c r="R133" s="321"/>
    </row>
    <row r="134" spans="1:18" ht="21" customHeight="1" collapsed="1" thickTop="1">
      <c r="A134" s="344"/>
      <c r="B134" s="344" t="s">
        <v>739</v>
      </c>
      <c r="C134" s="322"/>
      <c r="D134" s="306">
        <f>IF(ISNA(VLOOKUP($B134,IS明細!B:D,3,0)),0,VLOOKUP($B134,IS明細!B:D,3,0))</f>
        <v>2682181</v>
      </c>
      <c r="E134" s="306">
        <f>IF(ISNA(VLOOKUP($B134,IS明細!$B:F,5,0)),0,VLOOKUP($B134,IS明細!$B:F,5,0))</f>
        <v>3034578</v>
      </c>
      <c r="F134" s="306">
        <f>IF(ISNA(VLOOKUP($B134,IS明細!$B:H,7,0)),0,VLOOKUP($B134,IS明細!$B:H,7,0))</f>
        <v>2064980</v>
      </c>
      <c r="G134" s="306">
        <f>IF(ISNA(VLOOKUP($B134,IS明細!$B:J,9,0)),0,VLOOKUP($B134,IS明細!$B:J,9,0))</f>
        <v>2828716</v>
      </c>
      <c r="H134" s="306">
        <f>IF(ISNA(VLOOKUP($B134,IS明細!$B:L,11,0)),0,VLOOKUP($B134,IS明細!$B:L,11,0))</f>
        <v>2899107</v>
      </c>
      <c r="I134" s="306">
        <f>IF(ISNA(VLOOKUP($B134,IS明細!$B:N,13,0)),0,VLOOKUP($B134,IS明細!$B:N,13,0))</f>
        <v>3746561</v>
      </c>
      <c r="J134" s="306">
        <f>IF(ISNA(VLOOKUP($B134,IS明細!$B:P,15,0)),0,VLOOKUP($B134,IS明細!$B:P,15,0))</f>
        <v>3694714</v>
      </c>
      <c r="K134" s="306">
        <f>IF(ISNA(VLOOKUP($B134,IS明細!$B:R,17,0)),0,VLOOKUP($B134,IS明細!$B:R,17,0))</f>
        <v>3586817</v>
      </c>
      <c r="L134" s="306">
        <f>IF(ISNA(VLOOKUP($B134,IS明細!$B:T,19,0)),0,VLOOKUP($B134,IS明細!$B:T,19,0))</f>
        <v>0</v>
      </c>
      <c r="M134" s="306">
        <f>IF(ISNA(VLOOKUP($B134,IS明細!$B:V,21,0)),0,VLOOKUP($B134,IS明細!$B:V,21,0))</f>
        <v>0</v>
      </c>
      <c r="N134" s="306">
        <f>IF(ISNA(VLOOKUP($B134,IS明細!$B:X,23,0)),0,VLOOKUP($B134,IS明細!$B:X,23,0))</f>
        <v>0</v>
      </c>
      <c r="O134" s="306">
        <f>IF(ISNA(VLOOKUP($B134,IS明細!$B:Z,25,0)),0,VLOOKUP($B134,IS明細!$B:Z,25,0))</f>
        <v>0</v>
      </c>
      <c r="P134" s="306">
        <f t="shared" si="4"/>
        <v>24537654</v>
      </c>
      <c r="Q134" s="337">
        <f>P134/$P$21</f>
        <v>4.3386359203158691E-2</v>
      </c>
      <c r="R134" s="321"/>
    </row>
    <row r="135" spans="1:18" ht="18" hidden="1" customHeight="1" outlineLevel="1">
      <c r="A135" s="344"/>
      <c r="B135" s="344" t="s">
        <v>740</v>
      </c>
      <c r="C135" s="322"/>
      <c r="D135" s="306">
        <f>IF(ISNA(VLOOKUP($B135,IS明細!B:D,3,0)),0,VLOOKUP($B135,IS明細!B:D,3,0))</f>
        <v>0</v>
      </c>
      <c r="E135" s="306">
        <f>IF(ISNA(VLOOKUP($B135,IS明細!$B:F,5,0)),0,VLOOKUP($B135,IS明細!$B:F,5,0))</f>
        <v>0</v>
      </c>
      <c r="F135" s="306">
        <f>IF(ISNA(VLOOKUP($B135,IS明細!$B:H,7,0)),0,VLOOKUP($B135,IS明細!$B:H,7,0))</f>
        <v>0</v>
      </c>
      <c r="G135" s="306">
        <f>IF(ISNA(VLOOKUP($B135,IS明細!$B:J,9,0)),0,VLOOKUP($B135,IS明細!$B:J,9,0))</f>
        <v>0</v>
      </c>
      <c r="H135" s="306">
        <f>IF(ISNA(VLOOKUP($B135,IS明細!$B:L,11,0)),0,VLOOKUP($B135,IS明細!$B:L,11,0))</f>
        <v>0</v>
      </c>
      <c r="I135" s="306">
        <f>IF(ISNA(VLOOKUP($B135,IS明細!$B:N,13,0)),0,VLOOKUP($B135,IS明細!$B:N,13,0))</f>
        <v>0</v>
      </c>
      <c r="J135" s="306">
        <f>IF(ISNA(VLOOKUP($B135,IS明細!$B:P,15,0)),0,VLOOKUP($B135,IS明細!$B:P,15,0))</f>
        <v>0</v>
      </c>
      <c r="K135" s="306">
        <f>IF(ISNA(VLOOKUP($B135,IS明細!$B:R,17,0)),0,VLOOKUP($B135,IS明細!$B:R,17,0))</f>
        <v>0</v>
      </c>
      <c r="L135" s="306">
        <f>IF(ISNA(VLOOKUP($B135,IS明細!$B:T,19,0)),0,VLOOKUP($B135,IS明細!$B:T,19,0))</f>
        <v>0</v>
      </c>
      <c r="M135" s="306">
        <f>IF(ISNA(VLOOKUP($B135,IS明細!$B:V,21,0)),0,VLOOKUP($B135,IS明細!$B:V,21,0))</f>
        <v>0</v>
      </c>
      <c r="N135" s="306">
        <f>IF(ISNA(VLOOKUP($B135,IS明細!$B:X,23,0)),0,VLOOKUP($B135,IS明細!$B:X,23,0))</f>
        <v>0</v>
      </c>
      <c r="O135" s="306">
        <f>IF(ISNA(VLOOKUP($B135,IS明細!$B:Z,25,0)),0,VLOOKUP($B135,IS明細!$B:Z,25,0))</f>
        <v>0</v>
      </c>
      <c r="P135" s="306"/>
      <c r="Q135" s="337">
        <f t="shared" si="5"/>
        <v>0</v>
      </c>
      <c r="R135" s="321"/>
    </row>
    <row r="136" spans="1:18" ht="18" hidden="1" customHeight="1" outlineLevel="1">
      <c r="A136" s="344"/>
      <c r="B136" s="344" t="s">
        <v>741</v>
      </c>
      <c r="C136" s="322"/>
      <c r="D136" s="306">
        <f>IF(ISNA(VLOOKUP($B136,IS明細!B:D,3,0)),0,VLOOKUP($B136,IS明細!B:D,3,0))</f>
        <v>1348010</v>
      </c>
      <c r="E136" s="306">
        <f>IF(ISNA(VLOOKUP($B136,IS明細!$B:F,5,0)),0,VLOOKUP($B136,IS明細!$B:F,5,0))</f>
        <v>1387258</v>
      </c>
      <c r="F136" s="306">
        <f>IF(ISNA(VLOOKUP($B136,IS明細!$B:H,7,0)),0,VLOOKUP($B136,IS明細!$B:H,7,0))</f>
        <v>1338557</v>
      </c>
      <c r="G136" s="306">
        <f>IF(ISNA(VLOOKUP($B136,IS明細!$B:J,9,0)),0,VLOOKUP($B136,IS明細!$B:J,9,0))</f>
        <v>1330622</v>
      </c>
      <c r="H136" s="306">
        <f>IF(ISNA(VLOOKUP($B136,IS明細!$B:L,11,0)),0,VLOOKUP($B136,IS明細!$B:L,11,0))</f>
        <v>1336029</v>
      </c>
      <c r="I136" s="306">
        <f>IF(ISNA(VLOOKUP($B136,IS明細!$B:N,13,0)),0,VLOOKUP($B136,IS明細!$B:N,13,0))</f>
        <v>1353207</v>
      </c>
      <c r="J136" s="306">
        <f>IF(ISNA(VLOOKUP($B136,IS明細!$B:P,15,0)),0,VLOOKUP($B136,IS明細!$B:P,15,0))</f>
        <v>3014551</v>
      </c>
      <c r="K136" s="306">
        <f>IF(ISNA(VLOOKUP($B136,IS明細!$B:R,17,0)),0,VLOOKUP($B136,IS明細!$B:R,17,0))</f>
        <v>1355631</v>
      </c>
      <c r="L136" s="306">
        <f>IF(ISNA(VLOOKUP($B136,IS明細!$B:T,19,0)),0,VLOOKUP($B136,IS明細!$B:T,19,0))</f>
        <v>0</v>
      </c>
      <c r="M136" s="306">
        <f>IF(ISNA(VLOOKUP($B136,IS明細!$B:V,21,0)),0,VLOOKUP($B136,IS明細!$B:V,21,0))</f>
        <v>0</v>
      </c>
      <c r="N136" s="306">
        <f>IF(ISNA(VLOOKUP($B136,IS明細!$B:X,23,0)),0,VLOOKUP($B136,IS明細!$B:X,23,0))</f>
        <v>0</v>
      </c>
      <c r="O136" s="306">
        <f>IF(ISNA(VLOOKUP($B136,IS明細!$B:Z,25,0)),0,VLOOKUP($B136,IS明細!$B:Z,25,0))</f>
        <v>0</v>
      </c>
      <c r="P136" s="306">
        <f t="shared" ref="P136:P199" si="7">SUM(D136:O136)</f>
        <v>12463865</v>
      </c>
      <c r="Q136" s="337">
        <f t="shared" si="5"/>
        <v>2.1982599959323636E-2</v>
      </c>
      <c r="R136" s="321"/>
    </row>
    <row r="137" spans="1:18" ht="18" hidden="1" customHeight="1" outlineLevel="1">
      <c r="A137" s="344"/>
      <c r="B137" s="344" t="s">
        <v>742</v>
      </c>
      <c r="C137" s="322"/>
      <c r="D137" s="306">
        <f>IF(ISNA(VLOOKUP($B137,IS明細!B:D,3,0)),0,VLOOKUP($B137,IS明細!B:D,3,0))</f>
        <v>965400</v>
      </c>
      <c r="E137" s="306">
        <f>IF(ISNA(VLOOKUP($B137,IS明細!$B:F,5,0)),0,VLOOKUP($B137,IS明細!$B:F,5,0))</f>
        <v>996534</v>
      </c>
      <c r="F137" s="306">
        <f>IF(ISNA(VLOOKUP($B137,IS明細!$B:H,7,0)),0,VLOOKUP($B137,IS明細!$B:H,7,0))</f>
        <v>997200</v>
      </c>
      <c r="G137" s="306">
        <f>IF(ISNA(VLOOKUP($B137,IS明細!$B:J,9,0)),0,VLOOKUP($B137,IS明細!$B:J,9,0))</f>
        <v>993898</v>
      </c>
      <c r="H137" s="306">
        <f>IF(ISNA(VLOOKUP($B137,IS明細!$B:L,11,0)),0,VLOOKUP($B137,IS明細!$B:L,11,0))</f>
        <v>997200</v>
      </c>
      <c r="I137" s="306">
        <f>IF(ISNA(VLOOKUP($B137,IS明細!$B:N,13,0)),0,VLOOKUP($B137,IS明細!$B:N,13,0))</f>
        <v>1016483</v>
      </c>
      <c r="J137" s="306">
        <f>IF(ISNA(VLOOKUP($B137,IS明細!$B:P,15,0)),0,VLOOKUP($B137,IS明細!$B:P,15,0))</f>
        <v>996534</v>
      </c>
      <c r="K137" s="306">
        <f>IF(ISNA(VLOOKUP($B137,IS明細!$B:R,17,0)),0,VLOOKUP($B137,IS明細!$B:R,17,0))</f>
        <v>1000904</v>
      </c>
      <c r="L137" s="306">
        <f>IF(ISNA(VLOOKUP($B137,IS明細!$B:T,19,0)),0,VLOOKUP($B137,IS明細!$B:T,19,0))</f>
        <v>0</v>
      </c>
      <c r="M137" s="306">
        <f>IF(ISNA(VLOOKUP($B137,IS明細!$B:V,21,0)),0,VLOOKUP($B137,IS明細!$B:V,21,0))</f>
        <v>0</v>
      </c>
      <c r="N137" s="306">
        <f>IF(ISNA(VLOOKUP($B137,IS明細!$B:X,23,0)),0,VLOOKUP($B137,IS明細!$B:X,23,0))</f>
        <v>0</v>
      </c>
      <c r="O137" s="306">
        <f>IF(ISNA(VLOOKUP($B137,IS明細!$B:Z,25,0)),0,VLOOKUP($B137,IS明細!$B:Z,25,0))</f>
        <v>0</v>
      </c>
      <c r="P137" s="306">
        <f t="shared" si="7"/>
        <v>7964153</v>
      </c>
      <c r="Q137" s="337">
        <f t="shared" si="5"/>
        <v>1.4046428568814506E-2</v>
      </c>
      <c r="R137" s="321"/>
    </row>
    <row r="138" spans="1:18" ht="18" hidden="1" customHeight="1" outlineLevel="1">
      <c r="A138" s="344"/>
      <c r="B138" s="344" t="s">
        <v>743</v>
      </c>
      <c r="C138" s="322"/>
      <c r="D138" s="306">
        <f>IF(ISNA(VLOOKUP($B138,IS明細!B:D,3,0)),0,VLOOKUP($B138,IS明細!B:D,3,0))</f>
        <v>0</v>
      </c>
      <c r="E138" s="306">
        <f>IF(ISNA(VLOOKUP($B138,IS明細!$B:F,5,0)),0,VLOOKUP($B138,IS明細!$B:F,5,0))</f>
        <v>0</v>
      </c>
      <c r="F138" s="306">
        <f>IF(ISNA(VLOOKUP($B138,IS明細!$B:H,7,0)),0,VLOOKUP($B138,IS明細!$B:H,7,0))</f>
        <v>1433</v>
      </c>
      <c r="G138" s="306">
        <f>IF(ISNA(VLOOKUP($B138,IS明細!$B:J,9,0)),0,VLOOKUP($B138,IS明細!$B:J,9,0))</f>
        <v>0</v>
      </c>
      <c r="H138" s="306">
        <f>IF(ISNA(VLOOKUP($B138,IS明細!$B:L,11,0)),0,VLOOKUP($B138,IS明細!$B:L,11,0))</f>
        <v>2219</v>
      </c>
      <c r="I138" s="306">
        <f>IF(ISNA(VLOOKUP($B138,IS明細!$B:N,13,0)),0,VLOOKUP($B138,IS明細!$B:N,13,0))</f>
        <v>0</v>
      </c>
      <c r="J138" s="306">
        <f>IF(ISNA(VLOOKUP($B138,IS明細!$B:P,15,0)),0,VLOOKUP($B138,IS明細!$B:P,15,0))</f>
        <v>1925</v>
      </c>
      <c r="K138" s="306">
        <f>IF(ISNA(VLOOKUP($B138,IS明細!$B:R,17,0)),0,VLOOKUP($B138,IS明細!$B:R,17,0))</f>
        <v>16553</v>
      </c>
      <c r="L138" s="306">
        <f>IF(ISNA(VLOOKUP($B138,IS明細!$B:T,19,0)),0,VLOOKUP($B138,IS明細!$B:T,19,0))</f>
        <v>0</v>
      </c>
      <c r="M138" s="306">
        <f>IF(ISNA(VLOOKUP($B138,IS明細!$B:V,21,0)),0,VLOOKUP($B138,IS明細!$B:V,21,0))</f>
        <v>0</v>
      </c>
      <c r="N138" s="306">
        <f>IF(ISNA(VLOOKUP($B138,IS明細!$B:X,23,0)),0,VLOOKUP($B138,IS明細!$B:X,23,0))</f>
        <v>0</v>
      </c>
      <c r="O138" s="306">
        <f>IF(ISNA(VLOOKUP($B138,IS明細!$B:Z,25,0)),0,VLOOKUP($B138,IS明細!$B:Z,25,0))</f>
        <v>0</v>
      </c>
      <c r="P138" s="306">
        <f t="shared" si="7"/>
        <v>22130</v>
      </c>
      <c r="Q138" s="337">
        <f t="shared" ref="Q138:Q201" si="8">P138/$P$8</f>
        <v>3.9030825277699339E-5</v>
      </c>
      <c r="R138" s="321"/>
    </row>
    <row r="139" spans="1:18" ht="18" hidden="1" customHeight="1" outlineLevel="1">
      <c r="A139" s="344"/>
      <c r="B139" s="344" t="s">
        <v>744</v>
      </c>
      <c r="C139" s="322"/>
      <c r="D139" s="306">
        <f>IF(ISNA(VLOOKUP($B139,IS明細!B:D,3,0)),0,VLOOKUP($B139,IS明細!B:D,3,0))</f>
        <v>0</v>
      </c>
      <c r="E139" s="306">
        <f>IF(ISNA(VLOOKUP($B139,IS明細!$B:F,5,0)),0,VLOOKUP($B139,IS明細!$B:F,5,0))</f>
        <v>0</v>
      </c>
      <c r="F139" s="306">
        <f>IF(ISNA(VLOOKUP($B139,IS明細!$B:H,7,0)),0,VLOOKUP($B139,IS明細!$B:H,7,0))</f>
        <v>0</v>
      </c>
      <c r="G139" s="306">
        <f>IF(ISNA(VLOOKUP($B139,IS明細!$B:J,9,0)),0,VLOOKUP($B139,IS明細!$B:J,9,0))</f>
        <v>0</v>
      </c>
      <c r="H139" s="306">
        <f>IF(ISNA(VLOOKUP($B139,IS明細!$B:L,11,0)),0,VLOOKUP($B139,IS明細!$B:L,11,0))</f>
        <v>0</v>
      </c>
      <c r="I139" s="306">
        <f>IF(ISNA(VLOOKUP($B139,IS明細!$B:N,13,0)),0,VLOOKUP($B139,IS明細!$B:N,13,0))</f>
        <v>0</v>
      </c>
      <c r="J139" s="306">
        <f>IF(ISNA(VLOOKUP($B139,IS明細!$B:P,15,0)),0,VLOOKUP($B139,IS明細!$B:P,15,0))</f>
        <v>0</v>
      </c>
      <c r="K139" s="306">
        <f>IF(ISNA(VLOOKUP($B139,IS明細!$B:R,17,0)),0,VLOOKUP($B139,IS明細!$B:R,17,0))</f>
        <v>0</v>
      </c>
      <c r="L139" s="306">
        <f>IF(ISNA(VLOOKUP($B139,IS明細!$B:T,19,0)),0,VLOOKUP($B139,IS明細!$B:T,19,0))</f>
        <v>0</v>
      </c>
      <c r="M139" s="306">
        <f>IF(ISNA(VLOOKUP($B139,IS明細!$B:V,21,0)),0,VLOOKUP($B139,IS明細!$B:V,21,0))</f>
        <v>0</v>
      </c>
      <c r="N139" s="306">
        <f>IF(ISNA(VLOOKUP($B139,IS明細!$B:X,23,0)),0,VLOOKUP($B139,IS明細!$B:X,23,0))</f>
        <v>0</v>
      </c>
      <c r="O139" s="306">
        <f>IF(ISNA(VLOOKUP($B139,IS明細!$B:Z,25,0)),0,VLOOKUP($B139,IS明細!$B:Z,25,0))</f>
        <v>0</v>
      </c>
      <c r="P139" s="306">
        <f t="shared" si="7"/>
        <v>0</v>
      </c>
      <c r="Q139" s="337">
        <f t="shared" si="8"/>
        <v>0</v>
      </c>
      <c r="R139" s="321"/>
    </row>
    <row r="140" spans="1:18" ht="18" hidden="1" customHeight="1" outlineLevel="1">
      <c r="A140" s="344"/>
      <c r="B140" s="344" t="s">
        <v>745</v>
      </c>
      <c r="C140" s="322"/>
      <c r="D140" s="306">
        <f>IF(ISNA(VLOOKUP($B140,IS明細!B:D,3,0)),0,VLOOKUP($B140,IS明細!B:D,3,0))</f>
        <v>0</v>
      </c>
      <c r="E140" s="306">
        <f>IF(ISNA(VLOOKUP($B140,IS明細!$B:F,5,0)),0,VLOOKUP($B140,IS明細!$B:F,5,0))</f>
        <v>0</v>
      </c>
      <c r="F140" s="306">
        <f>IF(ISNA(VLOOKUP($B140,IS明細!$B:H,7,0)),0,VLOOKUP($B140,IS明細!$B:H,7,0))</f>
        <v>1433</v>
      </c>
      <c r="G140" s="306">
        <f>IF(ISNA(VLOOKUP($B140,IS明細!$B:J,9,0)),0,VLOOKUP($B140,IS明細!$B:J,9,0))</f>
        <v>0</v>
      </c>
      <c r="H140" s="306">
        <f>IF(ISNA(VLOOKUP($B140,IS明細!$B:L,11,0)),0,VLOOKUP($B140,IS明細!$B:L,11,0))</f>
        <v>2219</v>
      </c>
      <c r="I140" s="306">
        <f>IF(ISNA(VLOOKUP($B140,IS明細!$B:N,13,0)),0,VLOOKUP($B140,IS明細!$B:N,13,0))</f>
        <v>0</v>
      </c>
      <c r="J140" s="306">
        <f>IF(ISNA(VLOOKUP($B140,IS明細!$B:P,15,0)),0,VLOOKUP($B140,IS明細!$B:P,15,0))</f>
        <v>1925</v>
      </c>
      <c r="K140" s="306">
        <f>IF(ISNA(VLOOKUP($B140,IS明細!$B:R,17,0)),0,VLOOKUP($B140,IS明細!$B:R,17,0))</f>
        <v>16553</v>
      </c>
      <c r="L140" s="306">
        <f>IF(ISNA(VLOOKUP($B140,IS明細!$B:T,19,0)),0,VLOOKUP($B140,IS明細!$B:T,19,0))</f>
        <v>0</v>
      </c>
      <c r="M140" s="306">
        <f>IF(ISNA(VLOOKUP($B140,IS明細!$B:V,21,0)),0,VLOOKUP($B140,IS明細!$B:V,21,0))</f>
        <v>0</v>
      </c>
      <c r="N140" s="306">
        <f>IF(ISNA(VLOOKUP($B140,IS明細!$B:X,23,0)),0,VLOOKUP($B140,IS明細!$B:X,23,0))</f>
        <v>0</v>
      </c>
      <c r="O140" s="306">
        <f>IF(ISNA(VLOOKUP($B140,IS明細!$B:Z,25,0)),0,VLOOKUP($B140,IS明細!$B:Z,25,0))</f>
        <v>0</v>
      </c>
      <c r="P140" s="306">
        <f t="shared" si="7"/>
        <v>22130</v>
      </c>
      <c r="Q140" s="337">
        <f t="shared" si="8"/>
        <v>3.9030825277699339E-5</v>
      </c>
      <c r="R140" s="321"/>
    </row>
    <row r="141" spans="1:18" ht="18" hidden="1" customHeight="1" outlineLevel="1">
      <c r="A141" s="344"/>
      <c r="B141" s="344" t="s">
        <v>746</v>
      </c>
      <c r="C141" s="322"/>
      <c r="D141" s="306">
        <f>IF(ISNA(VLOOKUP($B141,IS明細!B:D,3,0)),0,VLOOKUP($B141,IS明細!B:D,3,0))</f>
        <v>330500</v>
      </c>
      <c r="E141" s="306">
        <f>IF(ISNA(VLOOKUP($B141,IS明細!$B:F,5,0)),0,VLOOKUP($B141,IS明細!$B:F,5,0))</f>
        <v>338500</v>
      </c>
      <c r="F141" s="306">
        <f>IF(ISNA(VLOOKUP($B141,IS明細!$B:H,7,0)),0,VLOOKUP($B141,IS明細!$B:H,7,0))</f>
        <v>287700</v>
      </c>
      <c r="G141" s="306">
        <f>IF(ISNA(VLOOKUP($B141,IS明細!$B:J,9,0)),0,VLOOKUP($B141,IS明細!$B:J,9,0))</f>
        <v>284500</v>
      </c>
      <c r="H141" s="306">
        <f>IF(ISNA(VLOOKUP($B141,IS明細!$B:L,11,0)),0,VLOOKUP($B141,IS明細!$B:L,11,0))</f>
        <v>284500</v>
      </c>
      <c r="I141" s="306">
        <f>IF(ISNA(VLOOKUP($B141,IS明細!$B:N,13,0)),0,VLOOKUP($B141,IS明細!$B:N,13,0))</f>
        <v>284500</v>
      </c>
      <c r="J141" s="306">
        <f>IF(ISNA(VLOOKUP($B141,IS明細!$B:P,15,0)),0,VLOOKUP($B141,IS明細!$B:P,15,0))</f>
        <v>1963868</v>
      </c>
      <c r="K141" s="306">
        <f>IF(ISNA(VLOOKUP($B141,IS明細!$B:R,17,0)),0,VLOOKUP($B141,IS明細!$B:R,17,0))</f>
        <v>285500</v>
      </c>
      <c r="L141" s="306">
        <f>IF(ISNA(VLOOKUP($B141,IS明細!$B:T,19,0)),0,VLOOKUP($B141,IS明細!$B:T,19,0))</f>
        <v>0</v>
      </c>
      <c r="M141" s="306">
        <f>IF(ISNA(VLOOKUP($B141,IS明細!$B:V,21,0)),0,VLOOKUP($B141,IS明細!$B:V,21,0))</f>
        <v>0</v>
      </c>
      <c r="N141" s="306">
        <f>IF(ISNA(VLOOKUP($B141,IS明細!$B:X,23,0)),0,VLOOKUP($B141,IS明細!$B:X,23,0))</f>
        <v>0</v>
      </c>
      <c r="O141" s="306">
        <f>IF(ISNA(VLOOKUP($B141,IS明細!$B:Z,25,0)),0,VLOOKUP($B141,IS明細!$B:Z,25,0))</f>
        <v>0</v>
      </c>
      <c r="P141" s="306">
        <f t="shared" si="7"/>
        <v>4059568</v>
      </c>
      <c r="Q141" s="337">
        <f t="shared" si="8"/>
        <v>7.1598865481671643E-3</v>
      </c>
      <c r="R141" s="321"/>
    </row>
    <row r="142" spans="1:18" ht="18" hidden="1" customHeight="1" outlineLevel="1">
      <c r="A142" s="344"/>
      <c r="B142" s="344" t="s">
        <v>747</v>
      </c>
      <c r="C142" s="322"/>
      <c r="D142" s="306">
        <f>IF(ISNA(VLOOKUP($B142,IS明細!B:D,3,0)),0,VLOOKUP($B142,IS明細!B:D,3,0))</f>
        <v>52110</v>
      </c>
      <c r="E142" s="306">
        <f>IF(ISNA(VLOOKUP($B142,IS明細!$B:F,5,0)),0,VLOOKUP($B142,IS明細!$B:F,5,0))</f>
        <v>52224</v>
      </c>
      <c r="F142" s="306">
        <f>IF(ISNA(VLOOKUP($B142,IS明細!$B:H,7,0)),0,VLOOKUP($B142,IS明細!$B:H,7,0))</f>
        <v>52224</v>
      </c>
      <c r="G142" s="306">
        <f>IF(ISNA(VLOOKUP($B142,IS明細!$B:J,9,0)),0,VLOOKUP($B142,IS明細!$B:J,9,0))</f>
        <v>52224</v>
      </c>
      <c r="H142" s="306">
        <f>IF(ISNA(VLOOKUP($B142,IS明細!$B:L,11,0)),0,VLOOKUP($B142,IS明細!$B:L,11,0))</f>
        <v>52110</v>
      </c>
      <c r="I142" s="306">
        <f>IF(ISNA(VLOOKUP($B142,IS明細!$B:N,13,0)),0,VLOOKUP($B142,IS明細!$B:N,13,0))</f>
        <v>52224</v>
      </c>
      <c r="J142" s="306">
        <f>IF(ISNA(VLOOKUP($B142,IS明細!$B:P,15,0)),0,VLOOKUP($B142,IS明細!$B:P,15,0))</f>
        <v>52224</v>
      </c>
      <c r="K142" s="306">
        <f>IF(ISNA(VLOOKUP($B142,IS明細!$B:R,17,0)),0,VLOOKUP($B142,IS明細!$B:R,17,0))</f>
        <v>52674</v>
      </c>
      <c r="L142" s="306">
        <f>IF(ISNA(VLOOKUP($B142,IS明細!$B:T,19,0)),0,VLOOKUP($B142,IS明細!$B:T,19,0))</f>
        <v>0</v>
      </c>
      <c r="M142" s="306">
        <f>IF(ISNA(VLOOKUP($B142,IS明細!$B:V,21,0)),0,VLOOKUP($B142,IS明細!$B:V,21,0))</f>
        <v>0</v>
      </c>
      <c r="N142" s="306">
        <f>IF(ISNA(VLOOKUP($B142,IS明細!$B:X,23,0)),0,VLOOKUP($B142,IS明細!$B:X,23,0))</f>
        <v>0</v>
      </c>
      <c r="O142" s="306">
        <f>IF(ISNA(VLOOKUP($B142,IS明細!$B:Z,25,0)),0,VLOOKUP($B142,IS明細!$B:Z,25,0))</f>
        <v>0</v>
      </c>
      <c r="P142" s="306">
        <f t="shared" si="7"/>
        <v>418014</v>
      </c>
      <c r="Q142" s="337">
        <f t="shared" si="8"/>
        <v>7.3725401706426625E-4</v>
      </c>
      <c r="R142" s="321"/>
    </row>
    <row r="143" spans="1:18" ht="18" hidden="1" customHeight="1" outlineLevel="1">
      <c r="A143" s="344"/>
      <c r="B143" s="344" t="s">
        <v>748</v>
      </c>
      <c r="C143" s="322"/>
      <c r="D143" s="306">
        <f>IF(ISNA(VLOOKUP($B143,IS明細!B:D,3,0)),0,VLOOKUP($B143,IS明細!B:D,3,0))</f>
        <v>0</v>
      </c>
      <c r="E143" s="306">
        <f>IF(ISNA(VLOOKUP($B143,IS明細!$B:F,5,0)),0,VLOOKUP($B143,IS明細!$B:F,5,0))</f>
        <v>0</v>
      </c>
      <c r="F143" s="306">
        <f>IF(ISNA(VLOOKUP($B143,IS明細!$B:H,7,0)),0,VLOOKUP($B143,IS明細!$B:H,7,0))</f>
        <v>0</v>
      </c>
      <c r="G143" s="306">
        <f>IF(ISNA(VLOOKUP($B143,IS明細!$B:J,9,0)),0,VLOOKUP($B143,IS明細!$B:J,9,0))</f>
        <v>0</v>
      </c>
      <c r="H143" s="306">
        <f>IF(ISNA(VLOOKUP($B143,IS明細!$B:L,11,0)),0,VLOOKUP($B143,IS明細!$B:L,11,0))</f>
        <v>0</v>
      </c>
      <c r="I143" s="306">
        <f>IF(ISNA(VLOOKUP($B143,IS明細!$B:N,13,0)),0,VLOOKUP($B143,IS明細!$B:N,13,0))</f>
        <v>0</v>
      </c>
      <c r="J143" s="306">
        <f>IF(ISNA(VLOOKUP($B143,IS明細!$B:P,15,0)),0,VLOOKUP($B143,IS明細!$B:P,15,0))</f>
        <v>0</v>
      </c>
      <c r="K143" s="306">
        <f>IF(ISNA(VLOOKUP($B143,IS明細!$B:R,17,0)),0,VLOOKUP($B143,IS明細!$B:R,17,0))</f>
        <v>0</v>
      </c>
      <c r="L143" s="306">
        <f>IF(ISNA(VLOOKUP($B143,IS明細!$B:T,19,0)),0,VLOOKUP($B143,IS明細!$B:T,19,0))</f>
        <v>0</v>
      </c>
      <c r="M143" s="306">
        <f>IF(ISNA(VLOOKUP($B143,IS明細!$B:V,21,0)),0,VLOOKUP($B143,IS明細!$B:V,21,0))</f>
        <v>0</v>
      </c>
      <c r="N143" s="306">
        <f>IF(ISNA(VLOOKUP($B143,IS明細!$B:X,23,0)),0,VLOOKUP($B143,IS明細!$B:X,23,0))</f>
        <v>0</v>
      </c>
      <c r="O143" s="306">
        <f>IF(ISNA(VLOOKUP($B143,IS明細!$B:Z,25,0)),0,VLOOKUP($B143,IS明細!$B:Z,25,0))</f>
        <v>0</v>
      </c>
      <c r="P143" s="306">
        <f t="shared" si="7"/>
        <v>0</v>
      </c>
      <c r="Q143" s="337">
        <f t="shared" si="8"/>
        <v>0</v>
      </c>
      <c r="R143" s="321"/>
    </row>
    <row r="144" spans="1:18" ht="18" hidden="1" customHeight="1" outlineLevel="1">
      <c r="A144" s="344"/>
      <c r="B144" s="344" t="s">
        <v>749</v>
      </c>
      <c r="C144" s="322"/>
      <c r="D144" s="306">
        <f>IF(ISNA(VLOOKUP($B144,IS明細!B:D,3,0)),0,VLOOKUP($B144,IS明細!B:D,3,0))</f>
        <v>9214</v>
      </c>
      <c r="E144" s="306">
        <f>IF(ISNA(VLOOKUP($B144,IS明細!$B:F,5,0)),0,VLOOKUP($B144,IS明細!$B:F,5,0))</f>
        <v>9214</v>
      </c>
      <c r="F144" s="306">
        <f>IF(ISNA(VLOOKUP($B144,IS明細!$B:H,7,0)),0,VLOOKUP($B144,IS明細!$B:H,7,0))</f>
        <v>9215</v>
      </c>
      <c r="G144" s="306">
        <f>IF(ISNA(VLOOKUP($B144,IS明細!$B:J,9,0)),0,VLOOKUP($B144,IS明細!$B:J,9,0))</f>
        <v>9214</v>
      </c>
      <c r="H144" s="306">
        <f>IF(ISNA(VLOOKUP($B144,IS明細!$B:L,11,0)),0,VLOOKUP($B144,IS明細!$B:L,11,0))</f>
        <v>9214</v>
      </c>
      <c r="I144" s="306">
        <f>IF(ISNA(VLOOKUP($B144,IS明細!$B:N,13,0)),0,VLOOKUP($B144,IS明細!$B:N,13,0))</f>
        <v>15691</v>
      </c>
      <c r="J144" s="306">
        <f>IF(ISNA(VLOOKUP($B144,IS明細!$B:P,15,0)),0,VLOOKUP($B144,IS明細!$B:P,15,0))</f>
        <v>9214</v>
      </c>
      <c r="K144" s="306">
        <f>IF(ISNA(VLOOKUP($B144,IS明細!$B:R,17,0)),0,VLOOKUP($B144,IS明細!$B:R,17,0))</f>
        <v>9214</v>
      </c>
      <c r="L144" s="306">
        <f>IF(ISNA(VLOOKUP($B144,IS明細!$B:T,19,0)),0,VLOOKUP($B144,IS明細!$B:T,19,0))</f>
        <v>0</v>
      </c>
      <c r="M144" s="306">
        <f>IF(ISNA(VLOOKUP($B144,IS明細!$B:V,21,0)),0,VLOOKUP($B144,IS明細!$B:V,21,0))</f>
        <v>0</v>
      </c>
      <c r="N144" s="306">
        <f>IF(ISNA(VLOOKUP($B144,IS明細!$B:X,23,0)),0,VLOOKUP($B144,IS明細!$B:X,23,0))</f>
        <v>0</v>
      </c>
      <c r="O144" s="306">
        <f>IF(ISNA(VLOOKUP($B144,IS明細!$B:Z,25,0)),0,VLOOKUP($B144,IS明細!$B:Z,25,0))</f>
        <v>0</v>
      </c>
      <c r="P144" s="306">
        <f t="shared" si="7"/>
        <v>80190</v>
      </c>
      <c r="Q144" s="337">
        <f t="shared" si="8"/>
        <v>1.414316258029241E-4</v>
      </c>
      <c r="R144" s="321"/>
    </row>
    <row r="145" spans="1:18" ht="18" hidden="1" customHeight="1" outlineLevel="1">
      <c r="A145" s="344"/>
      <c r="B145" s="344" t="s">
        <v>750</v>
      </c>
      <c r="C145" s="322"/>
      <c r="D145" s="306">
        <f>IF(ISNA(VLOOKUP($B145,IS明細!B:D,3,0)),0,VLOOKUP($B145,IS明細!B:D,3,0))</f>
        <v>660</v>
      </c>
      <c r="E145" s="306">
        <f>IF(ISNA(VLOOKUP($B145,IS明細!$B:F,5,0)),0,VLOOKUP($B145,IS明細!$B:F,5,0))</f>
        <v>3660</v>
      </c>
      <c r="F145" s="306">
        <f>IF(ISNA(VLOOKUP($B145,IS明細!$B:H,7,0)),0,VLOOKUP($B145,IS明細!$B:H,7,0))</f>
        <v>5268</v>
      </c>
      <c r="G145" s="306">
        <f>IF(ISNA(VLOOKUP($B145,IS明細!$B:J,9,0)),0,VLOOKUP($B145,IS明細!$B:J,9,0))</f>
        <v>2612</v>
      </c>
      <c r="H145" s="306">
        <f>IF(ISNA(VLOOKUP($B145,IS明細!$B:L,11,0)),0,VLOOKUP($B145,IS明細!$B:L,11,0))</f>
        <v>6500</v>
      </c>
      <c r="I145" s="306">
        <f>IF(ISNA(VLOOKUP($B145,IS明細!$B:N,13,0)),0,VLOOKUP($B145,IS明細!$B:N,13,0))</f>
        <v>2269</v>
      </c>
      <c r="J145" s="306">
        <f>IF(ISNA(VLOOKUP($B145,IS明細!$B:P,15,0)),0,VLOOKUP($B145,IS明細!$B:P,15,0))</f>
        <v>16972</v>
      </c>
      <c r="K145" s="306">
        <f>IF(ISNA(VLOOKUP($B145,IS明細!$B:R,17,0)),0,VLOOKUP($B145,IS明細!$B:R,17,0))</f>
        <v>1610</v>
      </c>
      <c r="L145" s="306">
        <f>IF(ISNA(VLOOKUP($B145,IS明細!$B:T,19,0)),0,VLOOKUP($B145,IS明細!$B:T,19,0))</f>
        <v>0</v>
      </c>
      <c r="M145" s="306">
        <f>IF(ISNA(VLOOKUP($B145,IS明細!$B:V,21,0)),0,VLOOKUP($B145,IS明細!$B:V,21,0))</f>
        <v>0</v>
      </c>
      <c r="N145" s="306">
        <f>IF(ISNA(VLOOKUP($B145,IS明細!$B:X,23,0)),0,VLOOKUP($B145,IS明細!$B:X,23,0))</f>
        <v>0</v>
      </c>
      <c r="O145" s="306">
        <f>IF(ISNA(VLOOKUP($B145,IS明細!$B:Z,25,0)),0,VLOOKUP($B145,IS明細!$B:Z,25,0))</f>
        <v>0</v>
      </c>
      <c r="P145" s="306">
        <f t="shared" si="7"/>
        <v>39551</v>
      </c>
      <c r="Q145" s="337">
        <f t="shared" si="8"/>
        <v>6.975635655482542E-5</v>
      </c>
      <c r="R145" s="321"/>
    </row>
    <row r="146" spans="1:18" ht="18" hidden="1" customHeight="1" outlineLevel="1">
      <c r="A146" s="344"/>
      <c r="B146" s="344" t="s">
        <v>751</v>
      </c>
      <c r="C146" s="322"/>
      <c r="D146" s="306">
        <f>IF(ISNA(VLOOKUP($B146,IS明細!B:D,3,0)),0,VLOOKUP($B146,IS明細!B:D,3,0))</f>
        <v>47200</v>
      </c>
      <c r="E146" s="306">
        <f>IF(ISNA(VLOOKUP($B146,IS明細!$B:F,5,0)),0,VLOOKUP($B146,IS明細!$B:F,5,0))</f>
        <v>233684</v>
      </c>
      <c r="F146" s="306">
        <f>IF(ISNA(VLOOKUP($B146,IS明細!$B:H,7,0)),0,VLOOKUP($B146,IS明細!$B:H,7,0))</f>
        <v>135742</v>
      </c>
      <c r="G146" s="306">
        <f>IF(ISNA(VLOOKUP($B146,IS明細!$B:J,9,0)),0,VLOOKUP($B146,IS明細!$B:J,9,0))</f>
        <v>33500</v>
      </c>
      <c r="H146" s="306">
        <f>IF(ISNA(VLOOKUP($B146,IS明細!$B:L,11,0)),0,VLOOKUP($B146,IS明細!$B:L,11,0))</f>
        <v>24228</v>
      </c>
      <c r="I146" s="306">
        <f>IF(ISNA(VLOOKUP($B146,IS明細!$B:N,13,0)),0,VLOOKUP($B146,IS明細!$B:N,13,0))</f>
        <v>21228</v>
      </c>
      <c r="J146" s="306">
        <f>IF(ISNA(VLOOKUP($B146,IS明細!$B:P,15,0)),0,VLOOKUP($B146,IS明細!$B:P,15,0))</f>
        <v>78205</v>
      </c>
      <c r="K146" s="306">
        <f>IF(ISNA(VLOOKUP($B146,IS明細!$B:R,17,0)),0,VLOOKUP($B146,IS明細!$B:R,17,0))</f>
        <v>33973</v>
      </c>
      <c r="L146" s="306">
        <f>IF(ISNA(VLOOKUP($B146,IS明細!$B:T,19,0)),0,VLOOKUP($B146,IS明細!$B:T,19,0))</f>
        <v>0</v>
      </c>
      <c r="M146" s="306">
        <f>IF(ISNA(VLOOKUP($B146,IS明細!$B:V,21,0)),0,VLOOKUP($B146,IS明細!$B:V,21,0))</f>
        <v>0</v>
      </c>
      <c r="N146" s="306">
        <f>IF(ISNA(VLOOKUP($B146,IS明細!$B:X,23,0)),0,VLOOKUP($B146,IS明細!$B:X,23,0))</f>
        <v>0</v>
      </c>
      <c r="O146" s="306">
        <f>IF(ISNA(VLOOKUP($B146,IS明細!$B:Z,25,0)),0,VLOOKUP($B146,IS明細!$B:Z,25,0))</f>
        <v>0</v>
      </c>
      <c r="P146" s="306">
        <f t="shared" si="7"/>
        <v>607760</v>
      </c>
      <c r="Q146" s="337">
        <f t="shared" si="8"/>
        <v>1.0719102743232964E-3</v>
      </c>
      <c r="R146" s="321"/>
    </row>
    <row r="147" spans="1:18" ht="18" hidden="1" customHeight="1" outlineLevel="1">
      <c r="A147" s="344"/>
      <c r="B147" s="344" t="s">
        <v>752</v>
      </c>
      <c r="C147" s="322"/>
      <c r="D147" s="306">
        <f>IF(ISNA(VLOOKUP($B147,IS明細!B:D,3,0)),0,VLOOKUP($B147,IS明細!B:D,3,0))</f>
        <v>3250</v>
      </c>
      <c r="E147" s="306">
        <f>IF(ISNA(VLOOKUP($B147,IS明細!$B:F,5,0)),0,VLOOKUP($B147,IS明細!$B:F,5,0))</f>
        <v>2710</v>
      </c>
      <c r="F147" s="306">
        <f>IF(ISNA(VLOOKUP($B147,IS明細!$B:H,7,0)),0,VLOOKUP($B147,IS明細!$B:H,7,0))</f>
        <v>2710</v>
      </c>
      <c r="G147" s="306">
        <f>IF(ISNA(VLOOKUP($B147,IS明細!$B:J,9,0)),0,VLOOKUP($B147,IS明細!$B:J,9,0))</f>
        <v>2600</v>
      </c>
      <c r="H147" s="306">
        <f>IF(ISNA(VLOOKUP($B147,IS明細!$B:L,11,0)),0,VLOOKUP($B147,IS明細!$B:L,11,0))</f>
        <v>2800</v>
      </c>
      <c r="I147" s="306">
        <f>IF(ISNA(VLOOKUP($B147,IS明細!$B:N,13,0)),0,VLOOKUP($B147,IS明細!$B:N,13,0))</f>
        <v>2350</v>
      </c>
      <c r="J147" s="306">
        <f>IF(ISNA(VLOOKUP($B147,IS明細!$B:P,15,0)),0,VLOOKUP($B147,IS明細!$B:P,15,0))</f>
        <v>2250</v>
      </c>
      <c r="K147" s="306">
        <f>IF(ISNA(VLOOKUP($B147,IS明細!$B:R,17,0)),0,VLOOKUP($B147,IS明細!$B:R,17,0))</f>
        <v>2900</v>
      </c>
      <c r="L147" s="306">
        <f>IF(ISNA(VLOOKUP($B147,IS明細!$B:T,19,0)),0,VLOOKUP($B147,IS明細!$B:T,19,0))</f>
        <v>0</v>
      </c>
      <c r="M147" s="306">
        <f>IF(ISNA(VLOOKUP($B147,IS明細!$B:V,21,0)),0,VLOOKUP($B147,IS明細!$B:V,21,0))</f>
        <v>0</v>
      </c>
      <c r="N147" s="306">
        <f>IF(ISNA(VLOOKUP($B147,IS明細!$B:X,23,0)),0,VLOOKUP($B147,IS明細!$B:X,23,0))</f>
        <v>0</v>
      </c>
      <c r="O147" s="306">
        <f>IF(ISNA(VLOOKUP($B147,IS明細!$B:Z,25,0)),0,VLOOKUP($B147,IS明細!$B:Z,25,0))</f>
        <v>0</v>
      </c>
      <c r="P147" s="306">
        <f t="shared" si="7"/>
        <v>21570</v>
      </c>
      <c r="Q147" s="337">
        <f t="shared" si="8"/>
        <v>3.8043149626749875E-5</v>
      </c>
      <c r="R147" s="321"/>
    </row>
    <row r="148" spans="1:18" ht="18" hidden="1" customHeight="1" outlineLevel="1">
      <c r="A148" s="344"/>
      <c r="B148" s="344" t="s">
        <v>753</v>
      </c>
      <c r="C148" s="322"/>
      <c r="D148" s="306">
        <f>IF(ISNA(VLOOKUP($B148,IS明細!B:D,3,0)),0,VLOOKUP($B148,IS明細!B:D,3,0))</f>
        <v>7080</v>
      </c>
      <c r="E148" s="306">
        <f>IF(ISNA(VLOOKUP($B148,IS明細!$B:F,5,0)),0,VLOOKUP($B148,IS明細!$B:F,5,0))</f>
        <v>2784</v>
      </c>
      <c r="F148" s="306">
        <f>IF(ISNA(VLOOKUP($B148,IS明細!$B:H,7,0)),0,VLOOKUP($B148,IS明細!$B:H,7,0))</f>
        <v>21856</v>
      </c>
      <c r="G148" s="306">
        <f>IF(ISNA(VLOOKUP($B148,IS明細!$B:J,9,0)),0,VLOOKUP($B148,IS明細!$B:J,9,0))</f>
        <v>8719</v>
      </c>
      <c r="H148" s="306">
        <f>IF(ISNA(VLOOKUP($B148,IS明細!$B:L,11,0)),0,VLOOKUP($B148,IS明細!$B:L,11,0))</f>
        <v>11839</v>
      </c>
      <c r="I148" s="306">
        <f>IF(ISNA(VLOOKUP($B148,IS明細!$B:N,13,0)),0,VLOOKUP($B148,IS明細!$B:N,13,0))</f>
        <v>12912</v>
      </c>
      <c r="J148" s="306">
        <f>IF(ISNA(VLOOKUP($B148,IS明細!$B:P,15,0)),0,VLOOKUP($B148,IS明細!$B:P,15,0))</f>
        <v>11469</v>
      </c>
      <c r="K148" s="306">
        <f>IF(ISNA(VLOOKUP($B148,IS明細!$B:R,17,0)),0,VLOOKUP($B148,IS明細!$B:R,17,0))</f>
        <v>8914</v>
      </c>
      <c r="L148" s="306">
        <f>IF(ISNA(VLOOKUP($B148,IS明細!$B:T,19,0)),0,VLOOKUP($B148,IS明細!$B:T,19,0))</f>
        <v>0</v>
      </c>
      <c r="M148" s="306">
        <f>IF(ISNA(VLOOKUP($B148,IS明細!$B:V,21,0)),0,VLOOKUP($B148,IS明細!$B:V,21,0))</f>
        <v>0</v>
      </c>
      <c r="N148" s="306">
        <f>IF(ISNA(VLOOKUP($B148,IS明細!$B:X,23,0)),0,VLOOKUP($B148,IS明細!$B:X,23,0))</f>
        <v>0</v>
      </c>
      <c r="O148" s="306">
        <f>IF(ISNA(VLOOKUP($B148,IS明細!$B:Z,25,0)),0,VLOOKUP($B148,IS明細!$B:Z,25,0))</f>
        <v>0</v>
      </c>
      <c r="P148" s="306">
        <f t="shared" si="7"/>
        <v>85573</v>
      </c>
      <c r="Q148" s="337">
        <f t="shared" si="8"/>
        <v>1.5092565799767582E-4</v>
      </c>
      <c r="R148" s="321"/>
    </row>
    <row r="149" spans="1:18" ht="18" hidden="1" customHeight="1" outlineLevel="1">
      <c r="A149" s="344"/>
      <c r="B149" s="344" t="s">
        <v>754</v>
      </c>
      <c r="C149" s="322"/>
      <c r="D149" s="306">
        <f>IF(ISNA(VLOOKUP($B149,IS明細!B:D,3,0)),0,VLOOKUP($B149,IS明細!B:D,3,0))</f>
        <v>952</v>
      </c>
      <c r="E149" s="306">
        <f>IF(ISNA(VLOOKUP($B149,IS明細!$B:F,5,0)),0,VLOOKUP($B149,IS明細!$B:F,5,0))</f>
        <v>2000</v>
      </c>
      <c r="F149" s="306">
        <f>IF(ISNA(VLOOKUP($B149,IS明細!$B:H,7,0)),0,VLOOKUP($B149,IS明細!$B:H,7,0))</f>
        <v>0</v>
      </c>
      <c r="G149" s="306">
        <f>IF(ISNA(VLOOKUP($B149,IS明細!$B:J,9,0)),0,VLOOKUP($B149,IS明細!$B:J,9,0))</f>
        <v>51434</v>
      </c>
      <c r="H149" s="306">
        <f>IF(ISNA(VLOOKUP($B149,IS明細!$B:L,11,0)),0,VLOOKUP($B149,IS明細!$B:L,11,0))</f>
        <v>0</v>
      </c>
      <c r="I149" s="306">
        <f>IF(ISNA(VLOOKUP($B149,IS明細!$B:N,13,0)),0,VLOOKUP($B149,IS明細!$B:N,13,0))</f>
        <v>3143</v>
      </c>
      <c r="J149" s="306">
        <f>IF(ISNA(VLOOKUP($B149,IS明細!$B:P,15,0)),0,VLOOKUP($B149,IS明細!$B:P,15,0))</f>
        <v>2000</v>
      </c>
      <c r="K149" s="306">
        <f>IF(ISNA(VLOOKUP($B149,IS明細!$B:R,17,0)),0,VLOOKUP($B149,IS明細!$B:R,17,0))</f>
        <v>25843</v>
      </c>
      <c r="L149" s="306">
        <f>IF(ISNA(VLOOKUP($B149,IS明細!$B:T,19,0)),0,VLOOKUP($B149,IS明細!$B:T,19,0))</f>
        <v>0</v>
      </c>
      <c r="M149" s="306">
        <f>IF(ISNA(VLOOKUP($B149,IS明細!$B:V,21,0)),0,VLOOKUP($B149,IS明細!$B:V,21,0))</f>
        <v>0</v>
      </c>
      <c r="N149" s="306">
        <f>IF(ISNA(VLOOKUP($B149,IS明細!$B:X,23,0)),0,VLOOKUP($B149,IS明細!$B:X,23,0))</f>
        <v>0</v>
      </c>
      <c r="O149" s="306">
        <f>IF(ISNA(VLOOKUP($B149,IS明細!$B:Z,25,0)),0,VLOOKUP($B149,IS明細!$B:Z,25,0))</f>
        <v>0</v>
      </c>
      <c r="P149" s="306">
        <f t="shared" si="7"/>
        <v>85372</v>
      </c>
      <c r="Q149" s="337">
        <f t="shared" si="8"/>
        <v>1.5057115298724573E-4</v>
      </c>
      <c r="R149" s="321"/>
    </row>
    <row r="150" spans="1:18" ht="18" hidden="1" customHeight="1" outlineLevel="1">
      <c r="A150" s="344"/>
      <c r="B150" s="344" t="s">
        <v>755</v>
      </c>
      <c r="C150" s="322"/>
      <c r="D150" s="306">
        <f>IF(ISNA(VLOOKUP($B150,IS明細!B:D,3,0)),0,VLOOKUP($B150,IS明細!B:D,3,0))</f>
        <v>2500</v>
      </c>
      <c r="E150" s="306">
        <f>IF(ISNA(VLOOKUP($B150,IS明細!$B:F,5,0)),0,VLOOKUP($B150,IS明細!$B:F,5,0))</f>
        <v>2500</v>
      </c>
      <c r="F150" s="306">
        <f>IF(ISNA(VLOOKUP($B150,IS明細!$B:H,7,0)),0,VLOOKUP($B150,IS明細!$B:H,7,0))</f>
        <v>2500</v>
      </c>
      <c r="G150" s="306">
        <f>IF(ISNA(VLOOKUP($B150,IS明細!$B:J,9,0)),0,VLOOKUP($B150,IS明細!$B:J,9,0))</f>
        <v>2500</v>
      </c>
      <c r="H150" s="306">
        <f>IF(ISNA(VLOOKUP($B150,IS明細!$B:L,11,0)),0,VLOOKUP($B150,IS明細!$B:L,11,0))</f>
        <v>2500</v>
      </c>
      <c r="I150" s="306">
        <f>IF(ISNA(VLOOKUP($B150,IS明細!$B:N,13,0)),0,VLOOKUP($B150,IS明細!$B:N,13,0))</f>
        <v>3280</v>
      </c>
      <c r="J150" s="306">
        <f>IF(ISNA(VLOOKUP($B150,IS明細!$B:P,15,0)),0,VLOOKUP($B150,IS明細!$B:P,15,0))</f>
        <v>2500</v>
      </c>
      <c r="K150" s="306">
        <f>IF(ISNA(VLOOKUP($B150,IS明細!$B:R,17,0)),0,VLOOKUP($B150,IS明細!$B:R,17,0))</f>
        <v>2500</v>
      </c>
      <c r="L150" s="306">
        <f>IF(ISNA(VLOOKUP($B150,IS明細!$B:T,19,0)),0,VLOOKUP($B150,IS明細!$B:T,19,0))</f>
        <v>0</v>
      </c>
      <c r="M150" s="306">
        <f>IF(ISNA(VLOOKUP($B150,IS明細!$B:V,21,0)),0,VLOOKUP($B150,IS明細!$B:V,21,0))</f>
        <v>0</v>
      </c>
      <c r="N150" s="306">
        <f>IF(ISNA(VLOOKUP($B150,IS明細!$B:X,23,0)),0,VLOOKUP($B150,IS明細!$B:X,23,0))</f>
        <v>0</v>
      </c>
      <c r="O150" s="306">
        <f>IF(ISNA(VLOOKUP($B150,IS明細!$B:Z,25,0)),0,VLOOKUP($B150,IS明細!$B:Z,25,0))</f>
        <v>0</v>
      </c>
      <c r="P150" s="306">
        <f t="shared" si="7"/>
        <v>20780</v>
      </c>
      <c r="Q150" s="337">
        <f t="shared" si="8"/>
        <v>3.664982147630331E-5</v>
      </c>
      <c r="R150" s="321"/>
    </row>
    <row r="151" spans="1:18" ht="18" hidden="1" customHeight="1" outlineLevel="1">
      <c r="A151" s="344"/>
      <c r="B151" s="344" t="s">
        <v>756</v>
      </c>
      <c r="C151" s="322"/>
      <c r="D151" s="306">
        <f>IF(ISNA(VLOOKUP($B151,IS明細!B:D,3,0)),0,VLOOKUP($B151,IS明細!B:D,3,0))</f>
        <v>13011</v>
      </c>
      <c r="E151" s="306">
        <f>IF(ISNA(VLOOKUP($B151,IS明細!$B:F,5,0)),0,VLOOKUP($B151,IS明細!$B:F,5,0))</f>
        <v>8030</v>
      </c>
      <c r="F151" s="306">
        <f>IF(ISNA(VLOOKUP($B151,IS明細!$B:H,7,0)),0,VLOOKUP($B151,IS明細!$B:H,7,0))</f>
        <v>10454</v>
      </c>
      <c r="G151" s="306">
        <f>IF(ISNA(VLOOKUP($B151,IS明細!$B:J,9,0)),0,VLOOKUP($B151,IS明細!$B:J,9,0))</f>
        <v>10776</v>
      </c>
      <c r="H151" s="306">
        <f>IF(ISNA(VLOOKUP($B151,IS明細!$B:L,11,0)),0,VLOOKUP($B151,IS明細!$B:L,11,0))</f>
        <v>12937</v>
      </c>
      <c r="I151" s="306">
        <f>IF(ISNA(VLOOKUP($B151,IS明細!$B:N,13,0)),0,VLOOKUP($B151,IS明細!$B:N,13,0))</f>
        <v>13205</v>
      </c>
      <c r="J151" s="306">
        <f>IF(ISNA(VLOOKUP($B151,IS明細!$B:P,15,0)),0,VLOOKUP($B151,IS明細!$B:P,15,0))</f>
        <v>13851</v>
      </c>
      <c r="K151" s="306">
        <f>IF(ISNA(VLOOKUP($B151,IS明細!$B:R,17,0)),0,VLOOKUP($B151,IS明細!$B:R,17,0))</f>
        <v>19372</v>
      </c>
      <c r="L151" s="306">
        <f>IF(ISNA(VLOOKUP($B151,IS明細!$B:T,19,0)),0,VLOOKUP($B151,IS明細!$B:T,19,0))</f>
        <v>0</v>
      </c>
      <c r="M151" s="306">
        <f>IF(ISNA(VLOOKUP($B151,IS明細!$B:V,21,0)),0,VLOOKUP($B151,IS明細!$B:V,21,0))</f>
        <v>0</v>
      </c>
      <c r="N151" s="306">
        <f>IF(ISNA(VLOOKUP($B151,IS明細!$B:X,23,0)),0,VLOOKUP($B151,IS明細!$B:X,23,0))</f>
        <v>0</v>
      </c>
      <c r="O151" s="306">
        <f>IF(ISNA(VLOOKUP($B151,IS明細!$B:Z,25,0)),0,VLOOKUP($B151,IS明細!$B:Z,25,0))</f>
        <v>0</v>
      </c>
      <c r="P151" s="306">
        <f t="shared" si="7"/>
        <v>101636</v>
      </c>
      <c r="Q151" s="337">
        <f t="shared" si="8"/>
        <v>1.7925607582124943E-4</v>
      </c>
      <c r="R151" s="321"/>
    </row>
    <row r="152" spans="1:18" ht="18" hidden="1" customHeight="1" outlineLevel="1">
      <c r="A152" s="344"/>
      <c r="B152" s="344" t="s">
        <v>757</v>
      </c>
      <c r="C152" s="322"/>
      <c r="D152" s="306">
        <f>IF(ISNA(VLOOKUP($B152,IS明細!B:D,3,0)),0,VLOOKUP($B152,IS明細!B:D,3,0))</f>
        <v>84268</v>
      </c>
      <c r="E152" s="306">
        <f>IF(ISNA(VLOOKUP($B152,IS明細!$B:F,5,0)),0,VLOOKUP($B152,IS明細!$B:F,5,0))</f>
        <v>86007</v>
      </c>
      <c r="F152" s="306">
        <f>IF(ISNA(VLOOKUP($B152,IS明細!$B:H,7,0)),0,VLOOKUP($B152,IS明細!$B:H,7,0))</f>
        <v>87624</v>
      </c>
      <c r="G152" s="306">
        <f>IF(ISNA(VLOOKUP($B152,IS明細!$B:J,9,0)),0,VLOOKUP($B152,IS明細!$B:J,9,0))</f>
        <v>85735</v>
      </c>
      <c r="H152" s="306">
        <f>IF(ISNA(VLOOKUP($B152,IS明細!$B:L,11,0)),0,VLOOKUP($B152,IS明細!$B:L,11,0))</f>
        <v>85929</v>
      </c>
      <c r="I152" s="306">
        <f>IF(ISNA(VLOOKUP($B152,IS明細!$B:N,13,0)),0,VLOOKUP($B152,IS明細!$B:N,13,0))</f>
        <v>180151</v>
      </c>
      <c r="J152" s="306">
        <f>IF(ISNA(VLOOKUP($B152,IS明細!$B:P,15,0)),0,VLOOKUP($B152,IS明細!$B:P,15,0))</f>
        <v>101560</v>
      </c>
      <c r="K152" s="306">
        <f>IF(ISNA(VLOOKUP($B152,IS明細!$B:R,17,0)),0,VLOOKUP($B152,IS明細!$B:R,17,0))</f>
        <v>102144</v>
      </c>
      <c r="L152" s="306">
        <f>IF(ISNA(VLOOKUP($B152,IS明細!$B:T,19,0)),0,VLOOKUP($B152,IS明細!$B:T,19,0))</f>
        <v>0</v>
      </c>
      <c r="M152" s="306">
        <f>IF(ISNA(VLOOKUP($B152,IS明細!$B:V,21,0)),0,VLOOKUP($B152,IS明細!$B:V,21,0))</f>
        <v>0</v>
      </c>
      <c r="N152" s="306">
        <f>IF(ISNA(VLOOKUP($B152,IS明細!$B:X,23,0)),0,VLOOKUP($B152,IS明細!$B:X,23,0))</f>
        <v>0</v>
      </c>
      <c r="O152" s="306">
        <f>IF(ISNA(VLOOKUP($B152,IS明細!$B:Z,25,0)),0,VLOOKUP($B152,IS明細!$B:Z,25,0))</f>
        <v>0</v>
      </c>
      <c r="P152" s="306">
        <f t="shared" si="7"/>
        <v>813418</v>
      </c>
      <c r="Q152" s="337">
        <f t="shared" si="8"/>
        <v>1.4346306297214478E-3</v>
      </c>
      <c r="R152" s="321"/>
    </row>
    <row r="153" spans="1:18" ht="18" hidden="1" customHeight="1" outlineLevel="1">
      <c r="A153" s="344"/>
      <c r="B153" s="344" t="s">
        <v>758</v>
      </c>
      <c r="C153" s="322"/>
      <c r="D153" s="306">
        <f>IF(ISNA(VLOOKUP($B153,IS明細!B:D,3,0)),0,VLOOKUP($B153,IS明細!B:D,3,0))</f>
        <v>6348</v>
      </c>
      <c r="E153" s="306">
        <f>IF(ISNA(VLOOKUP($B153,IS明細!$B:F,5,0)),0,VLOOKUP($B153,IS明細!$B:F,5,0))</f>
        <v>66029</v>
      </c>
      <c r="F153" s="306">
        <f>IF(ISNA(VLOOKUP($B153,IS明細!$B:H,7,0)),0,VLOOKUP($B153,IS明細!$B:H,7,0))</f>
        <v>22100</v>
      </c>
      <c r="G153" s="306">
        <f>IF(ISNA(VLOOKUP($B153,IS明細!$B:J,9,0)),0,VLOOKUP($B153,IS明細!$B:J,9,0))</f>
        <v>6950</v>
      </c>
      <c r="H153" s="306">
        <f>IF(ISNA(VLOOKUP($B153,IS明細!$B:L,11,0)),0,VLOOKUP($B153,IS明細!$B:L,11,0))</f>
        <v>9367</v>
      </c>
      <c r="I153" s="306">
        <f>IF(ISNA(VLOOKUP($B153,IS明細!$B:N,13,0)),0,VLOOKUP($B153,IS明細!$B:N,13,0))</f>
        <v>10427</v>
      </c>
      <c r="J153" s="306">
        <f>IF(ISNA(VLOOKUP($B153,IS明細!$B:P,15,0)),0,VLOOKUP($B153,IS明細!$B:P,15,0))</f>
        <v>21335</v>
      </c>
      <c r="K153" s="306">
        <f>IF(ISNA(VLOOKUP($B153,IS明細!$B:R,17,0)),0,VLOOKUP($B153,IS明細!$B:R,17,0))</f>
        <v>4602</v>
      </c>
      <c r="L153" s="306">
        <f>IF(ISNA(VLOOKUP($B153,IS明細!$B:T,19,0)),0,VLOOKUP($B153,IS明細!$B:T,19,0))</f>
        <v>0</v>
      </c>
      <c r="M153" s="306">
        <f>IF(ISNA(VLOOKUP($B153,IS明細!$B:V,21,0)),0,VLOOKUP($B153,IS明細!$B:V,21,0))</f>
        <v>0</v>
      </c>
      <c r="N153" s="306">
        <f>IF(ISNA(VLOOKUP($B153,IS明細!$B:X,23,0)),0,VLOOKUP($B153,IS明細!$B:X,23,0))</f>
        <v>0</v>
      </c>
      <c r="O153" s="306">
        <f>IF(ISNA(VLOOKUP($B153,IS明細!$B:Z,25,0)),0,VLOOKUP($B153,IS明細!$B:Z,25,0))</f>
        <v>0</v>
      </c>
      <c r="P153" s="306">
        <f t="shared" si="7"/>
        <v>147158</v>
      </c>
      <c r="Q153" s="337">
        <f t="shared" si="8"/>
        <v>2.5954352400432354E-4</v>
      </c>
      <c r="R153" s="321"/>
    </row>
    <row r="154" spans="1:18" ht="18" hidden="1" customHeight="1" outlineLevel="1">
      <c r="A154" s="344"/>
      <c r="B154" s="344" t="s">
        <v>759</v>
      </c>
      <c r="C154" s="322"/>
      <c r="D154" s="306">
        <f>IF(ISNA(VLOOKUP($B154,IS明細!B:D,3,0)),0,VLOOKUP($B154,IS明細!B:D,3,0))</f>
        <v>0</v>
      </c>
      <c r="E154" s="306">
        <f>IF(ISNA(VLOOKUP($B154,IS明細!$B:F,5,0)),0,VLOOKUP($B154,IS明細!$B:F,5,0))</f>
        <v>0</v>
      </c>
      <c r="F154" s="306">
        <f>IF(ISNA(VLOOKUP($B154,IS明細!$B:H,7,0)),0,VLOOKUP($B154,IS明細!$B:H,7,0))</f>
        <v>0</v>
      </c>
      <c r="G154" s="306">
        <f>IF(ISNA(VLOOKUP($B154,IS明細!$B:J,9,0)),0,VLOOKUP($B154,IS明細!$B:J,9,0))</f>
        <v>0</v>
      </c>
      <c r="H154" s="306">
        <f>IF(ISNA(VLOOKUP($B154,IS明細!$B:L,11,0)),0,VLOOKUP($B154,IS明細!$B:L,11,0))</f>
        <v>0</v>
      </c>
      <c r="I154" s="306">
        <f>IF(ISNA(VLOOKUP($B154,IS明細!$B:N,13,0)),0,VLOOKUP($B154,IS明細!$B:N,13,0))</f>
        <v>0</v>
      </c>
      <c r="J154" s="306">
        <f>IF(ISNA(VLOOKUP($B154,IS明細!$B:P,15,0)),0,VLOOKUP($B154,IS明細!$B:P,15,0))</f>
        <v>0</v>
      </c>
      <c r="K154" s="306">
        <f>IF(ISNA(VLOOKUP($B154,IS明細!$B:R,17,0)),0,VLOOKUP($B154,IS明細!$B:R,17,0))</f>
        <v>0</v>
      </c>
      <c r="L154" s="306">
        <f>IF(ISNA(VLOOKUP($B154,IS明細!$B:T,19,0)),0,VLOOKUP($B154,IS明細!$B:T,19,0))</f>
        <v>0</v>
      </c>
      <c r="M154" s="306">
        <f>IF(ISNA(VLOOKUP($B154,IS明細!$B:V,21,0)),0,VLOOKUP($B154,IS明細!$B:V,21,0))</f>
        <v>0</v>
      </c>
      <c r="N154" s="306">
        <f>IF(ISNA(VLOOKUP($B154,IS明細!$B:X,23,0)),0,VLOOKUP($B154,IS明細!$B:X,23,0))</f>
        <v>0</v>
      </c>
      <c r="O154" s="306">
        <f>IF(ISNA(VLOOKUP($B154,IS明細!$B:Z,25,0)),0,VLOOKUP($B154,IS明細!$B:Z,25,0))</f>
        <v>0</v>
      </c>
      <c r="P154" s="306">
        <f t="shared" si="7"/>
        <v>0</v>
      </c>
      <c r="Q154" s="337">
        <f t="shared" si="8"/>
        <v>0</v>
      </c>
      <c r="R154" s="321"/>
    </row>
    <row r="155" spans="1:18" ht="18" hidden="1" customHeight="1" outlineLevel="1">
      <c r="A155" s="344"/>
      <c r="B155" s="344" t="s">
        <v>760</v>
      </c>
      <c r="C155" s="322"/>
      <c r="D155" s="306">
        <f>IF(ISNA(VLOOKUP($B155,IS明細!B:D,3,0)),0,VLOOKUP($B155,IS明細!B:D,3,0))</f>
        <v>0</v>
      </c>
      <c r="E155" s="306">
        <f>IF(ISNA(VLOOKUP($B155,IS明細!$B:F,5,0)),0,VLOOKUP($B155,IS明細!$B:F,5,0))</f>
        <v>0</v>
      </c>
      <c r="F155" s="306">
        <f>IF(ISNA(VLOOKUP($B155,IS明細!$B:H,7,0)),0,VLOOKUP($B155,IS明細!$B:H,7,0))</f>
        <v>0</v>
      </c>
      <c r="G155" s="306">
        <f>IF(ISNA(VLOOKUP($B155,IS明細!$B:J,9,0)),0,VLOOKUP($B155,IS明細!$B:J,9,0))</f>
        <v>0</v>
      </c>
      <c r="H155" s="306">
        <f>IF(ISNA(VLOOKUP($B155,IS明細!$B:L,11,0)),0,VLOOKUP($B155,IS明細!$B:L,11,0))</f>
        <v>193470</v>
      </c>
      <c r="I155" s="306">
        <f>IF(ISNA(VLOOKUP($B155,IS明細!$B:N,13,0)),0,VLOOKUP($B155,IS明細!$B:N,13,0))</f>
        <v>0</v>
      </c>
      <c r="J155" s="306">
        <f>IF(ISNA(VLOOKUP($B155,IS明細!$B:P,15,0)),0,VLOOKUP($B155,IS明細!$B:P,15,0))</f>
        <v>0</v>
      </c>
      <c r="K155" s="306">
        <f>IF(ISNA(VLOOKUP($B155,IS明細!$B:R,17,0)),0,VLOOKUP($B155,IS明細!$B:R,17,0))</f>
        <v>0</v>
      </c>
      <c r="L155" s="306">
        <f>IF(ISNA(VLOOKUP($B155,IS明細!$B:T,19,0)),0,VLOOKUP($B155,IS明細!$B:T,19,0))</f>
        <v>0</v>
      </c>
      <c r="M155" s="306">
        <f>IF(ISNA(VLOOKUP($B155,IS明細!$B:V,21,0)),0,VLOOKUP($B155,IS明細!$B:V,21,0))</f>
        <v>0</v>
      </c>
      <c r="N155" s="306">
        <f>IF(ISNA(VLOOKUP($B155,IS明細!$B:X,23,0)),0,VLOOKUP($B155,IS明細!$B:X,23,0))</f>
        <v>0</v>
      </c>
      <c r="O155" s="306">
        <f>IF(ISNA(VLOOKUP($B155,IS明細!$B:Z,25,0)),0,VLOOKUP($B155,IS明細!$B:Z,25,0))</f>
        <v>0</v>
      </c>
      <c r="P155" s="306">
        <f t="shared" si="7"/>
        <v>193470</v>
      </c>
      <c r="Q155" s="337">
        <f t="shared" si="8"/>
        <v>3.4122430033784416E-4</v>
      </c>
      <c r="R155" s="321"/>
    </row>
    <row r="156" spans="1:18" ht="18" hidden="1" customHeight="1" outlineLevel="1">
      <c r="A156" s="344"/>
      <c r="B156" s="344" t="s">
        <v>761</v>
      </c>
      <c r="C156" s="322"/>
      <c r="D156" s="306">
        <f>IF(ISNA(VLOOKUP($B156,IS明細!B:D,3,0)),0,VLOOKUP($B156,IS明細!B:D,3,0))</f>
        <v>0</v>
      </c>
      <c r="E156" s="306">
        <f>IF(ISNA(VLOOKUP($B156,IS明細!$B:F,5,0)),0,VLOOKUP($B156,IS明細!$B:F,5,0))</f>
        <v>0</v>
      </c>
      <c r="F156" s="306">
        <f>IF(ISNA(VLOOKUP($B156,IS明細!$B:H,7,0)),0,VLOOKUP($B156,IS明細!$B:H,7,0))</f>
        <v>0</v>
      </c>
      <c r="G156" s="306">
        <f>IF(ISNA(VLOOKUP($B156,IS明細!$B:J,9,0)),0,VLOOKUP($B156,IS明細!$B:J,9,0))</f>
        <v>0</v>
      </c>
      <c r="H156" s="306">
        <f>IF(ISNA(VLOOKUP($B156,IS明細!$B:L,11,0)),0,VLOOKUP($B156,IS明細!$B:L,11,0))</f>
        <v>0</v>
      </c>
      <c r="I156" s="306">
        <f>IF(ISNA(VLOOKUP($B156,IS明細!$B:N,13,0)),0,VLOOKUP($B156,IS明細!$B:N,13,0))</f>
        <v>0</v>
      </c>
      <c r="J156" s="306">
        <f>IF(ISNA(VLOOKUP($B156,IS明細!$B:P,15,0)),0,VLOOKUP($B156,IS明細!$B:P,15,0))</f>
        <v>0</v>
      </c>
      <c r="K156" s="306">
        <f>IF(ISNA(VLOOKUP($B156,IS明細!$B:R,17,0)),0,VLOOKUP($B156,IS明細!$B:R,17,0))</f>
        <v>0</v>
      </c>
      <c r="L156" s="306">
        <f>IF(ISNA(VLOOKUP($B156,IS明細!$B:T,19,0)),0,VLOOKUP($B156,IS明細!$B:T,19,0))</f>
        <v>0</v>
      </c>
      <c r="M156" s="306">
        <f>IF(ISNA(VLOOKUP($B156,IS明細!$B:V,21,0)),0,VLOOKUP($B156,IS明細!$B:V,21,0))</f>
        <v>0</v>
      </c>
      <c r="N156" s="306">
        <f>IF(ISNA(VLOOKUP($B156,IS明細!$B:X,23,0)),0,VLOOKUP($B156,IS明細!$B:X,23,0))</f>
        <v>0</v>
      </c>
      <c r="O156" s="306">
        <f>IF(ISNA(VLOOKUP($B156,IS明細!$B:Z,25,0)),0,VLOOKUP($B156,IS明細!$B:Z,25,0))</f>
        <v>0</v>
      </c>
      <c r="P156" s="306">
        <f t="shared" si="7"/>
        <v>0</v>
      </c>
      <c r="Q156" s="337">
        <f t="shared" si="8"/>
        <v>0</v>
      </c>
      <c r="R156" s="321"/>
    </row>
    <row r="157" spans="1:18" ht="18" hidden="1" customHeight="1" outlineLevel="1">
      <c r="A157" s="344"/>
      <c r="B157" s="344" t="s">
        <v>762</v>
      </c>
      <c r="C157" s="322"/>
      <c r="D157" s="306">
        <f>IF(ISNA(VLOOKUP($B157,IS明細!B:D,3,0)),0,VLOOKUP($B157,IS明細!B:D,3,0))</f>
        <v>35306</v>
      </c>
      <c r="E157" s="306">
        <f>IF(ISNA(VLOOKUP($B157,IS明細!$B:F,5,0)),0,VLOOKUP($B157,IS明細!$B:F,5,0))</f>
        <v>35299</v>
      </c>
      <c r="F157" s="306">
        <f>IF(ISNA(VLOOKUP($B157,IS明細!$B:H,7,0)),0,VLOOKUP($B157,IS明細!$B:H,7,0))</f>
        <v>35306</v>
      </c>
      <c r="G157" s="306">
        <f>IF(ISNA(VLOOKUP($B157,IS明細!$B:J,9,0)),0,VLOOKUP($B157,IS明細!$B:J,9,0))</f>
        <v>35303</v>
      </c>
      <c r="H157" s="306">
        <f>IF(ISNA(VLOOKUP($B157,IS明細!$B:L,11,0)),0,VLOOKUP($B157,IS明細!$B:L,11,0))</f>
        <v>30705</v>
      </c>
      <c r="I157" s="306">
        <f>IF(ISNA(VLOOKUP($B157,IS明細!$B:N,13,0)),0,VLOOKUP($B157,IS明細!$B:N,13,0))</f>
        <v>30711</v>
      </c>
      <c r="J157" s="306">
        <f>IF(ISNA(VLOOKUP($B157,IS明細!$B:P,15,0)),0,VLOOKUP($B157,IS明細!$B:P,15,0))</f>
        <v>30705</v>
      </c>
      <c r="K157" s="306">
        <f>IF(ISNA(VLOOKUP($B157,IS明細!$B:R,17,0)),0,VLOOKUP($B157,IS明細!$B:R,17,0))</f>
        <v>30711</v>
      </c>
      <c r="L157" s="306">
        <f>IF(ISNA(VLOOKUP($B157,IS明細!$B:T,19,0)),0,VLOOKUP($B157,IS明細!$B:T,19,0))</f>
        <v>0</v>
      </c>
      <c r="M157" s="306">
        <f>IF(ISNA(VLOOKUP($B157,IS明細!$B:V,21,0)),0,VLOOKUP($B157,IS明細!$B:V,21,0))</f>
        <v>0</v>
      </c>
      <c r="N157" s="306">
        <f>IF(ISNA(VLOOKUP($B157,IS明細!$B:X,23,0)),0,VLOOKUP($B157,IS明細!$B:X,23,0))</f>
        <v>0</v>
      </c>
      <c r="O157" s="306">
        <f>IF(ISNA(VLOOKUP($B157,IS明細!$B:Z,25,0)),0,VLOOKUP($B157,IS明細!$B:Z,25,0))</f>
        <v>0</v>
      </c>
      <c r="P157" s="306">
        <f t="shared" si="7"/>
        <v>264046</v>
      </c>
      <c r="Q157" s="337">
        <f t="shared" si="8"/>
        <v>4.6569965166178939E-4</v>
      </c>
      <c r="R157" s="321"/>
    </row>
    <row r="158" spans="1:18" ht="18" hidden="1" customHeight="1" outlineLevel="1">
      <c r="A158" s="344"/>
      <c r="B158" s="344" t="s">
        <v>763</v>
      </c>
      <c r="C158" s="322"/>
      <c r="D158" s="306">
        <f>IF(ISNA(VLOOKUP($B158,IS明細!B:D,3,0)),0,VLOOKUP($B158,IS明細!B:D,3,0))</f>
        <v>1221</v>
      </c>
      <c r="E158" s="306">
        <f>IF(ISNA(VLOOKUP($B158,IS明細!$B:F,5,0)),0,VLOOKUP($B158,IS明細!$B:F,5,0))</f>
        <v>1191</v>
      </c>
      <c r="F158" s="306">
        <f>IF(ISNA(VLOOKUP($B158,IS明細!$B:H,7,0)),0,VLOOKUP($B158,IS明細!$B:H,7,0))</f>
        <v>1214</v>
      </c>
      <c r="G158" s="306">
        <f>IF(ISNA(VLOOKUP($B158,IS明細!$B:J,9,0)),0,VLOOKUP($B158,IS明細!$B:J,9,0))</f>
        <v>1191</v>
      </c>
      <c r="H158" s="306">
        <f>IF(ISNA(VLOOKUP($B158,IS明細!$B:L,11,0)),0,VLOOKUP($B158,IS明細!$B:L,11,0))</f>
        <v>1764</v>
      </c>
      <c r="I158" s="306">
        <f>IF(ISNA(VLOOKUP($B158,IS明細!$B:N,13,0)),0,VLOOKUP($B158,IS明細!$B:N,13,0))</f>
        <v>1757</v>
      </c>
      <c r="J158" s="306">
        <f>IF(ISNA(VLOOKUP($B158,IS明細!$B:P,15,0)),0,VLOOKUP($B158,IS明細!$B:P,15,0))</f>
        <v>1764</v>
      </c>
      <c r="K158" s="306">
        <f>IF(ISNA(VLOOKUP($B158,IS明細!$B:R,17,0)),0,VLOOKUP($B158,IS明細!$B:R,17,0))</f>
        <v>1764</v>
      </c>
      <c r="L158" s="306">
        <f>IF(ISNA(VLOOKUP($B158,IS明細!$B:T,19,0)),0,VLOOKUP($B158,IS明細!$B:T,19,0))</f>
        <v>0</v>
      </c>
      <c r="M158" s="306">
        <f>IF(ISNA(VLOOKUP($B158,IS明細!$B:V,21,0)),0,VLOOKUP($B158,IS明細!$B:V,21,0))</f>
        <v>0</v>
      </c>
      <c r="N158" s="306">
        <f>IF(ISNA(VLOOKUP($B158,IS明細!$B:X,23,0)),0,VLOOKUP($B158,IS明細!$B:X,23,0))</f>
        <v>0</v>
      </c>
      <c r="O158" s="306">
        <f>IF(ISNA(VLOOKUP($B158,IS明細!$B:Z,25,0)),0,VLOOKUP($B158,IS明細!$B:Z,25,0))</f>
        <v>0</v>
      </c>
      <c r="P158" s="306">
        <f t="shared" si="7"/>
        <v>11866</v>
      </c>
      <c r="Q158" s="337">
        <f t="shared" si="8"/>
        <v>2.0928141561011313E-5</v>
      </c>
      <c r="R158" s="321"/>
    </row>
    <row r="159" spans="1:18" ht="18" hidden="1" customHeight="1" outlineLevel="1">
      <c r="A159" s="344"/>
      <c r="B159" s="344" t="s">
        <v>764</v>
      </c>
      <c r="C159" s="322"/>
      <c r="D159" s="306">
        <f>IF(ISNA(VLOOKUP($B159,IS明細!B:D,3,0)),0,VLOOKUP($B159,IS明細!B:D,3,0))</f>
        <v>19800</v>
      </c>
      <c r="E159" s="306">
        <f>IF(ISNA(VLOOKUP($B159,IS明細!$B:F,5,0)),0,VLOOKUP($B159,IS明細!$B:F,5,0))</f>
        <v>21080</v>
      </c>
      <c r="F159" s="306">
        <f>IF(ISNA(VLOOKUP($B159,IS明細!$B:H,7,0)),0,VLOOKUP($B159,IS明細!$B:H,7,0))</f>
        <v>21080</v>
      </c>
      <c r="G159" s="306">
        <f>IF(ISNA(VLOOKUP($B159,IS明細!$B:J,9,0)),0,VLOOKUP($B159,IS明細!$B:J,9,0))</f>
        <v>19880</v>
      </c>
      <c r="H159" s="306">
        <f>IF(ISNA(VLOOKUP($B159,IS明細!$B:L,11,0)),0,VLOOKUP($B159,IS明細!$B:L,11,0))</f>
        <v>19800</v>
      </c>
      <c r="I159" s="306">
        <f>IF(ISNA(VLOOKUP($B159,IS明細!$B:N,13,0)),0,VLOOKUP($B159,IS明細!$B:N,13,0))</f>
        <v>20280</v>
      </c>
      <c r="J159" s="306">
        <f>IF(ISNA(VLOOKUP($B159,IS明細!$B:P,15,0)),0,VLOOKUP($B159,IS明細!$B:P,15,0))</f>
        <v>20520</v>
      </c>
      <c r="K159" s="306">
        <f>IF(ISNA(VLOOKUP($B159,IS明細!$B:R,17,0)),0,VLOOKUP($B159,IS明細!$B:R,17,0))</f>
        <v>19880</v>
      </c>
      <c r="L159" s="306">
        <f>IF(ISNA(VLOOKUP($B159,IS明細!$B:T,19,0)),0,VLOOKUP($B159,IS明細!$B:T,19,0))</f>
        <v>0</v>
      </c>
      <c r="M159" s="306">
        <f>IF(ISNA(VLOOKUP($B159,IS明細!$B:V,21,0)),0,VLOOKUP($B159,IS明細!$B:V,21,0))</f>
        <v>0</v>
      </c>
      <c r="N159" s="306">
        <f>IF(ISNA(VLOOKUP($B159,IS明細!$B:X,23,0)),0,VLOOKUP($B159,IS明細!$B:X,23,0))</f>
        <v>0</v>
      </c>
      <c r="O159" s="306">
        <f>IF(ISNA(VLOOKUP($B159,IS明細!$B:Z,25,0)),0,VLOOKUP($B159,IS明細!$B:Z,25,0))</f>
        <v>0</v>
      </c>
      <c r="P159" s="306">
        <f t="shared" si="7"/>
        <v>162320</v>
      </c>
      <c r="Q159" s="337">
        <f t="shared" si="8"/>
        <v>2.8628484225378027E-4</v>
      </c>
      <c r="R159" s="321"/>
    </row>
    <row r="160" spans="1:18" ht="18" hidden="1" customHeight="1" outlineLevel="1">
      <c r="A160" s="344"/>
      <c r="B160" s="344" t="s">
        <v>765</v>
      </c>
      <c r="C160" s="322"/>
      <c r="D160" s="306">
        <f>IF(ISNA(VLOOKUP($B160,IS明細!B:D,3,0)),0,VLOOKUP($B160,IS明細!B:D,3,0))</f>
        <v>15062</v>
      </c>
      <c r="E160" s="306">
        <f>IF(ISNA(VLOOKUP($B160,IS明細!$B:F,5,0)),0,VLOOKUP($B160,IS明細!$B:F,5,0))</f>
        <v>12877</v>
      </c>
      <c r="F160" s="306">
        <f>IF(ISNA(VLOOKUP($B160,IS明細!$B:H,7,0)),0,VLOOKUP($B160,IS明細!$B:H,7,0))</f>
        <v>16063</v>
      </c>
      <c r="G160" s="306">
        <f>IF(ISNA(VLOOKUP($B160,IS明細!$B:J,9,0)),0,VLOOKUP($B160,IS明細!$B:J,9,0))</f>
        <v>16374</v>
      </c>
      <c r="H160" s="306">
        <f>IF(ISNA(VLOOKUP($B160,IS明細!$B:L,11,0)),0,VLOOKUP($B160,IS明細!$B:L,11,0))</f>
        <v>12741</v>
      </c>
      <c r="I160" s="306">
        <f>IF(ISNA(VLOOKUP($B160,IS明細!$B:N,13,0)),0,VLOOKUP($B160,IS明細!$B:N,13,0))</f>
        <v>20632</v>
      </c>
      <c r="J160" s="306">
        <f>IF(ISNA(VLOOKUP($B160,IS明細!$B:P,15,0)),0,VLOOKUP($B160,IS明細!$B:P,15,0))</f>
        <v>23492</v>
      </c>
      <c r="K160" s="306">
        <f>IF(ISNA(VLOOKUP($B160,IS明細!$B:R,17,0)),0,VLOOKUP($B160,IS明細!$B:R,17,0))</f>
        <v>19641</v>
      </c>
      <c r="L160" s="306">
        <f>IF(ISNA(VLOOKUP($B160,IS明細!$B:T,19,0)),0,VLOOKUP($B160,IS明細!$B:T,19,0))</f>
        <v>0</v>
      </c>
      <c r="M160" s="306">
        <f>IF(ISNA(VLOOKUP($B160,IS明細!$B:V,21,0)),0,VLOOKUP($B160,IS明細!$B:V,21,0))</f>
        <v>0</v>
      </c>
      <c r="N160" s="306">
        <f>IF(ISNA(VLOOKUP($B160,IS明細!$B:X,23,0)),0,VLOOKUP($B160,IS明細!$B:X,23,0))</f>
        <v>0</v>
      </c>
      <c r="O160" s="306">
        <f>IF(ISNA(VLOOKUP($B160,IS明細!$B:Z,25,0)),0,VLOOKUP($B160,IS明細!$B:Z,25,0))</f>
        <v>0</v>
      </c>
      <c r="P160" s="306">
        <f t="shared" si="7"/>
        <v>136882</v>
      </c>
      <c r="Q160" s="337">
        <f t="shared" si="8"/>
        <v>2.4141967580940086E-4</v>
      </c>
      <c r="R160" s="321"/>
    </row>
    <row r="161" spans="1:18" ht="18" hidden="1" customHeight="1" outlineLevel="1">
      <c r="A161" s="344"/>
      <c r="B161" s="344" t="s">
        <v>766</v>
      </c>
      <c r="C161" s="322"/>
      <c r="D161" s="306">
        <f>IF(ISNA(VLOOKUP($B161,IS明細!B:D,3,0)),0,VLOOKUP($B161,IS明細!B:D,3,0))</f>
        <v>0</v>
      </c>
      <c r="E161" s="306">
        <f>IF(ISNA(VLOOKUP($B161,IS明細!$B:F,5,0)),0,VLOOKUP($B161,IS明細!$B:F,5,0))</f>
        <v>0</v>
      </c>
      <c r="F161" s="306">
        <f>IF(ISNA(VLOOKUP($B161,IS明細!$B:H,7,0)),0,VLOOKUP($B161,IS明細!$B:H,7,0))</f>
        <v>0</v>
      </c>
      <c r="G161" s="306">
        <f>IF(ISNA(VLOOKUP($B161,IS明細!$B:J,9,0)),0,VLOOKUP($B161,IS明細!$B:J,9,0))</f>
        <v>0</v>
      </c>
      <c r="H161" s="306">
        <f>IF(ISNA(VLOOKUP($B161,IS明細!$B:L,11,0)),0,VLOOKUP($B161,IS明細!$B:L,11,0))</f>
        <v>0</v>
      </c>
      <c r="I161" s="306">
        <f>IF(ISNA(VLOOKUP($B161,IS明細!$B:N,13,0)),0,VLOOKUP($B161,IS明細!$B:N,13,0))</f>
        <v>0</v>
      </c>
      <c r="J161" s="306">
        <f>IF(ISNA(VLOOKUP($B161,IS明細!$B:P,15,0)),0,VLOOKUP($B161,IS明細!$B:P,15,0))</f>
        <v>0</v>
      </c>
      <c r="K161" s="306">
        <f>IF(ISNA(VLOOKUP($B161,IS明細!$B:R,17,0)),0,VLOOKUP($B161,IS明細!$B:R,17,0))</f>
        <v>0</v>
      </c>
      <c r="L161" s="306">
        <f>IF(ISNA(VLOOKUP($B161,IS明細!$B:T,19,0)),0,VLOOKUP($B161,IS明細!$B:T,19,0))</f>
        <v>0</v>
      </c>
      <c r="M161" s="306">
        <f>IF(ISNA(VLOOKUP($B161,IS明細!$B:V,21,0)),0,VLOOKUP($B161,IS明細!$B:V,21,0))</f>
        <v>0</v>
      </c>
      <c r="N161" s="306">
        <f>IF(ISNA(VLOOKUP($B161,IS明細!$B:X,23,0)),0,VLOOKUP($B161,IS明細!$B:X,23,0))</f>
        <v>0</v>
      </c>
      <c r="O161" s="306">
        <f>IF(ISNA(VLOOKUP($B161,IS明細!$B:Z,25,0)),0,VLOOKUP($B161,IS明細!$B:Z,25,0))</f>
        <v>0</v>
      </c>
      <c r="P161" s="306">
        <f t="shared" si="7"/>
        <v>0</v>
      </c>
      <c r="Q161" s="337">
        <f t="shared" si="8"/>
        <v>0</v>
      </c>
      <c r="R161" s="321"/>
    </row>
    <row r="162" spans="1:18" ht="18" hidden="1" customHeight="1" outlineLevel="1">
      <c r="A162" s="344"/>
      <c r="B162" s="344" t="s">
        <v>767</v>
      </c>
      <c r="C162" s="322"/>
      <c r="D162" s="306">
        <f>IF(ISNA(VLOOKUP($B162,IS明細!B:D,3,0)),0,VLOOKUP($B162,IS明細!B:D,3,0))</f>
        <v>0</v>
      </c>
      <c r="E162" s="306">
        <f>IF(ISNA(VLOOKUP($B162,IS明細!$B:F,5,0)),0,VLOOKUP($B162,IS明細!$B:F,5,0))</f>
        <v>0</v>
      </c>
      <c r="F162" s="306">
        <f>IF(ISNA(VLOOKUP($B162,IS明細!$B:H,7,0)),0,VLOOKUP($B162,IS明細!$B:H,7,0))</f>
        <v>0</v>
      </c>
      <c r="G162" s="306">
        <f>IF(ISNA(VLOOKUP($B162,IS明細!$B:J,9,0)),0,VLOOKUP($B162,IS明細!$B:J,9,0))</f>
        <v>0</v>
      </c>
      <c r="H162" s="306">
        <f>IF(ISNA(VLOOKUP($B162,IS明細!$B:L,11,0)),0,VLOOKUP($B162,IS明細!$B:L,11,0))</f>
        <v>0</v>
      </c>
      <c r="I162" s="306">
        <f>IF(ISNA(VLOOKUP($B162,IS明細!$B:N,13,0)),0,VLOOKUP($B162,IS明細!$B:N,13,0))</f>
        <v>0</v>
      </c>
      <c r="J162" s="306">
        <f>IF(ISNA(VLOOKUP($B162,IS明細!$B:P,15,0)),0,VLOOKUP($B162,IS明細!$B:P,15,0))</f>
        <v>0</v>
      </c>
      <c r="K162" s="306">
        <f>IF(ISNA(VLOOKUP($B162,IS明細!$B:R,17,0)),0,VLOOKUP($B162,IS明細!$B:R,17,0))</f>
        <v>0</v>
      </c>
      <c r="L162" s="306">
        <f>IF(ISNA(VLOOKUP($B162,IS明細!$B:T,19,0)),0,VLOOKUP($B162,IS明細!$B:T,19,0))</f>
        <v>0</v>
      </c>
      <c r="M162" s="306">
        <f>IF(ISNA(VLOOKUP($B162,IS明細!$B:V,21,0)),0,VLOOKUP($B162,IS明細!$B:V,21,0))</f>
        <v>0</v>
      </c>
      <c r="N162" s="306">
        <f>IF(ISNA(VLOOKUP($B162,IS明細!$B:X,23,0)),0,VLOOKUP($B162,IS明細!$B:X,23,0))</f>
        <v>0</v>
      </c>
      <c r="O162" s="306">
        <f>IF(ISNA(VLOOKUP($B162,IS明細!$B:Z,25,0)),0,VLOOKUP($B162,IS明細!$B:Z,25,0))</f>
        <v>0</v>
      </c>
      <c r="P162" s="306">
        <f t="shared" si="7"/>
        <v>0</v>
      </c>
      <c r="Q162" s="337">
        <f t="shared" si="8"/>
        <v>0</v>
      </c>
      <c r="R162" s="321"/>
    </row>
    <row r="163" spans="1:18" ht="18" hidden="1" customHeight="1" outlineLevel="1">
      <c r="A163" s="344"/>
      <c r="B163" s="344" t="s">
        <v>768</v>
      </c>
      <c r="C163" s="322"/>
      <c r="D163" s="306">
        <f>IF(ISNA(VLOOKUP($B163,IS明細!B:D,3,0)),0,VLOOKUP($B163,IS明細!B:D,3,0))</f>
        <v>0</v>
      </c>
      <c r="E163" s="306">
        <f>IF(ISNA(VLOOKUP($B163,IS明細!$B:F,5,0)),0,VLOOKUP($B163,IS明細!$B:F,5,0))</f>
        <v>0</v>
      </c>
      <c r="F163" s="306">
        <f>IF(ISNA(VLOOKUP($B163,IS明細!$B:H,7,0)),0,VLOOKUP($B163,IS明細!$B:H,7,0))</f>
        <v>0</v>
      </c>
      <c r="G163" s="306">
        <f>IF(ISNA(VLOOKUP($B163,IS明細!$B:J,9,0)),0,VLOOKUP($B163,IS明細!$B:J,9,0))</f>
        <v>0</v>
      </c>
      <c r="H163" s="306">
        <f>IF(ISNA(VLOOKUP($B163,IS明細!$B:L,11,0)),0,VLOOKUP($B163,IS明細!$B:L,11,0))</f>
        <v>0</v>
      </c>
      <c r="I163" s="306">
        <f>IF(ISNA(VLOOKUP($B163,IS明細!$B:N,13,0)),0,VLOOKUP($B163,IS明細!$B:N,13,0))</f>
        <v>0</v>
      </c>
      <c r="J163" s="306">
        <f>IF(ISNA(VLOOKUP($B163,IS明細!$B:P,15,0)),0,VLOOKUP($B163,IS明細!$B:P,15,0))</f>
        <v>0</v>
      </c>
      <c r="K163" s="306">
        <f>IF(ISNA(VLOOKUP($B163,IS明細!$B:R,17,0)),0,VLOOKUP($B163,IS明細!$B:R,17,0))</f>
        <v>0</v>
      </c>
      <c r="L163" s="306">
        <f>IF(ISNA(VLOOKUP($B163,IS明細!$B:T,19,0)),0,VLOOKUP($B163,IS明細!$B:T,19,0))</f>
        <v>0</v>
      </c>
      <c r="M163" s="306">
        <f>IF(ISNA(VLOOKUP($B163,IS明細!$B:V,21,0)),0,VLOOKUP($B163,IS明細!$B:V,21,0))</f>
        <v>0</v>
      </c>
      <c r="N163" s="306">
        <f>IF(ISNA(VLOOKUP($B163,IS明細!$B:X,23,0)),0,VLOOKUP($B163,IS明細!$B:X,23,0))</f>
        <v>0</v>
      </c>
      <c r="O163" s="306">
        <f>IF(ISNA(VLOOKUP($B163,IS明細!$B:Z,25,0)),0,VLOOKUP($B163,IS明細!$B:Z,25,0))</f>
        <v>0</v>
      </c>
      <c r="P163" s="306">
        <f t="shared" si="7"/>
        <v>0</v>
      </c>
      <c r="Q163" s="337">
        <f t="shared" si="8"/>
        <v>0</v>
      </c>
      <c r="R163" s="321"/>
    </row>
    <row r="164" spans="1:18" ht="18" hidden="1" customHeight="1" outlineLevel="1">
      <c r="A164" s="344"/>
      <c r="B164" s="344" t="s">
        <v>769</v>
      </c>
      <c r="C164" s="322"/>
      <c r="D164" s="306">
        <f>IF(ISNA(VLOOKUP($B164,IS明細!B:D,3,0)),0,VLOOKUP($B164,IS明細!B:D,3,0))</f>
        <v>679</v>
      </c>
      <c r="E164" s="306">
        <f>IF(ISNA(VLOOKUP($B164,IS明細!$B:F,5,0)),0,VLOOKUP($B164,IS明細!$B:F,5,0))</f>
        <v>679</v>
      </c>
      <c r="F164" s="306">
        <f>IF(ISNA(VLOOKUP($B164,IS明細!$B:H,7,0)),0,VLOOKUP($B164,IS明細!$B:H,7,0))</f>
        <v>679</v>
      </c>
      <c r="G164" s="306">
        <f>IF(ISNA(VLOOKUP($B164,IS明細!$B:J,9,0)),0,VLOOKUP($B164,IS明細!$B:J,9,0))</f>
        <v>679</v>
      </c>
      <c r="H164" s="306">
        <f>IF(ISNA(VLOOKUP($B164,IS明細!$B:L,11,0)),0,VLOOKUP($B164,IS明細!$B:L,11,0))</f>
        <v>679</v>
      </c>
      <c r="I164" s="306">
        <f>IF(ISNA(VLOOKUP($B164,IS明細!$B:N,13,0)),0,VLOOKUP($B164,IS明細!$B:N,13,0))</f>
        <v>679</v>
      </c>
      <c r="J164" s="306">
        <f>IF(ISNA(VLOOKUP($B164,IS明細!$B:P,15,0)),0,VLOOKUP($B164,IS明細!$B:P,15,0))</f>
        <v>679</v>
      </c>
      <c r="K164" s="306">
        <f>IF(ISNA(VLOOKUP($B164,IS明細!$B:R,17,0)),0,VLOOKUP($B164,IS明細!$B:R,17,0))</f>
        <v>679</v>
      </c>
      <c r="L164" s="306">
        <f>IF(ISNA(VLOOKUP($B164,IS明細!$B:T,19,0)),0,VLOOKUP($B164,IS明細!$B:T,19,0))</f>
        <v>0</v>
      </c>
      <c r="M164" s="306">
        <f>IF(ISNA(VLOOKUP($B164,IS明細!$B:V,21,0)),0,VLOOKUP($B164,IS明細!$B:V,21,0))</f>
        <v>0</v>
      </c>
      <c r="N164" s="306">
        <f>IF(ISNA(VLOOKUP($B164,IS明細!$B:X,23,0)),0,VLOOKUP($B164,IS明細!$B:X,23,0))</f>
        <v>0</v>
      </c>
      <c r="O164" s="306">
        <f>IF(ISNA(VLOOKUP($B164,IS明細!$B:Z,25,0)),0,VLOOKUP($B164,IS明細!$B:Z,25,0))</f>
        <v>0</v>
      </c>
      <c r="P164" s="306">
        <f t="shared" si="7"/>
        <v>5432</v>
      </c>
      <c r="Q164" s="337">
        <f t="shared" si="8"/>
        <v>9.5804538142097977E-6</v>
      </c>
      <c r="R164" s="321"/>
    </row>
    <row r="165" spans="1:18" ht="18" hidden="1" customHeight="1" outlineLevel="1">
      <c r="A165" s="344"/>
      <c r="B165" s="305" t="s">
        <v>770</v>
      </c>
      <c r="C165" s="322"/>
      <c r="D165" s="306">
        <f>IF(ISNA(VLOOKUP($B165,IS明細!B:D,3,0)),0,VLOOKUP($B165,IS明細!B:D,3,0))</f>
        <v>11793</v>
      </c>
      <c r="E165" s="306">
        <f>IF(ISNA(VLOOKUP($B165,IS明細!$B:F,5,0)),0,VLOOKUP($B165,IS明細!$B:F,5,0))</f>
        <v>9520</v>
      </c>
      <c r="F165" s="306">
        <f>IF(ISNA(VLOOKUP($B165,IS明細!$B:H,7,0)),0,VLOOKUP($B165,IS明細!$B:H,7,0))</f>
        <v>9599</v>
      </c>
      <c r="G165" s="306">
        <f>IF(ISNA(VLOOKUP($B165,IS明細!$B:J,9,0)),0,VLOOKUP($B165,IS明細!$B:J,9,0))</f>
        <v>9518</v>
      </c>
      <c r="H165" s="306">
        <f>IF(ISNA(VLOOKUP($B165,IS明細!$B:L,11,0)),0,VLOOKUP($B165,IS明細!$B:L,11,0))</f>
        <v>9537</v>
      </c>
      <c r="I165" s="306">
        <f>IF(ISNA(VLOOKUP($B165,IS明細!$B:N,13,0)),0,VLOOKUP($B165,IS明細!$B:N,13,0))</f>
        <v>9608</v>
      </c>
      <c r="J165" s="306">
        <f>IF(ISNA(VLOOKUP($B165,IS明細!$B:P,15,0)),0,VLOOKUP($B165,IS明細!$B:P,15,0))</f>
        <v>9516</v>
      </c>
      <c r="K165" s="306">
        <f>IF(ISNA(VLOOKUP($B165,IS明細!$B:R,17,0)),0,VLOOKUP($B165,IS明細!$B:R,17,0))</f>
        <v>11288</v>
      </c>
      <c r="L165" s="306">
        <f>IF(ISNA(VLOOKUP($B165,IS明細!$B:T,19,0)),0,VLOOKUP($B165,IS明細!$B:T,19,0))</f>
        <v>0</v>
      </c>
      <c r="M165" s="306">
        <f>IF(ISNA(VLOOKUP($B165,IS明細!$B:V,21,0)),0,VLOOKUP($B165,IS明細!$B:V,21,0))</f>
        <v>0</v>
      </c>
      <c r="N165" s="306">
        <f>IF(ISNA(VLOOKUP($B165,IS明細!$B:X,23,0)),0,VLOOKUP($B165,IS明細!$B:X,23,0))</f>
        <v>0</v>
      </c>
      <c r="O165" s="306">
        <f>IF(ISNA(VLOOKUP($B165,IS明細!$B:Z,25,0)),0,VLOOKUP($B165,IS明細!$B:Z,25,0))</f>
        <v>0</v>
      </c>
      <c r="P165" s="306">
        <f t="shared" si="7"/>
        <v>80379</v>
      </c>
      <c r="Q165" s="337">
        <f t="shared" si="8"/>
        <v>1.4176496633511954E-4</v>
      </c>
      <c r="R165" s="321"/>
    </row>
    <row r="166" spans="1:18" ht="18" hidden="1" customHeight="1" outlineLevel="1">
      <c r="A166" s="344"/>
      <c r="B166" s="344" t="s">
        <v>771</v>
      </c>
      <c r="C166" s="322"/>
      <c r="D166" s="306">
        <f>IF(ISNA(VLOOKUP($B166,IS明細!B:D,3,0)),0,VLOOKUP($B166,IS明細!B:D,3,0))</f>
        <v>149411</v>
      </c>
      <c r="E166" s="306">
        <f>IF(ISNA(VLOOKUP($B166,IS明細!$B:F,5,0)),0,VLOOKUP($B166,IS明細!$B:F,5,0))</f>
        <v>191353</v>
      </c>
      <c r="F166" s="306">
        <f>IF(ISNA(VLOOKUP($B166,IS明細!$B:H,7,0)),0,VLOOKUP($B166,IS明細!$B:H,7,0))</f>
        <v>162679</v>
      </c>
      <c r="G166" s="306">
        <f>IF(ISNA(VLOOKUP($B166,IS明細!$B:J,9,0)),0,VLOOKUP($B166,IS明細!$B:J,9,0))</f>
        <v>143343</v>
      </c>
      <c r="H166" s="306">
        <f>IF(ISNA(VLOOKUP($B166,IS明細!$B:L,11,0)),0,VLOOKUP($B166,IS明細!$B:L,11,0))</f>
        <v>101524</v>
      </c>
      <c r="I166" s="306">
        <f>IF(ISNA(VLOOKUP($B166,IS明細!$B:N,13,0)),0,VLOOKUP($B166,IS明細!$B:N,13,0))</f>
        <v>96131</v>
      </c>
      <c r="J166" s="306">
        <f>IF(ISNA(VLOOKUP($B166,IS明細!$B:P,15,0)),0,VLOOKUP($B166,IS明細!$B:P,15,0))</f>
        <v>137536</v>
      </c>
      <c r="K166" s="306">
        <f>IF(ISNA(VLOOKUP($B166,IS明細!$B:R,17,0)),0,VLOOKUP($B166,IS明細!$B:R,17,0))</f>
        <v>104558</v>
      </c>
      <c r="L166" s="306">
        <f>IF(ISNA(VLOOKUP($B166,IS明細!$B:T,19,0)),0,VLOOKUP($B166,IS明細!$B:T,19,0))</f>
        <v>0</v>
      </c>
      <c r="M166" s="306">
        <f>IF(ISNA(VLOOKUP($B166,IS明細!$B:V,21,0)),0,VLOOKUP($B166,IS明細!$B:V,21,0))</f>
        <v>0</v>
      </c>
      <c r="N166" s="306">
        <f>IF(ISNA(VLOOKUP($B166,IS明細!$B:X,23,0)),0,VLOOKUP($B166,IS明細!$B:X,23,0))</f>
        <v>0</v>
      </c>
      <c r="O166" s="306">
        <f>IF(ISNA(VLOOKUP($B166,IS明細!$B:Z,25,0)),0,VLOOKUP($B166,IS明細!$B:Z,25,0))</f>
        <v>0</v>
      </c>
      <c r="P166" s="306">
        <f t="shared" si="7"/>
        <v>1086535</v>
      </c>
      <c r="Q166" s="337">
        <f t="shared" si="8"/>
        <v>1.916328863222099E-3</v>
      </c>
      <c r="R166" s="321"/>
    </row>
    <row r="167" spans="1:18" ht="18" hidden="1" customHeight="1" outlineLevel="1">
      <c r="A167" s="344"/>
      <c r="B167" s="344" t="s">
        <v>772</v>
      </c>
      <c r="C167" s="322"/>
      <c r="D167" s="306">
        <f>IF(ISNA(VLOOKUP($B167,IS明細!B:D,3,0)),0,VLOOKUP($B167,IS明細!B:D,3,0))</f>
        <v>1800</v>
      </c>
      <c r="E167" s="306">
        <f>IF(ISNA(VLOOKUP($B167,IS明細!$B:F,5,0)),0,VLOOKUP($B167,IS明細!$B:F,5,0))</f>
        <v>3118</v>
      </c>
      <c r="F167" s="306">
        <f>IF(ISNA(VLOOKUP($B167,IS明細!$B:H,7,0)),0,VLOOKUP($B167,IS明細!$B:H,7,0))</f>
        <v>24262</v>
      </c>
      <c r="G167" s="306">
        <f>IF(ISNA(VLOOKUP($B167,IS明細!$B:J,9,0)),0,VLOOKUP($B167,IS明細!$B:J,9,0))</f>
        <v>18353</v>
      </c>
      <c r="H167" s="306">
        <f>IF(ISNA(VLOOKUP($B167,IS明細!$B:L,11,0)),0,VLOOKUP($B167,IS明細!$B:L,11,0))</f>
        <v>0</v>
      </c>
      <c r="I167" s="306">
        <f>IF(ISNA(VLOOKUP($B167,IS明細!$B:N,13,0)),0,VLOOKUP($B167,IS明細!$B:N,13,0))</f>
        <v>0</v>
      </c>
      <c r="J167" s="306">
        <f>IF(ISNA(VLOOKUP($B167,IS明細!$B:P,15,0)),0,VLOOKUP($B167,IS明細!$B:P,15,0))</f>
        <v>23140</v>
      </c>
      <c r="K167" s="306">
        <f>IF(ISNA(VLOOKUP($B167,IS明細!$B:R,17,0)),0,VLOOKUP($B167,IS明細!$B:R,17,0))</f>
        <v>6149</v>
      </c>
      <c r="L167" s="306">
        <f>IF(ISNA(VLOOKUP($B167,IS明細!$B:T,19,0)),0,VLOOKUP($B167,IS明細!$B:T,19,0))</f>
        <v>0</v>
      </c>
      <c r="M167" s="306">
        <f>IF(ISNA(VLOOKUP($B167,IS明細!$B:V,21,0)),0,VLOOKUP($B167,IS明細!$B:V,21,0))</f>
        <v>0</v>
      </c>
      <c r="N167" s="306">
        <f>IF(ISNA(VLOOKUP($B167,IS明細!$B:X,23,0)),0,VLOOKUP($B167,IS明細!$B:X,23,0))</f>
        <v>0</v>
      </c>
      <c r="O167" s="306">
        <f>IF(ISNA(VLOOKUP($B167,IS明細!$B:Z,25,0)),0,VLOOKUP($B167,IS明細!$B:Z,25,0))</f>
        <v>0</v>
      </c>
      <c r="P167" s="306">
        <f t="shared" si="7"/>
        <v>76822</v>
      </c>
      <c r="Q167" s="337">
        <f t="shared" si="8"/>
        <v>1.354914622450709E-4</v>
      </c>
      <c r="R167" s="321"/>
    </row>
    <row r="168" spans="1:18" ht="18" hidden="1" customHeight="1" outlineLevel="1">
      <c r="A168" s="344"/>
      <c r="B168" s="344" t="s">
        <v>773</v>
      </c>
      <c r="C168" s="322"/>
      <c r="D168" s="306">
        <f>IF(ISNA(VLOOKUP($B168,IS明細!B:D,3,0)),0,VLOOKUP($B168,IS明細!B:D,3,0))</f>
        <v>0</v>
      </c>
      <c r="E168" s="306">
        <f>IF(ISNA(VLOOKUP($B168,IS明細!$B:F,5,0)),0,VLOOKUP($B168,IS明細!$B:F,5,0))</f>
        <v>1200</v>
      </c>
      <c r="F168" s="306">
        <f>IF(ISNA(VLOOKUP($B168,IS明細!$B:H,7,0)),0,VLOOKUP($B168,IS明細!$B:H,7,0))</f>
        <v>0</v>
      </c>
      <c r="G168" s="306">
        <f>IF(ISNA(VLOOKUP($B168,IS明細!$B:J,9,0)),0,VLOOKUP($B168,IS明細!$B:J,9,0))</f>
        <v>2400</v>
      </c>
      <c r="H168" s="306">
        <f>IF(ISNA(VLOOKUP($B168,IS明細!$B:L,11,0)),0,VLOOKUP($B168,IS明細!$B:L,11,0))</f>
        <v>0</v>
      </c>
      <c r="I168" s="306">
        <f>IF(ISNA(VLOOKUP($B168,IS明細!$B:N,13,0)),0,VLOOKUP($B168,IS明細!$B:N,13,0))</f>
        <v>2400</v>
      </c>
      <c r="J168" s="306">
        <f>IF(ISNA(VLOOKUP($B168,IS明細!$B:P,15,0)),0,VLOOKUP($B168,IS明細!$B:P,15,0))</f>
        <v>0</v>
      </c>
      <c r="K168" s="306">
        <f>IF(ISNA(VLOOKUP($B168,IS明細!$B:R,17,0)),0,VLOOKUP($B168,IS明細!$B:R,17,0))</f>
        <v>2400</v>
      </c>
      <c r="L168" s="306">
        <f>IF(ISNA(VLOOKUP($B168,IS明細!$B:T,19,0)),0,VLOOKUP($B168,IS明細!$B:T,19,0))</f>
        <v>0</v>
      </c>
      <c r="M168" s="306">
        <f>IF(ISNA(VLOOKUP($B168,IS明細!$B:V,21,0)),0,VLOOKUP($B168,IS明細!$B:V,21,0))</f>
        <v>0</v>
      </c>
      <c r="N168" s="306">
        <f>IF(ISNA(VLOOKUP($B168,IS明細!$B:X,23,0)),0,VLOOKUP($B168,IS明細!$B:X,23,0))</f>
        <v>0</v>
      </c>
      <c r="O168" s="306">
        <f>IF(ISNA(VLOOKUP($B168,IS明細!$B:Z,25,0)),0,VLOOKUP($B168,IS明細!$B:Z,25,0))</f>
        <v>0</v>
      </c>
      <c r="P168" s="306">
        <f t="shared" si="7"/>
        <v>8400</v>
      </c>
      <c r="Q168" s="337">
        <f t="shared" si="8"/>
        <v>1.4815134764241954E-5</v>
      </c>
      <c r="R168" s="321"/>
    </row>
    <row r="169" spans="1:18" ht="18" hidden="1" customHeight="1" outlineLevel="1">
      <c r="A169" s="344"/>
      <c r="B169" s="344" t="s">
        <v>774</v>
      </c>
      <c r="C169" s="322"/>
      <c r="D169" s="306">
        <f>IF(ISNA(VLOOKUP($B169,IS明細!B:D,3,0)),0,VLOOKUP($B169,IS明細!B:D,3,0))</f>
        <v>130000</v>
      </c>
      <c r="E169" s="306">
        <f>IF(ISNA(VLOOKUP($B169,IS明細!$B:F,5,0)),0,VLOOKUP($B169,IS明細!$B:F,5,0))</f>
        <v>57000</v>
      </c>
      <c r="F169" s="306">
        <f>IF(ISNA(VLOOKUP($B169,IS明細!$B:H,7,0)),0,VLOOKUP($B169,IS明細!$B:H,7,0))</f>
        <v>103720</v>
      </c>
      <c r="G169" s="306">
        <f>IF(ISNA(VLOOKUP($B169,IS明細!$B:J,9,0)),0,VLOOKUP($B169,IS明細!$B:J,9,0))</f>
        <v>85750</v>
      </c>
      <c r="H169" s="306">
        <f>IF(ISNA(VLOOKUP($B169,IS明細!$B:L,11,0)),0,VLOOKUP($B169,IS明細!$B:L,11,0))</f>
        <v>64500</v>
      </c>
      <c r="I169" s="306">
        <f>IF(ISNA(VLOOKUP($B169,IS明細!$B:N,13,0)),0,VLOOKUP($B169,IS明細!$B:N,13,0))</f>
        <v>60000</v>
      </c>
      <c r="J169" s="306">
        <f>IF(ISNA(VLOOKUP($B169,IS明細!$B:P,15,0)),0,VLOOKUP($B169,IS明細!$B:P,15,0))</f>
        <v>82000</v>
      </c>
      <c r="K169" s="306">
        <f>IF(ISNA(VLOOKUP($B169,IS明細!$B:R,17,0)),0,VLOOKUP($B169,IS明細!$B:R,17,0))</f>
        <v>66750</v>
      </c>
      <c r="L169" s="306">
        <f>IF(ISNA(VLOOKUP($B169,IS明細!$B:T,19,0)),0,VLOOKUP($B169,IS明細!$B:T,19,0))</f>
        <v>0</v>
      </c>
      <c r="M169" s="306">
        <f>IF(ISNA(VLOOKUP($B169,IS明細!$B:V,21,0)),0,VLOOKUP($B169,IS明細!$B:V,21,0))</f>
        <v>0</v>
      </c>
      <c r="N169" s="306">
        <f>IF(ISNA(VLOOKUP($B169,IS明細!$B:X,23,0)),0,VLOOKUP($B169,IS明細!$B:X,23,0))</f>
        <v>0</v>
      </c>
      <c r="O169" s="306">
        <f>IF(ISNA(VLOOKUP($B169,IS明細!$B:Z,25,0)),0,VLOOKUP($B169,IS明細!$B:Z,25,0))</f>
        <v>0</v>
      </c>
      <c r="P169" s="306">
        <f t="shared" si="7"/>
        <v>649720</v>
      </c>
      <c r="Q169" s="337">
        <f t="shared" si="8"/>
        <v>1.1459153998837242E-3</v>
      </c>
      <c r="R169" s="321"/>
    </row>
    <row r="170" spans="1:18" ht="18" hidden="1" customHeight="1" outlineLevel="1">
      <c r="A170" s="344"/>
      <c r="B170" s="344" t="s">
        <v>775</v>
      </c>
      <c r="C170" s="322"/>
      <c r="D170" s="306">
        <f>IF(ISNA(VLOOKUP($B170,IS明細!B:D,3,0)),0,VLOOKUP($B170,IS明細!B:D,3,0))</f>
        <v>0</v>
      </c>
      <c r="E170" s="306">
        <f>IF(ISNA(VLOOKUP($B170,IS明細!$B:F,5,0)),0,VLOOKUP($B170,IS明細!$B:F,5,0))</f>
        <v>0</v>
      </c>
      <c r="F170" s="306">
        <f>IF(ISNA(VLOOKUP($B170,IS明細!$B:H,7,0)),0,VLOOKUP($B170,IS明細!$B:H,7,0))</f>
        <v>0</v>
      </c>
      <c r="G170" s="306">
        <f>IF(ISNA(VLOOKUP($B170,IS明細!$B:J,9,0)),0,VLOOKUP($B170,IS明細!$B:J,9,0))</f>
        <v>0</v>
      </c>
      <c r="H170" s="306">
        <f>IF(ISNA(VLOOKUP($B170,IS明細!$B:L,11,0)),0,VLOOKUP($B170,IS明細!$B:L,11,0))</f>
        <v>0</v>
      </c>
      <c r="I170" s="306">
        <f>IF(ISNA(VLOOKUP($B170,IS明細!$B:N,13,0)),0,VLOOKUP($B170,IS明細!$B:N,13,0))</f>
        <v>0</v>
      </c>
      <c r="J170" s="306">
        <f>IF(ISNA(VLOOKUP($B170,IS明細!$B:P,15,0)),0,VLOOKUP($B170,IS明細!$B:P,15,0))</f>
        <v>0</v>
      </c>
      <c r="K170" s="306">
        <f>IF(ISNA(VLOOKUP($B170,IS明細!$B:R,17,0)),0,VLOOKUP($B170,IS明細!$B:R,17,0))</f>
        <v>0</v>
      </c>
      <c r="L170" s="306">
        <f>IF(ISNA(VLOOKUP($B170,IS明細!$B:T,19,0)),0,VLOOKUP($B170,IS明細!$B:T,19,0))</f>
        <v>0</v>
      </c>
      <c r="M170" s="306">
        <f>IF(ISNA(VLOOKUP($B170,IS明細!$B:V,21,0)),0,VLOOKUP($B170,IS明細!$B:V,21,0))</f>
        <v>0</v>
      </c>
      <c r="N170" s="306">
        <f>IF(ISNA(VLOOKUP($B170,IS明細!$B:X,23,0)),0,VLOOKUP($B170,IS明細!$B:X,23,0))</f>
        <v>0</v>
      </c>
      <c r="O170" s="306">
        <f>IF(ISNA(VLOOKUP($B170,IS明細!$B:Z,25,0)),0,VLOOKUP($B170,IS明細!$B:Z,25,0))</f>
        <v>0</v>
      </c>
      <c r="P170" s="306">
        <f t="shared" si="7"/>
        <v>0</v>
      </c>
      <c r="Q170" s="337">
        <f t="shared" si="8"/>
        <v>0</v>
      </c>
      <c r="R170" s="321"/>
    </row>
    <row r="171" spans="1:18" ht="18" hidden="1" customHeight="1" outlineLevel="1">
      <c r="A171" s="344"/>
      <c r="B171" s="344" t="s">
        <v>776</v>
      </c>
      <c r="C171" s="322"/>
      <c r="D171" s="306">
        <f>IF(ISNA(VLOOKUP($B171,IS明細!B:D,3,0)),0,VLOOKUP($B171,IS明細!B:D,3,0))</f>
        <v>17611</v>
      </c>
      <c r="E171" s="306">
        <f>IF(ISNA(VLOOKUP($B171,IS明細!$B:F,5,0)),0,VLOOKUP($B171,IS明細!$B:F,5,0))</f>
        <v>130035</v>
      </c>
      <c r="F171" s="306">
        <f>IF(ISNA(VLOOKUP($B171,IS明細!$B:H,7,0)),0,VLOOKUP($B171,IS明細!$B:H,7,0))</f>
        <v>34697</v>
      </c>
      <c r="G171" s="306">
        <f>IF(ISNA(VLOOKUP($B171,IS明細!$B:J,9,0)),0,VLOOKUP($B171,IS明細!$B:J,9,0))</f>
        <v>36840</v>
      </c>
      <c r="H171" s="306">
        <f>IF(ISNA(VLOOKUP($B171,IS明細!$B:L,11,0)),0,VLOOKUP($B171,IS明細!$B:L,11,0))</f>
        <v>37024</v>
      </c>
      <c r="I171" s="306">
        <f>IF(ISNA(VLOOKUP($B171,IS明細!$B:N,13,0)),0,VLOOKUP($B171,IS明細!$B:N,13,0))</f>
        <v>33731</v>
      </c>
      <c r="J171" s="306">
        <f>IF(ISNA(VLOOKUP($B171,IS明細!$B:P,15,0)),0,VLOOKUP($B171,IS明細!$B:P,15,0))</f>
        <v>32396</v>
      </c>
      <c r="K171" s="306">
        <f>IF(ISNA(VLOOKUP($B171,IS明細!$B:R,17,0)),0,VLOOKUP($B171,IS明細!$B:R,17,0))</f>
        <v>29259</v>
      </c>
      <c r="L171" s="306">
        <f>IF(ISNA(VLOOKUP($B171,IS明細!$B:T,19,0)),0,VLOOKUP($B171,IS明細!$B:T,19,0))</f>
        <v>0</v>
      </c>
      <c r="M171" s="306">
        <f>IF(ISNA(VLOOKUP($B171,IS明細!$B:V,21,0)),0,VLOOKUP($B171,IS明細!$B:V,21,0))</f>
        <v>0</v>
      </c>
      <c r="N171" s="306">
        <f>IF(ISNA(VLOOKUP($B171,IS明細!$B:X,23,0)),0,VLOOKUP($B171,IS明細!$B:X,23,0))</f>
        <v>0</v>
      </c>
      <c r="O171" s="306">
        <f>IF(ISNA(VLOOKUP($B171,IS明細!$B:Z,25,0)),0,VLOOKUP($B171,IS明細!$B:Z,25,0))</f>
        <v>0</v>
      </c>
      <c r="P171" s="306">
        <f t="shared" si="7"/>
        <v>351593</v>
      </c>
      <c r="Q171" s="337">
        <f t="shared" si="8"/>
        <v>6.2010686632906213E-4</v>
      </c>
      <c r="R171" s="321"/>
    </row>
    <row r="172" spans="1:18" ht="21" customHeight="1" collapsed="1">
      <c r="A172" s="344"/>
      <c r="B172" s="344" t="s">
        <v>777</v>
      </c>
      <c r="C172" s="322"/>
      <c r="D172" s="306">
        <f>IF(ISNA(VLOOKUP($B172,IS明細!B:D,3,0)),0,VLOOKUP($B172,IS明細!B:D,3,0))</f>
        <v>1755765</v>
      </c>
      <c r="E172" s="306">
        <f>IF(ISNA(VLOOKUP($B172,IS明細!$B:F,5,0)),0,VLOOKUP($B172,IS明細!$B:F,5,0))</f>
        <v>2075875</v>
      </c>
      <c r="F172" s="306">
        <f>IF(ISNA(VLOOKUP($B172,IS明細!$B:H,7,0)),0,VLOOKUP($B172,IS明細!$B:H,7,0))</f>
        <v>1882646</v>
      </c>
      <c r="G172" s="306">
        <f>IF(ISNA(VLOOKUP($B172,IS明細!$B:J,9,0)),0,VLOOKUP($B172,IS明細!$B:J,9,0))</f>
        <v>1770950</v>
      </c>
      <c r="H172" s="306">
        <f>IF(ISNA(VLOOKUP($B172,IS明細!$B:L,11,0)),0,VLOOKUP($B172,IS明細!$B:L,11,0))</f>
        <v>1871563</v>
      </c>
      <c r="I172" s="306">
        <f>IF(ISNA(VLOOKUP($B172,IS明細!$B:N,13,0)),0,VLOOKUP($B172,IS明細!$B:N,13,0))</f>
        <v>1797661</v>
      </c>
      <c r="J172" s="306">
        <f>IF(ISNA(VLOOKUP($B172,IS明細!$B:P,15,0)),0,VLOOKUP($B172,IS明細!$B:P,15,0))</f>
        <v>3498119</v>
      </c>
      <c r="K172" s="306">
        <f>IF(ISNA(VLOOKUP($B172,IS明細!$B:R,17,0)),0,VLOOKUP($B172,IS明細!$B:R,17,0))</f>
        <v>1755224</v>
      </c>
      <c r="L172" s="306">
        <f>IF(ISNA(VLOOKUP($B172,IS明細!$B:T,19,0)),0,VLOOKUP($B172,IS明細!$B:T,19,0))</f>
        <v>0</v>
      </c>
      <c r="M172" s="306">
        <f>IF(ISNA(VLOOKUP($B172,IS明細!$B:V,21,0)),0,VLOOKUP($B172,IS明細!$B:V,21,0))</f>
        <v>0</v>
      </c>
      <c r="N172" s="306">
        <f>IF(ISNA(VLOOKUP($B172,IS明細!$B:X,23,0)),0,VLOOKUP($B172,IS明細!$B:X,23,0))</f>
        <v>0</v>
      </c>
      <c r="O172" s="306">
        <f>IF(ISNA(VLOOKUP($B172,IS明細!$B:Z,25,0)),0,VLOOKUP($B172,IS明細!$B:Z,25,0))</f>
        <v>0</v>
      </c>
      <c r="P172" s="306">
        <f t="shared" si="7"/>
        <v>16407803</v>
      </c>
      <c r="Q172" s="337">
        <f>P172/$P$21</f>
        <v>2.901152794365202E-2</v>
      </c>
      <c r="R172" s="321"/>
    </row>
    <row r="173" spans="1:18" ht="18" hidden="1" customHeight="1" outlineLevel="1">
      <c r="A173" s="344"/>
      <c r="B173" s="344" t="s">
        <v>778</v>
      </c>
      <c r="C173" s="322"/>
      <c r="D173" s="306">
        <f>IF(ISNA(VLOOKUP($B173,IS明細!B:D,3,0)),0,VLOOKUP($B173,IS明細!B:D,3,0))</f>
        <v>0</v>
      </c>
      <c r="E173" s="306">
        <f>IF(ISNA(VLOOKUP($B173,IS明細!$B:F,5,0)),0,VLOOKUP($B173,IS明細!$B:F,5,0))</f>
        <v>0</v>
      </c>
      <c r="F173" s="306">
        <f>IF(ISNA(VLOOKUP($B173,IS明細!$B:H,7,0)),0,VLOOKUP($B173,IS明細!$B:H,7,0))</f>
        <v>0</v>
      </c>
      <c r="G173" s="306">
        <f>IF(ISNA(VLOOKUP($B173,IS明細!$B:J,9,0)),0,VLOOKUP($B173,IS明細!$B:J,9,0))</f>
        <v>0</v>
      </c>
      <c r="H173" s="306">
        <f>IF(ISNA(VLOOKUP($B173,IS明細!$B:L,11,0)),0,VLOOKUP($B173,IS明細!$B:L,11,0))</f>
        <v>0</v>
      </c>
      <c r="I173" s="306">
        <f>IF(ISNA(VLOOKUP($B173,IS明細!$B:N,13,0)),0,VLOOKUP($B173,IS明細!$B:N,13,0))</f>
        <v>0</v>
      </c>
      <c r="J173" s="306">
        <f>IF(ISNA(VLOOKUP($B173,IS明細!$B:P,15,0)),0,VLOOKUP($B173,IS明細!$B:P,15,0))</f>
        <v>0</v>
      </c>
      <c r="K173" s="306">
        <f>IF(ISNA(VLOOKUP($B173,IS明細!$B:R,17,0)),0,VLOOKUP($B173,IS明細!$B:R,17,0))</f>
        <v>0</v>
      </c>
      <c r="L173" s="306">
        <f>IF(ISNA(VLOOKUP($B173,IS明細!$B:T,19,0)),0,VLOOKUP($B173,IS明細!$B:T,19,0))</f>
        <v>0</v>
      </c>
      <c r="M173" s="306">
        <f>IF(ISNA(VLOOKUP($B173,IS明細!$B:V,21,0)),0,VLOOKUP($B173,IS明細!$B:V,21,0))</f>
        <v>0</v>
      </c>
      <c r="N173" s="306">
        <f>IF(ISNA(VLOOKUP($B173,IS明細!$B:X,23,0)),0,VLOOKUP($B173,IS明細!$B:X,23,0))</f>
        <v>0</v>
      </c>
      <c r="O173" s="306">
        <f>IF(ISNA(VLOOKUP($B173,IS明細!$B:Z,25,0)),0,VLOOKUP($B173,IS明細!$B:Z,25,0))</f>
        <v>0</v>
      </c>
      <c r="P173" s="306"/>
      <c r="Q173" s="337">
        <f t="shared" si="8"/>
        <v>0</v>
      </c>
      <c r="R173" s="321"/>
    </row>
    <row r="174" spans="1:18" ht="18" hidden="1" customHeight="1" outlineLevel="1">
      <c r="A174" s="344"/>
      <c r="B174" s="344" t="s">
        <v>779</v>
      </c>
      <c r="C174" s="322"/>
      <c r="D174" s="306">
        <f>IF(ISNA(VLOOKUP($B174,IS明細!B:D,3,0)),0,VLOOKUP($B174,IS明細!B:D,3,0))</f>
        <v>1991941</v>
      </c>
      <c r="E174" s="306">
        <f>IF(ISNA(VLOOKUP($B174,IS明細!$B:F,5,0)),0,VLOOKUP($B174,IS明細!$B:F,5,0))</f>
        <v>1991341</v>
      </c>
      <c r="F174" s="306">
        <f>IF(ISNA(VLOOKUP($B174,IS明細!$B:H,7,0)),0,VLOOKUP($B174,IS明細!$B:H,7,0))</f>
        <v>2121411</v>
      </c>
      <c r="G174" s="306">
        <f>IF(ISNA(VLOOKUP($B174,IS明細!$B:J,9,0)),0,VLOOKUP($B174,IS明細!$B:J,9,0))</f>
        <v>1988501</v>
      </c>
      <c r="H174" s="306">
        <f>IF(ISNA(VLOOKUP($B174,IS明細!$B:L,11,0)),0,VLOOKUP($B174,IS明細!$B:L,11,0))</f>
        <v>2049368</v>
      </c>
      <c r="I174" s="306">
        <f>IF(ISNA(VLOOKUP($B174,IS明細!$B:N,13,0)),0,VLOOKUP($B174,IS明細!$B:N,13,0))</f>
        <v>2061506</v>
      </c>
      <c r="J174" s="306">
        <f>IF(ISNA(VLOOKUP($B174,IS明細!$B:P,15,0)),0,VLOOKUP($B174,IS明細!$B:P,15,0))</f>
        <v>2076086</v>
      </c>
      <c r="K174" s="306">
        <f>IF(ISNA(VLOOKUP($B174,IS明細!$B:R,17,0)),0,VLOOKUP($B174,IS明細!$B:R,17,0))</f>
        <v>2079573</v>
      </c>
      <c r="L174" s="306">
        <f>IF(ISNA(VLOOKUP($B174,IS明細!$B:T,19,0)),0,VLOOKUP($B174,IS明細!$B:T,19,0))</f>
        <v>0</v>
      </c>
      <c r="M174" s="306">
        <f>IF(ISNA(VLOOKUP($B174,IS明細!$B:V,21,0)),0,VLOOKUP($B174,IS明細!$B:V,21,0))</f>
        <v>0</v>
      </c>
      <c r="N174" s="306">
        <f>IF(ISNA(VLOOKUP($B174,IS明細!$B:X,23,0)),0,VLOOKUP($B174,IS明細!$B:X,23,0))</f>
        <v>0</v>
      </c>
      <c r="O174" s="306">
        <f>IF(ISNA(VLOOKUP($B174,IS明細!$B:Z,25,0)),0,VLOOKUP($B174,IS明細!$B:Z,25,0))</f>
        <v>0</v>
      </c>
      <c r="P174" s="306">
        <f t="shared" si="7"/>
        <v>16359727</v>
      </c>
      <c r="Q174" s="337">
        <f t="shared" si="8"/>
        <v>2.8853757168000919E-2</v>
      </c>
      <c r="R174" s="321"/>
    </row>
    <row r="175" spans="1:18" ht="18" hidden="1" customHeight="1" outlineLevel="1">
      <c r="A175" s="344"/>
      <c r="B175" s="344" t="s">
        <v>780</v>
      </c>
      <c r="C175" s="322"/>
      <c r="D175" s="306">
        <f>IF(ISNA(VLOOKUP($B175,IS明細!B:D,3,0)),0,VLOOKUP($B175,IS明細!B:D,3,0))</f>
        <v>1499800</v>
      </c>
      <c r="E175" s="306">
        <f>IF(ISNA(VLOOKUP($B175,IS明細!$B:F,5,0)),0,VLOOKUP($B175,IS明細!$B:F,5,0))</f>
        <v>1460057</v>
      </c>
      <c r="F175" s="306">
        <f>IF(ISNA(VLOOKUP($B175,IS明細!$B:H,7,0)),0,VLOOKUP($B175,IS明細!$B:H,7,0))</f>
        <v>1445212</v>
      </c>
      <c r="G175" s="306">
        <f>IF(ISNA(VLOOKUP($B175,IS明細!$B:J,9,0)),0,VLOOKUP($B175,IS明細!$B:J,9,0))</f>
        <v>1430173</v>
      </c>
      <c r="H175" s="306">
        <f>IF(ISNA(VLOOKUP($B175,IS明細!$B:L,11,0)),0,VLOOKUP($B175,IS明細!$B:L,11,0))</f>
        <v>1517600</v>
      </c>
      <c r="I175" s="306">
        <f>IF(ISNA(VLOOKUP($B175,IS明細!$B:N,13,0)),0,VLOOKUP($B175,IS明細!$B:N,13,0))</f>
        <v>1487560</v>
      </c>
      <c r="J175" s="306">
        <f>IF(ISNA(VLOOKUP($B175,IS明細!$B:P,15,0)),0,VLOOKUP($B175,IS明細!$B:P,15,0))</f>
        <v>1536930</v>
      </c>
      <c r="K175" s="306">
        <f>IF(ISNA(VLOOKUP($B175,IS明細!$B:R,17,0)),0,VLOOKUP($B175,IS明細!$B:R,17,0))</f>
        <v>1531827</v>
      </c>
      <c r="L175" s="306">
        <f>IF(ISNA(VLOOKUP($B175,IS明細!$B:T,19,0)),0,VLOOKUP($B175,IS明細!$B:T,19,0))</f>
        <v>0</v>
      </c>
      <c r="M175" s="306">
        <f>IF(ISNA(VLOOKUP($B175,IS明細!$B:V,21,0)),0,VLOOKUP($B175,IS明細!$B:V,21,0))</f>
        <v>0</v>
      </c>
      <c r="N175" s="306">
        <f>IF(ISNA(VLOOKUP($B175,IS明細!$B:X,23,0)),0,VLOOKUP($B175,IS明細!$B:X,23,0))</f>
        <v>0</v>
      </c>
      <c r="O175" s="306">
        <f>IF(ISNA(VLOOKUP($B175,IS明細!$B:Z,25,0)),0,VLOOKUP($B175,IS明細!$B:Z,25,0))</f>
        <v>0</v>
      </c>
      <c r="P175" s="306">
        <f t="shared" si="7"/>
        <v>11909159</v>
      </c>
      <c r="Q175" s="337">
        <f t="shared" si="8"/>
        <v>2.1004261370688684E-2</v>
      </c>
      <c r="R175" s="321"/>
    </row>
    <row r="176" spans="1:18" ht="18" hidden="1" customHeight="1" outlineLevel="1">
      <c r="A176" s="344"/>
      <c r="B176" s="344" t="s">
        <v>781</v>
      </c>
      <c r="C176" s="322"/>
      <c r="D176" s="306">
        <f>IF(ISNA(VLOOKUP($B176,IS明細!B:D,3,0)),0,VLOOKUP($B176,IS明細!B:D,3,0))</f>
        <v>0</v>
      </c>
      <c r="E176" s="306">
        <f>IF(ISNA(VLOOKUP($B176,IS明細!$B:F,5,0)),0,VLOOKUP($B176,IS明細!$B:F,5,0))</f>
        <v>3300</v>
      </c>
      <c r="F176" s="306">
        <f>IF(ISNA(VLOOKUP($B176,IS明細!$B:H,7,0)),0,VLOOKUP($B176,IS明細!$B:H,7,0))</f>
        <v>41250</v>
      </c>
      <c r="G176" s="306">
        <f>IF(ISNA(VLOOKUP($B176,IS明細!$B:J,9,0)),0,VLOOKUP($B176,IS明細!$B:J,9,0))</f>
        <v>50310</v>
      </c>
      <c r="H176" s="306">
        <f>IF(ISNA(VLOOKUP($B176,IS明細!$B:L,11,0)),0,VLOOKUP($B176,IS明細!$B:L,11,0))</f>
        <v>0</v>
      </c>
      <c r="I176" s="306">
        <f>IF(ISNA(VLOOKUP($B176,IS明細!$B:N,13,0)),0,VLOOKUP($B176,IS明細!$B:N,13,0))</f>
        <v>12135</v>
      </c>
      <c r="J176" s="306">
        <f>IF(ISNA(VLOOKUP($B176,IS明細!$B:P,15,0)),0,VLOOKUP($B176,IS明細!$B:P,15,0))</f>
        <v>0</v>
      </c>
      <c r="K176" s="306">
        <f>IF(ISNA(VLOOKUP($B176,IS明細!$B:R,17,0)),0,VLOOKUP($B176,IS明細!$B:R,17,0))</f>
        <v>7132</v>
      </c>
      <c r="L176" s="306">
        <f>IF(ISNA(VLOOKUP($B176,IS明細!$B:T,19,0)),0,VLOOKUP($B176,IS明細!$B:T,19,0))</f>
        <v>0</v>
      </c>
      <c r="M176" s="306">
        <f>IF(ISNA(VLOOKUP($B176,IS明細!$B:V,21,0)),0,VLOOKUP($B176,IS明細!$B:V,21,0))</f>
        <v>0</v>
      </c>
      <c r="N176" s="306">
        <f>IF(ISNA(VLOOKUP($B176,IS明細!$B:X,23,0)),0,VLOOKUP($B176,IS明細!$B:X,23,0))</f>
        <v>0</v>
      </c>
      <c r="O176" s="306">
        <f>IF(ISNA(VLOOKUP($B176,IS明細!$B:Z,25,0)),0,VLOOKUP($B176,IS明細!$B:Z,25,0))</f>
        <v>0</v>
      </c>
      <c r="P176" s="306">
        <f t="shared" si="7"/>
        <v>114127</v>
      </c>
      <c r="Q176" s="337">
        <f t="shared" si="8"/>
        <v>2.0128653395698113E-4</v>
      </c>
      <c r="R176" s="321"/>
    </row>
    <row r="177" spans="1:18" ht="18" hidden="1" customHeight="1" outlineLevel="1">
      <c r="A177" s="344"/>
      <c r="B177" s="344" t="s">
        <v>782</v>
      </c>
      <c r="C177" s="322"/>
      <c r="D177" s="306">
        <f>IF(ISNA(VLOOKUP($B177,IS明細!B:D,3,0)),0,VLOOKUP($B177,IS明細!B:D,3,0))</f>
        <v>0</v>
      </c>
      <c r="E177" s="306">
        <f>IF(ISNA(VLOOKUP($B177,IS明細!$B:F,5,0)),0,VLOOKUP($B177,IS明細!$B:F,5,0))</f>
        <v>0</v>
      </c>
      <c r="F177" s="306">
        <f>IF(ISNA(VLOOKUP($B177,IS明細!$B:H,7,0)),0,VLOOKUP($B177,IS明細!$B:H,7,0))</f>
        <v>0</v>
      </c>
      <c r="G177" s="306">
        <f>IF(ISNA(VLOOKUP($B177,IS明細!$B:J,9,0)),0,VLOOKUP($B177,IS明細!$B:J,9,0))</f>
        <v>0</v>
      </c>
      <c r="H177" s="306">
        <f>IF(ISNA(VLOOKUP($B177,IS明細!$B:L,11,0)),0,VLOOKUP($B177,IS明細!$B:L,11,0))</f>
        <v>0</v>
      </c>
      <c r="I177" s="306">
        <f>IF(ISNA(VLOOKUP($B177,IS明細!$B:N,13,0)),0,VLOOKUP($B177,IS明細!$B:N,13,0))</f>
        <v>0</v>
      </c>
      <c r="J177" s="306">
        <f>IF(ISNA(VLOOKUP($B177,IS明細!$B:P,15,0)),0,VLOOKUP($B177,IS明細!$B:P,15,0))</f>
        <v>0</v>
      </c>
      <c r="K177" s="306">
        <f>IF(ISNA(VLOOKUP($B177,IS明細!$B:R,17,0)),0,VLOOKUP($B177,IS明細!$B:R,17,0))</f>
        <v>0</v>
      </c>
      <c r="L177" s="306">
        <f>IF(ISNA(VLOOKUP($B177,IS明細!$B:T,19,0)),0,VLOOKUP($B177,IS明細!$B:T,19,0))</f>
        <v>0</v>
      </c>
      <c r="M177" s="306">
        <f>IF(ISNA(VLOOKUP($B177,IS明細!$B:V,21,0)),0,VLOOKUP($B177,IS明細!$B:V,21,0))</f>
        <v>0</v>
      </c>
      <c r="N177" s="306">
        <f>IF(ISNA(VLOOKUP($B177,IS明細!$B:X,23,0)),0,VLOOKUP($B177,IS明細!$B:X,23,0))</f>
        <v>0</v>
      </c>
      <c r="O177" s="306">
        <f>IF(ISNA(VLOOKUP($B177,IS明細!$B:Z,25,0)),0,VLOOKUP($B177,IS明細!$B:Z,25,0))</f>
        <v>0</v>
      </c>
      <c r="P177" s="306">
        <f t="shared" si="7"/>
        <v>0</v>
      </c>
      <c r="Q177" s="337">
        <f t="shared" si="8"/>
        <v>0</v>
      </c>
      <c r="R177" s="321"/>
    </row>
    <row r="178" spans="1:18" ht="18" hidden="1" customHeight="1" outlineLevel="1">
      <c r="A178" s="344"/>
      <c r="B178" s="344" t="s">
        <v>783</v>
      </c>
      <c r="C178" s="322"/>
      <c r="D178" s="306">
        <f>IF(ISNA(VLOOKUP($B178,IS明細!B:D,3,0)),0,VLOOKUP($B178,IS明細!B:D,3,0))</f>
        <v>0</v>
      </c>
      <c r="E178" s="306">
        <f>IF(ISNA(VLOOKUP($B178,IS明細!$B:F,5,0)),0,VLOOKUP($B178,IS明細!$B:F,5,0))</f>
        <v>3300</v>
      </c>
      <c r="F178" s="306">
        <f>IF(ISNA(VLOOKUP($B178,IS明細!$B:H,7,0)),0,VLOOKUP($B178,IS明細!$B:H,7,0))</f>
        <v>41250</v>
      </c>
      <c r="G178" s="306">
        <f>IF(ISNA(VLOOKUP($B178,IS明細!$B:J,9,0)),0,VLOOKUP($B178,IS明細!$B:J,9,0))</f>
        <v>50310</v>
      </c>
      <c r="H178" s="306">
        <f>IF(ISNA(VLOOKUP($B178,IS明細!$B:L,11,0)),0,VLOOKUP($B178,IS明細!$B:L,11,0))</f>
        <v>0</v>
      </c>
      <c r="I178" s="306">
        <f>IF(ISNA(VLOOKUP($B178,IS明細!$B:N,13,0)),0,VLOOKUP($B178,IS明細!$B:N,13,0))</f>
        <v>12135</v>
      </c>
      <c r="J178" s="306">
        <f>IF(ISNA(VLOOKUP($B178,IS明細!$B:P,15,0)),0,VLOOKUP($B178,IS明細!$B:P,15,0))</f>
        <v>0</v>
      </c>
      <c r="K178" s="306">
        <f>IF(ISNA(VLOOKUP($B178,IS明細!$B:R,17,0)),0,VLOOKUP($B178,IS明細!$B:R,17,0))</f>
        <v>7132</v>
      </c>
      <c r="L178" s="306">
        <f>IF(ISNA(VLOOKUP($B178,IS明細!$B:T,19,0)),0,VLOOKUP($B178,IS明細!$B:T,19,0))</f>
        <v>0</v>
      </c>
      <c r="M178" s="306">
        <f>IF(ISNA(VLOOKUP($B178,IS明細!$B:V,21,0)),0,VLOOKUP($B178,IS明細!$B:V,21,0))</f>
        <v>0</v>
      </c>
      <c r="N178" s="306">
        <f>IF(ISNA(VLOOKUP($B178,IS明細!$B:X,23,0)),0,VLOOKUP($B178,IS明細!$B:X,23,0))</f>
        <v>0</v>
      </c>
      <c r="O178" s="306">
        <f>IF(ISNA(VLOOKUP($B178,IS明細!$B:Z,25,0)),0,VLOOKUP($B178,IS明細!$B:Z,25,0))</f>
        <v>0</v>
      </c>
      <c r="P178" s="306">
        <f t="shared" si="7"/>
        <v>114127</v>
      </c>
      <c r="Q178" s="337">
        <f t="shared" si="8"/>
        <v>2.0128653395698113E-4</v>
      </c>
      <c r="R178" s="321"/>
    </row>
    <row r="179" spans="1:18" ht="18" hidden="1" customHeight="1" outlineLevel="1">
      <c r="A179" s="344"/>
      <c r="B179" s="344" t="s">
        <v>784</v>
      </c>
      <c r="C179" s="322"/>
      <c r="D179" s="306">
        <f>IF(ISNA(VLOOKUP($B179,IS明細!B:D,3,0)),0,VLOOKUP($B179,IS明細!B:D,3,0))</f>
        <v>398000</v>
      </c>
      <c r="E179" s="306">
        <f>IF(ISNA(VLOOKUP($B179,IS明細!$B:F,5,0)),0,VLOOKUP($B179,IS明細!$B:F,5,0))</f>
        <v>435000</v>
      </c>
      <c r="F179" s="306">
        <f>IF(ISNA(VLOOKUP($B179,IS明細!$B:H,7,0)),0,VLOOKUP($B179,IS明細!$B:H,7,0))</f>
        <v>445580</v>
      </c>
      <c r="G179" s="306">
        <f>IF(ISNA(VLOOKUP($B179,IS明細!$B:J,9,0)),0,VLOOKUP($B179,IS明細!$B:J,9,0))</f>
        <v>416500</v>
      </c>
      <c r="H179" s="306">
        <f>IF(ISNA(VLOOKUP($B179,IS明細!$B:L,11,0)),0,VLOOKUP($B179,IS明細!$B:L,11,0))</f>
        <v>436300</v>
      </c>
      <c r="I179" s="306">
        <f>IF(ISNA(VLOOKUP($B179,IS明細!$B:N,13,0)),0,VLOOKUP($B179,IS明細!$B:N,13,0))</f>
        <v>466600</v>
      </c>
      <c r="J179" s="306">
        <f>IF(ISNA(VLOOKUP($B179,IS明細!$B:P,15,0)),0,VLOOKUP($B179,IS明細!$B:P,15,0))</f>
        <v>441800</v>
      </c>
      <c r="K179" s="306">
        <f>IF(ISNA(VLOOKUP($B179,IS明細!$B:R,17,0)),0,VLOOKUP($B179,IS明細!$B:R,17,0))</f>
        <v>443000</v>
      </c>
      <c r="L179" s="306">
        <f>IF(ISNA(VLOOKUP($B179,IS明細!$B:T,19,0)),0,VLOOKUP($B179,IS明細!$B:T,19,0))</f>
        <v>0</v>
      </c>
      <c r="M179" s="306">
        <f>IF(ISNA(VLOOKUP($B179,IS明細!$B:V,21,0)),0,VLOOKUP($B179,IS明細!$B:V,21,0))</f>
        <v>0</v>
      </c>
      <c r="N179" s="306">
        <f>IF(ISNA(VLOOKUP($B179,IS明細!$B:X,23,0)),0,VLOOKUP($B179,IS明細!$B:X,23,0))</f>
        <v>0</v>
      </c>
      <c r="O179" s="306">
        <f>IF(ISNA(VLOOKUP($B179,IS明細!$B:Z,25,0)),0,VLOOKUP($B179,IS明細!$B:Z,25,0))</f>
        <v>0</v>
      </c>
      <c r="P179" s="306">
        <f t="shared" si="7"/>
        <v>3482780</v>
      </c>
      <c r="Q179" s="337">
        <f t="shared" si="8"/>
        <v>6.1426017921674516E-3</v>
      </c>
      <c r="R179" s="321"/>
    </row>
    <row r="180" spans="1:18" ht="18" hidden="1" customHeight="1" outlineLevel="1">
      <c r="A180" s="344"/>
      <c r="B180" s="344" t="s">
        <v>785</v>
      </c>
      <c r="C180" s="322"/>
      <c r="D180" s="306">
        <f>IF(ISNA(VLOOKUP($B180,IS明細!B:D,3,0)),0,VLOOKUP($B180,IS明細!B:D,3,0))</f>
        <v>94141</v>
      </c>
      <c r="E180" s="306">
        <f>IF(ISNA(VLOOKUP($B180,IS明細!$B:F,5,0)),0,VLOOKUP($B180,IS明細!$B:F,5,0))</f>
        <v>92984</v>
      </c>
      <c r="F180" s="306">
        <f>IF(ISNA(VLOOKUP($B180,IS明細!$B:H,7,0)),0,VLOOKUP($B180,IS明細!$B:H,7,0))</f>
        <v>94024</v>
      </c>
      <c r="G180" s="306">
        <f>IF(ISNA(VLOOKUP($B180,IS明細!$B:J,9,0)),0,VLOOKUP($B180,IS明細!$B:J,9,0))</f>
        <v>91518</v>
      </c>
      <c r="H180" s="306">
        <f>IF(ISNA(VLOOKUP($B180,IS明細!$B:L,11,0)),0,VLOOKUP($B180,IS明細!$B:L,11,0))</f>
        <v>95468</v>
      </c>
      <c r="I180" s="306">
        <f>IF(ISNA(VLOOKUP($B180,IS明細!$B:N,13,0)),0,VLOOKUP($B180,IS明細!$B:N,13,0))</f>
        <v>95211</v>
      </c>
      <c r="J180" s="306">
        <f>IF(ISNA(VLOOKUP($B180,IS明細!$B:P,15,0)),0,VLOOKUP($B180,IS明細!$B:P,15,0))</f>
        <v>97356</v>
      </c>
      <c r="K180" s="306">
        <f>IF(ISNA(VLOOKUP($B180,IS明細!$B:R,17,0)),0,VLOOKUP($B180,IS明細!$B:R,17,0))</f>
        <v>97614</v>
      </c>
      <c r="L180" s="306">
        <f>IF(ISNA(VLOOKUP($B180,IS明細!$B:T,19,0)),0,VLOOKUP($B180,IS明細!$B:T,19,0))</f>
        <v>0</v>
      </c>
      <c r="M180" s="306">
        <f>IF(ISNA(VLOOKUP($B180,IS明細!$B:V,21,0)),0,VLOOKUP($B180,IS明細!$B:V,21,0))</f>
        <v>0</v>
      </c>
      <c r="N180" s="306">
        <f>IF(ISNA(VLOOKUP($B180,IS明細!$B:X,23,0)),0,VLOOKUP($B180,IS明細!$B:X,23,0))</f>
        <v>0</v>
      </c>
      <c r="O180" s="306">
        <f>IF(ISNA(VLOOKUP($B180,IS明細!$B:Z,25,0)),0,VLOOKUP($B180,IS明細!$B:Z,25,0))</f>
        <v>0</v>
      </c>
      <c r="P180" s="306">
        <f t="shared" si="7"/>
        <v>758316</v>
      </c>
      <c r="Q180" s="337">
        <f t="shared" si="8"/>
        <v>1.3374468730810597E-3</v>
      </c>
      <c r="R180" s="321"/>
    </row>
    <row r="181" spans="1:18" ht="18" hidden="1" customHeight="1" outlineLevel="1">
      <c r="A181" s="344"/>
      <c r="B181" s="344" t="s">
        <v>786</v>
      </c>
      <c r="C181" s="322"/>
      <c r="D181" s="306">
        <f>IF(ISNA(VLOOKUP($B181,IS明細!B:D,3,0)),0,VLOOKUP($B181,IS明細!B:D,3,0))</f>
        <v>0</v>
      </c>
      <c r="E181" s="306">
        <f>IF(ISNA(VLOOKUP($B181,IS明細!$B:F,5,0)),0,VLOOKUP($B181,IS明細!$B:F,5,0))</f>
        <v>0</v>
      </c>
      <c r="F181" s="306">
        <f>IF(ISNA(VLOOKUP($B181,IS明細!$B:H,7,0)),0,VLOOKUP($B181,IS明細!$B:H,7,0))</f>
        <v>95345</v>
      </c>
      <c r="G181" s="306">
        <f>IF(ISNA(VLOOKUP($B181,IS明細!$B:J,9,0)),0,VLOOKUP($B181,IS明細!$B:J,9,0))</f>
        <v>0</v>
      </c>
      <c r="H181" s="306">
        <f>IF(ISNA(VLOOKUP($B181,IS明細!$B:L,11,0)),0,VLOOKUP($B181,IS明細!$B:L,11,0))</f>
        <v>0</v>
      </c>
      <c r="I181" s="306">
        <f>IF(ISNA(VLOOKUP($B181,IS明細!$B:N,13,0)),0,VLOOKUP($B181,IS明細!$B:N,13,0))</f>
        <v>0</v>
      </c>
      <c r="J181" s="306">
        <f>IF(ISNA(VLOOKUP($B181,IS明細!$B:P,15,0)),0,VLOOKUP($B181,IS明細!$B:P,15,0))</f>
        <v>0</v>
      </c>
      <c r="K181" s="306">
        <f>IF(ISNA(VLOOKUP($B181,IS明細!$B:R,17,0)),0,VLOOKUP($B181,IS明細!$B:R,17,0))</f>
        <v>0</v>
      </c>
      <c r="L181" s="306">
        <f>IF(ISNA(VLOOKUP($B181,IS明細!$B:T,19,0)),0,VLOOKUP($B181,IS明細!$B:T,19,0))</f>
        <v>0</v>
      </c>
      <c r="M181" s="306">
        <f>IF(ISNA(VLOOKUP($B181,IS明細!$B:V,21,0)),0,VLOOKUP($B181,IS明細!$B:V,21,0))</f>
        <v>0</v>
      </c>
      <c r="N181" s="306">
        <f>IF(ISNA(VLOOKUP($B181,IS明細!$B:X,23,0)),0,VLOOKUP($B181,IS明細!$B:X,23,0))</f>
        <v>0</v>
      </c>
      <c r="O181" s="306">
        <f>IF(ISNA(VLOOKUP($B181,IS明細!$B:Z,25,0)),0,VLOOKUP($B181,IS明細!$B:Z,25,0))</f>
        <v>0</v>
      </c>
      <c r="P181" s="306">
        <f t="shared" si="7"/>
        <v>95345</v>
      </c>
      <c r="Q181" s="337">
        <f t="shared" si="8"/>
        <v>1.6816059810674394E-4</v>
      </c>
      <c r="R181" s="321"/>
    </row>
    <row r="182" spans="1:18" ht="18" hidden="1" customHeight="1" outlineLevel="1">
      <c r="A182" s="344"/>
      <c r="B182" s="344" t="s">
        <v>787</v>
      </c>
      <c r="C182" s="322"/>
      <c r="D182" s="306">
        <f>IF(ISNA(VLOOKUP($B182,IS明細!B:D,3,0)),0,VLOOKUP($B182,IS明細!B:D,3,0))</f>
        <v>0</v>
      </c>
      <c r="E182" s="306">
        <f>IF(ISNA(VLOOKUP($B182,IS明細!$B:F,5,0)),0,VLOOKUP($B182,IS明細!$B:F,5,0))</f>
        <v>0</v>
      </c>
      <c r="F182" s="306">
        <f>IF(ISNA(VLOOKUP($B182,IS明細!$B:H,7,0)),0,VLOOKUP($B182,IS明細!$B:H,7,0))</f>
        <v>0</v>
      </c>
      <c r="G182" s="306">
        <f>IF(ISNA(VLOOKUP($B182,IS明細!$B:J,9,0)),0,VLOOKUP($B182,IS明細!$B:J,9,0))</f>
        <v>0</v>
      </c>
      <c r="H182" s="306">
        <f>IF(ISNA(VLOOKUP($B182,IS明細!$B:L,11,0)),0,VLOOKUP($B182,IS明細!$B:L,11,0))</f>
        <v>0</v>
      </c>
      <c r="I182" s="306">
        <f>IF(ISNA(VLOOKUP($B182,IS明細!$B:N,13,0)),0,VLOOKUP($B182,IS明細!$B:N,13,0))</f>
        <v>0</v>
      </c>
      <c r="J182" s="306">
        <f>IF(ISNA(VLOOKUP($B182,IS明細!$B:P,15,0)),0,VLOOKUP($B182,IS明細!$B:P,15,0))</f>
        <v>0</v>
      </c>
      <c r="K182" s="306">
        <f>IF(ISNA(VLOOKUP($B182,IS明細!$B:R,17,0)),0,VLOOKUP($B182,IS明細!$B:R,17,0))</f>
        <v>0</v>
      </c>
      <c r="L182" s="306">
        <f>IF(ISNA(VLOOKUP($B182,IS明細!$B:T,19,0)),0,VLOOKUP($B182,IS明細!$B:T,19,0))</f>
        <v>0</v>
      </c>
      <c r="M182" s="306">
        <f>IF(ISNA(VLOOKUP($B182,IS明細!$B:V,21,0)),0,VLOOKUP($B182,IS明細!$B:V,21,0))</f>
        <v>0</v>
      </c>
      <c r="N182" s="306">
        <f>IF(ISNA(VLOOKUP($B182,IS明細!$B:X,23,0)),0,VLOOKUP($B182,IS明細!$B:X,23,0))</f>
        <v>0</v>
      </c>
      <c r="O182" s="306">
        <f>IF(ISNA(VLOOKUP($B182,IS明細!$B:Z,25,0)),0,VLOOKUP($B182,IS明細!$B:Z,25,0))</f>
        <v>0</v>
      </c>
      <c r="P182" s="306">
        <f t="shared" si="7"/>
        <v>0</v>
      </c>
      <c r="Q182" s="337">
        <f t="shared" si="8"/>
        <v>0</v>
      </c>
      <c r="R182" s="321"/>
    </row>
    <row r="183" spans="1:18" ht="18" hidden="1" customHeight="1" outlineLevel="1">
      <c r="A183" s="344"/>
      <c r="B183" s="344" t="s">
        <v>788</v>
      </c>
      <c r="C183" s="322"/>
      <c r="D183" s="306">
        <f>IF(ISNA(VLOOKUP($B183,IS明細!B:D,3,0)),0,VLOOKUP($B183,IS明細!B:D,3,0))</f>
        <v>0</v>
      </c>
      <c r="E183" s="306">
        <f>IF(ISNA(VLOOKUP($B183,IS明細!$B:F,5,0)),0,VLOOKUP($B183,IS明細!$B:F,5,0))</f>
        <v>600</v>
      </c>
      <c r="F183" s="306">
        <f>IF(ISNA(VLOOKUP($B183,IS明細!$B:H,7,0)),0,VLOOKUP($B183,IS明細!$B:H,7,0))</f>
        <v>0</v>
      </c>
      <c r="G183" s="306">
        <f>IF(ISNA(VLOOKUP($B183,IS明細!$B:J,9,0)),0,VLOOKUP($B183,IS明細!$B:J,9,0))</f>
        <v>300</v>
      </c>
      <c r="H183" s="306">
        <f>IF(ISNA(VLOOKUP($B183,IS明細!$B:L,11,0)),0,VLOOKUP($B183,IS明細!$B:L,11,0))</f>
        <v>0</v>
      </c>
      <c r="I183" s="306">
        <f>IF(ISNA(VLOOKUP($B183,IS明細!$B:N,13,0)),0,VLOOKUP($B183,IS明細!$B:N,13,0))</f>
        <v>600</v>
      </c>
      <c r="J183" s="306">
        <f>IF(ISNA(VLOOKUP($B183,IS明細!$B:P,15,0)),0,VLOOKUP($B183,IS明細!$B:P,15,0))</f>
        <v>0</v>
      </c>
      <c r="K183" s="306">
        <f>IF(ISNA(VLOOKUP($B183,IS明細!$B:R,17,0)),0,VLOOKUP($B183,IS明細!$B:R,17,0))</f>
        <v>0</v>
      </c>
      <c r="L183" s="306">
        <f>IF(ISNA(VLOOKUP($B183,IS明細!$B:T,19,0)),0,VLOOKUP($B183,IS明細!$B:T,19,0))</f>
        <v>0</v>
      </c>
      <c r="M183" s="306">
        <f>IF(ISNA(VLOOKUP($B183,IS明細!$B:V,21,0)),0,VLOOKUP($B183,IS明細!$B:V,21,0))</f>
        <v>0</v>
      </c>
      <c r="N183" s="306">
        <f>IF(ISNA(VLOOKUP($B183,IS明細!$B:X,23,0)),0,VLOOKUP($B183,IS明細!$B:X,23,0))</f>
        <v>0</v>
      </c>
      <c r="O183" s="306">
        <f>IF(ISNA(VLOOKUP($B183,IS明細!$B:Z,25,0)),0,VLOOKUP($B183,IS明細!$B:Z,25,0))</f>
        <v>0</v>
      </c>
      <c r="P183" s="306">
        <f t="shared" si="7"/>
        <v>1500</v>
      </c>
      <c r="Q183" s="337">
        <f t="shared" si="8"/>
        <v>2.6455597793289203E-6</v>
      </c>
      <c r="R183" s="321"/>
    </row>
    <row r="184" spans="1:18" ht="18" hidden="1" customHeight="1" outlineLevel="1">
      <c r="A184" s="344"/>
      <c r="B184" s="344" t="s">
        <v>789</v>
      </c>
      <c r="C184" s="322"/>
      <c r="D184" s="306">
        <f>IF(ISNA(VLOOKUP($B184,IS明細!B:D,3,0)),0,VLOOKUP($B184,IS明細!B:D,3,0))</f>
        <v>0</v>
      </c>
      <c r="E184" s="306">
        <f>IF(ISNA(VLOOKUP($B184,IS明細!$B:F,5,0)),0,VLOOKUP($B184,IS明細!$B:F,5,0))</f>
        <v>27700</v>
      </c>
      <c r="F184" s="306">
        <f>IF(ISNA(VLOOKUP($B184,IS明細!$B:H,7,0)),0,VLOOKUP($B184,IS明細!$B:H,7,0))</f>
        <v>2100</v>
      </c>
      <c r="G184" s="306">
        <f>IF(ISNA(VLOOKUP($B184,IS明細!$B:J,9,0)),0,VLOOKUP($B184,IS明細!$B:J,9,0))</f>
        <v>0</v>
      </c>
      <c r="H184" s="306">
        <f>IF(ISNA(VLOOKUP($B184,IS明細!$B:L,11,0)),0,VLOOKUP($B184,IS明細!$B:L,11,0))</f>
        <v>78118</v>
      </c>
      <c r="I184" s="306">
        <f>IF(ISNA(VLOOKUP($B184,IS明細!$B:N,13,0)),0,VLOOKUP($B184,IS明細!$B:N,13,0))</f>
        <v>3900</v>
      </c>
      <c r="J184" s="306">
        <f>IF(ISNA(VLOOKUP($B184,IS明細!$B:P,15,0)),0,VLOOKUP($B184,IS明細!$B:P,15,0))</f>
        <v>0</v>
      </c>
      <c r="K184" s="306">
        <f>IF(ISNA(VLOOKUP($B184,IS明細!$B:R,17,0)),0,VLOOKUP($B184,IS明細!$B:R,17,0))</f>
        <v>0</v>
      </c>
      <c r="L184" s="306">
        <f>IF(ISNA(VLOOKUP($B184,IS明細!$B:T,19,0)),0,VLOOKUP($B184,IS明細!$B:T,19,0))</f>
        <v>0</v>
      </c>
      <c r="M184" s="306">
        <f>IF(ISNA(VLOOKUP($B184,IS明細!$B:V,21,0)),0,VLOOKUP($B184,IS明細!$B:V,21,0))</f>
        <v>0</v>
      </c>
      <c r="N184" s="306">
        <f>IF(ISNA(VLOOKUP($B184,IS明細!$B:X,23,0)),0,VLOOKUP($B184,IS明細!$B:X,23,0))</f>
        <v>0</v>
      </c>
      <c r="O184" s="306">
        <f>IF(ISNA(VLOOKUP($B184,IS明細!$B:Z,25,0)),0,VLOOKUP($B184,IS明細!$B:Z,25,0))</f>
        <v>0</v>
      </c>
      <c r="P184" s="306">
        <f t="shared" si="7"/>
        <v>111818</v>
      </c>
      <c r="Q184" s="337">
        <f t="shared" si="8"/>
        <v>1.9721413560333414E-4</v>
      </c>
      <c r="R184" s="321"/>
    </row>
    <row r="185" spans="1:18" ht="18" hidden="1" customHeight="1" outlineLevel="1">
      <c r="A185" s="344"/>
      <c r="B185" s="344" t="s">
        <v>790</v>
      </c>
      <c r="C185" s="322"/>
      <c r="D185" s="306">
        <f>IF(ISNA(VLOOKUP($B185,IS明細!B:D,3,0)),0,VLOOKUP($B185,IS明細!B:D,3,0))</f>
        <v>546</v>
      </c>
      <c r="E185" s="306">
        <f>IF(ISNA(VLOOKUP($B185,IS明細!$B:F,5,0)),0,VLOOKUP($B185,IS明細!$B:F,5,0))</f>
        <v>750</v>
      </c>
      <c r="F185" s="306">
        <f>IF(ISNA(VLOOKUP($B185,IS明細!$B:H,7,0)),0,VLOOKUP($B185,IS明細!$B:H,7,0))</f>
        <v>960</v>
      </c>
      <c r="G185" s="306">
        <f>IF(ISNA(VLOOKUP($B185,IS明細!$B:J,9,0)),0,VLOOKUP($B185,IS明細!$B:J,9,0))</f>
        <v>2734</v>
      </c>
      <c r="H185" s="306">
        <f>IF(ISNA(VLOOKUP($B185,IS明細!$B:L,11,0)),0,VLOOKUP($B185,IS明細!$B:L,11,0))</f>
        <v>3530</v>
      </c>
      <c r="I185" s="306">
        <f>IF(ISNA(VLOOKUP($B185,IS明細!$B:N,13,0)),0,VLOOKUP($B185,IS明細!$B:N,13,0))</f>
        <v>200</v>
      </c>
      <c r="J185" s="306">
        <f>IF(ISNA(VLOOKUP($B185,IS明細!$B:P,15,0)),0,VLOOKUP($B185,IS明細!$B:P,15,0))</f>
        <v>948</v>
      </c>
      <c r="K185" s="306">
        <f>IF(ISNA(VLOOKUP($B185,IS明細!$B:R,17,0)),0,VLOOKUP($B185,IS明細!$B:R,17,0))</f>
        <v>290</v>
      </c>
      <c r="L185" s="306">
        <f>IF(ISNA(VLOOKUP($B185,IS明細!$B:T,19,0)),0,VLOOKUP($B185,IS明細!$B:T,19,0))</f>
        <v>0</v>
      </c>
      <c r="M185" s="306">
        <f>IF(ISNA(VLOOKUP($B185,IS明細!$B:V,21,0)),0,VLOOKUP($B185,IS明細!$B:V,21,0))</f>
        <v>0</v>
      </c>
      <c r="N185" s="306">
        <f>IF(ISNA(VLOOKUP($B185,IS明細!$B:X,23,0)),0,VLOOKUP($B185,IS明細!$B:X,23,0))</f>
        <v>0</v>
      </c>
      <c r="O185" s="306">
        <f>IF(ISNA(VLOOKUP($B185,IS明細!$B:Z,25,0)),0,VLOOKUP($B185,IS明細!$B:Z,25,0))</f>
        <v>0</v>
      </c>
      <c r="P185" s="306">
        <f t="shared" si="7"/>
        <v>9958</v>
      </c>
      <c r="Q185" s="337">
        <f t="shared" si="8"/>
        <v>1.7562989521704927E-5</v>
      </c>
      <c r="R185" s="321"/>
    </row>
    <row r="186" spans="1:18" ht="18" hidden="1" customHeight="1" outlineLevel="1">
      <c r="A186" s="344"/>
      <c r="B186" s="344" t="s">
        <v>791</v>
      </c>
      <c r="C186" s="322"/>
      <c r="D186" s="306">
        <f>IF(ISNA(VLOOKUP($B186,IS明細!B:D,3,0)),0,VLOOKUP($B186,IS明細!B:D,3,0))</f>
        <v>16772</v>
      </c>
      <c r="E186" s="306">
        <f>IF(ISNA(VLOOKUP($B186,IS明細!$B:F,5,0)),0,VLOOKUP($B186,IS明細!$B:F,5,0))</f>
        <v>0</v>
      </c>
      <c r="F186" s="306">
        <f>IF(ISNA(VLOOKUP($B186,IS明細!$B:H,7,0)),0,VLOOKUP($B186,IS明細!$B:H,7,0))</f>
        <v>34445</v>
      </c>
      <c r="G186" s="306">
        <f>IF(ISNA(VLOOKUP($B186,IS明細!$B:J,9,0)),0,VLOOKUP($B186,IS明細!$B:J,9,0))</f>
        <v>19186</v>
      </c>
      <c r="H186" s="306">
        <f>IF(ISNA(VLOOKUP($B186,IS明細!$B:L,11,0)),0,VLOOKUP($B186,IS明細!$B:L,11,0))</f>
        <v>18651</v>
      </c>
      <c r="I186" s="306">
        <f>IF(ISNA(VLOOKUP($B186,IS明細!$B:N,13,0)),0,VLOOKUP($B186,IS明細!$B:N,13,0))</f>
        <v>15128</v>
      </c>
      <c r="J186" s="306">
        <f>IF(ISNA(VLOOKUP($B186,IS明細!$B:P,15,0)),0,VLOOKUP($B186,IS明細!$B:P,15,0))</f>
        <v>16240</v>
      </c>
      <c r="K186" s="306">
        <f>IF(ISNA(VLOOKUP($B186,IS明細!$B:R,17,0)),0,VLOOKUP($B186,IS明細!$B:R,17,0))</f>
        <v>15686</v>
      </c>
      <c r="L186" s="306">
        <f>IF(ISNA(VLOOKUP($B186,IS明細!$B:T,19,0)),0,VLOOKUP($B186,IS明細!$B:T,19,0))</f>
        <v>0</v>
      </c>
      <c r="M186" s="306">
        <f>IF(ISNA(VLOOKUP($B186,IS明細!$B:V,21,0)),0,VLOOKUP($B186,IS明細!$B:V,21,0))</f>
        <v>0</v>
      </c>
      <c r="N186" s="306">
        <f>IF(ISNA(VLOOKUP($B186,IS明細!$B:X,23,0)),0,VLOOKUP($B186,IS明細!$B:X,23,0))</f>
        <v>0</v>
      </c>
      <c r="O186" s="306">
        <f>IF(ISNA(VLOOKUP($B186,IS明細!$B:Z,25,0)),0,VLOOKUP($B186,IS明細!$B:Z,25,0))</f>
        <v>0</v>
      </c>
      <c r="P186" s="306">
        <f t="shared" si="7"/>
        <v>136108</v>
      </c>
      <c r="Q186" s="337">
        <f t="shared" si="8"/>
        <v>2.4005456696326712E-4</v>
      </c>
      <c r="R186" s="321"/>
    </row>
    <row r="187" spans="1:18" ht="18" hidden="1" customHeight="1" outlineLevel="1">
      <c r="A187" s="344"/>
      <c r="B187" s="344" t="s">
        <v>792</v>
      </c>
      <c r="C187" s="322"/>
      <c r="D187" s="306">
        <f>IF(ISNA(VLOOKUP($B187,IS明細!B:D,3,0)),0,VLOOKUP($B187,IS明細!B:D,3,0))</f>
        <v>0</v>
      </c>
      <c r="E187" s="306">
        <f>IF(ISNA(VLOOKUP($B187,IS明細!$B:F,5,0)),0,VLOOKUP($B187,IS明細!$B:F,5,0))</f>
        <v>0</v>
      </c>
      <c r="F187" s="306">
        <f>IF(ISNA(VLOOKUP($B187,IS明細!$B:H,7,0)),0,VLOOKUP($B187,IS明細!$B:H,7,0))</f>
        <v>5720</v>
      </c>
      <c r="G187" s="306">
        <f>IF(ISNA(VLOOKUP($B187,IS明細!$B:J,9,0)),0,VLOOKUP($B187,IS明細!$B:J,9,0))</f>
        <v>-5720</v>
      </c>
      <c r="H187" s="306">
        <f>IF(ISNA(VLOOKUP($B187,IS明細!$B:L,11,0)),0,VLOOKUP($B187,IS明細!$B:L,11,0))</f>
        <v>1000</v>
      </c>
      <c r="I187" s="306">
        <f>IF(ISNA(VLOOKUP($B187,IS明細!$B:N,13,0)),0,VLOOKUP($B187,IS明細!$B:N,13,0))</f>
        <v>0</v>
      </c>
      <c r="J187" s="306">
        <f>IF(ISNA(VLOOKUP($B187,IS明細!$B:P,15,0)),0,VLOOKUP($B187,IS明細!$B:P,15,0))</f>
        <v>0</v>
      </c>
      <c r="K187" s="306">
        <f>IF(ISNA(VLOOKUP($B187,IS明細!$B:R,17,0)),0,VLOOKUP($B187,IS明細!$B:R,17,0))</f>
        <v>0</v>
      </c>
      <c r="L187" s="306">
        <f>IF(ISNA(VLOOKUP($B187,IS明細!$B:T,19,0)),0,VLOOKUP($B187,IS明細!$B:T,19,0))</f>
        <v>0</v>
      </c>
      <c r="M187" s="306">
        <f>IF(ISNA(VLOOKUP($B187,IS明細!$B:V,21,0)),0,VLOOKUP($B187,IS明細!$B:V,21,0))</f>
        <v>0</v>
      </c>
      <c r="N187" s="306">
        <f>IF(ISNA(VLOOKUP($B187,IS明細!$B:X,23,0)),0,VLOOKUP($B187,IS明細!$B:X,23,0))</f>
        <v>0</v>
      </c>
      <c r="O187" s="306">
        <f>IF(ISNA(VLOOKUP($B187,IS明細!$B:Z,25,0)),0,VLOOKUP($B187,IS明細!$B:Z,25,0))</f>
        <v>0</v>
      </c>
      <c r="P187" s="306">
        <f t="shared" si="7"/>
        <v>1000</v>
      </c>
      <c r="Q187" s="337">
        <f t="shared" si="8"/>
        <v>1.7637065195526136E-6</v>
      </c>
      <c r="R187" s="321"/>
    </row>
    <row r="188" spans="1:18" ht="18" hidden="1" customHeight="1" outlineLevel="1">
      <c r="A188" s="344"/>
      <c r="B188" s="344" t="s">
        <v>793</v>
      </c>
      <c r="C188" s="322"/>
      <c r="D188" s="306">
        <f>IF(ISNA(VLOOKUP($B188,IS明細!B:D,3,0)),0,VLOOKUP($B188,IS明細!B:D,3,0))</f>
        <v>31288</v>
      </c>
      <c r="E188" s="306">
        <f>IF(ISNA(VLOOKUP($B188,IS明細!$B:F,5,0)),0,VLOOKUP($B188,IS明細!$B:F,5,0))</f>
        <v>18992</v>
      </c>
      <c r="F188" s="306">
        <f>IF(ISNA(VLOOKUP($B188,IS明細!$B:H,7,0)),0,VLOOKUP($B188,IS明細!$B:H,7,0))</f>
        <v>24722</v>
      </c>
      <c r="G188" s="306">
        <f>IF(ISNA(VLOOKUP($B188,IS明細!$B:J,9,0)),0,VLOOKUP($B188,IS明細!$B:J,9,0))</f>
        <v>25486</v>
      </c>
      <c r="H188" s="306">
        <f>IF(ISNA(VLOOKUP($B188,IS明細!$B:L,11,0)),0,VLOOKUP($B188,IS明細!$B:L,11,0))</f>
        <v>30596</v>
      </c>
      <c r="I188" s="306">
        <f>IF(ISNA(VLOOKUP($B188,IS明細!$B:N,13,0)),0,VLOOKUP($B188,IS明細!$B:N,13,0))</f>
        <v>31234</v>
      </c>
      <c r="J188" s="306">
        <f>IF(ISNA(VLOOKUP($B188,IS明細!$B:P,15,0)),0,VLOOKUP($B188,IS明細!$B:P,15,0))</f>
        <v>32754</v>
      </c>
      <c r="K188" s="306">
        <f>IF(ISNA(VLOOKUP($B188,IS明細!$B:R,17,0)),0,VLOOKUP($B188,IS明細!$B:R,17,0))</f>
        <v>45814</v>
      </c>
      <c r="L188" s="306">
        <f>IF(ISNA(VLOOKUP($B188,IS明細!$B:T,19,0)),0,VLOOKUP($B188,IS明細!$B:T,19,0))</f>
        <v>0</v>
      </c>
      <c r="M188" s="306">
        <f>IF(ISNA(VLOOKUP($B188,IS明細!$B:V,21,0)),0,VLOOKUP($B188,IS明細!$B:V,21,0))</f>
        <v>0</v>
      </c>
      <c r="N188" s="306">
        <f>IF(ISNA(VLOOKUP($B188,IS明細!$B:X,23,0)),0,VLOOKUP($B188,IS明細!$B:X,23,0))</f>
        <v>0</v>
      </c>
      <c r="O188" s="306">
        <f>IF(ISNA(VLOOKUP($B188,IS明細!$B:Z,25,0)),0,VLOOKUP($B188,IS明細!$B:Z,25,0))</f>
        <v>0</v>
      </c>
      <c r="P188" s="306">
        <f t="shared" si="7"/>
        <v>240886</v>
      </c>
      <c r="Q188" s="337">
        <f t="shared" si="8"/>
        <v>4.2485220866895091E-4</v>
      </c>
      <c r="R188" s="321"/>
    </row>
    <row r="189" spans="1:18" ht="18" hidden="1" customHeight="1" outlineLevel="1">
      <c r="A189" s="344"/>
      <c r="B189" s="344" t="s">
        <v>794</v>
      </c>
      <c r="C189" s="322"/>
      <c r="D189" s="306">
        <f>IF(ISNA(VLOOKUP($B189,IS明細!B:D,3,0)),0,VLOOKUP($B189,IS明細!B:D,3,0))</f>
        <v>163587</v>
      </c>
      <c r="E189" s="306">
        <f>IF(ISNA(VLOOKUP($B189,IS明細!$B:F,5,0)),0,VLOOKUP($B189,IS明細!$B:F,5,0))</f>
        <v>162864</v>
      </c>
      <c r="F189" s="306">
        <f>IF(ISNA(VLOOKUP($B189,IS明細!$B:H,7,0)),0,VLOOKUP($B189,IS明細!$B:H,7,0))</f>
        <v>170709</v>
      </c>
      <c r="G189" s="306">
        <f>IF(ISNA(VLOOKUP($B189,IS明細!$B:J,9,0)),0,VLOOKUP($B189,IS明細!$B:J,9,0))</f>
        <v>159277</v>
      </c>
      <c r="H189" s="306">
        <f>IF(ISNA(VLOOKUP($B189,IS明細!$B:L,11,0)),0,VLOOKUP($B189,IS明細!$B:L,11,0))</f>
        <v>163810</v>
      </c>
      <c r="I189" s="306">
        <f>IF(ISNA(VLOOKUP($B189,IS明細!$B:N,13,0)),0,VLOOKUP($B189,IS明細!$B:N,13,0))</f>
        <v>176515</v>
      </c>
      <c r="J189" s="306">
        <f>IF(ISNA(VLOOKUP($B189,IS明細!$B:P,15,0)),0,VLOOKUP($B189,IS明細!$B:P,15,0))</f>
        <v>168942</v>
      </c>
      <c r="K189" s="306">
        <f>IF(ISNA(VLOOKUP($B189,IS明細!$B:R,17,0)),0,VLOOKUP($B189,IS明細!$B:R,17,0))</f>
        <v>169278</v>
      </c>
      <c r="L189" s="306">
        <f>IF(ISNA(VLOOKUP($B189,IS明細!$B:T,19,0)),0,VLOOKUP($B189,IS明細!$B:T,19,0))</f>
        <v>0</v>
      </c>
      <c r="M189" s="306">
        <f>IF(ISNA(VLOOKUP($B189,IS明細!$B:V,21,0)),0,VLOOKUP($B189,IS明細!$B:V,21,0))</f>
        <v>0</v>
      </c>
      <c r="N189" s="306">
        <f>IF(ISNA(VLOOKUP($B189,IS明細!$B:X,23,0)),0,VLOOKUP($B189,IS明細!$B:X,23,0))</f>
        <v>0</v>
      </c>
      <c r="O189" s="306">
        <f>IF(ISNA(VLOOKUP($B189,IS明細!$B:Z,25,0)),0,VLOOKUP($B189,IS明細!$B:Z,25,0))</f>
        <v>0</v>
      </c>
      <c r="P189" s="306">
        <f t="shared" si="7"/>
        <v>1334982</v>
      </c>
      <c r="Q189" s="337">
        <f t="shared" si="8"/>
        <v>2.3545164568853872E-3</v>
      </c>
      <c r="R189" s="321"/>
    </row>
    <row r="190" spans="1:18" ht="18" hidden="1" customHeight="1" outlineLevel="1">
      <c r="A190" s="344"/>
      <c r="B190" s="344" t="s">
        <v>795</v>
      </c>
      <c r="C190" s="322"/>
      <c r="D190" s="306">
        <f>IF(ISNA(VLOOKUP($B190,IS明細!B:D,3,0)),0,VLOOKUP($B190,IS明細!B:D,3,0))</f>
        <v>0</v>
      </c>
      <c r="E190" s="306">
        <f>IF(ISNA(VLOOKUP($B190,IS明細!$B:F,5,0)),0,VLOOKUP($B190,IS明細!$B:F,5,0))</f>
        <v>598</v>
      </c>
      <c r="F190" s="306">
        <f>IF(ISNA(VLOOKUP($B190,IS明細!$B:H,7,0)),0,VLOOKUP($B190,IS明細!$B:H,7,0))</f>
        <v>9880</v>
      </c>
      <c r="G190" s="306">
        <f>IF(ISNA(VLOOKUP($B190,IS明細!$B:J,9,0)),0,VLOOKUP($B190,IS明細!$B:J,9,0))</f>
        <v>0</v>
      </c>
      <c r="H190" s="306">
        <f>IF(ISNA(VLOOKUP($B190,IS明細!$B:L,11,0)),0,VLOOKUP($B190,IS明細!$B:L,11,0))</f>
        <v>1942</v>
      </c>
      <c r="I190" s="306">
        <f>IF(ISNA(VLOOKUP($B190,IS明細!$B:N,13,0)),0,VLOOKUP($B190,IS明細!$B:N,13,0))</f>
        <v>0</v>
      </c>
      <c r="J190" s="306">
        <f>IF(ISNA(VLOOKUP($B190,IS明細!$B:P,15,0)),0,VLOOKUP($B190,IS明細!$B:P,15,0))</f>
        <v>0</v>
      </c>
      <c r="K190" s="306">
        <f>IF(ISNA(VLOOKUP($B190,IS明細!$B:R,17,0)),0,VLOOKUP($B190,IS明細!$B:R,17,0))</f>
        <v>0</v>
      </c>
      <c r="L190" s="306">
        <f>IF(ISNA(VLOOKUP($B190,IS明細!$B:T,19,0)),0,VLOOKUP($B190,IS明細!$B:T,19,0))</f>
        <v>0</v>
      </c>
      <c r="M190" s="306">
        <f>IF(ISNA(VLOOKUP($B190,IS明細!$B:V,21,0)),0,VLOOKUP($B190,IS明細!$B:V,21,0))</f>
        <v>0</v>
      </c>
      <c r="N190" s="306">
        <f>IF(ISNA(VLOOKUP($B190,IS明細!$B:X,23,0)),0,VLOOKUP($B190,IS明細!$B:X,23,0))</f>
        <v>0</v>
      </c>
      <c r="O190" s="306">
        <f>IF(ISNA(VLOOKUP($B190,IS明細!$B:Z,25,0)),0,VLOOKUP($B190,IS明細!$B:Z,25,0))</f>
        <v>0</v>
      </c>
      <c r="P190" s="306">
        <f t="shared" si="7"/>
        <v>12420</v>
      </c>
      <c r="Q190" s="337">
        <f t="shared" si="8"/>
        <v>2.190523497284346E-5</v>
      </c>
      <c r="R190" s="321"/>
    </row>
    <row r="191" spans="1:18" ht="18" hidden="1" customHeight="1" outlineLevel="1">
      <c r="A191" s="344"/>
      <c r="B191" s="344" t="s">
        <v>796</v>
      </c>
      <c r="C191" s="322"/>
      <c r="D191" s="306">
        <f>IF(ISNA(VLOOKUP($B191,IS明細!B:D,3,0)),0,VLOOKUP($B191,IS明細!B:D,3,0))</f>
        <v>0</v>
      </c>
      <c r="E191" s="306">
        <f>IF(ISNA(VLOOKUP($B191,IS明細!$B:F,5,0)),0,VLOOKUP($B191,IS明細!$B:F,5,0))</f>
        <v>0</v>
      </c>
      <c r="F191" s="306">
        <f>IF(ISNA(VLOOKUP($B191,IS明細!$B:H,7,0)),0,VLOOKUP($B191,IS明細!$B:H,7,0))</f>
        <v>0</v>
      </c>
      <c r="G191" s="306">
        <f>IF(ISNA(VLOOKUP($B191,IS明細!$B:J,9,0)),0,VLOOKUP($B191,IS明細!$B:J,9,0))</f>
        <v>0</v>
      </c>
      <c r="H191" s="306">
        <f>IF(ISNA(VLOOKUP($B191,IS明細!$B:L,11,0)),0,VLOOKUP($B191,IS明細!$B:L,11,0))</f>
        <v>0</v>
      </c>
      <c r="I191" s="306">
        <f>IF(ISNA(VLOOKUP($B191,IS明細!$B:N,13,0)),0,VLOOKUP($B191,IS明細!$B:N,13,0))</f>
        <v>0</v>
      </c>
      <c r="J191" s="306">
        <f>IF(ISNA(VLOOKUP($B191,IS明細!$B:P,15,0)),0,VLOOKUP($B191,IS明細!$B:P,15,0))</f>
        <v>0</v>
      </c>
      <c r="K191" s="306">
        <f>IF(ISNA(VLOOKUP($B191,IS明細!$B:R,17,0)),0,VLOOKUP($B191,IS明細!$B:R,17,0))</f>
        <v>0</v>
      </c>
      <c r="L191" s="306">
        <f>IF(ISNA(VLOOKUP($B191,IS明細!$B:T,19,0)),0,VLOOKUP($B191,IS明細!$B:T,19,0))</f>
        <v>0</v>
      </c>
      <c r="M191" s="306">
        <f>IF(ISNA(VLOOKUP($B191,IS明細!$B:V,21,0)),0,VLOOKUP($B191,IS明細!$B:V,21,0))</f>
        <v>0</v>
      </c>
      <c r="N191" s="306">
        <f>IF(ISNA(VLOOKUP($B191,IS明細!$B:X,23,0)),0,VLOOKUP($B191,IS明細!$B:X,23,0))</f>
        <v>0</v>
      </c>
      <c r="O191" s="306">
        <f>IF(ISNA(VLOOKUP($B191,IS明細!$B:Z,25,0)),0,VLOOKUP($B191,IS明細!$B:Z,25,0))</f>
        <v>0</v>
      </c>
      <c r="P191" s="306">
        <f t="shared" si="7"/>
        <v>0</v>
      </c>
      <c r="Q191" s="337">
        <f t="shared" si="8"/>
        <v>0</v>
      </c>
      <c r="R191" s="321"/>
    </row>
    <row r="192" spans="1:18" ht="18" hidden="1" customHeight="1" outlineLevel="1">
      <c r="A192" s="344"/>
      <c r="B192" s="344" t="s">
        <v>797</v>
      </c>
      <c r="C192" s="322"/>
      <c r="D192" s="306">
        <f>IF(ISNA(VLOOKUP($B192,IS明細!B:D,3,0)),0,VLOOKUP($B192,IS明細!B:D,3,0))</f>
        <v>0</v>
      </c>
      <c r="E192" s="306">
        <f>IF(ISNA(VLOOKUP($B192,IS明細!$B:F,5,0)),0,VLOOKUP($B192,IS明細!$B:F,5,0))</f>
        <v>0</v>
      </c>
      <c r="F192" s="306">
        <f>IF(ISNA(VLOOKUP($B192,IS明細!$B:H,7,0)),0,VLOOKUP($B192,IS明細!$B:H,7,0))</f>
        <v>0</v>
      </c>
      <c r="G192" s="306">
        <f>IF(ISNA(VLOOKUP($B192,IS明細!$B:J,9,0)),0,VLOOKUP($B192,IS明細!$B:J,9,0))</f>
        <v>0</v>
      </c>
      <c r="H192" s="306">
        <f>IF(ISNA(VLOOKUP($B192,IS明細!$B:L,11,0)),0,VLOOKUP($B192,IS明細!$B:L,11,0))</f>
        <v>0</v>
      </c>
      <c r="I192" s="306">
        <f>IF(ISNA(VLOOKUP($B192,IS明細!$B:N,13,0)),0,VLOOKUP($B192,IS明細!$B:N,13,0))</f>
        <v>0</v>
      </c>
      <c r="J192" s="306">
        <f>IF(ISNA(VLOOKUP($B192,IS明細!$B:P,15,0)),0,VLOOKUP($B192,IS明細!$B:P,15,0))</f>
        <v>0</v>
      </c>
      <c r="K192" s="306">
        <f>IF(ISNA(VLOOKUP($B192,IS明細!$B:R,17,0)),0,VLOOKUP($B192,IS明細!$B:R,17,0))</f>
        <v>0</v>
      </c>
      <c r="L192" s="306">
        <f>IF(ISNA(VLOOKUP($B192,IS明細!$B:T,19,0)),0,VLOOKUP($B192,IS明細!$B:T,19,0))</f>
        <v>0</v>
      </c>
      <c r="M192" s="306">
        <f>IF(ISNA(VLOOKUP($B192,IS明細!$B:V,21,0)),0,VLOOKUP($B192,IS明細!$B:V,21,0))</f>
        <v>0</v>
      </c>
      <c r="N192" s="306">
        <f>IF(ISNA(VLOOKUP($B192,IS明細!$B:X,23,0)),0,VLOOKUP($B192,IS明細!$B:X,23,0))</f>
        <v>0</v>
      </c>
      <c r="O192" s="306">
        <f>IF(ISNA(VLOOKUP($B192,IS明細!$B:Z,25,0)),0,VLOOKUP($B192,IS明細!$B:Z,25,0))</f>
        <v>0</v>
      </c>
      <c r="P192" s="306">
        <f t="shared" si="7"/>
        <v>0</v>
      </c>
      <c r="Q192" s="337">
        <f t="shared" si="8"/>
        <v>0</v>
      </c>
      <c r="R192" s="321"/>
    </row>
    <row r="193" spans="1:18" ht="18" hidden="1" customHeight="1" outlineLevel="1">
      <c r="A193" s="344"/>
      <c r="B193" s="344" t="s">
        <v>798</v>
      </c>
      <c r="C193" s="322"/>
      <c r="D193" s="306">
        <f>IF(ISNA(VLOOKUP($B193,IS明細!B:D,3,0)),0,VLOOKUP($B193,IS明細!B:D,3,0))</f>
        <v>116342</v>
      </c>
      <c r="E193" s="306">
        <f>IF(ISNA(VLOOKUP($B193,IS明細!$B:F,5,0)),0,VLOOKUP($B193,IS明細!$B:F,5,0))</f>
        <v>116342</v>
      </c>
      <c r="F193" s="306">
        <f>IF(ISNA(VLOOKUP($B193,IS明細!$B:H,7,0)),0,VLOOKUP($B193,IS明細!$B:H,7,0))</f>
        <v>116342</v>
      </c>
      <c r="G193" s="306">
        <f>IF(ISNA(VLOOKUP($B193,IS明細!$B:J,9,0)),0,VLOOKUP($B193,IS明細!$B:J,9,0))</f>
        <v>116342</v>
      </c>
      <c r="H193" s="306">
        <f>IF(ISNA(VLOOKUP($B193,IS明細!$B:L,11,0)),0,VLOOKUP($B193,IS明細!$B:L,11,0))</f>
        <v>116342</v>
      </c>
      <c r="I193" s="306">
        <f>IF(ISNA(VLOOKUP($B193,IS明細!$B:N,13,0)),0,VLOOKUP($B193,IS明細!$B:N,13,0))</f>
        <v>116342</v>
      </c>
      <c r="J193" s="306">
        <f>IF(ISNA(VLOOKUP($B193,IS明細!$B:P,15,0)),0,VLOOKUP($B193,IS明細!$B:P,15,0))</f>
        <v>116341</v>
      </c>
      <c r="K193" s="306">
        <f>IF(ISNA(VLOOKUP($B193,IS明細!$B:R,17,0)),0,VLOOKUP($B193,IS明細!$B:R,17,0))</f>
        <v>116342</v>
      </c>
      <c r="L193" s="306">
        <f>IF(ISNA(VLOOKUP($B193,IS明細!$B:T,19,0)),0,VLOOKUP($B193,IS明細!$B:T,19,0))</f>
        <v>0</v>
      </c>
      <c r="M193" s="306">
        <f>IF(ISNA(VLOOKUP($B193,IS明細!$B:V,21,0)),0,VLOOKUP($B193,IS明細!$B:V,21,0))</f>
        <v>0</v>
      </c>
      <c r="N193" s="306">
        <f>IF(ISNA(VLOOKUP($B193,IS明細!$B:X,23,0)),0,VLOOKUP($B193,IS明細!$B:X,23,0))</f>
        <v>0</v>
      </c>
      <c r="O193" s="306">
        <f>IF(ISNA(VLOOKUP($B193,IS明細!$B:Z,25,0)),0,VLOOKUP($B193,IS明細!$B:Z,25,0))</f>
        <v>0</v>
      </c>
      <c r="P193" s="306">
        <f t="shared" si="7"/>
        <v>930735</v>
      </c>
      <c r="Q193" s="337">
        <f t="shared" si="8"/>
        <v>1.6415433874758017E-3</v>
      </c>
      <c r="R193" s="321"/>
    </row>
    <row r="194" spans="1:18" ht="18" hidden="1" customHeight="1" outlineLevel="1">
      <c r="A194" s="344"/>
      <c r="B194" s="344" t="s">
        <v>799</v>
      </c>
      <c r="C194" s="322"/>
      <c r="D194" s="306">
        <f>IF(ISNA(VLOOKUP($B194,IS明細!B:D,3,0)),0,VLOOKUP($B194,IS明細!B:D,3,0))</f>
        <v>172176</v>
      </c>
      <c r="E194" s="306">
        <f>IF(ISNA(VLOOKUP($B194,IS明細!$B:F,5,0)),0,VLOOKUP($B194,IS明細!$B:F,5,0))</f>
        <v>172184</v>
      </c>
      <c r="F194" s="306">
        <f>IF(ISNA(VLOOKUP($B194,IS明細!$B:H,7,0)),0,VLOOKUP($B194,IS明細!$B:H,7,0))</f>
        <v>5920</v>
      </c>
      <c r="G194" s="306">
        <f>IF(ISNA(VLOOKUP($B194,IS明細!$B:J,9,0)),0,VLOOKUP($B194,IS明細!$B:J,9,0))</f>
        <v>87715</v>
      </c>
      <c r="H194" s="306">
        <f>IF(ISNA(VLOOKUP($B194,IS明細!$B:L,11,0)),0,VLOOKUP($B194,IS明細!$B:L,11,0))</f>
        <v>88318</v>
      </c>
      <c r="I194" s="306">
        <f>IF(ISNA(VLOOKUP($B194,IS明細!$B:N,13,0)),0,VLOOKUP($B194,IS明細!$B:N,13,0))</f>
        <v>48409</v>
      </c>
      <c r="J194" s="306">
        <f>IF(ISNA(VLOOKUP($B194,IS明細!$B:P,15,0)),0,VLOOKUP($B194,IS明細!$B:P,15,0))</f>
        <v>47806</v>
      </c>
      <c r="K194" s="306">
        <f>IF(ISNA(VLOOKUP($B194,IS明細!$B:R,17,0)),0,VLOOKUP($B194,IS明細!$B:R,17,0))</f>
        <v>47802</v>
      </c>
      <c r="L194" s="306">
        <f>IF(ISNA(VLOOKUP($B194,IS明細!$B:T,19,0)),0,VLOOKUP($B194,IS明細!$B:T,19,0))</f>
        <v>0</v>
      </c>
      <c r="M194" s="306">
        <f>IF(ISNA(VLOOKUP($B194,IS明細!$B:V,21,0)),0,VLOOKUP($B194,IS明細!$B:V,21,0))</f>
        <v>0</v>
      </c>
      <c r="N194" s="306">
        <f>IF(ISNA(VLOOKUP($B194,IS明細!$B:X,23,0)),0,VLOOKUP($B194,IS明細!$B:X,23,0))</f>
        <v>0</v>
      </c>
      <c r="O194" s="306">
        <f>IF(ISNA(VLOOKUP($B194,IS明細!$B:Z,25,0)),0,VLOOKUP($B194,IS明細!$B:Z,25,0))</f>
        <v>0</v>
      </c>
      <c r="P194" s="306">
        <f t="shared" si="7"/>
        <v>670330</v>
      </c>
      <c r="Q194" s="337">
        <f t="shared" si="8"/>
        <v>1.1822653912517034E-3</v>
      </c>
      <c r="R194" s="321"/>
    </row>
    <row r="195" spans="1:18" ht="18" hidden="1" customHeight="1" outlineLevel="1">
      <c r="A195" s="344"/>
      <c r="B195" s="344" t="s">
        <v>800</v>
      </c>
      <c r="C195" s="322"/>
      <c r="D195" s="306">
        <f>IF(ISNA(VLOOKUP($B195,IS明細!B:D,3,0)),0,VLOOKUP($B195,IS明細!B:D,3,0))</f>
        <v>45000</v>
      </c>
      <c r="E195" s="306">
        <f>IF(ISNA(VLOOKUP($B195,IS明細!$B:F,5,0)),0,VLOOKUP($B195,IS明細!$B:F,5,0))</f>
        <v>49520</v>
      </c>
      <c r="F195" s="306">
        <f>IF(ISNA(VLOOKUP($B195,IS明細!$B:H,7,0)),0,VLOOKUP($B195,IS明細!$B:H,7,0))</f>
        <v>53800</v>
      </c>
      <c r="G195" s="306">
        <f>IF(ISNA(VLOOKUP($B195,IS明細!$B:J,9,0)),0,VLOOKUP($B195,IS明細!$B:J,9,0))</f>
        <v>48880</v>
      </c>
      <c r="H195" s="306">
        <f>IF(ISNA(VLOOKUP($B195,IS明細!$B:L,11,0)),0,VLOOKUP($B195,IS明細!$B:L,11,0))</f>
        <v>45000</v>
      </c>
      <c r="I195" s="306">
        <f>IF(ISNA(VLOOKUP($B195,IS明細!$B:N,13,0)),0,VLOOKUP($B195,IS明細!$B:N,13,0))</f>
        <v>50140</v>
      </c>
      <c r="J195" s="306">
        <f>IF(ISNA(VLOOKUP($B195,IS明細!$B:P,15,0)),0,VLOOKUP($B195,IS明細!$B:P,15,0))</f>
        <v>52920</v>
      </c>
      <c r="K195" s="306">
        <f>IF(ISNA(VLOOKUP($B195,IS明細!$B:R,17,0)),0,VLOOKUP($B195,IS明細!$B:R,17,0))</f>
        <v>49040</v>
      </c>
      <c r="L195" s="306">
        <f>IF(ISNA(VLOOKUP($B195,IS明細!$B:T,19,0)),0,VLOOKUP($B195,IS明細!$B:T,19,0))</f>
        <v>0</v>
      </c>
      <c r="M195" s="306">
        <f>IF(ISNA(VLOOKUP($B195,IS明細!$B:V,21,0)),0,VLOOKUP($B195,IS明細!$B:V,21,0))</f>
        <v>0</v>
      </c>
      <c r="N195" s="306">
        <f>IF(ISNA(VLOOKUP($B195,IS明細!$B:X,23,0)),0,VLOOKUP($B195,IS明細!$B:X,23,0))</f>
        <v>0</v>
      </c>
      <c r="O195" s="306">
        <f>IF(ISNA(VLOOKUP($B195,IS明細!$B:Z,25,0)),0,VLOOKUP($B195,IS明細!$B:Z,25,0))</f>
        <v>0</v>
      </c>
      <c r="P195" s="306">
        <f t="shared" si="7"/>
        <v>394300</v>
      </c>
      <c r="Q195" s="337">
        <f t="shared" si="8"/>
        <v>6.9542948065959558E-4</v>
      </c>
      <c r="R195" s="321"/>
    </row>
    <row r="196" spans="1:18" ht="18" hidden="1" customHeight="1" outlineLevel="1">
      <c r="A196" s="344"/>
      <c r="B196" s="344" t="s">
        <v>801</v>
      </c>
      <c r="C196" s="322"/>
      <c r="D196" s="306">
        <f>IF(ISNA(VLOOKUP($B196,IS明細!B:D,3,0)),0,VLOOKUP($B196,IS明細!B:D,3,0))</f>
        <v>32862</v>
      </c>
      <c r="E196" s="306">
        <f>IF(ISNA(VLOOKUP($B196,IS明細!$B:F,5,0)),0,VLOOKUP($B196,IS明細!$B:F,5,0))</f>
        <v>29267</v>
      </c>
      <c r="F196" s="306">
        <f>IF(ISNA(VLOOKUP($B196,IS明細!$B:H,7,0)),0,VLOOKUP($B196,IS明細!$B:H,7,0))</f>
        <v>36507</v>
      </c>
      <c r="G196" s="306">
        <f>IF(ISNA(VLOOKUP($B196,IS明細!$B:J,9,0)),0,VLOOKUP($B196,IS明細!$B:J,9,0))</f>
        <v>35725</v>
      </c>
      <c r="H196" s="306">
        <f>IF(ISNA(VLOOKUP($B196,IS明細!$B:L,11,0)),0,VLOOKUP($B196,IS明細!$B:L,11,0))</f>
        <v>27801</v>
      </c>
      <c r="I196" s="306">
        <f>IF(ISNA(VLOOKUP($B196,IS明細!$B:N,13,0)),0,VLOOKUP($B196,IS明細!$B:N,13,0))</f>
        <v>50645</v>
      </c>
      <c r="J196" s="306">
        <f>IF(ISNA(VLOOKUP($B196,IS明細!$B:P,15,0)),0,VLOOKUP($B196,IS明細!$B:P,15,0))</f>
        <v>51256</v>
      </c>
      <c r="K196" s="306">
        <f>IF(ISNA(VLOOKUP($B196,IS明細!$B:R,17,0)),0,VLOOKUP($B196,IS明細!$B:R,17,0))</f>
        <v>42851</v>
      </c>
      <c r="L196" s="306">
        <f>IF(ISNA(VLOOKUP($B196,IS明細!$B:T,19,0)),0,VLOOKUP($B196,IS明細!$B:T,19,0))</f>
        <v>0</v>
      </c>
      <c r="M196" s="306">
        <f>IF(ISNA(VLOOKUP($B196,IS明細!$B:V,21,0)),0,VLOOKUP($B196,IS明細!$B:V,21,0))</f>
        <v>0</v>
      </c>
      <c r="N196" s="306">
        <f>IF(ISNA(VLOOKUP($B196,IS明細!$B:X,23,0)),0,VLOOKUP($B196,IS明細!$B:X,23,0))</f>
        <v>0</v>
      </c>
      <c r="O196" s="306">
        <f>IF(ISNA(VLOOKUP($B196,IS明細!$B:Z,25,0)),0,VLOOKUP($B196,IS明細!$B:Z,25,0))</f>
        <v>0</v>
      </c>
      <c r="P196" s="306">
        <f t="shared" si="7"/>
        <v>306914</v>
      </c>
      <c r="Q196" s="337">
        <f t="shared" si="8"/>
        <v>5.4130622274197089E-4</v>
      </c>
      <c r="R196" s="321"/>
    </row>
    <row r="197" spans="1:18" ht="18" hidden="1" customHeight="1" outlineLevel="1">
      <c r="A197" s="344"/>
      <c r="B197" s="344" t="s">
        <v>802</v>
      </c>
      <c r="C197" s="322"/>
      <c r="D197" s="306">
        <f>IF(ISNA(VLOOKUP($B197,IS明細!B:D,3,0)),0,VLOOKUP($B197,IS明細!B:D,3,0))</f>
        <v>29800</v>
      </c>
      <c r="E197" s="306">
        <f>IF(ISNA(VLOOKUP($B197,IS明細!$B:F,5,0)),0,VLOOKUP($B197,IS明細!$B:F,5,0))</f>
        <v>32137</v>
      </c>
      <c r="F197" s="306">
        <f>IF(ISNA(VLOOKUP($B197,IS明細!$B:H,7,0)),0,VLOOKUP($B197,IS明細!$B:H,7,0))</f>
        <v>295681</v>
      </c>
      <c r="G197" s="306">
        <f>IF(ISNA(VLOOKUP($B197,IS明細!$B:J,9,0)),0,VLOOKUP($B197,IS明細!$B:J,9,0))</f>
        <v>533230</v>
      </c>
      <c r="H197" s="306">
        <f>IF(ISNA(VLOOKUP($B197,IS明細!$B:L,11,0)),0,VLOOKUP($B197,IS明細!$B:L,11,0))</f>
        <v>32680</v>
      </c>
      <c r="I197" s="306">
        <f>IF(ISNA(VLOOKUP($B197,IS明細!$B:N,13,0)),0,VLOOKUP($B197,IS明細!$B:N,13,0))</f>
        <v>207816</v>
      </c>
      <c r="J197" s="306">
        <f>IF(ISNA(VLOOKUP($B197,IS明細!$B:P,15,0)),0,VLOOKUP($B197,IS明細!$B:P,15,0))</f>
        <v>180000</v>
      </c>
      <c r="K197" s="306">
        <f>IF(ISNA(VLOOKUP($B197,IS明細!$B:R,17,0)),0,VLOOKUP($B197,IS明細!$B:R,17,0))</f>
        <v>478148</v>
      </c>
      <c r="L197" s="306">
        <f>IF(ISNA(VLOOKUP($B197,IS明細!$B:T,19,0)),0,VLOOKUP($B197,IS明細!$B:T,19,0))</f>
        <v>0</v>
      </c>
      <c r="M197" s="306">
        <f>IF(ISNA(VLOOKUP($B197,IS明細!$B:V,21,0)),0,VLOOKUP($B197,IS明細!$B:V,21,0))</f>
        <v>0</v>
      </c>
      <c r="N197" s="306">
        <f>IF(ISNA(VLOOKUP($B197,IS明細!$B:X,23,0)),0,VLOOKUP($B197,IS明細!$B:X,23,0))</f>
        <v>0</v>
      </c>
      <c r="O197" s="306">
        <f>IF(ISNA(VLOOKUP($B197,IS明細!$B:Z,25,0)),0,VLOOKUP($B197,IS明細!$B:Z,25,0))</f>
        <v>0</v>
      </c>
      <c r="P197" s="306">
        <f t="shared" si="7"/>
        <v>1789492</v>
      </c>
      <c r="Q197" s="337">
        <f t="shared" si="8"/>
        <v>3.1561387070872457E-3</v>
      </c>
      <c r="R197" s="321"/>
    </row>
    <row r="198" spans="1:18" ht="18" hidden="1" customHeight="1" outlineLevel="1">
      <c r="A198" s="344"/>
      <c r="B198" s="344" t="s">
        <v>803</v>
      </c>
      <c r="C198" s="322"/>
      <c r="D198" s="306">
        <f>IF(ISNA(VLOOKUP($B198,IS明細!B:D,3,0)),0,VLOOKUP($B198,IS明細!B:D,3,0))</f>
        <v>0</v>
      </c>
      <c r="E198" s="306">
        <f>IF(ISNA(VLOOKUP($B198,IS明細!$B:F,5,0)),0,VLOOKUP($B198,IS明細!$B:F,5,0))</f>
        <v>0</v>
      </c>
      <c r="F198" s="306">
        <f>IF(ISNA(VLOOKUP($B198,IS明細!$B:H,7,0)),0,VLOOKUP($B198,IS明細!$B:H,7,0))</f>
        <v>0</v>
      </c>
      <c r="G198" s="306">
        <f>IF(ISNA(VLOOKUP($B198,IS明細!$B:J,9,0)),0,VLOOKUP($B198,IS明細!$B:J,9,0))</f>
        <v>0</v>
      </c>
      <c r="H198" s="306">
        <f>IF(ISNA(VLOOKUP($B198,IS明細!$B:L,11,0)),0,VLOOKUP($B198,IS明細!$B:L,11,0))</f>
        <v>0</v>
      </c>
      <c r="I198" s="306">
        <f>IF(ISNA(VLOOKUP($B198,IS明細!$B:N,13,0)),0,VLOOKUP($B198,IS明細!$B:N,13,0))</f>
        <v>0</v>
      </c>
      <c r="J198" s="306">
        <f>IF(ISNA(VLOOKUP($B198,IS明細!$B:P,15,0)),0,VLOOKUP($B198,IS明細!$B:P,15,0))</f>
        <v>0</v>
      </c>
      <c r="K198" s="306">
        <f>IF(ISNA(VLOOKUP($B198,IS明細!$B:R,17,0)),0,VLOOKUP($B198,IS明細!$B:R,17,0))</f>
        <v>0</v>
      </c>
      <c r="L198" s="306">
        <f>IF(ISNA(VLOOKUP($B198,IS明細!$B:T,19,0)),0,VLOOKUP($B198,IS明細!$B:T,19,0))</f>
        <v>0</v>
      </c>
      <c r="M198" s="306">
        <f>IF(ISNA(VLOOKUP($B198,IS明細!$B:V,21,0)),0,VLOOKUP($B198,IS明細!$B:V,21,0))</f>
        <v>0</v>
      </c>
      <c r="N198" s="306">
        <f>IF(ISNA(VLOOKUP($B198,IS明細!$B:X,23,0)),0,VLOOKUP($B198,IS明細!$B:X,23,0))</f>
        <v>0</v>
      </c>
      <c r="O198" s="306">
        <f>IF(ISNA(VLOOKUP($B198,IS明細!$B:Z,25,0)),0,VLOOKUP($B198,IS明細!$B:Z,25,0))</f>
        <v>0</v>
      </c>
      <c r="P198" s="306">
        <f t="shared" si="7"/>
        <v>0</v>
      </c>
      <c r="Q198" s="337">
        <f t="shared" si="8"/>
        <v>0</v>
      </c>
      <c r="R198" s="321"/>
    </row>
    <row r="199" spans="1:18" ht="18" hidden="1" customHeight="1" outlineLevel="1">
      <c r="A199" s="344"/>
      <c r="B199" s="344" t="s">
        <v>804</v>
      </c>
      <c r="C199" s="322"/>
      <c r="D199" s="306">
        <f>IF(ISNA(VLOOKUP($B199,IS明細!B:D,3,0)),0,VLOOKUP($B199,IS明細!B:D,3,0))</f>
        <v>1610</v>
      </c>
      <c r="E199" s="306">
        <f>IF(ISNA(VLOOKUP($B199,IS明細!$B:F,5,0)),0,VLOOKUP($B199,IS明細!$B:F,5,0))</f>
        <v>1610</v>
      </c>
      <c r="F199" s="306">
        <f>IF(ISNA(VLOOKUP($B199,IS明細!$B:H,7,0)),0,VLOOKUP($B199,IS明細!$B:H,7,0))</f>
        <v>1610</v>
      </c>
      <c r="G199" s="306">
        <f>IF(ISNA(VLOOKUP($B199,IS明細!$B:J,9,0)),0,VLOOKUP($B199,IS明細!$B:J,9,0))</f>
        <v>1610</v>
      </c>
      <c r="H199" s="306">
        <f>IF(ISNA(VLOOKUP($B199,IS明細!$B:L,11,0)),0,VLOOKUP($B199,IS明細!$B:L,11,0))</f>
        <v>1610</v>
      </c>
      <c r="I199" s="306">
        <f>IF(ISNA(VLOOKUP($B199,IS明細!$B:N,13,0)),0,VLOOKUP($B199,IS明細!$B:N,13,0))</f>
        <v>1610</v>
      </c>
      <c r="J199" s="306">
        <f>IF(ISNA(VLOOKUP($B199,IS明細!$B:P,15,0)),0,VLOOKUP($B199,IS明細!$B:P,15,0))</f>
        <v>1610</v>
      </c>
      <c r="K199" s="306">
        <f>IF(ISNA(VLOOKUP($B199,IS明細!$B:R,17,0)),0,VLOOKUP($B199,IS明細!$B:R,17,0))</f>
        <v>1610</v>
      </c>
      <c r="L199" s="306">
        <f>IF(ISNA(VLOOKUP($B199,IS明細!$B:T,19,0)),0,VLOOKUP($B199,IS明細!$B:T,19,0))</f>
        <v>0</v>
      </c>
      <c r="M199" s="306">
        <f>IF(ISNA(VLOOKUP($B199,IS明細!$B:V,21,0)),0,VLOOKUP($B199,IS明細!$B:V,21,0))</f>
        <v>0</v>
      </c>
      <c r="N199" s="306">
        <f>IF(ISNA(VLOOKUP($B199,IS明細!$B:X,23,0)),0,VLOOKUP($B199,IS明細!$B:X,23,0))</f>
        <v>0</v>
      </c>
      <c r="O199" s="306">
        <f>IF(ISNA(VLOOKUP($B199,IS明細!$B:Z,25,0)),0,VLOOKUP($B199,IS明細!$B:Z,25,0))</f>
        <v>0</v>
      </c>
      <c r="P199" s="306">
        <f t="shared" si="7"/>
        <v>12880</v>
      </c>
      <c r="Q199" s="337">
        <f t="shared" si="8"/>
        <v>2.2716539971837663E-5</v>
      </c>
      <c r="R199" s="321"/>
    </row>
    <row r="200" spans="1:18" ht="18" hidden="1" customHeight="1" outlineLevel="1">
      <c r="A200" s="344"/>
      <c r="B200" s="305" t="s">
        <v>805</v>
      </c>
      <c r="C200" s="322"/>
      <c r="D200" s="306">
        <f>IF(ISNA(VLOOKUP($B200,IS明細!B:D,3,0)),0,VLOOKUP($B200,IS明細!B:D,3,0))</f>
        <v>6187</v>
      </c>
      <c r="E200" s="306">
        <f>IF(ISNA(VLOOKUP($B200,IS明細!$B:F,5,0)),0,VLOOKUP($B200,IS明細!$B:F,5,0))</f>
        <v>4631</v>
      </c>
      <c r="F200" s="306">
        <f>IF(ISNA(VLOOKUP($B200,IS明細!$B:H,7,0)),0,VLOOKUP($B200,IS明細!$B:H,7,0))</f>
        <v>653</v>
      </c>
      <c r="G200" s="306">
        <f>IF(ISNA(VLOOKUP($B200,IS明細!$B:J,9,0)),0,VLOOKUP($B200,IS明細!$B:J,9,0))</f>
        <v>5037</v>
      </c>
      <c r="H200" s="306">
        <f>IF(ISNA(VLOOKUP($B200,IS明細!$B:L,11,0)),0,VLOOKUP($B200,IS明細!$B:L,11,0))</f>
        <v>0</v>
      </c>
      <c r="I200" s="306">
        <f>IF(ISNA(VLOOKUP($B200,IS明細!$B:N,13,0)),0,VLOOKUP($B200,IS明細!$B:N,13,0))</f>
        <v>3300</v>
      </c>
      <c r="J200" s="306">
        <f>IF(ISNA(VLOOKUP($B200,IS明細!$B:P,15,0)),0,VLOOKUP($B200,IS明細!$B:P,15,0))</f>
        <v>2650</v>
      </c>
      <c r="K200" s="306">
        <f>IF(ISNA(VLOOKUP($B200,IS明細!$B:R,17,0)),0,VLOOKUP($B200,IS明細!$B:R,17,0))</f>
        <v>9291</v>
      </c>
      <c r="L200" s="306">
        <f>IF(ISNA(VLOOKUP($B200,IS明細!$B:T,19,0)),0,VLOOKUP($B200,IS明細!$B:T,19,0))</f>
        <v>0</v>
      </c>
      <c r="M200" s="306">
        <f>IF(ISNA(VLOOKUP($B200,IS明細!$B:V,21,0)),0,VLOOKUP($B200,IS明細!$B:V,21,0))</f>
        <v>0</v>
      </c>
      <c r="N200" s="306">
        <f>IF(ISNA(VLOOKUP($B200,IS明細!$B:X,23,0)),0,VLOOKUP($B200,IS明細!$B:X,23,0))</f>
        <v>0</v>
      </c>
      <c r="O200" s="306">
        <f>IF(ISNA(VLOOKUP($B200,IS明細!$B:Z,25,0)),0,VLOOKUP($B200,IS明細!$B:Z,25,0))</f>
        <v>0</v>
      </c>
      <c r="P200" s="306">
        <f t="shared" ref="P200:P263" si="9">SUM(D200:O200)</f>
        <v>31749</v>
      </c>
      <c r="Q200" s="337">
        <f t="shared" si="8"/>
        <v>5.5995918289275927E-5</v>
      </c>
      <c r="R200" s="321"/>
    </row>
    <row r="201" spans="1:18" ht="18" hidden="1" customHeight="1" outlineLevel="1">
      <c r="A201" s="344"/>
      <c r="B201" s="344" t="s">
        <v>806</v>
      </c>
      <c r="C201" s="322"/>
      <c r="D201" s="306">
        <f>IF(ISNA(VLOOKUP($B201,IS明細!B:D,3,0)),0,VLOOKUP($B201,IS明細!B:D,3,0))</f>
        <v>329745</v>
      </c>
      <c r="E201" s="306">
        <f>IF(ISNA(VLOOKUP($B201,IS明細!$B:F,5,0)),0,VLOOKUP($B201,IS明細!$B:F,5,0))</f>
        <v>23706</v>
      </c>
      <c r="F201" s="306">
        <f>IF(ISNA(VLOOKUP($B201,IS明細!$B:H,7,0)),0,VLOOKUP($B201,IS明細!$B:H,7,0))</f>
        <v>327763</v>
      </c>
      <c r="G201" s="306">
        <f>IF(ISNA(VLOOKUP($B201,IS明細!$B:J,9,0)),0,VLOOKUP($B201,IS明細!$B:J,9,0))</f>
        <v>349638</v>
      </c>
      <c r="H201" s="306">
        <f>IF(ISNA(VLOOKUP($B201,IS明細!$B:L,11,0)),0,VLOOKUP($B201,IS明細!$B:L,11,0))</f>
        <v>336499</v>
      </c>
      <c r="I201" s="306">
        <f>IF(ISNA(VLOOKUP($B201,IS明細!$B:N,13,0)),0,VLOOKUP($B201,IS明細!$B:N,13,0))</f>
        <v>386187</v>
      </c>
      <c r="J201" s="306">
        <f>IF(ISNA(VLOOKUP($B201,IS明細!$B:P,15,0)),0,VLOOKUP($B201,IS明細!$B:P,15,0))</f>
        <v>417799</v>
      </c>
      <c r="K201" s="306">
        <f>IF(ISNA(VLOOKUP($B201,IS明細!$B:R,17,0)),0,VLOOKUP($B201,IS明細!$B:R,17,0))</f>
        <v>263766</v>
      </c>
      <c r="L201" s="306">
        <f>IF(ISNA(VLOOKUP($B201,IS明細!$B:T,19,0)),0,VLOOKUP($B201,IS明細!$B:T,19,0))</f>
        <v>0</v>
      </c>
      <c r="M201" s="306">
        <f>IF(ISNA(VLOOKUP($B201,IS明細!$B:V,21,0)),0,VLOOKUP($B201,IS明細!$B:V,21,0))</f>
        <v>0</v>
      </c>
      <c r="N201" s="306">
        <f>IF(ISNA(VLOOKUP($B201,IS明細!$B:X,23,0)),0,VLOOKUP($B201,IS明細!$B:X,23,0))</f>
        <v>0</v>
      </c>
      <c r="O201" s="306">
        <f>IF(ISNA(VLOOKUP($B201,IS明細!$B:Z,25,0)),0,VLOOKUP($B201,IS明細!$B:Z,25,0))</f>
        <v>0</v>
      </c>
      <c r="P201" s="306">
        <f t="shared" si="9"/>
        <v>2435103</v>
      </c>
      <c r="Q201" s="337">
        <f t="shared" si="8"/>
        <v>4.2948070368821279E-3</v>
      </c>
      <c r="R201" s="321"/>
    </row>
    <row r="202" spans="1:18" ht="18" hidden="1" customHeight="1" outlineLevel="1">
      <c r="A202" s="344"/>
      <c r="B202" s="344" t="s">
        <v>807</v>
      </c>
      <c r="C202" s="322"/>
      <c r="D202" s="306">
        <f>IF(ISNA(VLOOKUP($B202,IS明細!B:D,3,0)),0,VLOOKUP($B202,IS明細!B:D,3,0))</f>
        <v>0</v>
      </c>
      <c r="E202" s="306">
        <f>IF(ISNA(VLOOKUP($B202,IS明細!$B:F,5,0)),0,VLOOKUP($B202,IS明細!$B:F,5,0))</f>
        <v>760</v>
      </c>
      <c r="F202" s="306">
        <f>IF(ISNA(VLOOKUP($B202,IS明細!$B:H,7,0)),0,VLOOKUP($B202,IS明細!$B:H,7,0))</f>
        <v>25108</v>
      </c>
      <c r="G202" s="306">
        <f>IF(ISNA(VLOOKUP($B202,IS明細!$B:J,9,0)),0,VLOOKUP($B202,IS明細!$B:J,9,0))</f>
        <v>1500</v>
      </c>
      <c r="H202" s="306">
        <f>IF(ISNA(VLOOKUP($B202,IS明細!$B:L,11,0)),0,VLOOKUP($B202,IS明細!$B:L,11,0))</f>
        <v>23691</v>
      </c>
      <c r="I202" s="306">
        <f>IF(ISNA(VLOOKUP($B202,IS明細!$B:N,13,0)),0,VLOOKUP($B202,IS明細!$B:N,13,0))</f>
        <v>0</v>
      </c>
      <c r="J202" s="306">
        <f>IF(ISNA(VLOOKUP($B202,IS明細!$B:P,15,0)),0,VLOOKUP($B202,IS明細!$B:P,15,0))</f>
        <v>3901</v>
      </c>
      <c r="K202" s="306">
        <f>IF(ISNA(VLOOKUP($B202,IS明細!$B:R,17,0)),0,VLOOKUP($B202,IS明細!$B:R,17,0))</f>
        <v>0</v>
      </c>
      <c r="L202" s="306">
        <f>IF(ISNA(VLOOKUP($B202,IS明細!$B:T,19,0)),0,VLOOKUP($B202,IS明細!$B:T,19,0))</f>
        <v>0</v>
      </c>
      <c r="M202" s="306">
        <f>IF(ISNA(VLOOKUP($B202,IS明細!$B:V,21,0)),0,VLOOKUP($B202,IS明細!$B:V,21,0))</f>
        <v>0</v>
      </c>
      <c r="N202" s="306">
        <f>IF(ISNA(VLOOKUP($B202,IS明細!$B:X,23,0)),0,VLOOKUP($B202,IS明細!$B:X,23,0))</f>
        <v>0</v>
      </c>
      <c r="O202" s="306">
        <f>IF(ISNA(VLOOKUP($B202,IS明細!$B:Z,25,0)),0,VLOOKUP($B202,IS明細!$B:Z,25,0))</f>
        <v>0</v>
      </c>
      <c r="P202" s="306">
        <f t="shared" si="9"/>
        <v>54960</v>
      </c>
      <c r="Q202" s="337">
        <f t="shared" ref="Q202:Q263" si="10">P202/$P$8</f>
        <v>9.6933310314611641E-5</v>
      </c>
      <c r="R202" s="321"/>
    </row>
    <row r="203" spans="1:18" ht="18" hidden="1" customHeight="1" outlineLevel="1">
      <c r="A203" s="344"/>
      <c r="B203" s="344" t="s">
        <v>808</v>
      </c>
      <c r="C203" s="322"/>
      <c r="D203" s="306">
        <f>IF(ISNA(VLOOKUP($B203,IS明細!B:D,3,0)),0,VLOOKUP($B203,IS明細!B:D,3,0))</f>
        <v>0</v>
      </c>
      <c r="E203" s="306">
        <f>IF(ISNA(VLOOKUP($B203,IS明細!$B:F,5,0)),0,VLOOKUP($B203,IS明細!$B:F,5,0))</f>
        <v>0</v>
      </c>
      <c r="F203" s="306">
        <f>IF(ISNA(VLOOKUP($B203,IS明細!$B:H,7,0)),0,VLOOKUP($B203,IS明細!$B:H,7,0))</f>
        <v>0</v>
      </c>
      <c r="G203" s="306">
        <f>IF(ISNA(VLOOKUP($B203,IS明細!$B:J,9,0)),0,VLOOKUP($B203,IS明細!$B:J,9,0))</f>
        <v>0</v>
      </c>
      <c r="H203" s="306">
        <f>IF(ISNA(VLOOKUP($B203,IS明細!$B:L,11,0)),0,VLOOKUP($B203,IS明細!$B:L,11,0))</f>
        <v>0</v>
      </c>
      <c r="I203" s="306">
        <f>IF(ISNA(VLOOKUP($B203,IS明細!$B:N,13,0)),0,VLOOKUP($B203,IS明細!$B:N,13,0))</f>
        <v>0</v>
      </c>
      <c r="J203" s="306">
        <f>IF(ISNA(VLOOKUP($B203,IS明細!$B:P,15,0)),0,VLOOKUP($B203,IS明細!$B:P,15,0))</f>
        <v>0</v>
      </c>
      <c r="K203" s="306">
        <f>IF(ISNA(VLOOKUP($B203,IS明細!$B:R,17,0)),0,VLOOKUP($B203,IS明細!$B:R,17,0))</f>
        <v>0</v>
      </c>
      <c r="L203" s="306">
        <f>IF(ISNA(VLOOKUP($B203,IS明細!$B:T,19,0)),0,VLOOKUP($B203,IS明細!$B:T,19,0))</f>
        <v>0</v>
      </c>
      <c r="M203" s="306">
        <f>IF(ISNA(VLOOKUP($B203,IS明細!$B:V,21,0)),0,VLOOKUP($B203,IS明細!$B:V,21,0))</f>
        <v>0</v>
      </c>
      <c r="N203" s="306">
        <f>IF(ISNA(VLOOKUP($B203,IS明細!$B:X,23,0)),0,VLOOKUP($B203,IS明細!$B:X,23,0))</f>
        <v>0</v>
      </c>
      <c r="O203" s="306">
        <f>IF(ISNA(VLOOKUP($B203,IS明細!$B:Z,25,0)),0,VLOOKUP($B203,IS明細!$B:Z,25,0))</f>
        <v>0</v>
      </c>
      <c r="P203" s="306">
        <f t="shared" si="9"/>
        <v>0</v>
      </c>
      <c r="Q203" s="337">
        <f t="shared" si="10"/>
        <v>0</v>
      </c>
      <c r="R203" s="321"/>
    </row>
    <row r="204" spans="1:18" ht="18" hidden="1" customHeight="1" outlineLevel="1">
      <c r="A204" s="344"/>
      <c r="B204" s="344" t="s">
        <v>809</v>
      </c>
      <c r="C204" s="322"/>
      <c r="D204" s="306">
        <f>IF(ISNA(VLOOKUP($B204,IS明細!B:D,3,0)),0,VLOOKUP($B204,IS明細!B:D,3,0))</f>
        <v>0</v>
      </c>
      <c r="E204" s="306">
        <f>IF(ISNA(VLOOKUP($B204,IS明細!$B:F,5,0)),0,VLOOKUP($B204,IS明細!$B:F,5,0))</f>
        <v>18000</v>
      </c>
      <c r="F204" s="306">
        <f>IF(ISNA(VLOOKUP($B204,IS明細!$B:H,7,0)),0,VLOOKUP($B204,IS明細!$B:H,7,0))</f>
        <v>60000</v>
      </c>
      <c r="G204" s="306">
        <f>IF(ISNA(VLOOKUP($B204,IS明細!$B:J,9,0)),0,VLOOKUP($B204,IS明細!$B:J,9,0))</f>
        <v>0</v>
      </c>
      <c r="H204" s="306">
        <f>IF(ISNA(VLOOKUP($B204,IS明細!$B:L,11,0)),0,VLOOKUP($B204,IS明細!$B:L,11,0))</f>
        <v>2000</v>
      </c>
      <c r="I204" s="306">
        <f>IF(ISNA(VLOOKUP($B204,IS明細!$B:N,13,0)),0,VLOOKUP($B204,IS明細!$B:N,13,0))</f>
        <v>23200</v>
      </c>
      <c r="J204" s="306">
        <f>IF(ISNA(VLOOKUP($B204,IS明細!$B:P,15,0)),0,VLOOKUP($B204,IS明細!$B:P,15,0))</f>
        <v>18000</v>
      </c>
      <c r="K204" s="306">
        <f>IF(ISNA(VLOOKUP($B204,IS明細!$B:R,17,0)),0,VLOOKUP($B204,IS明細!$B:R,17,0))</f>
        <v>0</v>
      </c>
      <c r="L204" s="306">
        <f>IF(ISNA(VLOOKUP($B204,IS明細!$B:T,19,0)),0,VLOOKUP($B204,IS明細!$B:T,19,0))</f>
        <v>0</v>
      </c>
      <c r="M204" s="306">
        <f>IF(ISNA(VLOOKUP($B204,IS明細!$B:V,21,0)),0,VLOOKUP($B204,IS明細!$B:V,21,0))</f>
        <v>0</v>
      </c>
      <c r="N204" s="306">
        <f>IF(ISNA(VLOOKUP($B204,IS明細!$B:X,23,0)),0,VLOOKUP($B204,IS明細!$B:X,23,0))</f>
        <v>0</v>
      </c>
      <c r="O204" s="306">
        <f>IF(ISNA(VLOOKUP($B204,IS明細!$B:Z,25,0)),0,VLOOKUP($B204,IS明細!$B:Z,25,0))</f>
        <v>0</v>
      </c>
      <c r="P204" s="306">
        <f t="shared" si="9"/>
        <v>121200</v>
      </c>
      <c r="Q204" s="337">
        <f t="shared" si="10"/>
        <v>2.1376123016977677E-4</v>
      </c>
      <c r="R204" s="321"/>
    </row>
    <row r="205" spans="1:18" ht="18" hidden="1" customHeight="1" outlineLevel="1">
      <c r="A205" s="344"/>
      <c r="B205" s="344" t="s">
        <v>810</v>
      </c>
      <c r="C205" s="322"/>
      <c r="D205" s="306">
        <f>IF(ISNA(VLOOKUP($B205,IS明細!B:D,3,0)),0,VLOOKUP($B205,IS明細!B:D,3,0))</f>
        <v>-182393</v>
      </c>
      <c r="E205" s="306">
        <f>IF(ISNA(VLOOKUP($B205,IS明細!$B:F,5,0)),0,VLOOKUP($B205,IS明細!$B:F,5,0))</f>
        <v>78687</v>
      </c>
      <c r="F205" s="306">
        <f>IF(ISNA(VLOOKUP($B205,IS明細!$B:H,7,0)),0,VLOOKUP($B205,IS明細!$B:H,7,0))</f>
        <v>81631</v>
      </c>
      <c r="G205" s="306">
        <f>IF(ISNA(VLOOKUP($B205,IS明細!$B:J,9,0)),0,VLOOKUP($B205,IS明細!$B:J,9,0))</f>
        <v>107149</v>
      </c>
      <c r="H205" s="306">
        <f>IF(ISNA(VLOOKUP($B205,IS明細!$B:L,11,0)),0,VLOOKUP($B205,IS明細!$B:L,11,0))</f>
        <v>187925</v>
      </c>
      <c r="I205" s="306">
        <f>IF(ISNA(VLOOKUP($B205,IS明細!$B:N,13,0)),0,VLOOKUP($B205,IS明細!$B:N,13,0))</f>
        <v>100326</v>
      </c>
      <c r="J205" s="306">
        <f>IF(ISNA(VLOOKUP($B205,IS明細!$B:P,15,0)),0,VLOOKUP($B205,IS明細!$B:P,15,0))</f>
        <v>212709</v>
      </c>
      <c r="K205" s="306">
        <f>IF(ISNA(VLOOKUP($B205,IS明細!$B:R,17,0)),0,VLOOKUP($B205,IS明細!$B:R,17,0))</f>
        <v>97949</v>
      </c>
      <c r="L205" s="306">
        <f>IF(ISNA(VLOOKUP($B205,IS明細!$B:T,19,0)),0,VLOOKUP($B205,IS明細!$B:T,19,0))</f>
        <v>0</v>
      </c>
      <c r="M205" s="306">
        <f>IF(ISNA(VLOOKUP($B205,IS明細!$B:V,21,0)),0,VLOOKUP($B205,IS明細!$B:V,21,0))</f>
        <v>0</v>
      </c>
      <c r="N205" s="306">
        <f>IF(ISNA(VLOOKUP($B205,IS明細!$B:X,23,0)),0,VLOOKUP($B205,IS明細!$B:X,23,0))</f>
        <v>0</v>
      </c>
      <c r="O205" s="306">
        <f>IF(ISNA(VLOOKUP($B205,IS明細!$B:Z,25,0)),0,VLOOKUP($B205,IS明細!$B:Z,25,0))</f>
        <v>0</v>
      </c>
      <c r="P205" s="306">
        <f t="shared" si="9"/>
        <v>683983</v>
      </c>
      <c r="Q205" s="337">
        <f t="shared" si="10"/>
        <v>1.2063452763631554E-3</v>
      </c>
      <c r="R205" s="321"/>
    </row>
    <row r="206" spans="1:18" ht="18" hidden="1" customHeight="1" outlineLevel="1">
      <c r="A206" s="344"/>
      <c r="B206" s="344" t="s">
        <v>811</v>
      </c>
      <c r="C206" s="322"/>
      <c r="D206" s="306">
        <f>IF(ISNA(VLOOKUP($B206,IS明細!B:D,3,0)),0,VLOOKUP($B206,IS明細!B:D,3,0))</f>
        <v>191082</v>
      </c>
      <c r="E206" s="306">
        <f>IF(ISNA(VLOOKUP($B206,IS明細!$B:F,5,0)),0,VLOOKUP($B206,IS明細!$B:F,5,0))</f>
        <v>126677</v>
      </c>
      <c r="F206" s="306">
        <f>IF(ISNA(VLOOKUP($B206,IS明細!$B:H,7,0)),0,VLOOKUP($B206,IS明細!$B:H,7,0))</f>
        <v>103703</v>
      </c>
      <c r="G206" s="306">
        <f>IF(ISNA(VLOOKUP($B206,IS明細!$B:J,9,0)),0,VLOOKUP($B206,IS明細!$B:J,9,0))</f>
        <v>125992</v>
      </c>
      <c r="H206" s="306">
        <f>IF(ISNA(VLOOKUP($B206,IS明細!$B:L,11,0)),0,VLOOKUP($B206,IS明細!$B:L,11,0))</f>
        <v>105690</v>
      </c>
      <c r="I206" s="306">
        <f>IF(ISNA(VLOOKUP($B206,IS明細!$B:N,13,0)),0,VLOOKUP($B206,IS明細!$B:N,13,0))</f>
        <v>147063</v>
      </c>
      <c r="J206" s="306">
        <f>IF(ISNA(VLOOKUP($B206,IS明細!$B:P,15,0)),0,VLOOKUP($B206,IS明細!$B:P,15,0))</f>
        <v>134457</v>
      </c>
      <c r="K206" s="306">
        <f>IF(ISNA(VLOOKUP($B206,IS明細!$B:R,17,0)),0,VLOOKUP($B206,IS明細!$B:R,17,0))</f>
        <v>118923</v>
      </c>
      <c r="L206" s="306">
        <f>IF(ISNA(VLOOKUP($B206,IS明細!$B:T,19,0)),0,VLOOKUP($B206,IS明細!$B:T,19,0))</f>
        <v>0</v>
      </c>
      <c r="M206" s="306">
        <f>IF(ISNA(VLOOKUP($B206,IS明細!$B:V,21,0)),0,VLOOKUP($B206,IS明細!$B:V,21,0))</f>
        <v>0</v>
      </c>
      <c r="N206" s="306">
        <f>IF(ISNA(VLOOKUP($B206,IS明細!$B:X,23,0)),0,VLOOKUP($B206,IS明細!$B:X,23,0))</f>
        <v>0</v>
      </c>
      <c r="O206" s="306">
        <f>IF(ISNA(VLOOKUP($B206,IS明細!$B:Z,25,0)),0,VLOOKUP($B206,IS明細!$B:Z,25,0))</f>
        <v>0</v>
      </c>
      <c r="P206" s="306">
        <f t="shared" si="9"/>
        <v>1053587</v>
      </c>
      <c r="Q206" s="337">
        <f t="shared" si="10"/>
        <v>1.8582182608158795E-3</v>
      </c>
      <c r="R206" s="321"/>
    </row>
    <row r="207" spans="1:18" ht="18" hidden="1" customHeight="1" outlineLevel="1">
      <c r="A207" s="344"/>
      <c r="B207" s="344" t="s">
        <v>812</v>
      </c>
      <c r="C207" s="322"/>
      <c r="D207" s="306">
        <f>IF(ISNA(VLOOKUP($B207,IS明細!B:D,3,0)),0,VLOOKUP($B207,IS明細!B:D,3,0))</f>
        <v>4500</v>
      </c>
      <c r="E207" s="306">
        <f>IF(ISNA(VLOOKUP($B207,IS明細!$B:F,5,0)),0,VLOOKUP($B207,IS明細!$B:F,5,0))</f>
        <v>12500</v>
      </c>
      <c r="F207" s="306">
        <f>IF(ISNA(VLOOKUP($B207,IS明細!$B:H,7,0)),0,VLOOKUP($B207,IS明細!$B:H,7,0))</f>
        <v>22200</v>
      </c>
      <c r="G207" s="306">
        <f>IF(ISNA(VLOOKUP($B207,IS明細!$B:J,9,0)),0,VLOOKUP($B207,IS明細!$B:J,9,0))</f>
        <v>38500</v>
      </c>
      <c r="H207" s="306">
        <f>IF(ISNA(VLOOKUP($B207,IS明細!$B:L,11,0)),0,VLOOKUP($B207,IS明細!$B:L,11,0))</f>
        <v>0</v>
      </c>
      <c r="I207" s="306">
        <f>IF(ISNA(VLOOKUP($B207,IS明細!$B:N,13,0)),0,VLOOKUP($B207,IS明細!$B:N,13,0))</f>
        <v>80000</v>
      </c>
      <c r="J207" s="306">
        <f>IF(ISNA(VLOOKUP($B207,IS明細!$B:P,15,0)),0,VLOOKUP($B207,IS明細!$B:P,15,0))</f>
        <v>0</v>
      </c>
      <c r="K207" s="306">
        <f>IF(ISNA(VLOOKUP($B207,IS明細!$B:R,17,0)),0,VLOOKUP($B207,IS明細!$B:R,17,0))</f>
        <v>20000</v>
      </c>
      <c r="L207" s="306">
        <f>IF(ISNA(VLOOKUP($B207,IS明細!$B:T,19,0)),0,VLOOKUP($B207,IS明細!$B:T,19,0))</f>
        <v>0</v>
      </c>
      <c r="M207" s="306">
        <f>IF(ISNA(VLOOKUP($B207,IS明細!$B:V,21,0)),0,VLOOKUP($B207,IS明細!$B:V,21,0))</f>
        <v>0</v>
      </c>
      <c r="N207" s="306">
        <f>IF(ISNA(VLOOKUP($B207,IS明細!$B:X,23,0)),0,VLOOKUP($B207,IS明細!$B:X,23,0))</f>
        <v>0</v>
      </c>
      <c r="O207" s="306">
        <f>IF(ISNA(VLOOKUP($B207,IS明細!$B:Z,25,0)),0,VLOOKUP($B207,IS明細!$B:Z,25,0))</f>
        <v>0</v>
      </c>
      <c r="P207" s="306">
        <f t="shared" si="9"/>
        <v>177700</v>
      </c>
      <c r="Q207" s="337">
        <f t="shared" si="10"/>
        <v>3.1341064852449943E-4</v>
      </c>
      <c r="R207" s="321"/>
    </row>
    <row r="208" spans="1:18" ht="18" hidden="1" customHeight="1" outlineLevel="1">
      <c r="A208" s="344"/>
      <c r="B208" s="344" t="s">
        <v>813</v>
      </c>
      <c r="C208" s="322"/>
      <c r="D208" s="306">
        <f>IF(ISNA(VLOOKUP($B208,IS明細!B:D,3,0)),0,VLOOKUP($B208,IS明細!B:D,3,0))</f>
        <v>316556</v>
      </c>
      <c r="E208" s="306">
        <f>IF(ISNA(VLOOKUP($B208,IS明細!$B:F,5,0)),0,VLOOKUP($B208,IS明細!$B:F,5,0))</f>
        <v>-212918</v>
      </c>
      <c r="F208" s="306">
        <f>IF(ISNA(VLOOKUP($B208,IS明細!$B:H,7,0)),0,VLOOKUP($B208,IS明細!$B:H,7,0))</f>
        <v>35121</v>
      </c>
      <c r="G208" s="306">
        <f>IF(ISNA(VLOOKUP($B208,IS明細!$B:J,9,0)),0,VLOOKUP($B208,IS明細!$B:J,9,0))</f>
        <v>76497</v>
      </c>
      <c r="H208" s="306">
        <f>IF(ISNA(VLOOKUP($B208,IS明細!$B:L,11,0)),0,VLOOKUP($B208,IS明細!$B:L,11,0))</f>
        <v>17193</v>
      </c>
      <c r="I208" s="306">
        <f>IF(ISNA(VLOOKUP($B208,IS明細!$B:N,13,0)),0,VLOOKUP($B208,IS明細!$B:N,13,0))</f>
        <v>35598</v>
      </c>
      <c r="J208" s="306">
        <f>IF(ISNA(VLOOKUP($B208,IS明細!$B:P,15,0)),0,VLOOKUP($B208,IS明細!$B:P,15,0))</f>
        <v>48732</v>
      </c>
      <c r="K208" s="306">
        <f>IF(ISNA(VLOOKUP($B208,IS明細!$B:R,17,0)),0,VLOOKUP($B208,IS明細!$B:R,17,0))</f>
        <v>26894</v>
      </c>
      <c r="L208" s="306">
        <f>IF(ISNA(VLOOKUP($B208,IS明細!$B:T,19,0)),0,VLOOKUP($B208,IS明細!$B:T,19,0))</f>
        <v>0</v>
      </c>
      <c r="M208" s="306">
        <f>IF(ISNA(VLOOKUP($B208,IS明細!$B:V,21,0)),0,VLOOKUP($B208,IS明細!$B:V,21,0))</f>
        <v>0</v>
      </c>
      <c r="N208" s="306">
        <f>IF(ISNA(VLOOKUP($B208,IS明細!$B:X,23,0)),0,VLOOKUP($B208,IS明細!$B:X,23,0))</f>
        <v>0</v>
      </c>
      <c r="O208" s="306">
        <f>IF(ISNA(VLOOKUP($B208,IS明細!$B:Z,25,0)),0,VLOOKUP($B208,IS明細!$B:Z,25,0))</f>
        <v>0</v>
      </c>
      <c r="P208" s="306">
        <f t="shared" si="9"/>
        <v>343673</v>
      </c>
      <c r="Q208" s="337">
        <f t="shared" si="10"/>
        <v>6.0613831069420538E-4</v>
      </c>
      <c r="R208" s="321"/>
    </row>
    <row r="209" spans="1:18" ht="21" customHeight="1" collapsed="1">
      <c r="A209" s="347"/>
      <c r="B209" s="347" t="s">
        <v>814</v>
      </c>
      <c r="C209" s="348"/>
      <c r="D209" s="306">
        <f>IF(ISNA(VLOOKUP($B209,IS明細!B:D,3,0)),0,VLOOKUP($B209,IS明細!B:D,3,0))</f>
        <v>2937856</v>
      </c>
      <c r="E209" s="306">
        <f>IF(ISNA(VLOOKUP($B209,IS明細!$B:F,5,0)),0,VLOOKUP($B209,IS明細!$B:F,5,0))</f>
        <v>2632242</v>
      </c>
      <c r="F209" s="306">
        <f>IF(ISNA(VLOOKUP($B209,IS明細!$B:H,7,0)),0,VLOOKUP($B209,IS明細!$B:H,7,0))</f>
        <v>3208223</v>
      </c>
      <c r="G209" s="306">
        <f>IF(ISNA(VLOOKUP($B209,IS明細!$B:J,9,0)),0,VLOOKUP($B209,IS明細!$B:J,9,0))</f>
        <v>3367941</v>
      </c>
      <c r="H209" s="306">
        <f>IF(ISNA(VLOOKUP($B209,IS明細!$B:L,11,0)),0,VLOOKUP($B209,IS明細!$B:L,11,0))</f>
        <v>2995265</v>
      </c>
      <c r="I209" s="306">
        <f>IF(ISNA(VLOOKUP($B209,IS明細!$B:N,13,0)),0,VLOOKUP($B209,IS明細!$B:N,13,0))</f>
        <v>3153532</v>
      </c>
      <c r="J209" s="306">
        <f>IF(ISNA(VLOOKUP($B209,IS明細!$B:P,15,0)),0,VLOOKUP($B209,IS明細!$B:P,15,0))</f>
        <v>3165352</v>
      </c>
      <c r="K209" s="306">
        <f>IF(ISNA(VLOOKUP($B209,IS明細!$B:R,17,0)),0,VLOOKUP($B209,IS明細!$B:R,17,0))</f>
        <v>3319491</v>
      </c>
      <c r="L209" s="306">
        <f>IF(ISNA(VLOOKUP($B209,IS明細!$B:T,19,0)),0,VLOOKUP($B209,IS明細!$B:T,19,0))</f>
        <v>0</v>
      </c>
      <c r="M209" s="306">
        <f>IF(ISNA(VLOOKUP($B209,IS明細!$B:V,21,0)),0,VLOOKUP($B209,IS明細!$B:V,21,0))</f>
        <v>0</v>
      </c>
      <c r="N209" s="306">
        <f>IF(ISNA(VLOOKUP($B209,IS明細!$B:X,23,0)),0,VLOOKUP($B209,IS明細!$B:X,23,0))</f>
        <v>0</v>
      </c>
      <c r="O209" s="306">
        <f>IF(ISNA(VLOOKUP($B209,IS明細!$B:Z,25,0)),0,VLOOKUP($B209,IS明細!$B:Z,25,0))</f>
        <v>0</v>
      </c>
      <c r="P209" s="306">
        <f t="shared" si="9"/>
        <v>24779902</v>
      </c>
      <c r="Q209" s="349">
        <f>P209/$P$21</f>
        <v>4.3814691053638236E-2</v>
      </c>
      <c r="R209" s="356"/>
    </row>
    <row r="210" spans="1:18" ht="21" customHeight="1">
      <c r="A210" s="357" t="s">
        <v>815</v>
      </c>
      <c r="B210" s="357"/>
      <c r="C210" s="358"/>
      <c r="D210" s="359">
        <f>IF(ISNA(VLOOKUP($A210,IS明細!$A:D,4,0)),0,VLOOKUP($A210,IS明細!$A:D,4,0))</f>
        <v>7375802</v>
      </c>
      <c r="E210" s="359">
        <f>IF(ISNA(VLOOKUP($A210,IS明細!$A:F,6,0)),0,VLOOKUP($A210,IS明細!$A:F,6,0))</f>
        <v>7742695</v>
      </c>
      <c r="F210" s="359">
        <f>IF(ISNA(VLOOKUP($A210,IS明細!$A:H,8,0)),0,VLOOKUP($A210,IS明細!$A:H,8,0))</f>
        <v>7155849</v>
      </c>
      <c r="G210" s="359">
        <f>IF(ISNA(VLOOKUP($A210,IS明細!$A:J,10,0)),0,VLOOKUP($A210,IS明細!$A:J,10,0))</f>
        <v>7967607</v>
      </c>
      <c r="H210" s="359">
        <f>IF(ISNA(VLOOKUP($A210,IS明細!$A:L,12,0)),0,VLOOKUP($A210,IS明細!$A:L,12,0))</f>
        <v>7765935</v>
      </c>
      <c r="I210" s="359">
        <f>IF(ISNA(VLOOKUP($A210,IS明細!$A:N,14,0)),0,VLOOKUP($A210,IS明細!$A:N,14,0))</f>
        <v>8697754</v>
      </c>
      <c r="J210" s="359">
        <f>IF(ISNA(VLOOKUP($A210,IS明細!$A:P,16,0)),0,VLOOKUP($A210,IS明細!$A:P,16,0))</f>
        <v>10358185</v>
      </c>
      <c r="K210" s="359">
        <f>IF(ISNA(VLOOKUP($A210,IS明細!$A:R,18,0)),0,VLOOKUP($A210,IS明細!$A:R,18,0))</f>
        <v>8661532</v>
      </c>
      <c r="L210" s="359">
        <f>IF(ISNA(VLOOKUP($A210,IS明細!$A:T,20,0)),0,VLOOKUP($A210,IS明細!$A:T,20,0))</f>
        <v>0</v>
      </c>
      <c r="M210" s="359">
        <f>IF(ISNA(VLOOKUP($A210,IS明細!$A:V,22,0)),0,VLOOKUP($A210,IS明細!$A:V,22,0))</f>
        <v>0</v>
      </c>
      <c r="N210" s="359">
        <f>IF(ISNA(VLOOKUP($A210,IS明細!$A:X,24,0)),0,VLOOKUP($A210,IS明細!$A:X,24,0))</f>
        <v>0</v>
      </c>
      <c r="O210" s="359">
        <f>IF(ISNA(VLOOKUP($A210,IS明細!$A:Z,26,0)),0,VLOOKUP($A210,IS明細!$A:Z,26,0))</f>
        <v>0</v>
      </c>
      <c r="P210" s="359">
        <f t="shared" si="9"/>
        <v>65725359</v>
      </c>
      <c r="Q210" s="360">
        <f>P210/$P$21</f>
        <v>0.11621257820044895</v>
      </c>
      <c r="R210" s="355" t="s">
        <v>1116</v>
      </c>
    </row>
    <row r="211" spans="1:18" ht="21" customHeight="1">
      <c r="A211" s="344" t="s">
        <v>816</v>
      </c>
      <c r="B211" s="344"/>
      <c r="C211" s="322"/>
      <c r="D211" s="306">
        <f>IF(ISNA(VLOOKUP($A211,IS明細!$A:D,4,0)),0,VLOOKUP($A211,IS明細!$A:D,4,0))</f>
        <v>-2775720</v>
      </c>
      <c r="E211" s="306">
        <f>IF(ISNA(VLOOKUP($A211,IS明細!$A:F,6,0)),0,VLOOKUP($A211,IS明細!$A:F,6,0))</f>
        <v>-6991366</v>
      </c>
      <c r="F211" s="306">
        <f>IF(ISNA(VLOOKUP($A211,IS明細!$A:H,8,0)),0,VLOOKUP($A211,IS明細!$A:H,8,0))</f>
        <v>3103719</v>
      </c>
      <c r="G211" s="306">
        <f>IF(ISNA(VLOOKUP($A211,IS明細!$A:J,10,0)),0,VLOOKUP($A211,IS明細!$A:J,10,0))</f>
        <v>-549242</v>
      </c>
      <c r="H211" s="306">
        <f>IF(ISNA(VLOOKUP($A211,IS明細!$A:L,12,0)),0,VLOOKUP($A211,IS明細!$A:L,12,0))</f>
        <v>-1423493</v>
      </c>
      <c r="I211" s="306">
        <f>IF(ISNA(VLOOKUP($A211,IS明細!$A:N,14,0)),0,VLOOKUP($A211,IS明細!$A:N,14,0))</f>
        <v>2233732</v>
      </c>
      <c r="J211" s="306">
        <f>IF(ISNA(VLOOKUP($A211,IS明細!$A:P,16,0)),0,VLOOKUP($A211,IS明細!$A:P,16,0))</f>
        <v>691351</v>
      </c>
      <c r="K211" s="306">
        <f>IF(ISNA(VLOOKUP($A211,IS明細!$A:R,18,0)),0,VLOOKUP($A211,IS明細!$A:R,18,0))</f>
        <v>2522739</v>
      </c>
      <c r="L211" s="306">
        <f>IF(ISNA(VLOOKUP($A211,IS明細!$A:T,20,0)),0,VLOOKUP($A211,IS明細!$A:T,20,0))</f>
        <v>0</v>
      </c>
      <c r="M211" s="306">
        <f>IF(ISNA(VLOOKUP($A211,IS明細!$A:V,22,0)),0,VLOOKUP($A211,IS明細!$A:V,22,0))</f>
        <v>0</v>
      </c>
      <c r="N211" s="306">
        <f>IF(ISNA(VLOOKUP($A211,IS明細!$A:X,24,0)),0,VLOOKUP($A211,IS明細!$A:X,24,0))</f>
        <v>0</v>
      </c>
      <c r="O211" s="306">
        <f>IF(ISNA(VLOOKUP($A211,IS明細!$A:Z,26,0)),0,VLOOKUP($A211,IS明細!$A:Z,26,0))</f>
        <v>0</v>
      </c>
      <c r="P211" s="306">
        <f t="shared" si="9"/>
        <v>-3188280</v>
      </c>
      <c r="Q211" s="1040">
        <f>P211/$P$21</f>
        <v>-5.6373710918022884E-3</v>
      </c>
      <c r="R211" s="321"/>
    </row>
    <row r="212" spans="1:18" ht="18" hidden="1" customHeight="1" outlineLevel="1">
      <c r="A212" s="344" t="s">
        <v>817</v>
      </c>
      <c r="B212" s="344"/>
      <c r="C212" s="322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6"/>
      <c r="O212" s="306"/>
      <c r="P212" s="306"/>
      <c r="Q212" s="361"/>
      <c r="R212" s="321"/>
    </row>
    <row r="213" spans="1:18" ht="18" hidden="1" customHeight="1" outlineLevel="1">
      <c r="A213" s="344"/>
      <c r="B213" s="344" t="s">
        <v>818</v>
      </c>
      <c r="C213" s="322"/>
      <c r="D213" s="306"/>
      <c r="E213" s="306"/>
      <c r="F213" s="306"/>
      <c r="G213" s="306"/>
      <c r="H213" s="306"/>
      <c r="I213" s="306"/>
      <c r="J213" s="306"/>
      <c r="K213" s="306"/>
      <c r="L213" s="306"/>
      <c r="M213" s="306"/>
      <c r="N213" s="306"/>
      <c r="O213" s="306"/>
      <c r="P213" s="306"/>
      <c r="Q213" s="361"/>
      <c r="R213" s="321"/>
    </row>
    <row r="214" spans="1:18" ht="18" hidden="1" customHeight="1" outlineLevel="1">
      <c r="A214" s="344"/>
      <c r="B214" s="344" t="s">
        <v>819</v>
      </c>
      <c r="C214" s="322"/>
      <c r="D214" s="306">
        <f>IF(ISNA(VLOOKUP($B214,IS明細!B:D,3,0)),0,VLOOKUP($B214,IS明細!B:D,3,0))</f>
        <v>1250</v>
      </c>
      <c r="E214" s="306">
        <f>IF(ISNA(VLOOKUP($B214,IS明細!$B:F,5,0)),0,VLOOKUP($B214,IS明細!$B:F,5,0))</f>
        <v>1250</v>
      </c>
      <c r="F214" s="306">
        <f>IF(ISNA(VLOOKUP($B214,IS明細!$B:H,7,0)),0,VLOOKUP($B214,IS明細!$B:H,7,0))</f>
        <v>1250</v>
      </c>
      <c r="G214" s="306">
        <f>IF(ISNA(VLOOKUP($B214,IS明細!$B:J,9,0)),0,VLOOKUP($B214,IS明細!$B:J,9,0))</f>
        <v>1250</v>
      </c>
      <c r="H214" s="306">
        <f>IF(ISNA(VLOOKUP($B214,IS明細!$B:L,11,0)),0,VLOOKUP($B214,IS明細!$B:L,11,0))</f>
        <v>1250</v>
      </c>
      <c r="I214" s="306">
        <f>IF(ISNA(VLOOKUP($B214,IS明細!$B:N,13,0)),0,VLOOKUP($B214,IS明細!$B:N,13,0))</f>
        <v>61835</v>
      </c>
      <c r="J214" s="306">
        <f>IF(ISNA(VLOOKUP($B214,IS明細!$B:P,15,0)),0,VLOOKUP($B214,IS明細!$B:P,15,0))</f>
        <v>1250</v>
      </c>
      <c r="K214" s="306">
        <f>IF(ISNA(VLOOKUP($B214,IS明細!$B:R,17,0)),0,VLOOKUP($B214,IS明細!$B:R,17,0))</f>
        <v>1250</v>
      </c>
      <c r="L214" s="306">
        <f>IF(ISNA(VLOOKUP($B214,IS明細!$B:T,19,0)),0,VLOOKUP($B214,IS明細!$B:T,19,0))</f>
        <v>0</v>
      </c>
      <c r="M214" s="306">
        <f>IF(ISNA(VLOOKUP($B214,IS明細!$B:V,21,0)),0,VLOOKUP($B214,IS明細!$B:V,21,0))</f>
        <v>0</v>
      </c>
      <c r="N214" s="306">
        <f>IF(ISNA(VLOOKUP($B214,IS明細!$B:X,23,0)),0,VLOOKUP($B214,IS明細!$B:X,23,0))</f>
        <v>0</v>
      </c>
      <c r="O214" s="306">
        <f>IF(ISNA(VLOOKUP($B214,IS明細!$B:Z,25,0)),0,VLOOKUP($B214,IS明細!$B:Z,25,0))</f>
        <v>0</v>
      </c>
      <c r="P214" s="306">
        <f t="shared" si="9"/>
        <v>70585</v>
      </c>
      <c r="Q214" s="337">
        <f t="shared" si="10"/>
        <v>1.2449122468262123E-4</v>
      </c>
      <c r="R214" s="321"/>
    </row>
    <row r="215" spans="1:18" ht="18" hidden="1" customHeight="1" outlineLevel="1">
      <c r="A215" s="344"/>
      <c r="B215" s="344" t="s">
        <v>820</v>
      </c>
      <c r="C215" s="322"/>
      <c r="D215" s="306">
        <f>IF(ISNA(VLOOKUP($B215,IS明細!B:D,3,0)),0,VLOOKUP($B215,IS明細!B:D,3,0))</f>
        <v>1250</v>
      </c>
      <c r="E215" s="306">
        <f>IF(ISNA(VLOOKUP($B215,IS明細!$B:F,5,0)),0,VLOOKUP($B215,IS明細!$B:F,5,0))</f>
        <v>1250</v>
      </c>
      <c r="F215" s="306">
        <f>IF(ISNA(VLOOKUP($B215,IS明細!$B:H,7,0)),0,VLOOKUP($B215,IS明細!$B:H,7,0))</f>
        <v>1250</v>
      </c>
      <c r="G215" s="306">
        <f>IF(ISNA(VLOOKUP($B215,IS明細!$B:J,9,0)),0,VLOOKUP($B215,IS明細!$B:J,9,0))</f>
        <v>1250</v>
      </c>
      <c r="H215" s="306">
        <f>IF(ISNA(VLOOKUP($B215,IS明細!$B:L,11,0)),0,VLOOKUP($B215,IS明細!$B:L,11,0))</f>
        <v>1250</v>
      </c>
      <c r="I215" s="306">
        <f>IF(ISNA(VLOOKUP($B215,IS明細!$B:N,13,0)),0,VLOOKUP($B215,IS明細!$B:N,13,0))</f>
        <v>61835</v>
      </c>
      <c r="J215" s="306">
        <f>IF(ISNA(VLOOKUP($B215,IS明細!$B:P,15,0)),0,VLOOKUP($B215,IS明細!$B:P,15,0))</f>
        <v>1250</v>
      </c>
      <c r="K215" s="306">
        <f>IF(ISNA(VLOOKUP($B215,IS明細!$B:R,17,0)),0,VLOOKUP($B215,IS明細!$B:R,17,0))</f>
        <v>1250</v>
      </c>
      <c r="L215" s="306">
        <f>IF(ISNA(VLOOKUP($B215,IS明細!$B:T,19,0)),0,VLOOKUP($B215,IS明細!$B:T,19,0))</f>
        <v>0</v>
      </c>
      <c r="M215" s="306">
        <f>IF(ISNA(VLOOKUP($B215,IS明細!$B:V,21,0)),0,VLOOKUP($B215,IS明細!$B:V,21,0))</f>
        <v>0</v>
      </c>
      <c r="N215" s="306">
        <f>IF(ISNA(VLOOKUP($B215,IS明細!$B:X,23,0)),0,VLOOKUP($B215,IS明細!$B:X,23,0))</f>
        <v>0</v>
      </c>
      <c r="O215" s="306">
        <f>IF(ISNA(VLOOKUP($B215,IS明細!$B:Z,25,0)),0,VLOOKUP($B215,IS明細!$B:Z,25,0))</f>
        <v>0</v>
      </c>
      <c r="P215" s="306">
        <f t="shared" si="9"/>
        <v>70585</v>
      </c>
      <c r="Q215" s="337">
        <f t="shared" si="10"/>
        <v>1.2449122468262123E-4</v>
      </c>
      <c r="R215" s="321"/>
    </row>
    <row r="216" spans="1:18" ht="18" hidden="1" customHeight="1" outlineLevel="1">
      <c r="A216" s="344"/>
      <c r="B216" s="344" t="s">
        <v>821</v>
      </c>
      <c r="C216" s="322"/>
      <c r="D216" s="306">
        <f>IF(ISNA(VLOOKUP($B216,IS明細!B:D,3,0)),0,VLOOKUP($B216,IS明細!B:D,3,0))</f>
        <v>0</v>
      </c>
      <c r="E216" s="306">
        <f>IF(ISNA(VLOOKUP($B216,IS明細!$B:F,5,0)),0,VLOOKUP($B216,IS明細!$B:F,5,0))</f>
        <v>0</v>
      </c>
      <c r="F216" s="306">
        <f>IF(ISNA(VLOOKUP($B216,IS明細!$B:H,7,0)),0,VLOOKUP($B216,IS明細!$B:H,7,0))</f>
        <v>0</v>
      </c>
      <c r="G216" s="306">
        <f>IF(ISNA(VLOOKUP($B216,IS明細!$B:J,9,0)),0,VLOOKUP($B216,IS明細!$B:J,9,0))</f>
        <v>0</v>
      </c>
      <c r="H216" s="306">
        <f>IF(ISNA(VLOOKUP($B216,IS明細!$B:L,11,0)),0,VLOOKUP($B216,IS明細!$B:L,11,0))</f>
        <v>0</v>
      </c>
      <c r="I216" s="306">
        <f>IF(ISNA(VLOOKUP($B216,IS明細!$B:N,13,0)),0,VLOOKUP($B216,IS明細!$B:N,13,0))</f>
        <v>0</v>
      </c>
      <c r="J216" s="306">
        <f>IF(ISNA(VLOOKUP($B216,IS明細!$B:P,15,0)),0,VLOOKUP($B216,IS明細!$B:P,15,0))</f>
        <v>0</v>
      </c>
      <c r="K216" s="306">
        <f>IF(ISNA(VLOOKUP($B216,IS明細!$B:R,17,0)),0,VLOOKUP($B216,IS明細!$B:R,17,0))</f>
        <v>0</v>
      </c>
      <c r="L216" s="306">
        <f>IF(ISNA(VLOOKUP($B216,IS明細!$B:T,19,0)),0,VLOOKUP($B216,IS明細!$B:T,19,0))</f>
        <v>0</v>
      </c>
      <c r="M216" s="306">
        <f>IF(ISNA(VLOOKUP($B216,IS明細!$B:V,21,0)),0,VLOOKUP($B216,IS明細!$B:V,21,0))</f>
        <v>0</v>
      </c>
      <c r="N216" s="306">
        <f>IF(ISNA(VLOOKUP($B216,IS明細!$B:X,23,0)),0,VLOOKUP($B216,IS明細!$B:X,23,0))</f>
        <v>0</v>
      </c>
      <c r="O216" s="306">
        <f>IF(ISNA(VLOOKUP($B216,IS明細!$B:Z,25,0)),0,VLOOKUP($B216,IS明細!$B:Z,25,0))</f>
        <v>0</v>
      </c>
      <c r="P216" s="306">
        <f t="shared" si="9"/>
        <v>0</v>
      </c>
      <c r="Q216" s="337">
        <f t="shared" si="10"/>
        <v>0</v>
      </c>
      <c r="R216" s="321"/>
    </row>
    <row r="217" spans="1:18" ht="18" hidden="1" customHeight="1" outlineLevel="1">
      <c r="A217" s="344"/>
      <c r="B217" s="344" t="s">
        <v>822</v>
      </c>
      <c r="C217" s="322"/>
      <c r="D217" s="306">
        <f>IF(ISNA(VLOOKUP($B217,IS明細!B:D,3,0)),0,VLOOKUP($B217,IS明細!B:D,3,0))</f>
        <v>0</v>
      </c>
      <c r="E217" s="306">
        <f>IF(ISNA(VLOOKUP($B217,IS明細!$B:F,5,0)),0,VLOOKUP($B217,IS明細!$B:F,5,0))</f>
        <v>0</v>
      </c>
      <c r="F217" s="306">
        <f>IF(ISNA(VLOOKUP($B217,IS明細!$B:H,7,0)),0,VLOOKUP($B217,IS明細!$B:H,7,0))</f>
        <v>0</v>
      </c>
      <c r="G217" s="306">
        <f>IF(ISNA(VLOOKUP($B217,IS明細!$B:J,9,0)),0,VLOOKUP($B217,IS明細!$B:J,9,0))</f>
        <v>0</v>
      </c>
      <c r="H217" s="306">
        <f>IF(ISNA(VLOOKUP($B217,IS明細!$B:L,11,0)),0,VLOOKUP($B217,IS明細!$B:L,11,0))</f>
        <v>0</v>
      </c>
      <c r="I217" s="306">
        <f>IF(ISNA(VLOOKUP($B217,IS明細!$B:N,13,0)),0,VLOOKUP($B217,IS明細!$B:N,13,0))</f>
        <v>0</v>
      </c>
      <c r="J217" s="306">
        <f>IF(ISNA(VLOOKUP($B217,IS明細!$B:P,15,0)),0,VLOOKUP($B217,IS明細!$B:P,15,0))</f>
        <v>0</v>
      </c>
      <c r="K217" s="306">
        <f>IF(ISNA(VLOOKUP($B217,IS明細!$B:R,17,0)),0,VLOOKUP($B217,IS明細!$B:R,17,0))</f>
        <v>0</v>
      </c>
      <c r="L217" s="306">
        <f>IF(ISNA(VLOOKUP($B217,IS明細!$B:T,19,0)),0,VLOOKUP($B217,IS明細!$B:T,19,0))</f>
        <v>0</v>
      </c>
      <c r="M217" s="306">
        <f>IF(ISNA(VLOOKUP($B217,IS明細!$B:V,21,0)),0,VLOOKUP($B217,IS明細!$B:V,21,0))</f>
        <v>0</v>
      </c>
      <c r="N217" s="306">
        <f>IF(ISNA(VLOOKUP($B217,IS明細!$B:X,23,0)),0,VLOOKUP($B217,IS明細!$B:X,23,0))</f>
        <v>0</v>
      </c>
      <c r="O217" s="306">
        <f>IF(ISNA(VLOOKUP($B217,IS明細!$B:Z,25,0)),0,VLOOKUP($B217,IS明細!$B:Z,25,0))</f>
        <v>0</v>
      </c>
      <c r="P217" s="306">
        <f t="shared" si="9"/>
        <v>0</v>
      </c>
      <c r="Q217" s="337">
        <f t="shared" si="10"/>
        <v>0</v>
      </c>
      <c r="R217" s="321"/>
    </row>
    <row r="218" spans="1:18" ht="18" hidden="1" customHeight="1" outlineLevel="1">
      <c r="A218" s="344"/>
      <c r="B218" s="344" t="s">
        <v>823</v>
      </c>
      <c r="C218" s="322"/>
      <c r="D218" s="306">
        <f>IF(ISNA(VLOOKUP($B218,IS明細!B:D,3,0)),0,VLOOKUP($B218,IS明細!B:D,3,0))</f>
        <v>0</v>
      </c>
      <c r="E218" s="306">
        <f>IF(ISNA(VLOOKUP($B218,IS明細!$B:F,5,0)),0,VLOOKUP($B218,IS明細!$B:F,5,0))</f>
        <v>0</v>
      </c>
      <c r="F218" s="306">
        <f>IF(ISNA(VLOOKUP($B218,IS明細!$B:H,7,0)),0,VLOOKUP($B218,IS明細!$B:H,7,0))</f>
        <v>0</v>
      </c>
      <c r="G218" s="306">
        <f>IF(ISNA(VLOOKUP($B218,IS明細!$B:J,9,0)),0,VLOOKUP($B218,IS明細!$B:J,9,0))</f>
        <v>0</v>
      </c>
      <c r="H218" s="306">
        <f>IF(ISNA(VLOOKUP($B218,IS明細!$B:L,11,0)),0,VLOOKUP($B218,IS明細!$B:L,11,0))</f>
        <v>0</v>
      </c>
      <c r="I218" s="306">
        <f>IF(ISNA(VLOOKUP($B218,IS明細!$B:N,13,0)),0,VLOOKUP($B218,IS明細!$B:N,13,0))</f>
        <v>0</v>
      </c>
      <c r="J218" s="306">
        <f>IF(ISNA(VLOOKUP($B218,IS明細!$B:P,15,0)),0,VLOOKUP($B218,IS明細!$B:P,15,0))</f>
        <v>0</v>
      </c>
      <c r="K218" s="306">
        <f>IF(ISNA(VLOOKUP($B218,IS明細!$B:R,17,0)),0,VLOOKUP($B218,IS明細!$B:R,17,0))</f>
        <v>0</v>
      </c>
      <c r="L218" s="306">
        <f>IF(ISNA(VLOOKUP($B218,IS明細!$B:T,19,0)),0,VLOOKUP($B218,IS明細!$B:T,19,0))</f>
        <v>0</v>
      </c>
      <c r="M218" s="306">
        <f>IF(ISNA(VLOOKUP($B218,IS明細!$B:V,21,0)),0,VLOOKUP($B218,IS明細!$B:V,21,0))</f>
        <v>0</v>
      </c>
      <c r="N218" s="306">
        <f>IF(ISNA(VLOOKUP($B218,IS明細!$B:X,23,0)),0,VLOOKUP($B218,IS明細!$B:X,23,0))</f>
        <v>0</v>
      </c>
      <c r="O218" s="306">
        <f>IF(ISNA(VLOOKUP($B218,IS明細!$B:Z,25,0)),0,VLOOKUP($B218,IS明細!$B:Z,25,0))</f>
        <v>0</v>
      </c>
      <c r="P218" s="306">
        <f t="shared" si="9"/>
        <v>0</v>
      </c>
      <c r="Q218" s="337">
        <f t="shared" si="10"/>
        <v>0</v>
      </c>
      <c r="R218" s="321"/>
    </row>
    <row r="219" spans="1:18" ht="18" hidden="1" customHeight="1" outlineLevel="1">
      <c r="A219" s="344"/>
      <c r="B219" s="344" t="s">
        <v>824</v>
      </c>
      <c r="C219" s="322"/>
      <c r="D219" s="306">
        <f>IF(ISNA(VLOOKUP($B219,IS明細!B:D,3,0)),0,VLOOKUP($B219,IS明細!B:D,3,0))</f>
        <v>0</v>
      </c>
      <c r="E219" s="306">
        <f>IF(ISNA(VLOOKUP($B219,IS明細!$B:F,5,0)),0,VLOOKUP($B219,IS明細!$B:F,5,0))</f>
        <v>0</v>
      </c>
      <c r="F219" s="306">
        <f>IF(ISNA(VLOOKUP($B219,IS明細!$B:H,7,0)),0,VLOOKUP($B219,IS明細!$B:H,7,0))</f>
        <v>0</v>
      </c>
      <c r="G219" s="306">
        <f>IF(ISNA(VLOOKUP($B219,IS明細!$B:J,9,0)),0,VLOOKUP($B219,IS明細!$B:J,9,0))</f>
        <v>0</v>
      </c>
      <c r="H219" s="306">
        <f>IF(ISNA(VLOOKUP($B219,IS明細!$B:L,11,0)),0,VLOOKUP($B219,IS明細!$B:L,11,0))</f>
        <v>0</v>
      </c>
      <c r="I219" s="306">
        <f>IF(ISNA(VLOOKUP($B219,IS明細!$B:N,13,0)),0,VLOOKUP($B219,IS明細!$B:N,13,0))</f>
        <v>0</v>
      </c>
      <c r="J219" s="306">
        <f>IF(ISNA(VLOOKUP($B219,IS明細!$B:P,15,0)),0,VLOOKUP($B219,IS明細!$B:P,15,0))</f>
        <v>0</v>
      </c>
      <c r="K219" s="306">
        <f>IF(ISNA(VLOOKUP($B219,IS明細!$B:R,17,0)),0,VLOOKUP($B219,IS明細!$B:R,17,0))</f>
        <v>0</v>
      </c>
      <c r="L219" s="306">
        <f>IF(ISNA(VLOOKUP($B219,IS明細!$B:T,19,0)),0,VLOOKUP($B219,IS明細!$B:T,19,0))</f>
        <v>0</v>
      </c>
      <c r="M219" s="306">
        <f>IF(ISNA(VLOOKUP($B219,IS明細!$B:V,21,0)),0,VLOOKUP($B219,IS明細!$B:V,21,0))</f>
        <v>0</v>
      </c>
      <c r="N219" s="306">
        <f>IF(ISNA(VLOOKUP($B219,IS明細!$B:X,23,0)),0,VLOOKUP($B219,IS明細!$B:X,23,0))</f>
        <v>0</v>
      </c>
      <c r="O219" s="306">
        <f>IF(ISNA(VLOOKUP($B219,IS明細!$B:Z,25,0)),0,VLOOKUP($B219,IS明細!$B:Z,25,0))</f>
        <v>0</v>
      </c>
      <c r="P219" s="306">
        <f t="shared" si="9"/>
        <v>0</v>
      </c>
      <c r="Q219" s="337">
        <f t="shared" si="10"/>
        <v>0</v>
      </c>
      <c r="R219" s="321"/>
    </row>
    <row r="220" spans="1:18" ht="18" hidden="1" customHeight="1" outlineLevel="1">
      <c r="A220" s="344"/>
      <c r="B220" s="344" t="s">
        <v>825</v>
      </c>
      <c r="C220" s="322"/>
      <c r="D220" s="306">
        <f>IF(ISNA(VLOOKUP($B220,IS明細!B:D,3,0)),0,VLOOKUP($B220,IS明細!B:D,3,0))</f>
        <v>0</v>
      </c>
      <c r="E220" s="306">
        <f>IF(ISNA(VLOOKUP($B220,IS明細!$B:F,5,0)),0,VLOOKUP($B220,IS明細!$B:F,5,0))</f>
        <v>0</v>
      </c>
      <c r="F220" s="306">
        <f>IF(ISNA(VLOOKUP($B220,IS明細!$B:H,7,0)),0,VLOOKUP($B220,IS明細!$B:H,7,0))</f>
        <v>0</v>
      </c>
      <c r="G220" s="306">
        <f>IF(ISNA(VLOOKUP($B220,IS明細!$B:J,9,0)),0,VLOOKUP($B220,IS明細!$B:J,9,0))</f>
        <v>0</v>
      </c>
      <c r="H220" s="306">
        <f>IF(ISNA(VLOOKUP($B220,IS明細!$B:L,11,0)),0,VLOOKUP($B220,IS明細!$B:L,11,0))</f>
        <v>0</v>
      </c>
      <c r="I220" s="306">
        <f>IF(ISNA(VLOOKUP($B220,IS明細!$B:N,13,0)),0,VLOOKUP($B220,IS明細!$B:N,13,0))</f>
        <v>0</v>
      </c>
      <c r="J220" s="306">
        <f>IF(ISNA(VLOOKUP($B220,IS明細!$B:P,15,0)),0,VLOOKUP($B220,IS明細!$B:P,15,0))</f>
        <v>0</v>
      </c>
      <c r="K220" s="306">
        <f>IF(ISNA(VLOOKUP($B220,IS明細!$B:R,17,0)),0,VLOOKUP($B220,IS明細!$B:R,17,0))</f>
        <v>0</v>
      </c>
      <c r="L220" s="306">
        <f>IF(ISNA(VLOOKUP($B220,IS明細!$B:T,19,0)),0,VLOOKUP($B220,IS明細!$B:T,19,0))</f>
        <v>0</v>
      </c>
      <c r="M220" s="306">
        <f>IF(ISNA(VLOOKUP($B220,IS明細!$B:V,21,0)),0,VLOOKUP($B220,IS明細!$B:V,21,0))</f>
        <v>0</v>
      </c>
      <c r="N220" s="306">
        <f>IF(ISNA(VLOOKUP($B220,IS明細!$B:X,23,0)),0,VLOOKUP($B220,IS明細!$B:X,23,0))</f>
        <v>0</v>
      </c>
      <c r="O220" s="306">
        <f>IF(ISNA(VLOOKUP($B220,IS明細!$B:Z,25,0)),0,VLOOKUP($B220,IS明細!$B:Z,25,0))</f>
        <v>0</v>
      </c>
      <c r="P220" s="306">
        <f t="shared" si="9"/>
        <v>0</v>
      </c>
      <c r="Q220" s="337">
        <f t="shared" si="10"/>
        <v>0</v>
      </c>
      <c r="R220" s="321"/>
    </row>
    <row r="221" spans="1:18" ht="18" hidden="1" customHeight="1" outlineLevel="1">
      <c r="A221" s="344"/>
      <c r="B221" s="344" t="s">
        <v>826</v>
      </c>
      <c r="C221" s="322"/>
      <c r="D221" s="306">
        <f>IF(ISNA(VLOOKUP($B221,IS明細!B:D,3,0)),0,VLOOKUP($B221,IS明細!B:D,3,0))</f>
        <v>0</v>
      </c>
      <c r="E221" s="306">
        <f>IF(ISNA(VLOOKUP($B221,IS明細!$B:F,5,0)),0,VLOOKUP($B221,IS明細!$B:F,5,0))</f>
        <v>0</v>
      </c>
      <c r="F221" s="306">
        <f>IF(ISNA(VLOOKUP($B221,IS明細!$B:H,7,0)),0,VLOOKUP($B221,IS明細!$B:H,7,0))</f>
        <v>0</v>
      </c>
      <c r="G221" s="306">
        <f>IF(ISNA(VLOOKUP($B221,IS明細!$B:J,9,0)),0,VLOOKUP($B221,IS明細!$B:J,9,0))</f>
        <v>0</v>
      </c>
      <c r="H221" s="306">
        <f>IF(ISNA(VLOOKUP($B221,IS明細!$B:L,11,0)),0,VLOOKUP($B221,IS明細!$B:L,11,0))</f>
        <v>0</v>
      </c>
      <c r="I221" s="306">
        <f>IF(ISNA(VLOOKUP($B221,IS明細!$B:N,13,0)),0,VLOOKUP($B221,IS明細!$B:N,13,0))</f>
        <v>0</v>
      </c>
      <c r="J221" s="306">
        <f>IF(ISNA(VLOOKUP($B221,IS明細!$B:P,15,0)),0,VLOOKUP($B221,IS明細!$B:P,15,0))</f>
        <v>0</v>
      </c>
      <c r="K221" s="306">
        <f>IF(ISNA(VLOOKUP($B221,IS明細!$B:R,17,0)),0,VLOOKUP($B221,IS明細!$B:R,17,0))</f>
        <v>0</v>
      </c>
      <c r="L221" s="306">
        <f>IF(ISNA(VLOOKUP($B221,IS明細!$B:T,19,0)),0,VLOOKUP($B221,IS明細!$B:T,19,0))</f>
        <v>0</v>
      </c>
      <c r="M221" s="306">
        <f>IF(ISNA(VLOOKUP($B221,IS明細!$B:V,21,0)),0,VLOOKUP($B221,IS明細!$B:V,21,0))</f>
        <v>0</v>
      </c>
      <c r="N221" s="306">
        <f>IF(ISNA(VLOOKUP($B221,IS明細!$B:X,23,0)),0,VLOOKUP($B221,IS明細!$B:X,23,0))</f>
        <v>0</v>
      </c>
      <c r="O221" s="306">
        <f>IF(ISNA(VLOOKUP($B221,IS明細!$B:Z,25,0)),0,VLOOKUP($B221,IS明細!$B:Z,25,0))</f>
        <v>0</v>
      </c>
      <c r="P221" s="306">
        <f t="shared" si="9"/>
        <v>0</v>
      </c>
      <c r="Q221" s="337">
        <f t="shared" si="10"/>
        <v>0</v>
      </c>
      <c r="R221" s="321"/>
    </row>
    <row r="222" spans="1:18" ht="18" hidden="1" customHeight="1" outlineLevel="1">
      <c r="A222" s="344"/>
      <c r="B222" s="344" t="s">
        <v>827</v>
      </c>
      <c r="C222" s="322"/>
      <c r="D222" s="306">
        <f>IF(ISNA(VLOOKUP($B222,IS明細!B:D,3,0)),0,VLOOKUP($B222,IS明細!B:D,3,0))</f>
        <v>0</v>
      </c>
      <c r="E222" s="306">
        <f>IF(ISNA(VLOOKUP($B222,IS明細!$B:F,5,0)),0,VLOOKUP($B222,IS明細!$B:F,5,0))</f>
        <v>0</v>
      </c>
      <c r="F222" s="306">
        <f>IF(ISNA(VLOOKUP($B222,IS明細!$B:H,7,0)),0,VLOOKUP($B222,IS明細!$B:H,7,0))</f>
        <v>0</v>
      </c>
      <c r="G222" s="306">
        <f>IF(ISNA(VLOOKUP($B222,IS明細!$B:J,9,0)),0,VLOOKUP($B222,IS明細!$B:J,9,0))</f>
        <v>0</v>
      </c>
      <c r="H222" s="306">
        <f>IF(ISNA(VLOOKUP($B222,IS明細!$B:L,11,0)),0,VLOOKUP($B222,IS明細!$B:L,11,0))</f>
        <v>0</v>
      </c>
      <c r="I222" s="306">
        <f>IF(ISNA(VLOOKUP($B222,IS明細!$B:N,13,0)),0,VLOOKUP($B222,IS明細!$B:N,13,0))</f>
        <v>0</v>
      </c>
      <c r="J222" s="306">
        <f>IF(ISNA(VLOOKUP($B222,IS明細!$B:P,15,0)),0,VLOOKUP($B222,IS明細!$B:P,15,0))</f>
        <v>0</v>
      </c>
      <c r="K222" s="306">
        <f>IF(ISNA(VLOOKUP($B222,IS明細!$B:R,17,0)),0,VLOOKUP($B222,IS明細!$B:R,17,0))</f>
        <v>0</v>
      </c>
      <c r="L222" s="306">
        <f>IF(ISNA(VLOOKUP($B222,IS明細!$B:T,19,0)),0,VLOOKUP($B222,IS明細!$B:T,19,0))</f>
        <v>0</v>
      </c>
      <c r="M222" s="306">
        <f>IF(ISNA(VLOOKUP($B222,IS明細!$B:V,21,0)),0,VLOOKUP($B222,IS明細!$B:V,21,0))</f>
        <v>0</v>
      </c>
      <c r="N222" s="306">
        <f>IF(ISNA(VLOOKUP($B222,IS明細!$B:X,23,0)),0,VLOOKUP($B222,IS明細!$B:X,23,0))</f>
        <v>0</v>
      </c>
      <c r="O222" s="306">
        <f>IF(ISNA(VLOOKUP($B222,IS明細!$B:Z,25,0)),0,VLOOKUP($B222,IS明細!$B:Z,25,0))</f>
        <v>0</v>
      </c>
      <c r="P222" s="306">
        <f t="shared" si="9"/>
        <v>0</v>
      </c>
      <c r="Q222" s="337">
        <f t="shared" si="10"/>
        <v>0</v>
      </c>
      <c r="R222" s="321"/>
    </row>
    <row r="223" spans="1:18" ht="18" hidden="1" customHeight="1" outlineLevel="1">
      <c r="A223" s="344"/>
      <c r="B223" s="344" t="s">
        <v>828</v>
      </c>
      <c r="C223" s="322"/>
      <c r="D223" s="306">
        <f>IF(ISNA(VLOOKUP($B223,IS明細!B:D,3,0)),0,VLOOKUP($B223,IS明細!B:D,3,0))</f>
        <v>0</v>
      </c>
      <c r="E223" s="306">
        <f>IF(ISNA(VLOOKUP($B223,IS明細!$B:F,5,0)),0,VLOOKUP($B223,IS明細!$B:F,5,0))</f>
        <v>0</v>
      </c>
      <c r="F223" s="306">
        <f>IF(ISNA(VLOOKUP($B223,IS明細!$B:H,7,0)),0,VLOOKUP($B223,IS明細!$B:H,7,0))</f>
        <v>0</v>
      </c>
      <c r="G223" s="306">
        <f>IF(ISNA(VLOOKUP($B223,IS明細!$B:J,9,0)),0,VLOOKUP($B223,IS明細!$B:J,9,0))</f>
        <v>0</v>
      </c>
      <c r="H223" s="306">
        <f>IF(ISNA(VLOOKUP($B223,IS明細!$B:L,11,0)),0,VLOOKUP($B223,IS明細!$B:L,11,0))</f>
        <v>0</v>
      </c>
      <c r="I223" s="306">
        <f>IF(ISNA(VLOOKUP($B223,IS明細!$B:N,13,0)),0,VLOOKUP($B223,IS明細!$B:N,13,0))</f>
        <v>0</v>
      </c>
      <c r="J223" s="306">
        <f>IF(ISNA(VLOOKUP($B223,IS明細!$B:P,15,0)),0,VLOOKUP($B223,IS明細!$B:P,15,0))</f>
        <v>0</v>
      </c>
      <c r="K223" s="306">
        <f>IF(ISNA(VLOOKUP($B223,IS明細!$B:R,17,0)),0,VLOOKUP($B223,IS明細!$B:R,17,0))</f>
        <v>0</v>
      </c>
      <c r="L223" s="306">
        <f>IF(ISNA(VLOOKUP($B223,IS明細!$B:T,19,0)),0,VLOOKUP($B223,IS明細!$B:T,19,0))</f>
        <v>0</v>
      </c>
      <c r="M223" s="306">
        <f>IF(ISNA(VLOOKUP($B223,IS明細!$B:V,21,0)),0,VLOOKUP($B223,IS明細!$B:V,21,0))</f>
        <v>0</v>
      </c>
      <c r="N223" s="306">
        <f>IF(ISNA(VLOOKUP($B223,IS明細!$B:X,23,0)),0,VLOOKUP($B223,IS明細!$B:X,23,0))</f>
        <v>0</v>
      </c>
      <c r="O223" s="306">
        <f>IF(ISNA(VLOOKUP($B223,IS明細!$B:Z,25,0)),0,VLOOKUP($B223,IS明細!$B:Z,25,0))</f>
        <v>0</v>
      </c>
      <c r="P223" s="306">
        <f t="shared" si="9"/>
        <v>0</v>
      </c>
      <c r="Q223" s="337">
        <f t="shared" si="10"/>
        <v>0</v>
      </c>
      <c r="R223" s="321"/>
    </row>
    <row r="224" spans="1:18" ht="18" hidden="1" customHeight="1" outlineLevel="1">
      <c r="A224" s="344"/>
      <c r="B224" s="344" t="s">
        <v>829</v>
      </c>
      <c r="C224" s="322"/>
      <c r="D224" s="306">
        <f>IF(ISNA(VLOOKUP($B224,IS明細!B:D,3,0)),0,VLOOKUP($B224,IS明細!B:D,3,0))</f>
        <v>0</v>
      </c>
      <c r="E224" s="306">
        <f>IF(ISNA(VLOOKUP($B224,IS明細!$B:F,5,0)),0,VLOOKUP($B224,IS明細!$B:F,5,0))</f>
        <v>0</v>
      </c>
      <c r="F224" s="306">
        <f>IF(ISNA(VLOOKUP($B224,IS明細!$B:H,7,0)),0,VLOOKUP($B224,IS明細!$B:H,7,0))</f>
        <v>0</v>
      </c>
      <c r="G224" s="306">
        <f>IF(ISNA(VLOOKUP($B224,IS明細!$B:J,9,0)),0,VLOOKUP($B224,IS明細!$B:J,9,0))</f>
        <v>0</v>
      </c>
      <c r="H224" s="306">
        <f>IF(ISNA(VLOOKUP($B224,IS明細!$B:L,11,0)),0,VLOOKUP($B224,IS明細!$B:L,11,0))</f>
        <v>0</v>
      </c>
      <c r="I224" s="306">
        <f>IF(ISNA(VLOOKUP($B224,IS明細!$B:N,13,0)),0,VLOOKUP($B224,IS明細!$B:N,13,0))</f>
        <v>0</v>
      </c>
      <c r="J224" s="306">
        <f>IF(ISNA(VLOOKUP($B224,IS明細!$B:P,15,0)),0,VLOOKUP($B224,IS明細!$B:P,15,0))</f>
        <v>0</v>
      </c>
      <c r="K224" s="306">
        <f>IF(ISNA(VLOOKUP($B224,IS明細!$B:R,17,0)),0,VLOOKUP($B224,IS明細!$B:R,17,0))</f>
        <v>0</v>
      </c>
      <c r="L224" s="306">
        <f>IF(ISNA(VLOOKUP($B224,IS明細!$B:T,19,0)),0,VLOOKUP($B224,IS明細!$B:T,19,0))</f>
        <v>0</v>
      </c>
      <c r="M224" s="306">
        <f>IF(ISNA(VLOOKUP($B224,IS明細!$B:V,21,0)),0,VLOOKUP($B224,IS明細!$B:V,21,0))</f>
        <v>0</v>
      </c>
      <c r="N224" s="306">
        <f>IF(ISNA(VLOOKUP($B224,IS明細!$B:X,23,0)),0,VLOOKUP($B224,IS明細!$B:X,23,0))</f>
        <v>0</v>
      </c>
      <c r="O224" s="306">
        <f>IF(ISNA(VLOOKUP($B224,IS明細!$B:Z,25,0)),0,VLOOKUP($B224,IS明細!$B:Z,25,0))</f>
        <v>0</v>
      </c>
      <c r="P224" s="306">
        <f t="shared" si="9"/>
        <v>0</v>
      </c>
      <c r="Q224" s="337">
        <f t="shared" si="10"/>
        <v>0</v>
      </c>
      <c r="R224" s="321"/>
    </row>
    <row r="225" spans="1:18" ht="18" hidden="1" customHeight="1" outlineLevel="1">
      <c r="A225" s="344"/>
      <c r="B225" s="344" t="s">
        <v>830</v>
      </c>
      <c r="C225" s="322"/>
      <c r="D225" s="306">
        <f>IF(ISNA(VLOOKUP($B225,IS明細!B:D,3,0)),0,VLOOKUP($B225,IS明細!B:D,3,0))</f>
        <v>0</v>
      </c>
      <c r="E225" s="306">
        <f>IF(ISNA(VLOOKUP($B225,IS明細!$B:F,5,0)),0,VLOOKUP($B225,IS明細!$B:F,5,0))</f>
        <v>0</v>
      </c>
      <c r="F225" s="306">
        <f>IF(ISNA(VLOOKUP($B225,IS明細!$B:H,7,0)),0,VLOOKUP($B225,IS明細!$B:H,7,0))</f>
        <v>0</v>
      </c>
      <c r="G225" s="306">
        <f>IF(ISNA(VLOOKUP($B225,IS明細!$B:J,9,0)),0,VLOOKUP($B225,IS明細!$B:J,9,0))</f>
        <v>0</v>
      </c>
      <c r="H225" s="306">
        <f>IF(ISNA(VLOOKUP($B225,IS明細!$B:L,11,0)),0,VLOOKUP($B225,IS明細!$B:L,11,0))</f>
        <v>0</v>
      </c>
      <c r="I225" s="306">
        <f>IF(ISNA(VLOOKUP($B225,IS明細!$B:N,13,0)),0,VLOOKUP($B225,IS明細!$B:N,13,0))</f>
        <v>0</v>
      </c>
      <c r="J225" s="306">
        <f>IF(ISNA(VLOOKUP($B225,IS明細!$B:P,15,0)),0,VLOOKUP($B225,IS明細!$B:P,15,0))</f>
        <v>0</v>
      </c>
      <c r="K225" s="306">
        <f>IF(ISNA(VLOOKUP($B225,IS明細!$B:R,17,0)),0,VLOOKUP($B225,IS明細!$B:R,17,0))</f>
        <v>0</v>
      </c>
      <c r="L225" s="306">
        <f>IF(ISNA(VLOOKUP($B225,IS明細!$B:T,19,0)),0,VLOOKUP($B225,IS明細!$B:T,19,0))</f>
        <v>0</v>
      </c>
      <c r="M225" s="306">
        <f>IF(ISNA(VLOOKUP($B225,IS明細!$B:V,21,0)),0,VLOOKUP($B225,IS明細!$B:V,21,0))</f>
        <v>0</v>
      </c>
      <c r="N225" s="306">
        <f>IF(ISNA(VLOOKUP($B225,IS明細!$B:X,23,0)),0,VLOOKUP($B225,IS明細!$B:X,23,0))</f>
        <v>0</v>
      </c>
      <c r="O225" s="306">
        <f>IF(ISNA(VLOOKUP($B225,IS明細!$B:Z,25,0)),0,VLOOKUP($B225,IS明細!$B:Z,25,0))</f>
        <v>0</v>
      </c>
      <c r="P225" s="306">
        <f t="shared" si="9"/>
        <v>0</v>
      </c>
      <c r="Q225" s="337">
        <f t="shared" si="10"/>
        <v>0</v>
      </c>
      <c r="R225" s="321"/>
    </row>
    <row r="226" spans="1:18" ht="18" hidden="1" customHeight="1" outlineLevel="1">
      <c r="A226" s="344"/>
      <c r="B226" s="344" t="s">
        <v>831</v>
      </c>
      <c r="C226" s="322"/>
      <c r="D226" s="306">
        <f>IF(ISNA(VLOOKUP($B226,IS明細!B:D,3,0)),0,VLOOKUP($B226,IS明細!B:D,3,0))</f>
        <v>0</v>
      </c>
      <c r="E226" s="306">
        <f>IF(ISNA(VLOOKUP($B226,IS明細!$B:F,5,0)),0,VLOOKUP($B226,IS明細!$B:F,5,0))</f>
        <v>0</v>
      </c>
      <c r="F226" s="306">
        <f>IF(ISNA(VLOOKUP($B226,IS明細!$B:H,7,0)),0,VLOOKUP($B226,IS明細!$B:H,7,0))</f>
        <v>0</v>
      </c>
      <c r="G226" s="306">
        <f>IF(ISNA(VLOOKUP($B226,IS明細!$B:J,9,0)),0,VLOOKUP($B226,IS明細!$B:J,9,0))</f>
        <v>0</v>
      </c>
      <c r="H226" s="306">
        <f>IF(ISNA(VLOOKUP($B226,IS明細!$B:L,11,0)),0,VLOOKUP($B226,IS明細!$B:L,11,0))</f>
        <v>0</v>
      </c>
      <c r="I226" s="306">
        <f>IF(ISNA(VLOOKUP($B226,IS明細!$B:N,13,0)),0,VLOOKUP($B226,IS明細!$B:N,13,0))</f>
        <v>0</v>
      </c>
      <c r="J226" s="306">
        <f>IF(ISNA(VLOOKUP($B226,IS明細!$B:P,15,0)),0,VLOOKUP($B226,IS明細!$B:P,15,0))</f>
        <v>0</v>
      </c>
      <c r="K226" s="306">
        <f>IF(ISNA(VLOOKUP($B226,IS明細!$B:R,17,0)),0,VLOOKUP($B226,IS明細!$B:R,17,0))</f>
        <v>0</v>
      </c>
      <c r="L226" s="306">
        <f>IF(ISNA(VLOOKUP($B226,IS明細!$B:T,19,0)),0,VLOOKUP($B226,IS明細!$B:T,19,0))</f>
        <v>0</v>
      </c>
      <c r="M226" s="306">
        <f>IF(ISNA(VLOOKUP($B226,IS明細!$B:V,21,0)),0,VLOOKUP($B226,IS明細!$B:V,21,0))</f>
        <v>0</v>
      </c>
      <c r="N226" s="306">
        <f>IF(ISNA(VLOOKUP($B226,IS明細!$B:X,23,0)),0,VLOOKUP($B226,IS明細!$B:X,23,0))</f>
        <v>0</v>
      </c>
      <c r="O226" s="306">
        <f>IF(ISNA(VLOOKUP($B226,IS明細!$B:Z,25,0)),0,VLOOKUP($B226,IS明細!$B:Z,25,0))</f>
        <v>0</v>
      </c>
      <c r="P226" s="306">
        <f t="shared" si="9"/>
        <v>0</v>
      </c>
      <c r="Q226" s="337">
        <f t="shared" si="10"/>
        <v>0</v>
      </c>
      <c r="R226" s="321"/>
    </row>
    <row r="227" spans="1:18" ht="18" hidden="1" customHeight="1" outlineLevel="1">
      <c r="A227" s="344"/>
      <c r="B227" s="344" t="s">
        <v>832</v>
      </c>
      <c r="C227" s="322"/>
      <c r="D227" s="306">
        <f>IF(ISNA(VLOOKUP($B227,IS明細!B:D,3,0)),0,VLOOKUP($B227,IS明細!B:D,3,0))</f>
        <v>0</v>
      </c>
      <c r="E227" s="306">
        <f>IF(ISNA(VLOOKUP($B227,IS明細!$B:F,5,0)),0,VLOOKUP($B227,IS明細!$B:F,5,0))</f>
        <v>0</v>
      </c>
      <c r="F227" s="306">
        <f>IF(ISNA(VLOOKUP($B227,IS明細!$B:H,7,0)),0,VLOOKUP($B227,IS明細!$B:H,7,0))</f>
        <v>0</v>
      </c>
      <c r="G227" s="306">
        <f>IF(ISNA(VLOOKUP($B227,IS明細!$B:J,9,0)),0,VLOOKUP($B227,IS明細!$B:J,9,0))</f>
        <v>0</v>
      </c>
      <c r="H227" s="306">
        <f>IF(ISNA(VLOOKUP($B227,IS明細!$B:L,11,0)),0,VLOOKUP($B227,IS明細!$B:L,11,0))</f>
        <v>0</v>
      </c>
      <c r="I227" s="306">
        <f>IF(ISNA(VLOOKUP($B227,IS明細!$B:N,13,0)),0,VLOOKUP($B227,IS明細!$B:N,13,0))</f>
        <v>0</v>
      </c>
      <c r="J227" s="306">
        <f>IF(ISNA(VLOOKUP($B227,IS明細!$B:P,15,0)),0,VLOOKUP($B227,IS明細!$B:P,15,0))</f>
        <v>0</v>
      </c>
      <c r="K227" s="306">
        <f>IF(ISNA(VLOOKUP($B227,IS明細!$B:R,17,0)),0,VLOOKUP($B227,IS明細!$B:R,17,0))</f>
        <v>0</v>
      </c>
      <c r="L227" s="306">
        <f>IF(ISNA(VLOOKUP($B227,IS明細!$B:T,19,0)),0,VLOOKUP($B227,IS明細!$B:T,19,0))</f>
        <v>0</v>
      </c>
      <c r="M227" s="306">
        <f>IF(ISNA(VLOOKUP($B227,IS明細!$B:V,21,0)),0,VLOOKUP($B227,IS明細!$B:V,21,0))</f>
        <v>0</v>
      </c>
      <c r="N227" s="306">
        <f>IF(ISNA(VLOOKUP($B227,IS明細!$B:X,23,0)),0,VLOOKUP($B227,IS明細!$B:X,23,0))</f>
        <v>0</v>
      </c>
      <c r="O227" s="306">
        <f>IF(ISNA(VLOOKUP($B227,IS明細!$B:Z,25,0)),0,VLOOKUP($B227,IS明細!$B:Z,25,0))</f>
        <v>0</v>
      </c>
      <c r="P227" s="306">
        <f t="shared" si="9"/>
        <v>0</v>
      </c>
      <c r="Q227" s="337">
        <f t="shared" si="10"/>
        <v>0</v>
      </c>
      <c r="R227" s="321"/>
    </row>
    <row r="228" spans="1:18" ht="18" hidden="1" customHeight="1" outlineLevel="1">
      <c r="A228" s="344"/>
      <c r="B228" s="344" t="s">
        <v>833</v>
      </c>
      <c r="C228" s="322"/>
      <c r="D228" s="306">
        <f>IF(ISNA(VLOOKUP($B228,IS明細!B:D,3,0)),0,VLOOKUP($B228,IS明細!B:D,3,0))</f>
        <v>0</v>
      </c>
      <c r="E228" s="306">
        <f>IF(ISNA(VLOOKUP($B228,IS明細!$B:F,5,0)),0,VLOOKUP($B228,IS明細!$B:F,5,0))</f>
        <v>0</v>
      </c>
      <c r="F228" s="306">
        <f>IF(ISNA(VLOOKUP($B228,IS明細!$B:H,7,0)),0,VLOOKUP($B228,IS明細!$B:H,7,0))</f>
        <v>0</v>
      </c>
      <c r="G228" s="306">
        <f>IF(ISNA(VLOOKUP($B228,IS明細!$B:J,9,0)),0,VLOOKUP($B228,IS明細!$B:J,9,0))</f>
        <v>0</v>
      </c>
      <c r="H228" s="306">
        <f>IF(ISNA(VLOOKUP($B228,IS明細!$B:L,11,0)),0,VLOOKUP($B228,IS明細!$B:L,11,0))</f>
        <v>0</v>
      </c>
      <c r="I228" s="306">
        <f>IF(ISNA(VLOOKUP($B228,IS明細!$B:N,13,0)),0,VLOOKUP($B228,IS明細!$B:N,13,0))</f>
        <v>0</v>
      </c>
      <c r="J228" s="306">
        <f>IF(ISNA(VLOOKUP($B228,IS明細!$B:P,15,0)),0,VLOOKUP($B228,IS明細!$B:P,15,0))</f>
        <v>0</v>
      </c>
      <c r="K228" s="306">
        <f>IF(ISNA(VLOOKUP($B228,IS明細!$B:R,17,0)),0,VLOOKUP($B228,IS明細!$B:R,17,0))</f>
        <v>0</v>
      </c>
      <c r="L228" s="306">
        <f>IF(ISNA(VLOOKUP($B228,IS明細!$B:T,19,0)),0,VLOOKUP($B228,IS明細!$B:T,19,0))</f>
        <v>0</v>
      </c>
      <c r="M228" s="306">
        <f>IF(ISNA(VLOOKUP($B228,IS明細!$B:V,21,0)),0,VLOOKUP($B228,IS明細!$B:V,21,0))</f>
        <v>0</v>
      </c>
      <c r="N228" s="306">
        <f>IF(ISNA(VLOOKUP($B228,IS明細!$B:X,23,0)),0,VLOOKUP($B228,IS明細!$B:X,23,0))</f>
        <v>0</v>
      </c>
      <c r="O228" s="306">
        <f>IF(ISNA(VLOOKUP($B228,IS明細!$B:Z,25,0)),0,VLOOKUP($B228,IS明細!$B:Z,25,0))</f>
        <v>0</v>
      </c>
      <c r="P228" s="306">
        <f t="shared" si="9"/>
        <v>0</v>
      </c>
      <c r="Q228" s="337">
        <f t="shared" si="10"/>
        <v>0</v>
      </c>
      <c r="R228" s="321"/>
    </row>
    <row r="229" spans="1:18" ht="18" hidden="1" customHeight="1" outlineLevel="1">
      <c r="A229" s="344"/>
      <c r="B229" s="344" t="s">
        <v>834</v>
      </c>
      <c r="C229" s="322"/>
      <c r="D229" s="306">
        <f>IF(ISNA(VLOOKUP($B229,IS明細!B:D,3,0)),0,VLOOKUP($B229,IS明細!B:D,3,0))</f>
        <v>860624</v>
      </c>
      <c r="E229" s="306">
        <f>IF(ISNA(VLOOKUP($B229,IS明細!$B:F,5,0)),0,VLOOKUP($B229,IS明細!$B:F,5,0))</f>
        <v>930103</v>
      </c>
      <c r="F229" s="306">
        <f>IF(ISNA(VLOOKUP($B229,IS明細!$B:H,7,0)),0,VLOOKUP($B229,IS明細!$B:H,7,0))</f>
        <v>2946964</v>
      </c>
      <c r="G229" s="306">
        <f>IF(ISNA(VLOOKUP($B229,IS明細!$B:J,9,0)),0,VLOOKUP($B229,IS明細!$B:J,9,0))</f>
        <v>3612795</v>
      </c>
      <c r="H229" s="306">
        <f>IF(ISNA(VLOOKUP($B229,IS明細!$B:L,11,0)),0,VLOOKUP($B229,IS明細!$B:L,11,0))</f>
        <v>1971131</v>
      </c>
      <c r="I229" s="306">
        <f>IF(ISNA(VLOOKUP($B229,IS明細!$B:N,13,0)),0,VLOOKUP($B229,IS明細!$B:N,13,0))</f>
        <v>3773237</v>
      </c>
      <c r="J229" s="306">
        <f>IF(ISNA(VLOOKUP($B229,IS明細!$B:P,15,0)),0,VLOOKUP($B229,IS明細!$B:P,15,0))</f>
        <v>1126662</v>
      </c>
      <c r="K229" s="306">
        <f>IF(ISNA(VLOOKUP($B229,IS明細!$B:R,17,0)),0,VLOOKUP($B229,IS明細!$B:R,17,0))</f>
        <v>739833</v>
      </c>
      <c r="L229" s="306">
        <f>IF(ISNA(VLOOKUP($B229,IS明細!$B:T,19,0)),0,VLOOKUP($B229,IS明細!$B:T,19,0))</f>
        <v>0</v>
      </c>
      <c r="M229" s="306">
        <f>IF(ISNA(VLOOKUP($B229,IS明細!$B:V,21,0)),0,VLOOKUP($B229,IS明細!$B:V,21,0))</f>
        <v>0</v>
      </c>
      <c r="N229" s="306">
        <f>IF(ISNA(VLOOKUP($B229,IS明細!$B:X,23,0)),0,VLOOKUP($B229,IS明細!$B:X,23,0))</f>
        <v>0</v>
      </c>
      <c r="O229" s="306">
        <f>IF(ISNA(VLOOKUP($B229,IS明細!$B:Z,25,0)),0,VLOOKUP($B229,IS明細!$B:Z,25,0))</f>
        <v>0</v>
      </c>
      <c r="P229" s="306">
        <f t="shared" si="9"/>
        <v>15961349</v>
      </c>
      <c r="Q229" s="337">
        <f t="shared" si="10"/>
        <v>2.8151135292154589E-2</v>
      </c>
      <c r="R229" s="321"/>
    </row>
    <row r="230" spans="1:18" ht="18" hidden="1" customHeight="1" outlineLevel="1">
      <c r="A230" s="344"/>
      <c r="B230" s="344" t="s">
        <v>835</v>
      </c>
      <c r="C230" s="322"/>
      <c r="D230" s="306">
        <f>IF(ISNA(VLOOKUP($B230,IS明細!B:D,3,0)),0,VLOOKUP($B230,IS明細!B:D,3,0))</f>
        <v>860624</v>
      </c>
      <c r="E230" s="306">
        <f>IF(ISNA(VLOOKUP($B230,IS明細!$B:F,5,0)),0,VLOOKUP($B230,IS明細!$B:F,5,0))</f>
        <v>930103</v>
      </c>
      <c r="F230" s="306">
        <f>IF(ISNA(VLOOKUP($B230,IS明細!$B:H,7,0)),0,VLOOKUP($B230,IS明細!$B:H,7,0))</f>
        <v>2946964</v>
      </c>
      <c r="G230" s="306">
        <f>IF(ISNA(VLOOKUP($B230,IS明細!$B:J,9,0)),0,VLOOKUP($B230,IS明細!$B:J,9,0))</f>
        <v>87861</v>
      </c>
      <c r="H230" s="306">
        <f>IF(ISNA(VLOOKUP($B230,IS明細!$B:L,11,0)),0,VLOOKUP($B230,IS明細!$B:L,11,0))</f>
        <v>1971131</v>
      </c>
      <c r="I230" s="306">
        <f>IF(ISNA(VLOOKUP($B230,IS明細!$B:N,13,0)),0,VLOOKUP($B230,IS明細!$B:N,13,0))</f>
        <v>141142</v>
      </c>
      <c r="J230" s="306">
        <f>IF(ISNA(VLOOKUP($B230,IS明細!$B:P,15,0)),0,VLOOKUP($B230,IS明細!$B:P,15,0))</f>
        <v>1126662</v>
      </c>
      <c r="K230" s="306">
        <f>IF(ISNA(VLOOKUP($B230,IS明細!$B:R,17,0)),0,VLOOKUP($B230,IS明細!$B:R,17,0))</f>
        <v>739833</v>
      </c>
      <c r="L230" s="306">
        <f>IF(ISNA(VLOOKUP($B230,IS明細!$B:T,19,0)),0,VLOOKUP($B230,IS明細!$B:T,19,0))</f>
        <v>0</v>
      </c>
      <c r="M230" s="306">
        <f>IF(ISNA(VLOOKUP($B230,IS明細!$B:V,21,0)),0,VLOOKUP($B230,IS明細!$B:V,21,0))</f>
        <v>0</v>
      </c>
      <c r="N230" s="306">
        <f>IF(ISNA(VLOOKUP($B230,IS明細!$B:X,23,0)),0,VLOOKUP($B230,IS明細!$B:X,23,0))</f>
        <v>0</v>
      </c>
      <c r="O230" s="306">
        <f>IF(ISNA(VLOOKUP($B230,IS明細!$B:Z,25,0)),0,VLOOKUP($B230,IS明細!$B:Z,25,0))</f>
        <v>0</v>
      </c>
      <c r="P230" s="306">
        <f t="shared" si="9"/>
        <v>8804320</v>
      </c>
      <c r="Q230" s="337">
        <f t="shared" si="10"/>
        <v>1.5528236584227468E-2</v>
      </c>
      <c r="R230" s="321"/>
    </row>
    <row r="231" spans="1:18" ht="18" hidden="1" customHeight="1" outlineLevel="1">
      <c r="A231" s="344"/>
      <c r="B231" s="344" t="s">
        <v>836</v>
      </c>
      <c r="C231" s="322"/>
      <c r="D231" s="306">
        <f>IF(ISNA(VLOOKUP($B231,IS明細!B:D,3,0)),0,VLOOKUP($B231,IS明細!B:D,3,0))</f>
        <v>0</v>
      </c>
      <c r="E231" s="306">
        <f>IF(ISNA(VLOOKUP($B231,IS明細!$B:F,5,0)),0,VLOOKUP($B231,IS明細!$B:F,5,0))</f>
        <v>0</v>
      </c>
      <c r="F231" s="306">
        <f>IF(ISNA(VLOOKUP($B231,IS明細!$B:H,7,0)),0,VLOOKUP($B231,IS明細!$B:H,7,0))</f>
        <v>0</v>
      </c>
      <c r="G231" s="306">
        <f>IF(ISNA(VLOOKUP($B231,IS明細!$B:J,9,0)),0,VLOOKUP($B231,IS明細!$B:J,9,0))</f>
        <v>3524934</v>
      </c>
      <c r="H231" s="306">
        <f>IF(ISNA(VLOOKUP($B231,IS明細!$B:L,11,0)),0,VLOOKUP($B231,IS明細!$B:L,11,0))</f>
        <v>0</v>
      </c>
      <c r="I231" s="306">
        <f>IF(ISNA(VLOOKUP($B231,IS明細!$B:N,13,0)),0,VLOOKUP($B231,IS明細!$B:N,13,0))</f>
        <v>3632095</v>
      </c>
      <c r="J231" s="306">
        <f>IF(ISNA(VLOOKUP($B231,IS明細!$B:P,15,0)),0,VLOOKUP($B231,IS明細!$B:P,15,0))</f>
        <v>0</v>
      </c>
      <c r="K231" s="306">
        <f>IF(ISNA(VLOOKUP($B231,IS明細!$B:R,17,0)),0,VLOOKUP($B231,IS明細!$B:R,17,0))</f>
        <v>0</v>
      </c>
      <c r="L231" s="306">
        <f>IF(ISNA(VLOOKUP($B231,IS明細!$B:T,19,0)),0,VLOOKUP($B231,IS明細!$B:T,19,0))</f>
        <v>0</v>
      </c>
      <c r="M231" s="306">
        <f>IF(ISNA(VLOOKUP($B231,IS明細!$B:V,21,0)),0,VLOOKUP($B231,IS明細!$B:V,21,0))</f>
        <v>0</v>
      </c>
      <c r="N231" s="306">
        <f>IF(ISNA(VLOOKUP($B231,IS明細!$B:X,23,0)),0,VLOOKUP($B231,IS明細!$B:X,23,0))</f>
        <v>0</v>
      </c>
      <c r="O231" s="306">
        <f>IF(ISNA(VLOOKUP($B231,IS明細!$B:Z,25,0)),0,VLOOKUP($B231,IS明細!$B:Z,25,0))</f>
        <v>0</v>
      </c>
      <c r="P231" s="306">
        <f t="shared" si="9"/>
        <v>7157029</v>
      </c>
      <c r="Q231" s="337">
        <f t="shared" si="10"/>
        <v>1.2622898707927122E-2</v>
      </c>
      <c r="R231" s="321"/>
    </row>
    <row r="232" spans="1:18" ht="18" hidden="1" customHeight="1" outlineLevel="1">
      <c r="A232" s="344"/>
      <c r="B232" s="344" t="s">
        <v>837</v>
      </c>
      <c r="C232" s="322"/>
      <c r="D232" s="306">
        <f>IF(ISNA(VLOOKUP($B232,IS明細!B:D,3,0)),0,VLOOKUP($B232,IS明細!B:D,3,0))</f>
        <v>0</v>
      </c>
      <c r="E232" s="306">
        <f>IF(ISNA(VLOOKUP($B232,IS明細!$B:F,5,0)),0,VLOOKUP($B232,IS明細!$B:F,5,0))</f>
        <v>0</v>
      </c>
      <c r="F232" s="306">
        <f>IF(ISNA(VLOOKUP($B232,IS明細!$B:H,7,0)),0,VLOOKUP($B232,IS明細!$B:H,7,0))</f>
        <v>0</v>
      </c>
      <c r="G232" s="306">
        <f>IF(ISNA(VLOOKUP($B232,IS明細!$B:J,9,0)),0,VLOOKUP($B232,IS明細!$B:J,9,0))</f>
        <v>0</v>
      </c>
      <c r="H232" s="306">
        <f>IF(ISNA(VLOOKUP($B232,IS明細!$B:L,11,0)),0,VLOOKUP($B232,IS明細!$B:L,11,0))</f>
        <v>0</v>
      </c>
      <c r="I232" s="306">
        <f>IF(ISNA(VLOOKUP($B232,IS明細!$B:N,13,0)),0,VLOOKUP($B232,IS明細!$B:N,13,0))</f>
        <v>0</v>
      </c>
      <c r="J232" s="306">
        <f>IF(ISNA(VLOOKUP($B232,IS明細!$B:P,15,0)),0,VLOOKUP($B232,IS明細!$B:P,15,0))</f>
        <v>0</v>
      </c>
      <c r="K232" s="306">
        <f>IF(ISNA(VLOOKUP($B232,IS明細!$B:R,17,0)),0,VLOOKUP($B232,IS明細!$B:R,17,0))</f>
        <v>0</v>
      </c>
      <c r="L232" s="306">
        <f>IF(ISNA(VLOOKUP($B232,IS明細!$B:T,19,0)),0,VLOOKUP($B232,IS明細!$B:T,19,0))</f>
        <v>0</v>
      </c>
      <c r="M232" s="306">
        <f>IF(ISNA(VLOOKUP($B232,IS明細!$B:V,21,0)),0,VLOOKUP($B232,IS明細!$B:V,21,0))</f>
        <v>0</v>
      </c>
      <c r="N232" s="306">
        <f>IF(ISNA(VLOOKUP($B232,IS明細!$B:X,23,0)),0,VLOOKUP($B232,IS明細!$B:X,23,0))</f>
        <v>0</v>
      </c>
      <c r="O232" s="306">
        <f>IF(ISNA(VLOOKUP($B232,IS明細!$B:Z,25,0)),0,VLOOKUP($B232,IS明細!$B:Z,25,0))</f>
        <v>0</v>
      </c>
      <c r="P232" s="306">
        <f t="shared" si="9"/>
        <v>0</v>
      </c>
      <c r="Q232" s="337">
        <f t="shared" si="10"/>
        <v>0</v>
      </c>
      <c r="R232" s="321"/>
    </row>
    <row r="233" spans="1:18" ht="18" hidden="1" customHeight="1" outlineLevel="1">
      <c r="A233" s="344"/>
      <c r="B233" s="344" t="s">
        <v>838</v>
      </c>
      <c r="C233" s="322"/>
      <c r="D233" s="306">
        <f>IF(ISNA(VLOOKUP($B233,IS明細!B:D,3,0)),0,VLOOKUP($B233,IS明細!B:D,3,0))</f>
        <v>0</v>
      </c>
      <c r="E233" s="306">
        <f>IF(ISNA(VLOOKUP($B233,IS明細!$B:F,5,0)),0,VLOOKUP($B233,IS明細!$B:F,5,0))</f>
        <v>0</v>
      </c>
      <c r="F233" s="306">
        <f>IF(ISNA(VLOOKUP($B233,IS明細!$B:H,7,0)),0,VLOOKUP($B233,IS明細!$B:H,7,0))</f>
        <v>0</v>
      </c>
      <c r="G233" s="306">
        <f>IF(ISNA(VLOOKUP($B233,IS明細!$B:J,9,0)),0,VLOOKUP($B233,IS明細!$B:J,9,0))</f>
        <v>0</v>
      </c>
      <c r="H233" s="306">
        <f>IF(ISNA(VLOOKUP($B233,IS明細!$B:L,11,0)),0,VLOOKUP($B233,IS明細!$B:L,11,0))</f>
        <v>0</v>
      </c>
      <c r="I233" s="306">
        <f>IF(ISNA(VLOOKUP($B233,IS明細!$B:N,13,0)),0,VLOOKUP($B233,IS明細!$B:N,13,0))</f>
        <v>0</v>
      </c>
      <c r="J233" s="306">
        <f>IF(ISNA(VLOOKUP($B233,IS明細!$B:P,15,0)),0,VLOOKUP($B233,IS明細!$B:P,15,0))</f>
        <v>0</v>
      </c>
      <c r="K233" s="306">
        <f>IF(ISNA(VLOOKUP($B233,IS明細!$B:R,17,0)),0,VLOOKUP($B233,IS明細!$B:R,17,0))</f>
        <v>0</v>
      </c>
      <c r="L233" s="306">
        <f>IF(ISNA(VLOOKUP($B233,IS明細!$B:T,19,0)),0,VLOOKUP($B233,IS明細!$B:T,19,0))</f>
        <v>0</v>
      </c>
      <c r="M233" s="306">
        <f>IF(ISNA(VLOOKUP($B233,IS明細!$B:V,21,0)),0,VLOOKUP($B233,IS明細!$B:V,21,0))</f>
        <v>0</v>
      </c>
      <c r="N233" s="306">
        <f>IF(ISNA(VLOOKUP($B233,IS明細!$B:X,23,0)),0,VLOOKUP($B233,IS明細!$B:X,23,0))</f>
        <v>0</v>
      </c>
      <c r="O233" s="306">
        <f>IF(ISNA(VLOOKUP($B233,IS明細!$B:Z,25,0)),0,VLOOKUP($B233,IS明細!$B:Z,25,0))</f>
        <v>0</v>
      </c>
      <c r="P233" s="306">
        <f t="shared" si="9"/>
        <v>0</v>
      </c>
      <c r="Q233" s="337">
        <f t="shared" si="10"/>
        <v>0</v>
      </c>
      <c r="R233" s="321"/>
    </row>
    <row r="234" spans="1:18" ht="18" hidden="1" customHeight="1" outlineLevel="1">
      <c r="A234" s="344"/>
      <c r="B234" s="344" t="s">
        <v>839</v>
      </c>
      <c r="C234" s="322"/>
      <c r="D234" s="306">
        <f>IF(ISNA(VLOOKUP($B234,IS明細!B:D,3,0)),0,VLOOKUP($B234,IS明細!B:D,3,0))</f>
        <v>0</v>
      </c>
      <c r="E234" s="306">
        <f>IF(ISNA(VLOOKUP($B234,IS明細!$B:F,5,0)),0,VLOOKUP($B234,IS明細!$B:F,5,0))</f>
        <v>0</v>
      </c>
      <c r="F234" s="306">
        <f>IF(ISNA(VLOOKUP($B234,IS明細!$B:H,7,0)),0,VLOOKUP($B234,IS明細!$B:H,7,0))</f>
        <v>0</v>
      </c>
      <c r="G234" s="306">
        <f>IF(ISNA(VLOOKUP($B234,IS明細!$B:J,9,0)),0,VLOOKUP($B234,IS明細!$B:J,9,0))</f>
        <v>0</v>
      </c>
      <c r="H234" s="306">
        <f>IF(ISNA(VLOOKUP($B234,IS明細!$B:L,11,0)),0,VLOOKUP($B234,IS明細!$B:L,11,0))</f>
        <v>0</v>
      </c>
      <c r="I234" s="306">
        <f>IF(ISNA(VLOOKUP($B234,IS明細!$B:N,13,0)),0,VLOOKUP($B234,IS明細!$B:N,13,0))</f>
        <v>0</v>
      </c>
      <c r="J234" s="306">
        <f>IF(ISNA(VLOOKUP($B234,IS明細!$B:P,15,0)),0,VLOOKUP($B234,IS明細!$B:P,15,0))</f>
        <v>0</v>
      </c>
      <c r="K234" s="306">
        <f>IF(ISNA(VLOOKUP($B234,IS明細!$B:R,17,0)),0,VLOOKUP($B234,IS明細!$B:R,17,0))</f>
        <v>0</v>
      </c>
      <c r="L234" s="306">
        <f>IF(ISNA(VLOOKUP($B234,IS明細!$B:T,19,0)),0,VLOOKUP($B234,IS明細!$B:T,19,0))</f>
        <v>0</v>
      </c>
      <c r="M234" s="306">
        <f>IF(ISNA(VLOOKUP($B234,IS明細!$B:V,21,0)),0,VLOOKUP($B234,IS明細!$B:V,21,0))</f>
        <v>0</v>
      </c>
      <c r="N234" s="306">
        <f>IF(ISNA(VLOOKUP($B234,IS明細!$B:X,23,0)),0,VLOOKUP($B234,IS明細!$B:X,23,0))</f>
        <v>0</v>
      </c>
      <c r="O234" s="306">
        <f>IF(ISNA(VLOOKUP($B234,IS明細!$B:Z,25,0)),0,VLOOKUP($B234,IS明細!$B:Z,25,0))</f>
        <v>0</v>
      </c>
      <c r="P234" s="306">
        <f t="shared" si="9"/>
        <v>0</v>
      </c>
      <c r="Q234" s="337">
        <f t="shared" si="10"/>
        <v>0</v>
      </c>
      <c r="R234" s="321"/>
    </row>
    <row r="235" spans="1:18" ht="18" hidden="1" customHeight="1" outlineLevel="1">
      <c r="A235" s="344"/>
      <c r="B235" s="344" t="s">
        <v>840</v>
      </c>
      <c r="C235" s="322"/>
      <c r="D235" s="306">
        <f>IF(ISNA(VLOOKUP($B235,IS明細!B:D,3,0)),0,VLOOKUP($B235,IS明細!B:D,3,0))</f>
        <v>0</v>
      </c>
      <c r="E235" s="306">
        <f>IF(ISNA(VLOOKUP($B235,IS明細!$B:F,5,0)),0,VLOOKUP($B235,IS明細!$B:F,5,0))</f>
        <v>0</v>
      </c>
      <c r="F235" s="306">
        <f>IF(ISNA(VLOOKUP($B235,IS明細!$B:H,7,0)),0,VLOOKUP($B235,IS明細!$B:H,7,0))</f>
        <v>0</v>
      </c>
      <c r="G235" s="306">
        <f>IF(ISNA(VLOOKUP($B235,IS明細!$B:J,9,0)),0,VLOOKUP($B235,IS明細!$B:J,9,0))</f>
        <v>0</v>
      </c>
      <c r="H235" s="306">
        <f>IF(ISNA(VLOOKUP($B235,IS明細!$B:L,11,0)),0,VLOOKUP($B235,IS明細!$B:L,11,0))</f>
        <v>0</v>
      </c>
      <c r="I235" s="306">
        <f>IF(ISNA(VLOOKUP($B235,IS明細!$B:N,13,0)),0,VLOOKUP($B235,IS明細!$B:N,13,0))</f>
        <v>0</v>
      </c>
      <c r="J235" s="306">
        <f>IF(ISNA(VLOOKUP($B235,IS明細!$B:P,15,0)),0,VLOOKUP($B235,IS明細!$B:P,15,0))</f>
        <v>0</v>
      </c>
      <c r="K235" s="306">
        <f>IF(ISNA(VLOOKUP($B235,IS明細!$B:R,17,0)),0,VLOOKUP($B235,IS明細!$B:R,17,0))</f>
        <v>0</v>
      </c>
      <c r="L235" s="306">
        <f>IF(ISNA(VLOOKUP($B235,IS明細!$B:T,19,0)),0,VLOOKUP($B235,IS明細!$B:T,19,0))</f>
        <v>0</v>
      </c>
      <c r="M235" s="306">
        <f>IF(ISNA(VLOOKUP($B235,IS明細!$B:V,21,0)),0,VLOOKUP($B235,IS明細!$B:V,21,0))</f>
        <v>0</v>
      </c>
      <c r="N235" s="306">
        <f>IF(ISNA(VLOOKUP($B235,IS明細!$B:X,23,0)),0,VLOOKUP($B235,IS明細!$B:X,23,0))</f>
        <v>0</v>
      </c>
      <c r="O235" s="306">
        <f>IF(ISNA(VLOOKUP($B235,IS明細!$B:Z,25,0)),0,VLOOKUP($B235,IS明細!$B:Z,25,0))</f>
        <v>0</v>
      </c>
      <c r="P235" s="306">
        <f t="shared" si="9"/>
        <v>0</v>
      </c>
      <c r="Q235" s="337">
        <f t="shared" si="10"/>
        <v>0</v>
      </c>
      <c r="R235" s="321"/>
    </row>
    <row r="236" spans="1:18" ht="18" hidden="1" customHeight="1" outlineLevel="1">
      <c r="A236" s="344"/>
      <c r="B236" s="344" t="s">
        <v>841</v>
      </c>
      <c r="C236" s="322"/>
      <c r="D236" s="306">
        <f>IF(ISNA(VLOOKUP($B236,IS明細!B:D,3,0)),0,VLOOKUP($B236,IS明細!B:D,3,0))</f>
        <v>0</v>
      </c>
      <c r="E236" s="306">
        <f>IF(ISNA(VLOOKUP($B236,IS明細!$B:F,5,0)),0,VLOOKUP($B236,IS明細!$B:F,5,0))</f>
        <v>0</v>
      </c>
      <c r="F236" s="306">
        <f>IF(ISNA(VLOOKUP($B236,IS明細!$B:H,7,0)),0,VLOOKUP($B236,IS明細!$B:H,7,0))</f>
        <v>0</v>
      </c>
      <c r="G236" s="306">
        <f>IF(ISNA(VLOOKUP($B236,IS明細!$B:J,9,0)),0,VLOOKUP($B236,IS明細!$B:J,9,0))</f>
        <v>0</v>
      </c>
      <c r="H236" s="306">
        <f>IF(ISNA(VLOOKUP($B236,IS明細!$B:L,11,0)),0,VLOOKUP($B236,IS明細!$B:L,11,0))</f>
        <v>0</v>
      </c>
      <c r="I236" s="306">
        <f>IF(ISNA(VLOOKUP($B236,IS明細!$B:N,13,0)),0,VLOOKUP($B236,IS明細!$B:N,13,0))</f>
        <v>0</v>
      </c>
      <c r="J236" s="306">
        <f>IF(ISNA(VLOOKUP($B236,IS明細!$B:P,15,0)),0,VLOOKUP($B236,IS明細!$B:P,15,0))</f>
        <v>0</v>
      </c>
      <c r="K236" s="306">
        <f>IF(ISNA(VLOOKUP($B236,IS明細!$B:R,17,0)),0,VLOOKUP($B236,IS明細!$B:R,17,0))</f>
        <v>0</v>
      </c>
      <c r="L236" s="306">
        <f>IF(ISNA(VLOOKUP($B236,IS明細!$B:T,19,0)),0,VLOOKUP($B236,IS明細!$B:T,19,0))</f>
        <v>0</v>
      </c>
      <c r="M236" s="306">
        <f>IF(ISNA(VLOOKUP($B236,IS明細!$B:V,21,0)),0,VLOOKUP($B236,IS明細!$B:V,21,0))</f>
        <v>0</v>
      </c>
      <c r="N236" s="306">
        <f>IF(ISNA(VLOOKUP($B236,IS明細!$B:X,23,0)),0,VLOOKUP($B236,IS明細!$B:X,23,0))</f>
        <v>0</v>
      </c>
      <c r="O236" s="306">
        <f>IF(ISNA(VLOOKUP($B236,IS明細!$B:Z,25,0)),0,VLOOKUP($B236,IS明細!$B:Z,25,0))</f>
        <v>0</v>
      </c>
      <c r="P236" s="306">
        <f t="shared" si="9"/>
        <v>0</v>
      </c>
      <c r="Q236" s="337">
        <f t="shared" si="10"/>
        <v>0</v>
      </c>
      <c r="R236" s="321"/>
    </row>
    <row r="237" spans="1:18" ht="18" hidden="1" customHeight="1" outlineLevel="1">
      <c r="A237" s="344"/>
      <c r="B237" s="344" t="s">
        <v>842</v>
      </c>
      <c r="C237" s="322"/>
      <c r="D237" s="306">
        <f>IF(ISNA(VLOOKUP($B237,IS明細!B:D,3,0)),0,VLOOKUP($B237,IS明細!B:D,3,0))</f>
        <v>0</v>
      </c>
      <c r="E237" s="306">
        <f>IF(ISNA(VLOOKUP($B237,IS明細!$B:F,5,0)),0,VLOOKUP($B237,IS明細!$B:F,5,0))</f>
        <v>0</v>
      </c>
      <c r="F237" s="306">
        <f>IF(ISNA(VLOOKUP($B237,IS明細!$B:H,7,0)),0,VLOOKUP($B237,IS明細!$B:H,7,0))</f>
        <v>0</v>
      </c>
      <c r="G237" s="306">
        <f>IF(ISNA(VLOOKUP($B237,IS明細!$B:J,9,0)),0,VLOOKUP($B237,IS明細!$B:J,9,0))</f>
        <v>0</v>
      </c>
      <c r="H237" s="306">
        <f>IF(ISNA(VLOOKUP($B237,IS明細!$B:L,11,0)),0,VLOOKUP($B237,IS明細!$B:L,11,0))</f>
        <v>0</v>
      </c>
      <c r="I237" s="306">
        <f>IF(ISNA(VLOOKUP($B237,IS明細!$B:N,13,0)),0,VLOOKUP($B237,IS明細!$B:N,13,0))</f>
        <v>0</v>
      </c>
      <c r="J237" s="306">
        <f>IF(ISNA(VLOOKUP($B237,IS明細!$B:P,15,0)),0,VLOOKUP($B237,IS明細!$B:P,15,0))</f>
        <v>0</v>
      </c>
      <c r="K237" s="306">
        <f>IF(ISNA(VLOOKUP($B237,IS明細!$B:R,17,0)),0,VLOOKUP($B237,IS明細!$B:R,17,0))</f>
        <v>0</v>
      </c>
      <c r="L237" s="306">
        <f>IF(ISNA(VLOOKUP($B237,IS明細!$B:T,19,0)),0,VLOOKUP($B237,IS明細!$B:T,19,0))</f>
        <v>0</v>
      </c>
      <c r="M237" s="306">
        <f>IF(ISNA(VLOOKUP($B237,IS明細!$B:V,21,0)),0,VLOOKUP($B237,IS明細!$B:V,21,0))</f>
        <v>0</v>
      </c>
      <c r="N237" s="306">
        <f>IF(ISNA(VLOOKUP($B237,IS明細!$B:X,23,0)),0,VLOOKUP($B237,IS明細!$B:X,23,0))</f>
        <v>0</v>
      </c>
      <c r="O237" s="306">
        <f>IF(ISNA(VLOOKUP($B237,IS明細!$B:Z,25,0)),0,VLOOKUP($B237,IS明細!$B:Z,25,0))</f>
        <v>0</v>
      </c>
      <c r="P237" s="306">
        <f t="shared" si="9"/>
        <v>0</v>
      </c>
      <c r="Q237" s="337">
        <f t="shared" si="10"/>
        <v>0</v>
      </c>
      <c r="R237" s="321"/>
    </row>
    <row r="238" spans="1:18" ht="18" hidden="1" customHeight="1" outlineLevel="1">
      <c r="A238" s="344"/>
      <c r="B238" s="344" t="s">
        <v>843</v>
      </c>
      <c r="C238" s="322"/>
      <c r="D238" s="306">
        <f>IF(ISNA(VLOOKUP($B238,IS明細!B:D,3,0)),0,VLOOKUP($B238,IS明細!B:D,3,0))</f>
        <v>151618</v>
      </c>
      <c r="E238" s="306">
        <f>IF(ISNA(VLOOKUP($B238,IS明細!$B:F,5,0)),0,VLOOKUP($B238,IS明細!$B:F,5,0))</f>
        <v>59477</v>
      </c>
      <c r="F238" s="306">
        <f>IF(ISNA(VLOOKUP($B238,IS明細!$B:H,7,0)),0,VLOOKUP($B238,IS明細!$B:H,7,0))</f>
        <v>53695</v>
      </c>
      <c r="G238" s="306">
        <f>IF(ISNA(VLOOKUP($B238,IS明細!$B:J,9,0)),0,VLOOKUP($B238,IS明細!$B:J,9,0))</f>
        <v>277576</v>
      </c>
      <c r="H238" s="306">
        <f>IF(ISNA(VLOOKUP($B238,IS明細!$B:L,11,0)),0,VLOOKUP($B238,IS明細!$B:L,11,0))</f>
        <v>239006</v>
      </c>
      <c r="I238" s="306">
        <f>IF(ISNA(VLOOKUP($B238,IS明細!$B:N,13,0)),0,VLOOKUP($B238,IS明細!$B:N,13,0))</f>
        <v>88951</v>
      </c>
      <c r="J238" s="306">
        <f>IF(ISNA(VLOOKUP($B238,IS明細!$B:P,15,0)),0,VLOOKUP($B238,IS明細!$B:P,15,0))</f>
        <v>70176</v>
      </c>
      <c r="K238" s="306">
        <f>IF(ISNA(VLOOKUP($B238,IS明細!$B:R,17,0)),0,VLOOKUP($B238,IS明細!$B:R,17,0))</f>
        <v>264338</v>
      </c>
      <c r="L238" s="306">
        <f>IF(ISNA(VLOOKUP($B238,IS明細!$B:T,19,0)),0,VLOOKUP($B238,IS明細!$B:T,19,0))</f>
        <v>0</v>
      </c>
      <c r="M238" s="306">
        <f>IF(ISNA(VLOOKUP($B238,IS明細!$B:V,21,0)),0,VLOOKUP($B238,IS明細!$B:V,21,0))</f>
        <v>0</v>
      </c>
      <c r="N238" s="306">
        <f>IF(ISNA(VLOOKUP($B238,IS明細!$B:X,23,0)),0,VLOOKUP($B238,IS明細!$B:X,23,0))</f>
        <v>0</v>
      </c>
      <c r="O238" s="306">
        <f>IF(ISNA(VLOOKUP($B238,IS明細!$B:Z,25,0)),0,VLOOKUP($B238,IS明細!$B:Z,25,0))</f>
        <v>0</v>
      </c>
      <c r="P238" s="306">
        <f t="shared" si="9"/>
        <v>1204837</v>
      </c>
      <c r="Q238" s="337">
        <f t="shared" si="10"/>
        <v>2.1249788718982125E-3</v>
      </c>
      <c r="R238" s="321"/>
    </row>
    <row r="239" spans="1:18" ht="18" hidden="1" customHeight="1" outlineLevel="1">
      <c r="A239" s="344"/>
      <c r="B239" s="344" t="s">
        <v>844</v>
      </c>
      <c r="C239" s="322"/>
      <c r="D239" s="306">
        <f>IF(ISNA(VLOOKUP($B239,IS明細!B:D,3,0)),0,VLOOKUP($B239,IS明細!B:D,3,0))</f>
        <v>1013492</v>
      </c>
      <c r="E239" s="306">
        <f>IF(ISNA(VLOOKUP($B239,IS明細!$B:F,5,0)),0,VLOOKUP($B239,IS明細!$B:F,5,0))</f>
        <v>990830</v>
      </c>
      <c r="F239" s="306">
        <f>IF(ISNA(VLOOKUP($B239,IS明細!$B:H,7,0)),0,VLOOKUP($B239,IS明細!$B:H,7,0))</f>
        <v>3001909</v>
      </c>
      <c r="G239" s="306">
        <f>IF(ISNA(VLOOKUP($B239,IS明細!$B:J,9,0)),0,VLOOKUP($B239,IS明細!$B:J,9,0))</f>
        <v>3891621</v>
      </c>
      <c r="H239" s="306">
        <f>IF(ISNA(VLOOKUP($B239,IS明細!$B:L,11,0)),0,VLOOKUP($B239,IS明細!$B:L,11,0))</f>
        <v>2211387</v>
      </c>
      <c r="I239" s="306">
        <f>IF(ISNA(VLOOKUP($B239,IS明細!$B:N,13,0)),0,VLOOKUP($B239,IS明細!$B:N,13,0))</f>
        <v>3924023</v>
      </c>
      <c r="J239" s="306">
        <f>IF(ISNA(VLOOKUP($B239,IS明細!$B:P,15,0)),0,VLOOKUP($B239,IS明細!$B:P,15,0))</f>
        <v>1198088</v>
      </c>
      <c r="K239" s="306">
        <f>IF(ISNA(VLOOKUP($B239,IS明細!$B:R,17,0)),0,VLOOKUP($B239,IS明細!$B:R,17,0))</f>
        <v>1005421</v>
      </c>
      <c r="L239" s="306">
        <f>IF(ISNA(VLOOKUP($B239,IS明細!$B:T,19,0)),0,VLOOKUP($B239,IS明細!$B:T,19,0))</f>
        <v>0</v>
      </c>
      <c r="M239" s="306">
        <f>IF(ISNA(VLOOKUP($B239,IS明細!$B:V,21,0)),0,VLOOKUP($B239,IS明細!$B:V,21,0))</f>
        <v>0</v>
      </c>
      <c r="N239" s="306">
        <f>IF(ISNA(VLOOKUP($B239,IS明細!$B:X,23,0)),0,VLOOKUP($B239,IS明細!$B:X,23,0))</f>
        <v>0</v>
      </c>
      <c r="O239" s="306">
        <f>IF(ISNA(VLOOKUP($B239,IS明細!$B:Z,25,0)),0,VLOOKUP($B239,IS明細!$B:Z,25,0))</f>
        <v>0</v>
      </c>
      <c r="P239" s="306">
        <f>SUM(D239:O239)</f>
        <v>17236771</v>
      </c>
      <c r="Q239" s="337">
        <f>P239/$P$21</f>
        <v>3.0477271303466454E-2</v>
      </c>
      <c r="R239" s="321"/>
    </row>
    <row r="240" spans="1:18" ht="18" hidden="1" customHeight="1" outlineLevel="1">
      <c r="A240" s="344"/>
      <c r="B240" s="344" t="s">
        <v>845</v>
      </c>
      <c r="C240" s="322"/>
      <c r="D240" s="306"/>
      <c r="E240" s="306"/>
      <c r="F240" s="306"/>
      <c r="G240" s="306"/>
      <c r="H240" s="306"/>
      <c r="I240" s="306"/>
      <c r="J240" s="306"/>
      <c r="K240" s="306"/>
      <c r="L240" s="306"/>
      <c r="M240" s="306"/>
      <c r="N240" s="306"/>
      <c r="O240" s="306"/>
      <c r="P240" s="306"/>
      <c r="Q240" s="337"/>
      <c r="R240" s="321"/>
    </row>
    <row r="241" spans="1:18" ht="18" hidden="1" customHeight="1" outlineLevel="1">
      <c r="A241" s="344"/>
      <c r="B241" s="344" t="s">
        <v>846</v>
      </c>
      <c r="C241" s="322"/>
      <c r="D241" s="306">
        <f>IF(ISNA(VLOOKUP($B241,IS明細!B:D,3,0)),0,VLOOKUP($B241,IS明細!B:D,3,0))</f>
        <v>26301</v>
      </c>
      <c r="E241" s="306">
        <f>IF(ISNA(VLOOKUP($B241,IS明細!$B:F,5,0)),0,VLOOKUP($B241,IS明細!$B:F,5,0))</f>
        <v>74827</v>
      </c>
      <c r="F241" s="306">
        <f>IF(ISNA(VLOOKUP($B241,IS明細!$B:H,7,0)),0,VLOOKUP($B241,IS明細!$B:H,7,0))</f>
        <v>69962</v>
      </c>
      <c r="G241" s="306">
        <f>IF(ISNA(VLOOKUP($B241,IS明細!$B:J,9,0)),0,VLOOKUP($B241,IS明細!$B:J,9,0))</f>
        <v>93988</v>
      </c>
      <c r="H241" s="306">
        <f>IF(ISNA(VLOOKUP($B241,IS明細!$B:L,11,0)),0,VLOOKUP($B241,IS明細!$B:L,11,0))</f>
        <v>91944</v>
      </c>
      <c r="I241" s="306">
        <f>IF(ISNA(VLOOKUP($B241,IS明細!$B:N,13,0)),0,VLOOKUP($B241,IS明細!$B:N,13,0))</f>
        <v>112861</v>
      </c>
      <c r="J241" s="306">
        <f>IF(ISNA(VLOOKUP($B241,IS明細!$B:P,15,0)),0,VLOOKUP($B241,IS明細!$B:P,15,0))</f>
        <v>96752</v>
      </c>
      <c r="K241" s="306">
        <f>IF(ISNA(VLOOKUP($B241,IS明細!$B:R,17,0)),0,VLOOKUP($B241,IS明細!$B:R,17,0))</f>
        <v>117626</v>
      </c>
      <c r="L241" s="306">
        <f>IF(ISNA(VLOOKUP($B241,IS明細!$B:T,19,0)),0,VLOOKUP($B241,IS明細!$B:T,19,0))</f>
        <v>0</v>
      </c>
      <c r="M241" s="306">
        <f>IF(ISNA(VLOOKUP($B241,IS明細!$B:V,21,0)),0,VLOOKUP($B241,IS明細!$B:V,21,0))</f>
        <v>0</v>
      </c>
      <c r="N241" s="306">
        <f>IF(ISNA(VLOOKUP($B241,IS明細!$B:X,23,0)),0,VLOOKUP($B241,IS明細!$B:X,23,0))</f>
        <v>0</v>
      </c>
      <c r="O241" s="306">
        <f>IF(ISNA(VLOOKUP($B241,IS明細!$B:Z,25,0)),0,VLOOKUP($B241,IS明細!$B:Z,25,0))</f>
        <v>0</v>
      </c>
      <c r="P241" s="306">
        <f t="shared" si="9"/>
        <v>684261</v>
      </c>
      <c r="Q241" s="337">
        <f t="shared" si="10"/>
        <v>1.2068355867755909E-3</v>
      </c>
      <c r="R241" s="321"/>
    </row>
    <row r="242" spans="1:18" ht="18" hidden="1" customHeight="1" outlineLevel="1">
      <c r="A242" s="344"/>
      <c r="B242" s="344" t="s">
        <v>847</v>
      </c>
      <c r="C242" s="322"/>
      <c r="D242" s="306">
        <f>IF(ISNA(VLOOKUP($B242,IS明細!B:D,3,0)),0,VLOOKUP($B242,IS明細!B:D,3,0))</f>
        <v>26301</v>
      </c>
      <c r="E242" s="306">
        <f>IF(ISNA(VLOOKUP($B242,IS明細!$B:F,5,0)),0,VLOOKUP($B242,IS明細!$B:F,5,0))</f>
        <v>74827</v>
      </c>
      <c r="F242" s="306">
        <f>IF(ISNA(VLOOKUP($B242,IS明細!$B:H,7,0)),0,VLOOKUP($B242,IS明細!$B:H,7,0))</f>
        <v>69962</v>
      </c>
      <c r="G242" s="306">
        <f>IF(ISNA(VLOOKUP($B242,IS明細!$B:J,9,0)),0,VLOOKUP($B242,IS明細!$B:J,9,0))</f>
        <v>93988</v>
      </c>
      <c r="H242" s="306">
        <f>IF(ISNA(VLOOKUP($B242,IS明細!$B:L,11,0)),0,VLOOKUP($B242,IS明細!$B:L,11,0))</f>
        <v>91944</v>
      </c>
      <c r="I242" s="306">
        <f>IF(ISNA(VLOOKUP($B242,IS明細!$B:N,13,0)),0,VLOOKUP($B242,IS明細!$B:N,13,0))</f>
        <v>112861</v>
      </c>
      <c r="J242" s="306">
        <f>IF(ISNA(VLOOKUP($B242,IS明細!$B:P,15,0)),0,VLOOKUP($B242,IS明細!$B:P,15,0))</f>
        <v>96752</v>
      </c>
      <c r="K242" s="306">
        <f>IF(ISNA(VLOOKUP($B242,IS明細!$B:R,17,0)),0,VLOOKUP($B242,IS明細!$B:R,17,0))</f>
        <v>117626</v>
      </c>
      <c r="L242" s="306">
        <f>IF(ISNA(VLOOKUP($B242,IS明細!$B:T,19,0)),0,VLOOKUP($B242,IS明細!$B:T,19,0))</f>
        <v>0</v>
      </c>
      <c r="M242" s="306">
        <f>IF(ISNA(VLOOKUP($B242,IS明細!$B:V,21,0)),0,VLOOKUP($B242,IS明細!$B:V,21,0))</f>
        <v>0</v>
      </c>
      <c r="N242" s="306">
        <f>IF(ISNA(VLOOKUP($B242,IS明細!$B:X,23,0)),0,VLOOKUP($B242,IS明細!$B:X,23,0))</f>
        <v>0</v>
      </c>
      <c r="O242" s="306">
        <f>IF(ISNA(VLOOKUP($B242,IS明細!$B:Z,25,0)),0,VLOOKUP($B242,IS明細!$B:Z,25,0))</f>
        <v>0</v>
      </c>
      <c r="P242" s="306">
        <f t="shared" si="9"/>
        <v>684261</v>
      </c>
      <c r="Q242" s="337">
        <f t="shared" si="10"/>
        <v>1.2068355867755909E-3</v>
      </c>
      <c r="R242" s="321"/>
    </row>
    <row r="243" spans="1:18" ht="18" hidden="1" customHeight="1" outlineLevel="1">
      <c r="A243" s="344"/>
      <c r="B243" s="344" t="s">
        <v>848</v>
      </c>
      <c r="C243" s="322"/>
      <c r="D243" s="306">
        <f>IF(ISNA(VLOOKUP($B243,IS明細!B:D,3,0)),0,VLOOKUP($B243,IS明細!B:D,3,0))</f>
        <v>0</v>
      </c>
      <c r="E243" s="306">
        <f>IF(ISNA(VLOOKUP($B243,IS明細!$B:F,5,0)),0,VLOOKUP($B243,IS明細!$B:F,5,0))</f>
        <v>0</v>
      </c>
      <c r="F243" s="306">
        <f>IF(ISNA(VLOOKUP($B243,IS明細!$B:H,7,0)),0,VLOOKUP($B243,IS明細!$B:H,7,0))</f>
        <v>0</v>
      </c>
      <c r="G243" s="306">
        <f>IF(ISNA(VLOOKUP($B243,IS明細!$B:J,9,0)),0,VLOOKUP($B243,IS明細!$B:J,9,0))</f>
        <v>0</v>
      </c>
      <c r="H243" s="306">
        <f>IF(ISNA(VLOOKUP($B243,IS明細!$B:L,11,0)),0,VLOOKUP($B243,IS明細!$B:L,11,0))</f>
        <v>0</v>
      </c>
      <c r="I243" s="306">
        <f>IF(ISNA(VLOOKUP($B243,IS明細!$B:N,13,0)),0,VLOOKUP($B243,IS明細!$B:N,13,0))</f>
        <v>0</v>
      </c>
      <c r="J243" s="306">
        <f>IF(ISNA(VLOOKUP($B243,IS明細!$B:P,15,0)),0,VLOOKUP($B243,IS明細!$B:P,15,0))</f>
        <v>0</v>
      </c>
      <c r="K243" s="306">
        <f>IF(ISNA(VLOOKUP($B243,IS明細!$B:R,17,0)),0,VLOOKUP($B243,IS明細!$B:R,17,0))</f>
        <v>0</v>
      </c>
      <c r="L243" s="306">
        <f>IF(ISNA(VLOOKUP($B243,IS明細!$B:T,19,0)),0,VLOOKUP($B243,IS明細!$B:T,19,0))</f>
        <v>0</v>
      </c>
      <c r="M243" s="306">
        <f>IF(ISNA(VLOOKUP($B243,IS明細!$B:V,21,0)),0,VLOOKUP($B243,IS明細!$B:V,21,0))</f>
        <v>0</v>
      </c>
      <c r="N243" s="306">
        <f>IF(ISNA(VLOOKUP($B243,IS明細!$B:X,23,0)),0,VLOOKUP($B243,IS明細!$B:X,23,0))</f>
        <v>0</v>
      </c>
      <c r="O243" s="306">
        <f>IF(ISNA(VLOOKUP($B243,IS明細!$B:Z,25,0)),0,VLOOKUP($B243,IS明細!$B:Z,25,0))</f>
        <v>0</v>
      </c>
      <c r="P243" s="306">
        <f t="shared" si="9"/>
        <v>0</v>
      </c>
      <c r="Q243" s="337">
        <f t="shared" si="10"/>
        <v>0</v>
      </c>
      <c r="R243" s="321"/>
    </row>
    <row r="244" spans="1:18" ht="18" hidden="1" customHeight="1" outlineLevel="1">
      <c r="A244" s="344"/>
      <c r="B244" s="344" t="s">
        <v>849</v>
      </c>
      <c r="C244" s="322"/>
      <c r="D244" s="306">
        <f>IF(ISNA(VLOOKUP($B244,IS明細!B:D,3,0)),0,VLOOKUP($B244,IS明細!B:D,3,0))</f>
        <v>0</v>
      </c>
      <c r="E244" s="306">
        <f>IF(ISNA(VLOOKUP($B244,IS明細!$B:F,5,0)),0,VLOOKUP($B244,IS明細!$B:F,5,0))</f>
        <v>0</v>
      </c>
      <c r="F244" s="306">
        <f>IF(ISNA(VLOOKUP($B244,IS明細!$B:H,7,0)),0,VLOOKUP($B244,IS明細!$B:H,7,0))</f>
        <v>0</v>
      </c>
      <c r="G244" s="306">
        <f>IF(ISNA(VLOOKUP($B244,IS明細!$B:J,9,0)),0,VLOOKUP($B244,IS明細!$B:J,9,0))</f>
        <v>0</v>
      </c>
      <c r="H244" s="306">
        <f>IF(ISNA(VLOOKUP($B244,IS明細!$B:L,11,0)),0,VLOOKUP($B244,IS明細!$B:L,11,0))</f>
        <v>0</v>
      </c>
      <c r="I244" s="306">
        <f>IF(ISNA(VLOOKUP($B244,IS明細!$B:N,13,0)),0,VLOOKUP($B244,IS明細!$B:N,13,0))</f>
        <v>0</v>
      </c>
      <c r="J244" s="306">
        <f>IF(ISNA(VLOOKUP($B244,IS明細!$B:P,15,0)),0,VLOOKUP($B244,IS明細!$B:P,15,0))</f>
        <v>0</v>
      </c>
      <c r="K244" s="306">
        <f>IF(ISNA(VLOOKUP($B244,IS明細!$B:R,17,0)),0,VLOOKUP($B244,IS明細!$B:R,17,0))</f>
        <v>0</v>
      </c>
      <c r="L244" s="306">
        <f>IF(ISNA(VLOOKUP($B244,IS明細!$B:T,19,0)),0,VLOOKUP($B244,IS明細!$B:T,19,0))</f>
        <v>0</v>
      </c>
      <c r="M244" s="306">
        <f>IF(ISNA(VLOOKUP($B244,IS明細!$B:V,21,0)),0,VLOOKUP($B244,IS明細!$B:V,21,0))</f>
        <v>0</v>
      </c>
      <c r="N244" s="306">
        <f>IF(ISNA(VLOOKUP($B244,IS明細!$B:X,23,0)),0,VLOOKUP($B244,IS明細!$B:X,23,0))</f>
        <v>0</v>
      </c>
      <c r="O244" s="306">
        <f>IF(ISNA(VLOOKUP($B244,IS明細!$B:Z,25,0)),0,VLOOKUP($B244,IS明細!$B:Z,25,0))</f>
        <v>0</v>
      </c>
      <c r="P244" s="306">
        <f t="shared" si="9"/>
        <v>0</v>
      </c>
      <c r="Q244" s="337">
        <f t="shared" si="10"/>
        <v>0</v>
      </c>
      <c r="R244" s="321"/>
    </row>
    <row r="245" spans="1:18" ht="18" hidden="1" customHeight="1" outlineLevel="1">
      <c r="A245" s="344"/>
      <c r="B245" s="344" t="s">
        <v>850</v>
      </c>
      <c r="C245" s="322"/>
      <c r="D245" s="306">
        <f>IF(ISNA(VLOOKUP($B245,IS明細!B:D,3,0)),0,VLOOKUP($B245,IS明細!B:D,3,0))</f>
        <v>0</v>
      </c>
      <c r="E245" s="306">
        <f>IF(ISNA(VLOOKUP($B245,IS明細!$B:F,5,0)),0,VLOOKUP($B245,IS明細!$B:F,5,0))</f>
        <v>0</v>
      </c>
      <c r="F245" s="306">
        <f>IF(ISNA(VLOOKUP($B245,IS明細!$B:H,7,0)),0,VLOOKUP($B245,IS明細!$B:H,7,0))</f>
        <v>0</v>
      </c>
      <c r="G245" s="306">
        <f>IF(ISNA(VLOOKUP($B245,IS明細!$B:J,9,0)),0,VLOOKUP($B245,IS明細!$B:J,9,0))</f>
        <v>0</v>
      </c>
      <c r="H245" s="306">
        <f>IF(ISNA(VLOOKUP($B245,IS明細!$B:L,11,0)),0,VLOOKUP($B245,IS明細!$B:L,11,0))</f>
        <v>0</v>
      </c>
      <c r="I245" s="306">
        <f>IF(ISNA(VLOOKUP($B245,IS明細!$B:N,13,0)),0,VLOOKUP($B245,IS明細!$B:N,13,0))</f>
        <v>0</v>
      </c>
      <c r="J245" s="306">
        <f>IF(ISNA(VLOOKUP($B245,IS明細!$B:P,15,0)),0,VLOOKUP($B245,IS明細!$B:P,15,0))</f>
        <v>0</v>
      </c>
      <c r="K245" s="306">
        <f>IF(ISNA(VLOOKUP($B245,IS明細!$B:R,17,0)),0,VLOOKUP($B245,IS明細!$B:R,17,0))</f>
        <v>0</v>
      </c>
      <c r="L245" s="306">
        <f>IF(ISNA(VLOOKUP($B245,IS明細!$B:T,19,0)),0,VLOOKUP($B245,IS明細!$B:T,19,0))</f>
        <v>0</v>
      </c>
      <c r="M245" s="306">
        <f>IF(ISNA(VLOOKUP($B245,IS明細!$B:V,21,0)),0,VLOOKUP($B245,IS明細!$B:V,21,0))</f>
        <v>0</v>
      </c>
      <c r="N245" s="306">
        <f>IF(ISNA(VLOOKUP($B245,IS明細!$B:X,23,0)),0,VLOOKUP($B245,IS明細!$B:X,23,0))</f>
        <v>0</v>
      </c>
      <c r="O245" s="306">
        <f>IF(ISNA(VLOOKUP($B245,IS明細!$B:Z,25,0)),0,VLOOKUP($B245,IS明細!$B:Z,25,0))</f>
        <v>0</v>
      </c>
      <c r="P245" s="306">
        <f t="shared" si="9"/>
        <v>0</v>
      </c>
      <c r="Q245" s="337">
        <f t="shared" si="10"/>
        <v>0</v>
      </c>
      <c r="R245" s="321"/>
    </row>
    <row r="246" spans="1:18" ht="18" hidden="1" customHeight="1" outlineLevel="1">
      <c r="A246" s="344"/>
      <c r="B246" s="344" t="s">
        <v>851</v>
      </c>
      <c r="C246" s="322"/>
      <c r="D246" s="306">
        <f>IF(ISNA(VLOOKUP($B246,IS明細!B:D,3,0)),0,VLOOKUP($B246,IS明細!B:D,3,0))</f>
        <v>0</v>
      </c>
      <c r="E246" s="306">
        <f>IF(ISNA(VLOOKUP($B246,IS明細!$B:F,5,0)),0,VLOOKUP($B246,IS明細!$B:F,5,0))</f>
        <v>0</v>
      </c>
      <c r="F246" s="306">
        <f>IF(ISNA(VLOOKUP($B246,IS明細!$B:H,7,0)),0,VLOOKUP($B246,IS明細!$B:H,7,0))</f>
        <v>0</v>
      </c>
      <c r="G246" s="306">
        <f>IF(ISNA(VLOOKUP($B246,IS明細!$B:J,9,0)),0,VLOOKUP($B246,IS明細!$B:J,9,0))</f>
        <v>0</v>
      </c>
      <c r="H246" s="306">
        <f>IF(ISNA(VLOOKUP($B246,IS明細!$B:L,11,0)),0,VLOOKUP($B246,IS明細!$B:L,11,0))</f>
        <v>0</v>
      </c>
      <c r="I246" s="306">
        <f>IF(ISNA(VLOOKUP($B246,IS明細!$B:N,13,0)),0,VLOOKUP($B246,IS明細!$B:N,13,0))</f>
        <v>0</v>
      </c>
      <c r="J246" s="306">
        <f>IF(ISNA(VLOOKUP($B246,IS明細!$B:P,15,0)),0,VLOOKUP($B246,IS明細!$B:P,15,0))</f>
        <v>0</v>
      </c>
      <c r="K246" s="306">
        <f>IF(ISNA(VLOOKUP($B246,IS明細!$B:R,17,0)),0,VLOOKUP($B246,IS明細!$B:R,17,0))</f>
        <v>0</v>
      </c>
      <c r="L246" s="306">
        <f>IF(ISNA(VLOOKUP($B246,IS明細!$B:T,19,0)),0,VLOOKUP($B246,IS明細!$B:T,19,0))</f>
        <v>0</v>
      </c>
      <c r="M246" s="306">
        <f>IF(ISNA(VLOOKUP($B246,IS明細!$B:V,21,0)),0,VLOOKUP($B246,IS明細!$B:V,21,0))</f>
        <v>0</v>
      </c>
      <c r="N246" s="306">
        <f>IF(ISNA(VLOOKUP($B246,IS明細!$B:X,23,0)),0,VLOOKUP($B246,IS明細!$B:X,23,0))</f>
        <v>0</v>
      </c>
      <c r="O246" s="306">
        <f>IF(ISNA(VLOOKUP($B246,IS明細!$B:Z,25,0)),0,VLOOKUP($B246,IS明細!$B:Z,25,0))</f>
        <v>0</v>
      </c>
      <c r="P246" s="306">
        <f t="shared" si="9"/>
        <v>0</v>
      </c>
      <c r="Q246" s="337">
        <f t="shared" si="10"/>
        <v>0</v>
      </c>
      <c r="R246" s="321"/>
    </row>
    <row r="247" spans="1:18" ht="18" hidden="1" customHeight="1" outlineLevel="1">
      <c r="A247" s="344"/>
      <c r="B247" s="344" t="s">
        <v>852</v>
      </c>
      <c r="C247" s="322"/>
      <c r="D247" s="306">
        <f>IF(ISNA(VLOOKUP($B247,IS明細!B:D,3,0)),0,VLOOKUP($B247,IS明細!B:D,3,0))</f>
        <v>0</v>
      </c>
      <c r="E247" s="306">
        <f>IF(ISNA(VLOOKUP($B247,IS明細!$B:F,5,0)),0,VLOOKUP($B247,IS明細!$B:F,5,0))</f>
        <v>0</v>
      </c>
      <c r="F247" s="306">
        <f>IF(ISNA(VLOOKUP($B247,IS明細!$B:H,7,0)),0,VLOOKUP($B247,IS明細!$B:H,7,0))</f>
        <v>0</v>
      </c>
      <c r="G247" s="306">
        <f>IF(ISNA(VLOOKUP($B247,IS明細!$B:J,9,0)),0,VLOOKUP($B247,IS明細!$B:J,9,0))</f>
        <v>0</v>
      </c>
      <c r="H247" s="306">
        <f>IF(ISNA(VLOOKUP($B247,IS明細!$B:L,11,0)),0,VLOOKUP($B247,IS明細!$B:L,11,0))</f>
        <v>0</v>
      </c>
      <c r="I247" s="306">
        <f>IF(ISNA(VLOOKUP($B247,IS明細!$B:N,13,0)),0,VLOOKUP($B247,IS明細!$B:N,13,0))</f>
        <v>0</v>
      </c>
      <c r="J247" s="306">
        <f>IF(ISNA(VLOOKUP($B247,IS明細!$B:P,15,0)),0,VLOOKUP($B247,IS明細!$B:P,15,0))</f>
        <v>0</v>
      </c>
      <c r="K247" s="306">
        <f>IF(ISNA(VLOOKUP($B247,IS明細!$B:R,17,0)),0,VLOOKUP($B247,IS明細!$B:R,17,0))</f>
        <v>0</v>
      </c>
      <c r="L247" s="306">
        <f>IF(ISNA(VLOOKUP($B247,IS明細!$B:T,19,0)),0,VLOOKUP($B247,IS明細!$B:T,19,0))</f>
        <v>0</v>
      </c>
      <c r="M247" s="306">
        <f>IF(ISNA(VLOOKUP($B247,IS明細!$B:V,21,0)),0,VLOOKUP($B247,IS明細!$B:V,21,0))</f>
        <v>0</v>
      </c>
      <c r="N247" s="306">
        <f>IF(ISNA(VLOOKUP($B247,IS明細!$B:X,23,0)),0,VLOOKUP($B247,IS明細!$B:X,23,0))</f>
        <v>0</v>
      </c>
      <c r="O247" s="306">
        <f>IF(ISNA(VLOOKUP($B247,IS明細!$B:Z,25,0)),0,VLOOKUP($B247,IS明細!$B:Z,25,0))</f>
        <v>0</v>
      </c>
      <c r="P247" s="306">
        <f t="shared" si="9"/>
        <v>0</v>
      </c>
      <c r="Q247" s="337">
        <f t="shared" si="10"/>
        <v>0</v>
      </c>
      <c r="R247" s="321"/>
    </row>
    <row r="248" spans="1:18" ht="18" hidden="1" customHeight="1" outlineLevel="1">
      <c r="A248" s="344"/>
      <c r="B248" s="344" t="s">
        <v>853</v>
      </c>
      <c r="C248" s="322"/>
      <c r="D248" s="306">
        <f>IF(ISNA(VLOOKUP($B248,IS明細!B:D,3,0)),0,VLOOKUP($B248,IS明細!B:D,3,0))</f>
        <v>0</v>
      </c>
      <c r="E248" s="306">
        <f>IF(ISNA(VLOOKUP($B248,IS明細!$B:F,5,0)),0,VLOOKUP($B248,IS明細!$B:F,5,0))</f>
        <v>0</v>
      </c>
      <c r="F248" s="306">
        <f>IF(ISNA(VLOOKUP($B248,IS明細!$B:H,7,0)),0,VLOOKUP($B248,IS明細!$B:H,7,0))</f>
        <v>0</v>
      </c>
      <c r="G248" s="306">
        <f>IF(ISNA(VLOOKUP($B248,IS明細!$B:J,9,0)),0,VLOOKUP($B248,IS明細!$B:J,9,0))</f>
        <v>0</v>
      </c>
      <c r="H248" s="306">
        <f>IF(ISNA(VLOOKUP($B248,IS明細!$B:L,11,0)),0,VLOOKUP($B248,IS明細!$B:L,11,0))</f>
        <v>0</v>
      </c>
      <c r="I248" s="306">
        <f>IF(ISNA(VLOOKUP($B248,IS明細!$B:N,13,0)),0,VLOOKUP($B248,IS明細!$B:N,13,0))</f>
        <v>0</v>
      </c>
      <c r="J248" s="306">
        <f>IF(ISNA(VLOOKUP($B248,IS明細!$B:P,15,0)),0,VLOOKUP($B248,IS明細!$B:P,15,0))</f>
        <v>0</v>
      </c>
      <c r="K248" s="306">
        <f>IF(ISNA(VLOOKUP($B248,IS明細!$B:R,17,0)),0,VLOOKUP($B248,IS明細!$B:R,17,0))</f>
        <v>0</v>
      </c>
      <c r="L248" s="306">
        <f>IF(ISNA(VLOOKUP($B248,IS明細!$B:T,19,0)),0,VLOOKUP($B248,IS明細!$B:T,19,0))</f>
        <v>0</v>
      </c>
      <c r="M248" s="306">
        <f>IF(ISNA(VLOOKUP($B248,IS明細!$B:V,21,0)),0,VLOOKUP($B248,IS明細!$B:V,21,0))</f>
        <v>0</v>
      </c>
      <c r="N248" s="306">
        <f>IF(ISNA(VLOOKUP($B248,IS明細!$B:X,23,0)),0,VLOOKUP($B248,IS明細!$B:X,23,0))</f>
        <v>0</v>
      </c>
      <c r="O248" s="306">
        <f>IF(ISNA(VLOOKUP($B248,IS明細!$B:Z,25,0)),0,VLOOKUP($B248,IS明細!$B:Z,25,0))</f>
        <v>0</v>
      </c>
      <c r="P248" s="306">
        <f t="shared" si="9"/>
        <v>0</v>
      </c>
      <c r="Q248" s="337">
        <f t="shared" si="10"/>
        <v>0</v>
      </c>
      <c r="R248" s="321"/>
    </row>
    <row r="249" spans="1:18" ht="18" hidden="1" customHeight="1" outlineLevel="1">
      <c r="A249" s="344"/>
      <c r="B249" s="344" t="s">
        <v>854</v>
      </c>
      <c r="C249" s="322"/>
      <c r="D249" s="306">
        <f>IF(ISNA(VLOOKUP($B249,IS明細!B:D,3,0)),0,VLOOKUP($B249,IS明細!B:D,3,0))</f>
        <v>0</v>
      </c>
      <c r="E249" s="306">
        <f>IF(ISNA(VLOOKUP($B249,IS明細!$B:F,5,0)),0,VLOOKUP($B249,IS明細!$B:F,5,0))</f>
        <v>0</v>
      </c>
      <c r="F249" s="306">
        <f>IF(ISNA(VLOOKUP($B249,IS明細!$B:H,7,0)),0,VLOOKUP($B249,IS明細!$B:H,7,0))</f>
        <v>0</v>
      </c>
      <c r="G249" s="306">
        <f>IF(ISNA(VLOOKUP($B249,IS明細!$B:J,9,0)),0,VLOOKUP($B249,IS明細!$B:J,9,0))</f>
        <v>0</v>
      </c>
      <c r="H249" s="306">
        <f>IF(ISNA(VLOOKUP($B249,IS明細!$B:L,11,0)),0,VLOOKUP($B249,IS明細!$B:L,11,0))</f>
        <v>0</v>
      </c>
      <c r="I249" s="306">
        <f>IF(ISNA(VLOOKUP($B249,IS明細!$B:N,13,0)),0,VLOOKUP($B249,IS明細!$B:N,13,0))</f>
        <v>0</v>
      </c>
      <c r="J249" s="306">
        <f>IF(ISNA(VLOOKUP($B249,IS明細!$B:P,15,0)),0,VLOOKUP($B249,IS明細!$B:P,15,0))</f>
        <v>0</v>
      </c>
      <c r="K249" s="306">
        <f>IF(ISNA(VLOOKUP($B249,IS明細!$B:R,17,0)),0,VLOOKUP($B249,IS明細!$B:R,17,0))</f>
        <v>0</v>
      </c>
      <c r="L249" s="306">
        <f>IF(ISNA(VLOOKUP($B249,IS明細!$B:T,19,0)),0,VLOOKUP($B249,IS明細!$B:T,19,0))</f>
        <v>0</v>
      </c>
      <c r="M249" s="306">
        <f>IF(ISNA(VLOOKUP($B249,IS明細!$B:V,21,0)),0,VLOOKUP($B249,IS明細!$B:V,21,0))</f>
        <v>0</v>
      </c>
      <c r="N249" s="306">
        <f>IF(ISNA(VLOOKUP($B249,IS明細!$B:X,23,0)),0,VLOOKUP($B249,IS明細!$B:X,23,0))</f>
        <v>0</v>
      </c>
      <c r="O249" s="306">
        <f>IF(ISNA(VLOOKUP($B249,IS明細!$B:Z,25,0)),0,VLOOKUP($B249,IS明細!$B:Z,25,0))</f>
        <v>0</v>
      </c>
      <c r="P249" s="306">
        <f t="shared" si="9"/>
        <v>0</v>
      </c>
      <c r="Q249" s="337">
        <f t="shared" si="10"/>
        <v>0</v>
      </c>
      <c r="R249" s="321"/>
    </row>
    <row r="250" spans="1:18" ht="18" hidden="1" customHeight="1" outlineLevel="1">
      <c r="A250" s="344"/>
      <c r="B250" s="344" t="s">
        <v>855</v>
      </c>
      <c r="C250" s="322"/>
      <c r="D250" s="306">
        <f>IF(ISNA(VLOOKUP($B250,IS明細!B:D,3,0)),0,VLOOKUP($B250,IS明細!B:D,3,0))</f>
        <v>0</v>
      </c>
      <c r="E250" s="306">
        <f>IF(ISNA(VLOOKUP($B250,IS明細!$B:F,5,0)),0,VLOOKUP($B250,IS明細!$B:F,5,0))</f>
        <v>0</v>
      </c>
      <c r="F250" s="306">
        <f>IF(ISNA(VLOOKUP($B250,IS明細!$B:H,7,0)),0,VLOOKUP($B250,IS明細!$B:H,7,0))</f>
        <v>0</v>
      </c>
      <c r="G250" s="306">
        <f>IF(ISNA(VLOOKUP($B250,IS明細!$B:J,9,0)),0,VLOOKUP($B250,IS明細!$B:J,9,0))</f>
        <v>0</v>
      </c>
      <c r="H250" s="306">
        <f>IF(ISNA(VLOOKUP($B250,IS明細!$B:L,11,0)),0,VLOOKUP($B250,IS明細!$B:L,11,0))</f>
        <v>0</v>
      </c>
      <c r="I250" s="306">
        <f>IF(ISNA(VLOOKUP($B250,IS明細!$B:N,13,0)),0,VLOOKUP($B250,IS明細!$B:N,13,0))</f>
        <v>0</v>
      </c>
      <c r="J250" s="306">
        <f>IF(ISNA(VLOOKUP($B250,IS明細!$B:P,15,0)),0,VLOOKUP($B250,IS明細!$B:P,15,0))</f>
        <v>0</v>
      </c>
      <c r="K250" s="306">
        <f>IF(ISNA(VLOOKUP($B250,IS明細!$B:R,17,0)),0,VLOOKUP($B250,IS明細!$B:R,17,0))</f>
        <v>0</v>
      </c>
      <c r="L250" s="306">
        <f>IF(ISNA(VLOOKUP($B250,IS明細!$B:T,19,0)),0,VLOOKUP($B250,IS明細!$B:T,19,0))</f>
        <v>0</v>
      </c>
      <c r="M250" s="306">
        <f>IF(ISNA(VLOOKUP($B250,IS明細!$B:V,21,0)),0,VLOOKUP($B250,IS明細!$B:V,21,0))</f>
        <v>0</v>
      </c>
      <c r="N250" s="306">
        <f>IF(ISNA(VLOOKUP($B250,IS明細!$B:X,23,0)),0,VLOOKUP($B250,IS明細!$B:X,23,0))</f>
        <v>0</v>
      </c>
      <c r="O250" s="306">
        <f>IF(ISNA(VLOOKUP($B250,IS明細!$B:Z,25,0)),0,VLOOKUP($B250,IS明細!$B:Z,25,0))</f>
        <v>0</v>
      </c>
      <c r="P250" s="306">
        <f t="shared" si="9"/>
        <v>0</v>
      </c>
      <c r="Q250" s="337">
        <f t="shared" si="10"/>
        <v>0</v>
      </c>
      <c r="R250" s="321"/>
    </row>
    <row r="251" spans="1:18" ht="18" hidden="1" customHeight="1" outlineLevel="1">
      <c r="A251" s="344"/>
      <c r="B251" s="344" t="s">
        <v>856</v>
      </c>
      <c r="C251" s="322"/>
      <c r="D251" s="306">
        <f>IF(ISNA(VLOOKUP($B251,IS明細!B:D,3,0)),0,VLOOKUP($B251,IS明細!B:D,3,0))</f>
        <v>0</v>
      </c>
      <c r="E251" s="306">
        <f>IF(ISNA(VLOOKUP($B251,IS明細!$B:F,5,0)),0,VLOOKUP($B251,IS明細!$B:F,5,0))</f>
        <v>0</v>
      </c>
      <c r="F251" s="306">
        <f>IF(ISNA(VLOOKUP($B251,IS明細!$B:H,7,0)),0,VLOOKUP($B251,IS明細!$B:H,7,0))</f>
        <v>0</v>
      </c>
      <c r="G251" s="306">
        <f>IF(ISNA(VLOOKUP($B251,IS明細!$B:J,9,0)),0,VLOOKUP($B251,IS明細!$B:J,9,0))</f>
        <v>0</v>
      </c>
      <c r="H251" s="306">
        <f>IF(ISNA(VLOOKUP($B251,IS明細!$B:L,11,0)),0,VLOOKUP($B251,IS明細!$B:L,11,0))</f>
        <v>0</v>
      </c>
      <c r="I251" s="306">
        <f>IF(ISNA(VLOOKUP($B251,IS明細!$B:N,13,0)),0,VLOOKUP($B251,IS明細!$B:N,13,0))</f>
        <v>0</v>
      </c>
      <c r="J251" s="306">
        <f>IF(ISNA(VLOOKUP($B251,IS明細!$B:P,15,0)),0,VLOOKUP($B251,IS明細!$B:P,15,0))</f>
        <v>0</v>
      </c>
      <c r="K251" s="306">
        <f>IF(ISNA(VLOOKUP($B251,IS明細!$B:R,17,0)),0,VLOOKUP($B251,IS明細!$B:R,17,0))</f>
        <v>0</v>
      </c>
      <c r="L251" s="306">
        <f>IF(ISNA(VLOOKUP($B251,IS明細!$B:T,19,0)),0,VLOOKUP($B251,IS明細!$B:T,19,0))</f>
        <v>0</v>
      </c>
      <c r="M251" s="306">
        <f>IF(ISNA(VLOOKUP($B251,IS明細!$B:V,21,0)),0,VLOOKUP($B251,IS明細!$B:V,21,0))</f>
        <v>0</v>
      </c>
      <c r="N251" s="306">
        <f>IF(ISNA(VLOOKUP($B251,IS明細!$B:X,23,0)),0,VLOOKUP($B251,IS明細!$B:X,23,0))</f>
        <v>0</v>
      </c>
      <c r="O251" s="306">
        <f>IF(ISNA(VLOOKUP($B251,IS明細!$B:Z,25,0)),0,VLOOKUP($B251,IS明細!$B:Z,25,0))</f>
        <v>0</v>
      </c>
      <c r="P251" s="306">
        <f t="shared" si="9"/>
        <v>0</v>
      </c>
      <c r="Q251" s="337">
        <f t="shared" si="10"/>
        <v>0</v>
      </c>
      <c r="R251" s="321"/>
    </row>
    <row r="252" spans="1:18" ht="18" hidden="1" customHeight="1" outlineLevel="1">
      <c r="A252" s="344"/>
      <c r="B252" s="344" t="s">
        <v>857</v>
      </c>
      <c r="C252" s="322"/>
      <c r="D252" s="306">
        <f>IF(ISNA(VLOOKUP($B252,IS明細!B:D,3,0)),0,VLOOKUP($B252,IS明細!B:D,3,0))</f>
        <v>0</v>
      </c>
      <c r="E252" s="306">
        <f>IF(ISNA(VLOOKUP($B252,IS明細!$B:F,5,0)),0,VLOOKUP($B252,IS明細!$B:F,5,0))</f>
        <v>0</v>
      </c>
      <c r="F252" s="306">
        <f>IF(ISNA(VLOOKUP($B252,IS明細!$B:H,7,0)),0,VLOOKUP($B252,IS明細!$B:H,7,0))</f>
        <v>0</v>
      </c>
      <c r="G252" s="306">
        <f>IF(ISNA(VLOOKUP($B252,IS明細!$B:J,9,0)),0,VLOOKUP($B252,IS明細!$B:J,9,0))</f>
        <v>0</v>
      </c>
      <c r="H252" s="306">
        <f>IF(ISNA(VLOOKUP($B252,IS明細!$B:L,11,0)),0,VLOOKUP($B252,IS明細!$B:L,11,0))</f>
        <v>0</v>
      </c>
      <c r="I252" s="306">
        <f>IF(ISNA(VLOOKUP($B252,IS明細!$B:N,13,0)),0,VLOOKUP($B252,IS明細!$B:N,13,0))</f>
        <v>0</v>
      </c>
      <c r="J252" s="306">
        <f>IF(ISNA(VLOOKUP($B252,IS明細!$B:P,15,0)),0,VLOOKUP($B252,IS明細!$B:P,15,0))</f>
        <v>0</v>
      </c>
      <c r="K252" s="306">
        <f>IF(ISNA(VLOOKUP($B252,IS明細!$B:R,17,0)),0,VLOOKUP($B252,IS明細!$B:R,17,0))</f>
        <v>0</v>
      </c>
      <c r="L252" s="306">
        <f>IF(ISNA(VLOOKUP($B252,IS明細!$B:T,19,0)),0,VLOOKUP($B252,IS明細!$B:T,19,0))</f>
        <v>0</v>
      </c>
      <c r="M252" s="306">
        <f>IF(ISNA(VLOOKUP($B252,IS明細!$B:V,21,0)),0,VLOOKUP($B252,IS明細!$B:V,21,0))</f>
        <v>0</v>
      </c>
      <c r="N252" s="306">
        <f>IF(ISNA(VLOOKUP($B252,IS明細!$B:X,23,0)),0,VLOOKUP($B252,IS明細!$B:X,23,0))</f>
        <v>0</v>
      </c>
      <c r="O252" s="306">
        <f>IF(ISNA(VLOOKUP($B252,IS明細!$B:Z,25,0)),0,VLOOKUP($B252,IS明細!$B:Z,25,0))</f>
        <v>0</v>
      </c>
      <c r="P252" s="306">
        <f t="shared" si="9"/>
        <v>0</v>
      </c>
      <c r="Q252" s="337">
        <f t="shared" si="10"/>
        <v>0</v>
      </c>
      <c r="R252" s="321"/>
    </row>
    <row r="253" spans="1:18" ht="18" hidden="1" customHeight="1" outlineLevel="1">
      <c r="A253" s="344"/>
      <c r="B253" s="344" t="s">
        <v>858</v>
      </c>
      <c r="C253" s="322"/>
      <c r="D253" s="306">
        <f>IF(ISNA(VLOOKUP($B253,IS明細!B:D,3,0)),0,VLOOKUP($B253,IS明細!B:D,3,0))</f>
        <v>0</v>
      </c>
      <c r="E253" s="306">
        <f>IF(ISNA(VLOOKUP($B253,IS明細!$B:F,5,0)),0,VLOOKUP($B253,IS明細!$B:F,5,0))</f>
        <v>0</v>
      </c>
      <c r="F253" s="306">
        <f>IF(ISNA(VLOOKUP($B253,IS明細!$B:H,7,0)),0,VLOOKUP($B253,IS明細!$B:H,7,0))</f>
        <v>0</v>
      </c>
      <c r="G253" s="306">
        <f>IF(ISNA(VLOOKUP($B253,IS明細!$B:J,9,0)),0,VLOOKUP($B253,IS明細!$B:J,9,0))</f>
        <v>0</v>
      </c>
      <c r="H253" s="306">
        <f>IF(ISNA(VLOOKUP($B253,IS明細!$B:L,11,0)),0,VLOOKUP($B253,IS明細!$B:L,11,0))</f>
        <v>0</v>
      </c>
      <c r="I253" s="306">
        <f>IF(ISNA(VLOOKUP($B253,IS明細!$B:N,13,0)),0,VLOOKUP($B253,IS明細!$B:N,13,0))</f>
        <v>0</v>
      </c>
      <c r="J253" s="306">
        <f>IF(ISNA(VLOOKUP($B253,IS明細!$B:P,15,0)),0,VLOOKUP($B253,IS明細!$B:P,15,0))</f>
        <v>0</v>
      </c>
      <c r="K253" s="306">
        <f>IF(ISNA(VLOOKUP($B253,IS明細!$B:R,17,0)),0,VLOOKUP($B253,IS明細!$B:R,17,0))</f>
        <v>0</v>
      </c>
      <c r="L253" s="306">
        <f>IF(ISNA(VLOOKUP($B253,IS明細!$B:T,19,0)),0,VLOOKUP($B253,IS明細!$B:T,19,0))</f>
        <v>0</v>
      </c>
      <c r="M253" s="306">
        <f>IF(ISNA(VLOOKUP($B253,IS明細!$B:V,21,0)),0,VLOOKUP($B253,IS明細!$B:V,21,0))</f>
        <v>0</v>
      </c>
      <c r="N253" s="306">
        <f>IF(ISNA(VLOOKUP($B253,IS明細!$B:X,23,0)),0,VLOOKUP($B253,IS明細!$B:X,23,0))</f>
        <v>0</v>
      </c>
      <c r="O253" s="306">
        <f>IF(ISNA(VLOOKUP($B253,IS明細!$B:Z,25,0)),0,VLOOKUP($B253,IS明細!$B:Z,25,0))</f>
        <v>0</v>
      </c>
      <c r="P253" s="306">
        <f t="shared" si="9"/>
        <v>0</v>
      </c>
      <c r="Q253" s="337">
        <f t="shared" si="10"/>
        <v>0</v>
      </c>
      <c r="R253" s="321"/>
    </row>
    <row r="254" spans="1:18" ht="18" hidden="1" customHeight="1" outlineLevel="1">
      <c r="A254" s="344"/>
      <c r="B254" s="344" t="s">
        <v>859</v>
      </c>
      <c r="C254" s="322"/>
      <c r="D254" s="306">
        <f>IF(ISNA(VLOOKUP($B254,IS明細!B:D,3,0)),0,VLOOKUP($B254,IS明細!B:D,3,0))</f>
        <v>0</v>
      </c>
      <c r="E254" s="306">
        <f>IF(ISNA(VLOOKUP($B254,IS明細!$B:F,5,0)),0,VLOOKUP($B254,IS明細!$B:F,5,0))</f>
        <v>0</v>
      </c>
      <c r="F254" s="306">
        <f>IF(ISNA(VLOOKUP($B254,IS明細!$B:H,7,0)),0,VLOOKUP($B254,IS明細!$B:H,7,0))</f>
        <v>0</v>
      </c>
      <c r="G254" s="306">
        <f>IF(ISNA(VLOOKUP($B254,IS明細!$B:J,9,0)),0,VLOOKUP($B254,IS明細!$B:J,9,0))</f>
        <v>0</v>
      </c>
      <c r="H254" s="306">
        <f>IF(ISNA(VLOOKUP($B254,IS明細!$B:L,11,0)),0,VLOOKUP($B254,IS明細!$B:L,11,0))</f>
        <v>0</v>
      </c>
      <c r="I254" s="306">
        <f>IF(ISNA(VLOOKUP($B254,IS明細!$B:N,13,0)),0,VLOOKUP($B254,IS明細!$B:N,13,0))</f>
        <v>0</v>
      </c>
      <c r="J254" s="306">
        <f>IF(ISNA(VLOOKUP($B254,IS明細!$B:P,15,0)),0,VLOOKUP($B254,IS明細!$B:P,15,0))</f>
        <v>0</v>
      </c>
      <c r="K254" s="306">
        <f>IF(ISNA(VLOOKUP($B254,IS明細!$B:R,17,0)),0,VLOOKUP($B254,IS明細!$B:R,17,0))</f>
        <v>0</v>
      </c>
      <c r="L254" s="306">
        <f>IF(ISNA(VLOOKUP($B254,IS明細!$B:T,19,0)),0,VLOOKUP($B254,IS明細!$B:T,19,0))</f>
        <v>0</v>
      </c>
      <c r="M254" s="306">
        <f>IF(ISNA(VLOOKUP($B254,IS明細!$B:V,21,0)),0,VLOOKUP($B254,IS明細!$B:V,21,0))</f>
        <v>0</v>
      </c>
      <c r="N254" s="306">
        <f>IF(ISNA(VLOOKUP($B254,IS明細!$B:X,23,0)),0,VLOOKUP($B254,IS明細!$B:X,23,0))</f>
        <v>0</v>
      </c>
      <c r="O254" s="306">
        <f>IF(ISNA(VLOOKUP($B254,IS明細!$B:Z,25,0)),0,VLOOKUP($B254,IS明細!$B:Z,25,0))</f>
        <v>0</v>
      </c>
      <c r="P254" s="306">
        <f t="shared" si="9"/>
        <v>0</v>
      </c>
      <c r="Q254" s="337">
        <f t="shared" si="10"/>
        <v>0</v>
      </c>
      <c r="R254" s="321"/>
    </row>
    <row r="255" spans="1:18" ht="18" hidden="1" customHeight="1" outlineLevel="1">
      <c r="A255" s="344"/>
      <c r="B255" s="344" t="s">
        <v>860</v>
      </c>
      <c r="C255" s="322"/>
      <c r="D255" s="306">
        <f>IF(ISNA(VLOOKUP($B255,IS明細!B:D,3,0)),0,VLOOKUP($B255,IS明細!B:D,3,0))</f>
        <v>0</v>
      </c>
      <c r="E255" s="306">
        <f>IF(ISNA(VLOOKUP($B255,IS明細!$B:F,5,0)),0,VLOOKUP($B255,IS明細!$B:F,5,0))</f>
        <v>0</v>
      </c>
      <c r="F255" s="306">
        <f>IF(ISNA(VLOOKUP($B255,IS明細!$B:H,7,0)),0,VLOOKUP($B255,IS明細!$B:H,7,0))</f>
        <v>0</v>
      </c>
      <c r="G255" s="306">
        <f>IF(ISNA(VLOOKUP($B255,IS明細!$B:J,9,0)),0,VLOOKUP($B255,IS明細!$B:J,9,0))</f>
        <v>0</v>
      </c>
      <c r="H255" s="306">
        <f>IF(ISNA(VLOOKUP($B255,IS明細!$B:L,11,0)),0,VLOOKUP($B255,IS明細!$B:L,11,0))</f>
        <v>0</v>
      </c>
      <c r="I255" s="306">
        <f>IF(ISNA(VLOOKUP($B255,IS明細!$B:N,13,0)),0,VLOOKUP($B255,IS明細!$B:N,13,0))</f>
        <v>0</v>
      </c>
      <c r="J255" s="306">
        <f>IF(ISNA(VLOOKUP($B255,IS明細!$B:P,15,0)),0,VLOOKUP($B255,IS明細!$B:P,15,0))</f>
        <v>0</v>
      </c>
      <c r="K255" s="306">
        <f>IF(ISNA(VLOOKUP($B255,IS明細!$B:R,17,0)),0,VLOOKUP($B255,IS明細!$B:R,17,0))</f>
        <v>0</v>
      </c>
      <c r="L255" s="306">
        <f>IF(ISNA(VLOOKUP($B255,IS明細!$B:T,19,0)),0,VLOOKUP($B255,IS明細!$B:T,19,0))</f>
        <v>0</v>
      </c>
      <c r="M255" s="306">
        <f>IF(ISNA(VLOOKUP($B255,IS明細!$B:V,21,0)),0,VLOOKUP($B255,IS明細!$B:V,21,0))</f>
        <v>0</v>
      </c>
      <c r="N255" s="306">
        <f>IF(ISNA(VLOOKUP($B255,IS明細!$B:X,23,0)),0,VLOOKUP($B255,IS明細!$B:X,23,0))</f>
        <v>0</v>
      </c>
      <c r="O255" s="306">
        <f>IF(ISNA(VLOOKUP($B255,IS明細!$B:Z,25,0)),0,VLOOKUP($B255,IS明細!$B:Z,25,0))</f>
        <v>0</v>
      </c>
      <c r="P255" s="306">
        <f t="shared" si="9"/>
        <v>0</v>
      </c>
      <c r="Q255" s="337">
        <f t="shared" si="10"/>
        <v>0</v>
      </c>
      <c r="R255" s="321"/>
    </row>
    <row r="256" spans="1:18" ht="18" hidden="1" customHeight="1" outlineLevel="1">
      <c r="A256" s="344"/>
      <c r="B256" s="344" t="s">
        <v>861</v>
      </c>
      <c r="C256" s="322"/>
      <c r="D256" s="306">
        <f>IF(ISNA(VLOOKUP($B256,IS明細!B:D,3,0)),0,VLOOKUP($B256,IS明細!B:D,3,0))</f>
        <v>5599361</v>
      </c>
      <c r="E256" s="306">
        <f>IF(ISNA(VLOOKUP($B256,IS明細!$B:F,5,0)),0,VLOOKUP($B256,IS明細!$B:F,5,0))</f>
        <v>4644987</v>
      </c>
      <c r="F256" s="306">
        <f>IF(ISNA(VLOOKUP($B256,IS明細!$B:H,7,0)),0,VLOOKUP($B256,IS明細!$B:H,7,0))</f>
        <v>3836889</v>
      </c>
      <c r="G256" s="306">
        <f>IF(ISNA(VLOOKUP($B256,IS明細!$B:J,9,0)),0,VLOOKUP($B256,IS明細!$B:J,9,0))</f>
        <v>3895955</v>
      </c>
      <c r="H256" s="306">
        <f>IF(ISNA(VLOOKUP($B256,IS明細!$B:L,11,0)),0,VLOOKUP($B256,IS明細!$B:L,11,0))</f>
        <v>2165183</v>
      </c>
      <c r="I256" s="306">
        <f>IF(ISNA(VLOOKUP($B256,IS明細!$B:N,13,0)),0,VLOOKUP($B256,IS明細!$B:N,13,0))</f>
        <v>1755192</v>
      </c>
      <c r="J256" s="306">
        <f>IF(ISNA(VLOOKUP($B256,IS明細!$B:P,15,0)),0,VLOOKUP($B256,IS明細!$B:P,15,0))</f>
        <v>2260251</v>
      </c>
      <c r="K256" s="306">
        <f>IF(ISNA(VLOOKUP($B256,IS明細!$B:R,17,0)),0,VLOOKUP($B256,IS明細!$B:R,17,0))</f>
        <v>704027</v>
      </c>
      <c r="L256" s="306">
        <f>IF(ISNA(VLOOKUP($B256,IS明細!$B:T,19,0)),0,VLOOKUP($B256,IS明細!$B:T,19,0))</f>
        <v>0</v>
      </c>
      <c r="M256" s="306">
        <f>IF(ISNA(VLOOKUP($B256,IS明細!$B:V,21,0)),0,VLOOKUP($B256,IS明細!$B:V,21,0))</f>
        <v>0</v>
      </c>
      <c r="N256" s="306">
        <f>IF(ISNA(VLOOKUP($B256,IS明細!$B:X,23,0)),0,VLOOKUP($B256,IS明細!$B:X,23,0))</f>
        <v>0</v>
      </c>
      <c r="O256" s="306">
        <f>IF(ISNA(VLOOKUP($B256,IS明細!$B:Z,25,0)),0,VLOOKUP($B256,IS明細!$B:Z,25,0))</f>
        <v>0</v>
      </c>
      <c r="P256" s="306">
        <f t="shared" si="9"/>
        <v>24861845</v>
      </c>
      <c r="Q256" s="337">
        <f t="shared" si="10"/>
        <v>4.3848998114606547E-2</v>
      </c>
      <c r="R256" s="321"/>
    </row>
    <row r="257" spans="1:18" ht="18" hidden="1" customHeight="1" outlineLevel="1">
      <c r="A257" s="344"/>
      <c r="B257" s="344" t="s">
        <v>862</v>
      </c>
      <c r="C257" s="322"/>
      <c r="D257" s="306">
        <f>IF(ISNA(VLOOKUP($B257,IS明細!B:D,3,0)),0,VLOOKUP($B257,IS明細!B:D,3,0))</f>
        <v>76888</v>
      </c>
      <c r="E257" s="306">
        <f>IF(ISNA(VLOOKUP($B257,IS明細!$B:F,5,0)),0,VLOOKUP($B257,IS明細!$B:F,5,0))</f>
        <v>3801528</v>
      </c>
      <c r="F257" s="306">
        <f>IF(ISNA(VLOOKUP($B257,IS明細!$B:H,7,0)),0,VLOOKUP($B257,IS明細!$B:H,7,0))</f>
        <v>2842966</v>
      </c>
      <c r="G257" s="306">
        <f>IF(ISNA(VLOOKUP($B257,IS明細!$B:J,9,0)),0,VLOOKUP($B257,IS明細!$B:J,9,0))</f>
        <v>3895955</v>
      </c>
      <c r="H257" s="306">
        <f>IF(ISNA(VLOOKUP($B257,IS明細!$B:L,11,0)),0,VLOOKUP($B257,IS明細!$B:L,11,0))</f>
        <v>1410102</v>
      </c>
      <c r="I257" s="306">
        <f>IF(ISNA(VLOOKUP($B257,IS明細!$B:N,13,0)),0,VLOOKUP($B257,IS明細!$B:N,13,0))</f>
        <v>1755192</v>
      </c>
      <c r="J257" s="306">
        <f>IF(ISNA(VLOOKUP($B257,IS明細!$B:P,15,0)),0,VLOOKUP($B257,IS明細!$B:P,15,0))</f>
        <v>145899</v>
      </c>
      <c r="K257" s="306">
        <f>IF(ISNA(VLOOKUP($B257,IS明細!$B:R,17,0)),0,VLOOKUP($B257,IS明細!$B:R,17,0))</f>
        <v>433355</v>
      </c>
      <c r="L257" s="306">
        <f>IF(ISNA(VLOOKUP($B257,IS明細!$B:T,19,0)),0,VLOOKUP($B257,IS明細!$B:T,19,0))</f>
        <v>0</v>
      </c>
      <c r="M257" s="306">
        <f>IF(ISNA(VLOOKUP($B257,IS明細!$B:V,21,0)),0,VLOOKUP($B257,IS明細!$B:V,21,0))</f>
        <v>0</v>
      </c>
      <c r="N257" s="306">
        <f>IF(ISNA(VLOOKUP($B257,IS明細!$B:X,23,0)),0,VLOOKUP($B257,IS明細!$B:X,23,0))</f>
        <v>0</v>
      </c>
      <c r="O257" s="306">
        <f>IF(ISNA(VLOOKUP($B257,IS明細!$B:Z,25,0)),0,VLOOKUP($B257,IS明細!$B:Z,25,0))</f>
        <v>0</v>
      </c>
      <c r="P257" s="306">
        <f t="shared" si="9"/>
        <v>14361885</v>
      </c>
      <c r="Q257" s="337">
        <f t="shared" si="10"/>
        <v>2.5330150207564888E-2</v>
      </c>
      <c r="R257" s="321"/>
    </row>
    <row r="258" spans="1:18" ht="18" hidden="1" customHeight="1" outlineLevel="1">
      <c r="A258" s="344"/>
      <c r="B258" s="344" t="s">
        <v>863</v>
      </c>
      <c r="C258" s="322"/>
      <c r="D258" s="306">
        <f>IF(ISNA(VLOOKUP($B258,IS明細!B:D,3,0)),0,VLOOKUP($B258,IS明細!B:D,3,0))</f>
        <v>5522473</v>
      </c>
      <c r="E258" s="306">
        <f>IF(ISNA(VLOOKUP($B258,IS明細!$B:F,5,0)),0,VLOOKUP($B258,IS明細!$B:F,5,0))</f>
        <v>843459</v>
      </c>
      <c r="F258" s="306">
        <f>IF(ISNA(VLOOKUP($B258,IS明細!$B:H,7,0)),0,VLOOKUP($B258,IS明細!$B:H,7,0))</f>
        <v>993923</v>
      </c>
      <c r="G258" s="306">
        <f>IF(ISNA(VLOOKUP($B258,IS明細!$B:J,9,0)),0,VLOOKUP($B258,IS明細!$B:J,9,0))</f>
        <v>0</v>
      </c>
      <c r="H258" s="306">
        <f>IF(ISNA(VLOOKUP($B258,IS明細!$B:L,11,0)),0,VLOOKUP($B258,IS明細!$B:L,11,0))</f>
        <v>755081</v>
      </c>
      <c r="I258" s="306">
        <f>IF(ISNA(VLOOKUP($B258,IS明細!$B:N,13,0)),0,VLOOKUP($B258,IS明細!$B:N,13,0))</f>
        <v>0</v>
      </c>
      <c r="J258" s="306">
        <f>IF(ISNA(VLOOKUP($B258,IS明細!$B:P,15,0)),0,VLOOKUP($B258,IS明細!$B:P,15,0))</f>
        <v>2114352</v>
      </c>
      <c r="K258" s="306">
        <f>IF(ISNA(VLOOKUP($B258,IS明細!$B:R,17,0)),0,VLOOKUP($B258,IS明細!$B:R,17,0))</f>
        <v>270672</v>
      </c>
      <c r="L258" s="306">
        <f>IF(ISNA(VLOOKUP($B258,IS明細!$B:T,19,0)),0,VLOOKUP($B258,IS明細!$B:T,19,0))</f>
        <v>0</v>
      </c>
      <c r="M258" s="306">
        <f>IF(ISNA(VLOOKUP($B258,IS明細!$B:V,21,0)),0,VLOOKUP($B258,IS明細!$B:V,21,0))</f>
        <v>0</v>
      </c>
      <c r="N258" s="306">
        <f>IF(ISNA(VLOOKUP($B258,IS明細!$B:X,23,0)),0,VLOOKUP($B258,IS明細!$B:X,23,0))</f>
        <v>0</v>
      </c>
      <c r="O258" s="306">
        <f>IF(ISNA(VLOOKUP($B258,IS明細!$B:Z,25,0)),0,VLOOKUP($B258,IS明細!$B:Z,25,0))</f>
        <v>0</v>
      </c>
      <c r="P258" s="306">
        <f t="shared" si="9"/>
        <v>10499960</v>
      </c>
      <c r="Q258" s="337">
        <f t="shared" si="10"/>
        <v>1.8518847907041662E-2</v>
      </c>
      <c r="R258" s="321"/>
    </row>
    <row r="259" spans="1:18" ht="18" hidden="1" customHeight="1" outlineLevel="1">
      <c r="A259" s="344"/>
      <c r="B259" s="344" t="s">
        <v>864</v>
      </c>
      <c r="C259" s="322"/>
      <c r="D259" s="306">
        <f>IF(ISNA(VLOOKUP($B259,IS明細!B:D,3,0)),0,VLOOKUP($B259,IS明細!B:D,3,0))</f>
        <v>0</v>
      </c>
      <c r="E259" s="306">
        <f>IF(ISNA(VLOOKUP($B259,IS明細!$B:F,5,0)),0,VLOOKUP($B259,IS明細!$B:F,5,0))</f>
        <v>0</v>
      </c>
      <c r="F259" s="306">
        <f>IF(ISNA(VLOOKUP($B259,IS明細!$B:H,7,0)),0,VLOOKUP($B259,IS明細!$B:H,7,0))</f>
        <v>0</v>
      </c>
      <c r="G259" s="306">
        <f>IF(ISNA(VLOOKUP($B259,IS明細!$B:J,9,0)),0,VLOOKUP($B259,IS明細!$B:J,9,0))</f>
        <v>0</v>
      </c>
      <c r="H259" s="306">
        <f>IF(ISNA(VLOOKUP($B259,IS明細!$B:L,11,0)),0,VLOOKUP($B259,IS明細!$B:L,11,0))</f>
        <v>0</v>
      </c>
      <c r="I259" s="306">
        <f>IF(ISNA(VLOOKUP($B259,IS明細!$B:N,13,0)),0,VLOOKUP($B259,IS明細!$B:N,13,0))</f>
        <v>0</v>
      </c>
      <c r="J259" s="306">
        <f>IF(ISNA(VLOOKUP($B259,IS明細!$B:P,15,0)),0,VLOOKUP($B259,IS明細!$B:P,15,0))</f>
        <v>0</v>
      </c>
      <c r="K259" s="306">
        <f>IF(ISNA(VLOOKUP($B259,IS明細!$B:R,17,0)),0,VLOOKUP($B259,IS明細!$B:R,17,0))</f>
        <v>0</v>
      </c>
      <c r="L259" s="306">
        <f>IF(ISNA(VLOOKUP($B259,IS明細!$B:T,19,0)),0,VLOOKUP($B259,IS明細!$B:T,19,0))</f>
        <v>0</v>
      </c>
      <c r="M259" s="306">
        <f>IF(ISNA(VLOOKUP($B259,IS明細!$B:V,21,0)),0,VLOOKUP($B259,IS明細!$B:V,21,0))</f>
        <v>0</v>
      </c>
      <c r="N259" s="306">
        <f>IF(ISNA(VLOOKUP($B259,IS明細!$B:X,23,0)),0,VLOOKUP($B259,IS明細!$B:X,23,0))</f>
        <v>0</v>
      </c>
      <c r="O259" s="306">
        <f>IF(ISNA(VLOOKUP($B259,IS明細!$B:Z,25,0)),0,VLOOKUP($B259,IS明細!$B:Z,25,0))</f>
        <v>0</v>
      </c>
      <c r="P259" s="306">
        <f t="shared" si="9"/>
        <v>0</v>
      </c>
      <c r="Q259" s="337">
        <f t="shared" si="10"/>
        <v>0</v>
      </c>
      <c r="R259" s="321"/>
    </row>
    <row r="260" spans="1:18" ht="18" hidden="1" customHeight="1" outlineLevel="1">
      <c r="A260" s="344"/>
      <c r="B260" s="344" t="s">
        <v>865</v>
      </c>
      <c r="C260" s="322"/>
      <c r="D260" s="306">
        <f>IF(ISNA(VLOOKUP($B260,IS明細!B:D,3,0)),0,VLOOKUP($B260,IS明細!B:D,3,0))</f>
        <v>368283</v>
      </c>
      <c r="E260" s="306">
        <f>IF(ISNA(VLOOKUP($B260,IS明細!$B:F,5,0)),0,VLOOKUP($B260,IS明細!$B:F,5,0))</f>
        <v>252106</v>
      </c>
      <c r="F260" s="306">
        <f>IF(ISNA(VLOOKUP($B260,IS明細!$B:H,7,0)),0,VLOOKUP($B260,IS明細!$B:H,7,0))</f>
        <v>140305</v>
      </c>
      <c r="G260" s="306">
        <f>IF(ISNA(VLOOKUP($B260,IS明細!$B:J,9,0)),0,VLOOKUP($B260,IS明細!$B:J,9,0))</f>
        <v>118770</v>
      </c>
      <c r="H260" s="306">
        <f>IF(ISNA(VLOOKUP($B260,IS明細!$B:L,11,0)),0,VLOOKUP($B260,IS明細!$B:L,11,0))</f>
        <v>230411</v>
      </c>
      <c r="I260" s="306">
        <f>IF(ISNA(VLOOKUP($B260,IS明細!$B:N,13,0)),0,VLOOKUP($B260,IS明細!$B:N,13,0))</f>
        <v>277435</v>
      </c>
      <c r="J260" s="306">
        <f>IF(ISNA(VLOOKUP($B260,IS明細!$B:P,15,0)),0,VLOOKUP($B260,IS明細!$B:P,15,0))</f>
        <v>178264</v>
      </c>
      <c r="K260" s="306">
        <f>IF(ISNA(VLOOKUP($B260,IS明細!$B:R,17,0)),0,VLOOKUP($B260,IS明細!$B:R,17,0))</f>
        <v>416667</v>
      </c>
      <c r="L260" s="306">
        <f>IF(ISNA(VLOOKUP($B260,IS明細!$B:T,19,0)),0,VLOOKUP($B260,IS明細!$B:T,19,0))</f>
        <v>0</v>
      </c>
      <c r="M260" s="306">
        <f>IF(ISNA(VLOOKUP($B260,IS明細!$B:V,21,0)),0,VLOOKUP($B260,IS明細!$B:V,21,0))</f>
        <v>0</v>
      </c>
      <c r="N260" s="306">
        <f>IF(ISNA(VLOOKUP($B260,IS明細!$B:X,23,0)),0,VLOOKUP($B260,IS明細!$B:X,23,0))</f>
        <v>0</v>
      </c>
      <c r="O260" s="306">
        <f>IF(ISNA(VLOOKUP($B260,IS明細!$B:Z,25,0)),0,VLOOKUP($B260,IS明細!$B:Z,25,0))</f>
        <v>0</v>
      </c>
      <c r="P260" s="306">
        <f t="shared" si="9"/>
        <v>1982241</v>
      </c>
      <c r="Q260" s="337">
        <f t="shared" si="10"/>
        <v>3.4960913750244926E-3</v>
      </c>
      <c r="R260" s="321"/>
    </row>
    <row r="261" spans="1:18" ht="18" hidden="1" customHeight="1" outlineLevel="1">
      <c r="A261" s="344"/>
      <c r="B261" s="344" t="s">
        <v>866</v>
      </c>
      <c r="C261" s="322"/>
      <c r="D261" s="306">
        <f>IF(ISNA(VLOOKUP($B261,IS明細!B:D,3,0)),0,VLOOKUP($B261,IS明細!B:D,3,0))</f>
        <v>0</v>
      </c>
      <c r="E261" s="306">
        <f>IF(ISNA(VLOOKUP($B261,IS明細!$B:F,5,0)),0,VLOOKUP($B261,IS明細!$B:F,5,0))</f>
        <v>0</v>
      </c>
      <c r="F261" s="306">
        <f>IF(ISNA(VLOOKUP($B261,IS明細!$B:H,7,0)),0,VLOOKUP($B261,IS明細!$B:H,7,0))</f>
        <v>0</v>
      </c>
      <c r="G261" s="306">
        <f>IF(ISNA(VLOOKUP($B261,IS明細!$B:J,9,0)),0,VLOOKUP($B261,IS明細!$B:J,9,0))</f>
        <v>0</v>
      </c>
      <c r="H261" s="306">
        <f>IF(ISNA(VLOOKUP($B261,IS明細!$B:L,11,0)),0,VLOOKUP($B261,IS明細!$B:L,11,0))</f>
        <v>0</v>
      </c>
      <c r="I261" s="306">
        <f>IF(ISNA(VLOOKUP($B261,IS明細!$B:N,13,0)),0,VLOOKUP($B261,IS明細!$B:N,13,0))</f>
        <v>0</v>
      </c>
      <c r="J261" s="306">
        <f>IF(ISNA(VLOOKUP($B261,IS明細!$B:P,15,0)),0,VLOOKUP($B261,IS明細!$B:P,15,0))</f>
        <v>0</v>
      </c>
      <c r="K261" s="306">
        <f>IF(ISNA(VLOOKUP($B261,IS明細!$B:R,17,0)),0,VLOOKUP($B261,IS明細!$B:R,17,0))</f>
        <v>0</v>
      </c>
      <c r="L261" s="306">
        <f>IF(ISNA(VLOOKUP($B261,IS明細!$B:T,19,0)),0,VLOOKUP($B261,IS明細!$B:T,19,0))</f>
        <v>0</v>
      </c>
      <c r="M261" s="306">
        <f>IF(ISNA(VLOOKUP($B261,IS明細!$B:V,21,0)),0,VLOOKUP($B261,IS明細!$B:V,21,0))</f>
        <v>0</v>
      </c>
      <c r="N261" s="306">
        <f>IF(ISNA(VLOOKUP($B261,IS明細!$B:X,23,0)),0,VLOOKUP($B261,IS明細!$B:X,23,0))</f>
        <v>0</v>
      </c>
      <c r="O261" s="306">
        <f>IF(ISNA(VLOOKUP($B261,IS明細!$B:Z,25,0)),0,VLOOKUP($B261,IS明細!$B:Z,25,0))</f>
        <v>0</v>
      </c>
      <c r="P261" s="306">
        <f t="shared" si="9"/>
        <v>0</v>
      </c>
      <c r="Q261" s="337">
        <f t="shared" si="10"/>
        <v>0</v>
      </c>
      <c r="R261" s="321"/>
    </row>
    <row r="262" spans="1:18" ht="18" hidden="1" customHeight="1" outlineLevel="1">
      <c r="A262" s="344"/>
      <c r="B262" s="344" t="s">
        <v>867</v>
      </c>
      <c r="C262" s="322"/>
      <c r="D262" s="306">
        <f>IF(ISNA(VLOOKUP($B262,IS明細!B:D,3,0)),0,VLOOKUP($B262,IS明細!B:D,3,0))</f>
        <v>0</v>
      </c>
      <c r="E262" s="306">
        <f>IF(ISNA(VLOOKUP($B262,IS明細!$B:F,5,0)),0,VLOOKUP($B262,IS明細!$B:F,5,0))</f>
        <v>0</v>
      </c>
      <c r="F262" s="306">
        <f>IF(ISNA(VLOOKUP($B262,IS明細!$B:H,7,0)),0,VLOOKUP($B262,IS明細!$B:H,7,0))</f>
        <v>0</v>
      </c>
      <c r="G262" s="306">
        <f>IF(ISNA(VLOOKUP($B262,IS明細!$B:J,9,0)),0,VLOOKUP($B262,IS明細!$B:J,9,0))</f>
        <v>0</v>
      </c>
      <c r="H262" s="306">
        <f>IF(ISNA(VLOOKUP($B262,IS明細!$B:L,11,0)),0,VLOOKUP($B262,IS明細!$B:L,11,0))</f>
        <v>0</v>
      </c>
      <c r="I262" s="306">
        <f>IF(ISNA(VLOOKUP($B262,IS明細!$B:N,13,0)),0,VLOOKUP($B262,IS明細!$B:N,13,0))</f>
        <v>0</v>
      </c>
      <c r="J262" s="306">
        <f>IF(ISNA(VLOOKUP($B262,IS明細!$B:P,15,0)),0,VLOOKUP($B262,IS明細!$B:P,15,0))</f>
        <v>0</v>
      </c>
      <c r="K262" s="306">
        <f>IF(ISNA(VLOOKUP($B262,IS明細!$B:R,17,0)),0,VLOOKUP($B262,IS明細!$B:R,17,0))</f>
        <v>0</v>
      </c>
      <c r="L262" s="306">
        <f>IF(ISNA(VLOOKUP($B262,IS明細!$B:T,19,0)),0,VLOOKUP($B262,IS明細!$B:T,19,0))</f>
        <v>0</v>
      </c>
      <c r="M262" s="306">
        <f>IF(ISNA(VLOOKUP($B262,IS明細!$B:V,21,0)),0,VLOOKUP($B262,IS明細!$B:V,21,0))</f>
        <v>0</v>
      </c>
      <c r="N262" s="306">
        <f>IF(ISNA(VLOOKUP($B262,IS明細!$B:X,23,0)),0,VLOOKUP($B262,IS明細!$B:X,23,0))</f>
        <v>0</v>
      </c>
      <c r="O262" s="306">
        <f>IF(ISNA(VLOOKUP($B262,IS明細!$B:Z,25,0)),0,VLOOKUP($B262,IS明細!$B:Z,25,0))</f>
        <v>0</v>
      </c>
      <c r="P262" s="306">
        <f t="shared" si="9"/>
        <v>0</v>
      </c>
      <c r="Q262" s="337">
        <f t="shared" si="10"/>
        <v>0</v>
      </c>
      <c r="R262" s="321"/>
    </row>
    <row r="263" spans="1:18" ht="18" hidden="1" customHeight="1" outlineLevel="1">
      <c r="A263" s="344"/>
      <c r="B263" s="344" t="s">
        <v>868</v>
      </c>
      <c r="C263" s="322"/>
      <c r="D263" s="306">
        <f>IF(ISNA(VLOOKUP($B263,IS明細!B:D,3,0)),0,VLOOKUP($B263,IS明細!B:D,3,0))</f>
        <v>0</v>
      </c>
      <c r="E263" s="306">
        <f>IF(ISNA(VLOOKUP($B263,IS明細!$B:F,5,0)),0,VLOOKUP($B263,IS明細!$B:F,5,0))</f>
        <v>0</v>
      </c>
      <c r="F263" s="306">
        <f>IF(ISNA(VLOOKUP($B263,IS明細!$B:H,7,0)),0,VLOOKUP($B263,IS明細!$B:H,7,0))</f>
        <v>0</v>
      </c>
      <c r="G263" s="306">
        <f>IF(ISNA(VLOOKUP($B263,IS明細!$B:J,9,0)),0,VLOOKUP($B263,IS明細!$B:J,9,0))</f>
        <v>133996</v>
      </c>
      <c r="H263" s="306">
        <f>IF(ISNA(VLOOKUP($B263,IS明細!$B:L,11,0)),0,VLOOKUP($B263,IS明細!$B:L,11,0))</f>
        <v>0</v>
      </c>
      <c r="I263" s="306">
        <f>IF(ISNA(VLOOKUP($B263,IS明細!$B:N,13,0)),0,VLOOKUP($B263,IS明細!$B:N,13,0))</f>
        <v>0</v>
      </c>
      <c r="J263" s="306">
        <f>IF(ISNA(VLOOKUP($B263,IS明細!$B:P,15,0)),0,VLOOKUP($B263,IS明細!$B:P,15,0))</f>
        <v>0</v>
      </c>
      <c r="K263" s="306">
        <f>IF(ISNA(VLOOKUP($B263,IS明細!$B:R,17,0)),0,VLOOKUP($B263,IS明細!$B:R,17,0))</f>
        <v>0</v>
      </c>
      <c r="L263" s="306">
        <f>IF(ISNA(VLOOKUP($B263,IS明細!$B:T,19,0)),0,VLOOKUP($B263,IS明細!$B:T,19,0))</f>
        <v>0</v>
      </c>
      <c r="M263" s="306">
        <f>IF(ISNA(VLOOKUP($B263,IS明細!$B:V,21,0)),0,VLOOKUP($B263,IS明細!$B:V,21,0))</f>
        <v>0</v>
      </c>
      <c r="N263" s="306">
        <f>IF(ISNA(VLOOKUP($B263,IS明細!$B:X,23,0)),0,VLOOKUP($B263,IS明細!$B:X,23,0))</f>
        <v>0</v>
      </c>
      <c r="O263" s="306">
        <f>IF(ISNA(VLOOKUP($B263,IS明細!$B:Z,25,0)),0,VLOOKUP($B263,IS明細!$B:Z,25,0))</f>
        <v>0</v>
      </c>
      <c r="P263" s="306">
        <f t="shared" si="9"/>
        <v>133996</v>
      </c>
      <c r="Q263" s="337">
        <f t="shared" si="10"/>
        <v>2.36329618793972E-4</v>
      </c>
      <c r="R263" s="321"/>
    </row>
    <row r="264" spans="1:18" ht="18" hidden="1" customHeight="1" outlineLevel="1">
      <c r="A264" s="347"/>
      <c r="B264" s="347" t="s">
        <v>869</v>
      </c>
      <c r="C264" s="322"/>
      <c r="D264" s="306">
        <f>IF(ISNA(VLOOKUP($B264,IS明細!B:D,3,0)),0,VLOOKUP($B264,IS明細!B:D,3,0))</f>
        <v>5993945</v>
      </c>
      <c r="E264" s="306">
        <f>IF(ISNA(VLOOKUP($B264,IS明細!$B:F,5,0)),0,VLOOKUP($B264,IS明細!$B:F,5,0))</f>
        <v>4971920</v>
      </c>
      <c r="F264" s="306">
        <f>IF(ISNA(VLOOKUP($B264,IS明細!$B:H,7,0)),0,VLOOKUP($B264,IS明細!$B:H,7,0))</f>
        <v>4047156</v>
      </c>
      <c r="G264" s="306">
        <f>IF(ISNA(VLOOKUP($B264,IS明細!$B:J,9,0)),0,VLOOKUP($B264,IS明細!$B:J,9,0))</f>
        <v>4242709</v>
      </c>
      <c r="H264" s="306">
        <f>IF(ISNA(VLOOKUP($B264,IS明細!$B:L,11,0)),0,VLOOKUP($B264,IS明細!$B:L,11,0))</f>
        <v>2487538</v>
      </c>
      <c r="I264" s="306">
        <f>IF(ISNA(VLOOKUP($B264,IS明細!$B:N,13,0)),0,VLOOKUP($B264,IS明細!$B:N,13,0))</f>
        <v>2145488</v>
      </c>
      <c r="J264" s="306">
        <f>IF(ISNA(VLOOKUP($B264,IS明細!$B:P,15,0)),0,VLOOKUP($B264,IS明細!$B:P,15,0))</f>
        <v>2535267</v>
      </c>
      <c r="K264" s="306">
        <f>IF(ISNA(VLOOKUP($B264,IS明細!$B:R,17,0)),0,VLOOKUP($B264,IS明細!$B:R,17,0))</f>
        <v>1238320</v>
      </c>
      <c r="L264" s="306">
        <f>IF(ISNA(VLOOKUP($B264,IS明細!$B:T,19,0)),0,VLOOKUP($B264,IS明細!$B:T,19,0))</f>
        <v>0</v>
      </c>
      <c r="M264" s="306">
        <f>IF(ISNA(VLOOKUP($B264,IS明細!$B:V,21,0)),0,VLOOKUP($B264,IS明細!$B:V,21,0))</f>
        <v>0</v>
      </c>
      <c r="N264" s="306">
        <f>IF(ISNA(VLOOKUP($B264,IS明細!$B:X,23,0)),0,VLOOKUP($B264,IS明細!$B:X,23,0))</f>
        <v>0</v>
      </c>
      <c r="O264" s="306">
        <f>IF(ISNA(VLOOKUP($B264,IS明細!$B:Z,25,0)),0,VLOOKUP($B264,IS明細!$B:Z,25,0))</f>
        <v>0</v>
      </c>
      <c r="P264" s="362">
        <f t="shared" ref="P264:P273" si="11">SUM(D264:O264)</f>
        <v>27662343</v>
      </c>
      <c r="Q264" s="349">
        <f>P264/$P$21</f>
        <v>4.8911291592871199E-2</v>
      </c>
      <c r="R264" s="321"/>
    </row>
    <row r="265" spans="1:18" ht="21" customHeight="1" collapsed="1">
      <c r="A265" s="357" t="s">
        <v>870</v>
      </c>
      <c r="B265" s="357"/>
      <c r="C265" s="358"/>
      <c r="D265" s="359">
        <f>IF(ISNA(VLOOKUP($A265,IS明細!$A:D,4,0)),0,VLOOKUP($A265,IS明細!$A:D,4,0))</f>
        <v>-4980453</v>
      </c>
      <c r="E265" s="359">
        <f>IF(ISNA(VLOOKUP($A265,IS明細!$A:F,6,0)),0,VLOOKUP($A265,IS明細!$A:F,6,0))</f>
        <v>-3981090</v>
      </c>
      <c r="F265" s="359">
        <f>IF(ISNA(VLOOKUP($A265,IS明細!$A:H,8,0)),0,VLOOKUP($A265,IS明細!$A:H,8,0))</f>
        <v>-1045247</v>
      </c>
      <c r="G265" s="359">
        <f>IF(ISNA(VLOOKUP($A265,IS明細!$A:J,10,0)),0,VLOOKUP($A265,IS明細!$A:J,10,0))</f>
        <v>-351088</v>
      </c>
      <c r="H265" s="359">
        <f>IF(ISNA(VLOOKUP($A265,IS明細!$A:L,12,0)),0,VLOOKUP($A265,IS明細!$A:L,12,0))</f>
        <v>-276151</v>
      </c>
      <c r="I265" s="359">
        <f>IF(ISNA(VLOOKUP($A265,IS明細!$A:N,14,0)),0,VLOOKUP($A265,IS明細!$A:N,14,0))</f>
        <v>1778535</v>
      </c>
      <c r="J265" s="359">
        <f>IF(ISNA(VLOOKUP($A265,IS明細!$A:P,16,0)),0,VLOOKUP($A265,IS明細!$A:P,16,0))</f>
        <v>-1337179</v>
      </c>
      <c r="K265" s="359">
        <f>IF(ISNA(VLOOKUP($A265,IS明細!$A:R,18,0)),0,VLOOKUP($A265,IS明細!$A:R,18,0))</f>
        <v>-232899</v>
      </c>
      <c r="L265" s="359">
        <f>IF(ISNA(VLOOKUP($A265,IS明細!$A:T,20,0)),0,VLOOKUP($A265,IS明細!$A:T,20,0))</f>
        <v>0</v>
      </c>
      <c r="M265" s="359">
        <f>IF(ISNA(VLOOKUP($A265,IS明細!$A:V,22,0)),0,VLOOKUP($A265,IS明細!$A:V,22,0))</f>
        <v>0</v>
      </c>
      <c r="N265" s="359">
        <f>IF(ISNA(VLOOKUP($A265,IS明細!$A:X,24,0)),0,VLOOKUP($A265,IS明細!$A:X,24,0))</f>
        <v>0</v>
      </c>
      <c r="O265" s="359">
        <f>IF(ISNA(VLOOKUP($A265,IS明細!$A:Z,26,0)),0,VLOOKUP($A265,IS明細!$A:Z,26,0))</f>
        <v>0</v>
      </c>
      <c r="P265" s="359">
        <f t="shared" si="11"/>
        <v>-10425572</v>
      </c>
      <c r="Q265" s="363">
        <f>P265/$P$21*100</f>
        <v>-1.8434020289404747</v>
      </c>
      <c r="R265" s="356"/>
    </row>
    <row r="266" spans="1:18" ht="21" customHeight="1">
      <c r="A266" s="344" t="s">
        <v>871</v>
      </c>
      <c r="B266" s="344"/>
      <c r="C266" s="322"/>
      <c r="D266" s="306">
        <f>IF(ISNA(VLOOKUP($A266,IS明細!$A:D,4,0)),0,VLOOKUP($A266,IS明細!$A:D,4,0))</f>
        <v>-7756173</v>
      </c>
      <c r="E266" s="306">
        <f>IF(ISNA(VLOOKUP($A266,IS明細!$A:F,6,0)),0,VLOOKUP($A266,IS明細!$A:F,6,0))</f>
        <v>-10972456</v>
      </c>
      <c r="F266" s="306">
        <f>IF(ISNA(VLOOKUP($A266,IS明細!$A:H,8,0)),0,VLOOKUP($A266,IS明細!$A:H,8,0))</f>
        <v>2058472</v>
      </c>
      <c r="G266" s="306">
        <f>IF(ISNA(VLOOKUP($A266,IS明細!$A:J,10,0)),0,VLOOKUP($A266,IS明細!$A:J,10,0))</f>
        <v>-900330</v>
      </c>
      <c r="H266" s="306">
        <f>IF(ISNA(VLOOKUP($A266,IS明細!$A:L,12,0)),0,VLOOKUP($A266,IS明細!$A:L,12,0))</f>
        <v>-1699644</v>
      </c>
      <c r="I266" s="306">
        <f>IF(ISNA(VLOOKUP($A266,IS明細!$A:N,14,0)),0,VLOOKUP($A266,IS明細!$A:N,14,0))</f>
        <v>4012267</v>
      </c>
      <c r="J266" s="306">
        <f>IF(ISNA(VLOOKUP($A266,IS明細!$A:P,16,0)),0,VLOOKUP($A266,IS明細!$A:P,16,0))</f>
        <v>-645828</v>
      </c>
      <c r="K266" s="306">
        <f>IF(ISNA(VLOOKUP($A266,IS明細!$A:R,18,0)),0,VLOOKUP($A266,IS明細!$A:R,18,0))</f>
        <v>2289840</v>
      </c>
      <c r="L266" s="306">
        <f>IF(ISNA(VLOOKUP($A266,IS明細!$A:T,20,0)),0,VLOOKUP($A266,IS明細!$A:T,20,0))</f>
        <v>0</v>
      </c>
      <c r="M266" s="306">
        <f>IF(ISNA(VLOOKUP($A266,IS明細!$A:V,22,0)),0,VLOOKUP($A266,IS明細!$A:V,22,0))</f>
        <v>0</v>
      </c>
      <c r="N266" s="306">
        <f>IF(ISNA(VLOOKUP($A266,IS明細!$A:X,24,0)),0,VLOOKUP($A266,IS明細!$A:X,24,0))</f>
        <v>0</v>
      </c>
      <c r="O266" s="306">
        <f>IF(ISNA(VLOOKUP($A266,IS明細!$A:Z,26,0)),0,VLOOKUP($A266,IS明細!$A:Z,26,0))</f>
        <v>0</v>
      </c>
      <c r="P266" s="306">
        <f t="shared" si="11"/>
        <v>-13613852</v>
      </c>
      <c r="Q266" s="1040">
        <f>P266/$P$21</f>
        <v>-2.4071391381207036E-2</v>
      </c>
      <c r="R266" s="321"/>
    </row>
    <row r="267" spans="1:18" ht="18" hidden="1" customHeight="1" outlineLevel="1">
      <c r="A267" s="344" t="s">
        <v>872</v>
      </c>
      <c r="B267" s="344"/>
      <c r="C267" s="322"/>
      <c r="D267" s="306"/>
      <c r="E267" s="306"/>
      <c r="F267" s="306"/>
      <c r="G267" s="306"/>
      <c r="H267" s="306"/>
      <c r="I267" s="306"/>
      <c r="J267" s="306"/>
      <c r="K267" s="306"/>
      <c r="L267" s="306"/>
      <c r="M267" s="306"/>
      <c r="N267" s="306"/>
      <c r="O267" s="306"/>
      <c r="P267" s="306"/>
      <c r="Q267" s="337"/>
      <c r="R267" s="321"/>
    </row>
    <row r="268" spans="1:18" ht="18" hidden="1" customHeight="1" outlineLevel="1">
      <c r="A268" s="344"/>
      <c r="B268" s="344" t="s">
        <v>873</v>
      </c>
      <c r="C268" s="322"/>
      <c r="D268" s="306"/>
      <c r="E268" s="306"/>
      <c r="F268" s="306"/>
      <c r="G268" s="306"/>
      <c r="H268" s="306"/>
      <c r="I268" s="306"/>
      <c r="J268" s="306"/>
      <c r="K268" s="306"/>
      <c r="L268" s="306"/>
      <c r="M268" s="306"/>
      <c r="N268" s="306"/>
      <c r="O268" s="306"/>
      <c r="P268" s="306"/>
      <c r="Q268" s="337"/>
      <c r="R268" s="321"/>
    </row>
    <row r="269" spans="1:18" ht="18" hidden="1" customHeight="1" outlineLevel="1">
      <c r="A269" s="344"/>
      <c r="B269" s="344" t="s">
        <v>874</v>
      </c>
      <c r="C269" s="322"/>
      <c r="D269" s="306">
        <f>IF(ISNA(VLOOKUP($B269,IS明細!B:D,3,0)),0,VLOOKUP($B269,IS明細!B:D,3,0))</f>
        <v>0</v>
      </c>
      <c r="E269" s="306">
        <f>IF(ISNA(VLOOKUP($B269,IS明細!$B:F,5,0)),0,VLOOKUP($B269,IS明細!$B:F,5,0))</f>
        <v>0</v>
      </c>
      <c r="F269" s="306">
        <f>IF(ISNA(VLOOKUP($B269,IS明細!$B:H,7,0)),0,VLOOKUP($B269,IS明細!$B:H,7,0))</f>
        <v>0</v>
      </c>
      <c r="G269" s="306">
        <f>IF(ISNA(VLOOKUP($B269,IS明細!$B:J,9,0)),0,VLOOKUP($B269,IS明細!$B:J,9,0))</f>
        <v>0</v>
      </c>
      <c r="H269" s="306">
        <f>IF(ISNA(VLOOKUP($B269,IS明細!$B:L,11,0)),0,VLOOKUP($B269,IS明細!$B:L,11,0))</f>
        <v>0</v>
      </c>
      <c r="I269" s="306">
        <f>IF(ISNA(VLOOKUP($B269,IS明細!$B:N,13,0)),0,VLOOKUP($B269,IS明細!$B:N,13,0))</f>
        <v>0</v>
      </c>
      <c r="J269" s="306">
        <f>IF(ISNA(VLOOKUP($B269,IS明細!$B:P,15,0)),0,VLOOKUP($B269,IS明細!$B:P,15,0))</f>
        <v>0</v>
      </c>
      <c r="K269" s="306">
        <f>IF(ISNA(VLOOKUP($B269,IS明細!$B:R,17,0)),0,VLOOKUP($B269,IS明細!$B:R,17,0))</f>
        <v>0</v>
      </c>
      <c r="L269" s="306">
        <f>IF(ISNA(VLOOKUP($B269,IS明細!$B:T,19,0)),0,VLOOKUP($B269,IS明細!$B:T,19,0))</f>
        <v>0</v>
      </c>
      <c r="M269" s="306">
        <f>IF(ISNA(VLOOKUP($B269,IS明細!$B:V,21,0)),0,VLOOKUP($B269,IS明細!$B:V,21,0))</f>
        <v>0</v>
      </c>
      <c r="N269" s="306">
        <f>IF(ISNA(VLOOKUP($B269,IS明細!$B:X,23,0)),0,VLOOKUP($B269,IS明細!$B:X,23,0))</f>
        <v>0</v>
      </c>
      <c r="O269" s="306">
        <f>IF(ISNA(VLOOKUP($B269,IS明細!$B:Z,25,0)),0,VLOOKUP($B269,IS明細!$B:Z,25,0))</f>
        <v>0</v>
      </c>
      <c r="P269" s="306">
        <f t="shared" si="11"/>
        <v>0</v>
      </c>
      <c r="Q269" s="337">
        <f>P269/$P$21</f>
        <v>0</v>
      </c>
      <c r="R269" s="321"/>
    </row>
    <row r="270" spans="1:18" ht="18" hidden="1" customHeight="1" outlineLevel="1">
      <c r="A270" s="344"/>
      <c r="B270" s="344" t="s">
        <v>875</v>
      </c>
      <c r="C270" s="322"/>
      <c r="D270" s="306">
        <f>IF(ISNA(VLOOKUP($B270,IS明細!B:D,3,0)),0,VLOOKUP($B270,IS明細!B:D,3,0))</f>
        <v>0</v>
      </c>
      <c r="E270" s="306">
        <f>IF(ISNA(VLOOKUP($B270,IS明細!$B:F,5,0)),0,VLOOKUP($B270,IS明細!$B:F,5,0))</f>
        <v>0</v>
      </c>
      <c r="F270" s="306">
        <f>IF(ISNA(VLOOKUP($B270,IS明細!$B:H,7,0)),0,VLOOKUP($B270,IS明細!$B:H,7,0))</f>
        <v>0</v>
      </c>
      <c r="G270" s="306">
        <f>IF(ISNA(VLOOKUP($B270,IS明細!$B:J,9,0)),0,VLOOKUP($B270,IS明細!$B:J,9,0))</f>
        <v>0</v>
      </c>
      <c r="H270" s="306">
        <f>IF(ISNA(VLOOKUP($B270,IS明細!$B:L,11,0)),0,VLOOKUP($B270,IS明細!$B:L,11,0))</f>
        <v>0</v>
      </c>
      <c r="I270" s="306">
        <f>IF(ISNA(VLOOKUP($B270,IS明細!$B:N,13,0)),0,VLOOKUP($B270,IS明細!$B:N,13,0))</f>
        <v>0</v>
      </c>
      <c r="J270" s="306">
        <f>IF(ISNA(VLOOKUP($B270,IS明細!$B:P,15,0)),0,VLOOKUP($B270,IS明細!$B:P,15,0))</f>
        <v>0</v>
      </c>
      <c r="K270" s="306">
        <f>IF(ISNA(VLOOKUP($B270,IS明細!$B:R,17,0)),0,VLOOKUP($B270,IS明細!$B:R,17,0))</f>
        <v>0</v>
      </c>
      <c r="L270" s="306">
        <f>IF(ISNA(VLOOKUP($B270,IS明細!$B:T,19,0)),0,VLOOKUP($B270,IS明細!$B:T,19,0))</f>
        <v>0</v>
      </c>
      <c r="M270" s="306">
        <f>IF(ISNA(VLOOKUP($B270,IS明細!$B:V,21,0)),0,VLOOKUP($B270,IS明細!$B:V,21,0))</f>
        <v>0</v>
      </c>
      <c r="N270" s="306">
        <f>IF(ISNA(VLOOKUP($B270,IS明細!$B:X,23,0)),0,VLOOKUP($B270,IS明細!$B:X,23,0))</f>
        <v>0</v>
      </c>
      <c r="O270" s="306">
        <f>IF(ISNA(VLOOKUP($B270,IS明細!$B:Z,25,0)),0,VLOOKUP($B270,IS明細!$B:Z,25,0))</f>
        <v>0</v>
      </c>
      <c r="P270" s="306">
        <f t="shared" si="11"/>
        <v>0</v>
      </c>
      <c r="Q270" s="337">
        <f>P270/$P$21</f>
        <v>0</v>
      </c>
      <c r="R270" s="321"/>
    </row>
    <row r="271" spans="1:18" s="307" customFormat="1" ht="18" hidden="1" customHeight="1" outlineLevel="1">
      <c r="A271" s="344"/>
      <c r="B271" s="344" t="s">
        <v>876</v>
      </c>
      <c r="C271" s="306"/>
      <c r="D271" s="306">
        <f>IF(ISNA(VLOOKUP($B271,IS明細!B:D,3,0)),0,VLOOKUP($B271,IS明細!B:D,3,0))</f>
        <v>0</v>
      </c>
      <c r="E271" s="306">
        <f>IF(ISNA(VLOOKUP($B271,IS明細!$B:F,5,0)),0,VLOOKUP($B271,IS明細!$B:F,5,0))</f>
        <v>0</v>
      </c>
      <c r="F271" s="306">
        <f>IF(ISNA(VLOOKUP($B271,IS明細!$B:H,7,0)),0,VLOOKUP($B271,IS明細!$B:H,7,0))</f>
        <v>0</v>
      </c>
      <c r="G271" s="306">
        <f>IF(ISNA(VLOOKUP($B271,IS明細!$B:J,9,0)),0,VLOOKUP($B271,IS明細!$B:J,9,0))</f>
        <v>0</v>
      </c>
      <c r="H271" s="306">
        <f>IF(ISNA(VLOOKUP($B271,IS明細!$B:L,11,0)),0,VLOOKUP($B271,IS明細!$B:L,11,0))</f>
        <v>0</v>
      </c>
      <c r="I271" s="306">
        <f>IF(ISNA(VLOOKUP($B271,IS明細!$B:N,13,0)),0,VLOOKUP($B271,IS明細!$B:N,13,0))</f>
        <v>0</v>
      </c>
      <c r="J271" s="306">
        <f>IF(ISNA(VLOOKUP($B271,IS明細!$B:P,15,0)),0,VLOOKUP($B271,IS明細!$B:P,15,0))</f>
        <v>0</v>
      </c>
      <c r="K271" s="306">
        <f>IF(ISNA(VLOOKUP($B271,IS明細!$B:R,17,0)),0,VLOOKUP($B271,IS明細!$B:R,17,0))</f>
        <v>0</v>
      </c>
      <c r="L271" s="306">
        <f>IF(ISNA(VLOOKUP($B271,IS明細!$B:T,19,0)),0,VLOOKUP($B271,IS明細!$B:T,19,0))</f>
        <v>0</v>
      </c>
      <c r="M271" s="306">
        <f>IF(ISNA(VLOOKUP($B271,IS明細!$B:V,21,0)),0,VLOOKUP($B271,IS明細!$B:V,21,0))</f>
        <v>0</v>
      </c>
      <c r="N271" s="306">
        <f>IF(ISNA(VLOOKUP($B271,IS明細!$B:X,23,0)),0,VLOOKUP($B271,IS明細!$B:X,23,0))</f>
        <v>0</v>
      </c>
      <c r="O271" s="306">
        <f>IF(ISNA(VLOOKUP($B271,IS明細!$B:Z,25,0)),0,VLOOKUP($B271,IS明細!$B:Z,25,0))</f>
        <v>0</v>
      </c>
      <c r="P271" s="306">
        <f t="shared" si="11"/>
        <v>0</v>
      </c>
      <c r="Q271" s="337">
        <f>P271/$P$21</f>
        <v>0</v>
      </c>
    </row>
    <row r="272" spans="1:18" ht="18" hidden="1" customHeight="1" outlineLevel="1">
      <c r="A272" s="344" t="s">
        <v>877</v>
      </c>
      <c r="B272" s="344"/>
      <c r="C272" s="322"/>
      <c r="D272" s="362">
        <f>IF(ISNA(VLOOKUP($A272,IS明細!$A:D,4,0)),0,VLOOKUP($A272,IS明細!$A:D,4,0))</f>
        <v>0</v>
      </c>
      <c r="E272" s="362">
        <f>IF(ISNA(VLOOKUP($A272,IS明細!$A:F,6,0)),0,VLOOKUP($A272,IS明細!$A:F,6,0))</f>
        <v>0</v>
      </c>
      <c r="F272" s="362">
        <f>IF(ISNA(VLOOKUP($A272,IS明細!$A:H,8,0)),0,VLOOKUP($A272,IS明細!$A:H,8,0))</f>
        <v>0</v>
      </c>
      <c r="G272" s="362">
        <f>IF(ISNA(VLOOKUP($A272,IS明細!$A:J,10,0)),0,VLOOKUP($A272,IS明細!$A:J,10,0))</f>
        <v>0</v>
      </c>
      <c r="H272" s="362">
        <f>IF(ISNA(VLOOKUP($A272,IS明細!$A:L,12,0)),0,VLOOKUP($A272,IS明細!$A:L,12,0))</f>
        <v>0</v>
      </c>
      <c r="I272" s="362">
        <f>IF(ISNA(VLOOKUP($A272,IS明細!$A:N,14,0)),0,VLOOKUP($A272,IS明細!$A:N,14,0))</f>
        <v>0</v>
      </c>
      <c r="J272" s="362">
        <f>IF(ISNA(VLOOKUP($A272,IS明細!$A:P,16,0)),0,VLOOKUP($A272,IS明細!$A:P,16,0))</f>
        <v>0</v>
      </c>
      <c r="K272" s="362">
        <f>IF(ISNA(VLOOKUP($A272,IS明細!$A:R,18,0)),0,VLOOKUP($A272,IS明細!$A:R,18,0))</f>
        <v>0</v>
      </c>
      <c r="L272" s="362">
        <f>IF(ISNA(VLOOKUP($A272,IS明細!$A:T,20,0)),0,VLOOKUP($A272,IS明細!$A:T,20,0))</f>
        <v>0</v>
      </c>
      <c r="M272" s="362">
        <f>IF(ISNA(VLOOKUP($A272,IS明細!$A:V,22,0)),0,VLOOKUP($A272,IS明細!$A:V,22,0))</f>
        <v>0</v>
      </c>
      <c r="N272" s="362">
        <f>IF(ISNA(VLOOKUP($A272,IS明細!$A:X,24,0)),0,VLOOKUP($A272,IS明細!$A:X,24,0))</f>
        <v>0</v>
      </c>
      <c r="O272" s="362">
        <f>IF(ISNA(VLOOKUP($A272,IS明細!$A:Z,26,0)),0,VLOOKUP($A272,IS明細!$A:Z,26,0))</f>
        <v>0</v>
      </c>
      <c r="P272" s="306">
        <f t="shared" si="11"/>
        <v>0</v>
      </c>
      <c r="Q272" s="337">
        <f>P272/$P$21</f>
        <v>0</v>
      </c>
      <c r="R272" s="321"/>
    </row>
    <row r="273" spans="1:18" ht="21" customHeight="1" collapsed="1" thickBot="1">
      <c r="A273" s="364" t="s">
        <v>878</v>
      </c>
      <c r="B273" s="364"/>
      <c r="C273" s="365"/>
      <c r="D273" s="366">
        <f>IF(ISNA(VLOOKUP($A273,IS明細!$A:D,4,0)),0,VLOOKUP($A273,IS明細!$A:D,4,0))</f>
        <v>-7756173</v>
      </c>
      <c r="E273" s="366">
        <f>IF(ISNA(VLOOKUP($A273,IS明細!$A:F,6,0)),0,VLOOKUP($A273,IS明細!$A:F,6,0))</f>
        <v>-10972456</v>
      </c>
      <c r="F273" s="366">
        <f>IF(ISNA(VLOOKUP($A273,IS明細!$A:H,8,0)),0,VLOOKUP($A273,IS明細!$A:H,8,0))</f>
        <v>2058472</v>
      </c>
      <c r="G273" s="366">
        <f>IF(ISNA(VLOOKUP($A273,IS明細!$A:J,10,0)),0,VLOOKUP($A273,IS明細!$A:J,10,0))</f>
        <v>-900330</v>
      </c>
      <c r="H273" s="366">
        <f>IF(ISNA(VLOOKUP($A273,IS明細!$A:L,12,0)),0,VLOOKUP($A273,IS明細!$A:L,12,0))</f>
        <v>-1699644</v>
      </c>
      <c r="I273" s="366">
        <f>IF(ISNA(VLOOKUP($A273,IS明細!$A:N,14,0)),0,VLOOKUP($A273,IS明細!$A:N,14,0))</f>
        <v>4012267</v>
      </c>
      <c r="J273" s="366">
        <f>IF(ISNA(VLOOKUP($A273,IS明細!$A:P,16,0)),0,VLOOKUP($A273,IS明細!$A:P,16,0))</f>
        <v>-645828</v>
      </c>
      <c r="K273" s="366">
        <f>IF(ISNA(VLOOKUP($A273,IS明細!$A:R,18,0)),0,VLOOKUP($A273,IS明細!$A:R,18,0))</f>
        <v>2289840</v>
      </c>
      <c r="L273" s="366">
        <f>IF(ISNA(VLOOKUP($A273,IS明細!$A:T,20,0)),0,VLOOKUP($A273,IS明細!$A:T,20,0))</f>
        <v>0</v>
      </c>
      <c r="M273" s="366">
        <f>IF(ISNA(VLOOKUP($A273,IS明細!$A:V,22,0)),0,VLOOKUP($A273,IS明細!$A:V,22,0))</f>
        <v>0</v>
      </c>
      <c r="N273" s="366">
        <f>IF(ISNA(VLOOKUP($A273,IS明細!$A:X,24,0)),0,VLOOKUP($A273,IS明細!$A:X,24,0))</f>
        <v>0</v>
      </c>
      <c r="O273" s="366">
        <f>IF(ISNA(VLOOKUP($A273,IS明細!$A:Z,26,0)),0,VLOOKUP($A273,IS明細!$A:Z,26,0))</f>
        <v>0</v>
      </c>
      <c r="P273" s="366">
        <f t="shared" si="11"/>
        <v>-13613852</v>
      </c>
      <c r="Q273" s="367">
        <f>P273/$P$21</f>
        <v>-2.4071391381207036E-2</v>
      </c>
      <c r="R273" s="321"/>
    </row>
    <row r="274" spans="1:18" ht="18" customHeight="1" thickTop="1">
      <c r="A274" s="322"/>
      <c r="B274" s="322"/>
      <c r="C274" s="322"/>
      <c r="D274" s="306"/>
      <c r="E274" s="306"/>
      <c r="F274" s="306"/>
      <c r="G274" s="306"/>
      <c r="H274" s="306"/>
      <c r="I274" s="306"/>
      <c r="J274" s="306"/>
      <c r="K274" s="306"/>
      <c r="L274" s="306"/>
      <c r="M274" s="306"/>
      <c r="N274" s="306"/>
      <c r="O274" s="306"/>
      <c r="P274" s="306"/>
      <c r="Q274" s="337"/>
      <c r="R274" s="321"/>
    </row>
    <row r="275" spans="1:18" ht="18" customHeight="1">
      <c r="Q275" s="307"/>
      <c r="R275" s="321"/>
    </row>
    <row r="276" spans="1:18" ht="18" customHeight="1">
      <c r="Q276" s="307"/>
      <c r="R276" s="321"/>
    </row>
    <row r="277" spans="1:18" ht="18" customHeight="1">
      <c r="Q277" s="307"/>
      <c r="R277" s="321"/>
    </row>
    <row r="278" spans="1:18" ht="18" customHeight="1">
      <c r="Q278" s="307"/>
      <c r="R278" s="321"/>
    </row>
    <row r="279" spans="1:18" ht="18" customHeight="1">
      <c r="Q279" s="307"/>
      <c r="R279" s="321"/>
    </row>
    <row r="280" spans="1:18" ht="18" customHeight="1">
      <c r="Q280" s="307"/>
      <c r="R280" s="321"/>
    </row>
    <row r="281" spans="1:18" ht="18" customHeight="1">
      <c r="Q281" s="307"/>
      <c r="R281" s="321"/>
    </row>
    <row r="282" spans="1:18" ht="18" customHeight="1">
      <c r="Q282" s="307"/>
      <c r="R282" s="321"/>
    </row>
    <row r="283" spans="1:18" ht="18" customHeight="1">
      <c r="Q283" s="307"/>
      <c r="R283" s="321"/>
    </row>
    <row r="284" spans="1:18" ht="18" customHeight="1">
      <c r="Q284" s="307"/>
      <c r="R284" s="321"/>
    </row>
    <row r="285" spans="1:18" ht="18" customHeight="1">
      <c r="Q285" s="307"/>
      <c r="R285" s="321"/>
    </row>
    <row r="286" spans="1:18" ht="18" customHeight="1">
      <c r="Q286" s="307"/>
      <c r="R286" s="321"/>
    </row>
    <row r="287" spans="1:18" ht="18" customHeight="1">
      <c r="Q287" s="307"/>
      <c r="R287" s="321"/>
    </row>
    <row r="288" spans="1:18" ht="18" customHeight="1">
      <c r="Q288" s="307"/>
      <c r="R288" s="321"/>
    </row>
    <row r="289" spans="4:17" s="321" customFormat="1" ht="18" customHeight="1">
      <c r="D289" s="368"/>
      <c r="E289" s="368"/>
      <c r="F289" s="368"/>
      <c r="G289" s="368"/>
      <c r="H289" s="368"/>
      <c r="I289" s="368"/>
      <c r="J289" s="368"/>
      <c r="K289" s="368"/>
      <c r="L289" s="368"/>
      <c r="M289" s="368"/>
      <c r="N289" s="368"/>
      <c r="O289" s="368"/>
      <c r="P289" s="368"/>
      <c r="Q289" s="307"/>
    </row>
    <row r="290" spans="4:17" s="321" customFormat="1" ht="18" customHeight="1">
      <c r="D290" s="368"/>
      <c r="E290" s="368"/>
      <c r="F290" s="368"/>
      <c r="G290" s="368"/>
      <c r="H290" s="368"/>
      <c r="I290" s="368"/>
      <c r="J290" s="368"/>
      <c r="K290" s="368"/>
      <c r="L290" s="368"/>
      <c r="M290" s="368"/>
      <c r="N290" s="368"/>
      <c r="O290" s="368"/>
      <c r="P290" s="368"/>
      <c r="Q290" s="307"/>
    </row>
    <row r="291" spans="4:17" s="321" customFormat="1" ht="18" customHeight="1">
      <c r="D291" s="368"/>
      <c r="E291" s="368"/>
      <c r="F291" s="368"/>
      <c r="G291" s="368"/>
      <c r="H291" s="368"/>
      <c r="I291" s="368"/>
      <c r="J291" s="368"/>
      <c r="K291" s="368"/>
      <c r="L291" s="368"/>
      <c r="M291" s="368"/>
      <c r="N291" s="368"/>
      <c r="O291" s="368"/>
      <c r="P291" s="368"/>
      <c r="Q291" s="307"/>
    </row>
    <row r="292" spans="4:17" s="321" customFormat="1" ht="18" customHeight="1">
      <c r="D292" s="368"/>
      <c r="E292" s="368"/>
      <c r="F292" s="368"/>
      <c r="G292" s="368"/>
      <c r="H292" s="368"/>
      <c r="I292" s="368"/>
      <c r="J292" s="368"/>
      <c r="K292" s="368"/>
      <c r="L292" s="368"/>
      <c r="M292" s="368"/>
      <c r="N292" s="368"/>
      <c r="O292" s="368"/>
      <c r="P292" s="368"/>
      <c r="Q292" s="307"/>
    </row>
    <row r="293" spans="4:17" s="321" customFormat="1" ht="18" customHeight="1">
      <c r="D293" s="368"/>
      <c r="E293" s="368"/>
      <c r="F293" s="368"/>
      <c r="G293" s="368"/>
      <c r="H293" s="368"/>
      <c r="I293" s="368"/>
      <c r="J293" s="368"/>
      <c r="K293" s="368"/>
      <c r="L293" s="368"/>
      <c r="M293" s="368"/>
      <c r="N293" s="368"/>
      <c r="O293" s="368"/>
      <c r="P293" s="368"/>
      <c r="Q293" s="307"/>
    </row>
    <row r="294" spans="4:17" s="321" customFormat="1" ht="18" customHeight="1">
      <c r="D294" s="368"/>
      <c r="E294" s="368"/>
      <c r="F294" s="368"/>
      <c r="G294" s="368"/>
      <c r="H294" s="368"/>
      <c r="I294" s="368"/>
      <c r="J294" s="368"/>
      <c r="K294" s="368"/>
      <c r="L294" s="368"/>
      <c r="M294" s="368"/>
      <c r="N294" s="368"/>
      <c r="O294" s="368"/>
      <c r="P294" s="368"/>
      <c r="Q294" s="307"/>
    </row>
    <row r="295" spans="4:17" s="321" customFormat="1" ht="18" customHeight="1">
      <c r="D295" s="368"/>
      <c r="E295" s="368"/>
      <c r="F295" s="368"/>
      <c r="G295" s="368"/>
      <c r="H295" s="368"/>
      <c r="I295" s="368"/>
      <c r="J295" s="368"/>
      <c r="K295" s="368"/>
      <c r="L295" s="368"/>
      <c r="M295" s="368"/>
      <c r="N295" s="368"/>
      <c r="O295" s="368"/>
      <c r="P295" s="368"/>
      <c r="Q295" s="307"/>
    </row>
    <row r="296" spans="4:17" s="321" customFormat="1" ht="18" customHeight="1">
      <c r="D296" s="368"/>
      <c r="E296" s="368"/>
      <c r="F296" s="368"/>
      <c r="G296" s="368"/>
      <c r="H296" s="368"/>
      <c r="I296" s="368"/>
      <c r="J296" s="368"/>
      <c r="K296" s="368"/>
      <c r="L296" s="368"/>
      <c r="M296" s="368"/>
      <c r="N296" s="368"/>
      <c r="O296" s="368"/>
      <c r="P296" s="368"/>
      <c r="Q296" s="307"/>
    </row>
    <row r="297" spans="4:17" s="321" customFormat="1" ht="18" customHeight="1">
      <c r="D297" s="368"/>
      <c r="E297" s="368"/>
      <c r="F297" s="368"/>
      <c r="G297" s="368"/>
      <c r="H297" s="368"/>
      <c r="I297" s="368"/>
      <c r="J297" s="368"/>
      <c r="K297" s="368"/>
      <c r="L297" s="368"/>
      <c r="M297" s="368"/>
      <c r="N297" s="368"/>
      <c r="O297" s="368"/>
      <c r="P297" s="368"/>
      <c r="Q297" s="307"/>
    </row>
    <row r="298" spans="4:17" s="321" customFormat="1" ht="18" customHeight="1">
      <c r="D298" s="368"/>
      <c r="E298" s="368"/>
      <c r="F298" s="368"/>
      <c r="G298" s="368"/>
      <c r="H298" s="368"/>
      <c r="I298" s="368"/>
      <c r="J298" s="368"/>
      <c r="K298" s="368"/>
      <c r="L298" s="368"/>
      <c r="M298" s="368"/>
      <c r="N298" s="368"/>
      <c r="O298" s="368"/>
      <c r="P298" s="368"/>
      <c r="Q298" s="307"/>
    </row>
    <row r="299" spans="4:17" s="321" customFormat="1" ht="18" customHeight="1">
      <c r="D299" s="368"/>
      <c r="E299" s="368"/>
      <c r="F299" s="368"/>
      <c r="G299" s="368"/>
      <c r="H299" s="368"/>
      <c r="I299" s="368"/>
      <c r="J299" s="368"/>
      <c r="K299" s="368"/>
      <c r="L299" s="368"/>
      <c r="M299" s="368"/>
      <c r="N299" s="368"/>
      <c r="O299" s="368"/>
      <c r="P299" s="368"/>
      <c r="Q299" s="307"/>
    </row>
    <row r="300" spans="4:17" s="321" customFormat="1" ht="18" customHeight="1">
      <c r="D300" s="368"/>
      <c r="E300" s="368"/>
      <c r="F300" s="368"/>
      <c r="G300" s="368"/>
      <c r="H300" s="368"/>
      <c r="I300" s="368"/>
      <c r="J300" s="368"/>
      <c r="K300" s="368"/>
      <c r="L300" s="368"/>
      <c r="M300" s="368"/>
      <c r="N300" s="368"/>
      <c r="O300" s="368"/>
      <c r="P300" s="368"/>
      <c r="Q300" s="307"/>
    </row>
    <row r="301" spans="4:17" s="321" customFormat="1" ht="18" customHeight="1">
      <c r="D301" s="368"/>
      <c r="E301" s="368"/>
      <c r="F301" s="368"/>
      <c r="G301" s="368"/>
      <c r="H301" s="368"/>
      <c r="I301" s="368"/>
      <c r="J301" s="368"/>
      <c r="K301" s="368"/>
      <c r="L301" s="368"/>
      <c r="M301" s="368"/>
      <c r="N301" s="368"/>
      <c r="O301" s="368"/>
      <c r="P301" s="368"/>
      <c r="Q301" s="307"/>
    </row>
    <row r="302" spans="4:17" s="321" customFormat="1" ht="18" customHeight="1">
      <c r="D302" s="368"/>
      <c r="E302" s="368"/>
      <c r="F302" s="368"/>
      <c r="G302" s="368"/>
      <c r="H302" s="368"/>
      <c r="I302" s="368"/>
      <c r="J302" s="368"/>
      <c r="K302" s="368"/>
      <c r="L302" s="368"/>
      <c r="M302" s="368"/>
      <c r="N302" s="368"/>
      <c r="O302" s="368"/>
      <c r="P302" s="368"/>
      <c r="Q302" s="307"/>
    </row>
    <row r="303" spans="4:17" s="321" customFormat="1" ht="18" customHeight="1">
      <c r="D303" s="368"/>
      <c r="E303" s="368"/>
      <c r="F303" s="368"/>
      <c r="G303" s="368"/>
      <c r="H303" s="368"/>
      <c r="I303" s="368"/>
      <c r="J303" s="368"/>
      <c r="K303" s="368"/>
      <c r="L303" s="368"/>
      <c r="M303" s="368"/>
      <c r="N303" s="368"/>
      <c r="O303" s="368"/>
      <c r="P303" s="368"/>
      <c r="Q303" s="307"/>
    </row>
    <row r="304" spans="4:17" s="321" customFormat="1" ht="18" customHeight="1">
      <c r="D304" s="368"/>
      <c r="E304" s="368"/>
      <c r="F304" s="368"/>
      <c r="G304" s="368"/>
      <c r="H304" s="368"/>
      <c r="I304" s="368"/>
      <c r="J304" s="368"/>
      <c r="K304" s="368"/>
      <c r="L304" s="368"/>
      <c r="M304" s="368"/>
      <c r="N304" s="368"/>
      <c r="O304" s="368"/>
      <c r="P304" s="368"/>
      <c r="Q304" s="307"/>
    </row>
    <row r="305" spans="4:17" s="321" customFormat="1" ht="18" customHeight="1">
      <c r="D305" s="368"/>
      <c r="E305" s="368"/>
      <c r="F305" s="368"/>
      <c r="G305" s="368"/>
      <c r="H305" s="368"/>
      <c r="I305" s="368"/>
      <c r="J305" s="368"/>
      <c r="K305" s="368"/>
      <c r="L305" s="368"/>
      <c r="M305" s="368"/>
      <c r="N305" s="368"/>
      <c r="O305" s="368"/>
      <c r="P305" s="368"/>
      <c r="Q305" s="307"/>
    </row>
    <row r="306" spans="4:17" s="321" customFormat="1" ht="18" customHeight="1">
      <c r="D306" s="368"/>
      <c r="E306" s="368"/>
      <c r="F306" s="368"/>
      <c r="G306" s="368"/>
      <c r="H306" s="368"/>
      <c r="I306" s="368"/>
      <c r="J306" s="368"/>
      <c r="K306" s="368"/>
      <c r="L306" s="368"/>
      <c r="M306" s="368"/>
      <c r="N306" s="368"/>
      <c r="O306" s="368"/>
      <c r="P306" s="368"/>
      <c r="Q306" s="307"/>
    </row>
    <row r="307" spans="4:17" s="321" customFormat="1" ht="18" customHeight="1">
      <c r="D307" s="368"/>
      <c r="E307" s="368"/>
      <c r="F307" s="368"/>
      <c r="G307" s="368"/>
      <c r="H307" s="368"/>
      <c r="I307" s="368"/>
      <c r="J307" s="368"/>
      <c r="K307" s="368"/>
      <c r="L307" s="368"/>
      <c r="M307" s="368"/>
      <c r="N307" s="368"/>
      <c r="O307" s="368"/>
      <c r="P307" s="368"/>
      <c r="Q307" s="307"/>
    </row>
    <row r="308" spans="4:17" s="321" customFormat="1" ht="18" customHeight="1">
      <c r="D308" s="368"/>
      <c r="E308" s="368"/>
      <c r="F308" s="368"/>
      <c r="G308" s="368"/>
      <c r="H308" s="368"/>
      <c r="I308" s="368"/>
      <c r="J308" s="368"/>
      <c r="K308" s="368"/>
      <c r="L308" s="368"/>
      <c r="M308" s="368"/>
      <c r="N308" s="368"/>
      <c r="O308" s="368"/>
      <c r="P308" s="368"/>
      <c r="Q308" s="307"/>
    </row>
    <row r="309" spans="4:17" s="321" customFormat="1" ht="18" customHeight="1">
      <c r="D309" s="368"/>
      <c r="E309" s="368"/>
      <c r="F309" s="368"/>
      <c r="G309" s="368"/>
      <c r="H309" s="368"/>
      <c r="I309" s="368"/>
      <c r="J309" s="368"/>
      <c r="K309" s="368"/>
      <c r="L309" s="368"/>
      <c r="M309" s="368"/>
      <c r="N309" s="368"/>
      <c r="O309" s="368"/>
      <c r="P309" s="368"/>
      <c r="Q309" s="307"/>
    </row>
    <row r="310" spans="4:17" s="321" customFormat="1" ht="18" customHeight="1">
      <c r="D310" s="368"/>
      <c r="E310" s="368"/>
      <c r="F310" s="368"/>
      <c r="G310" s="368"/>
      <c r="H310" s="368"/>
      <c r="I310" s="368"/>
      <c r="J310" s="368"/>
      <c r="K310" s="368"/>
      <c r="L310" s="368"/>
      <c r="M310" s="368"/>
      <c r="N310" s="368"/>
      <c r="O310" s="368"/>
      <c r="P310" s="368"/>
      <c r="Q310" s="307"/>
    </row>
    <row r="311" spans="4:17" s="321" customFormat="1" ht="18" customHeight="1">
      <c r="D311" s="368"/>
      <c r="E311" s="368"/>
      <c r="F311" s="368"/>
      <c r="G311" s="368"/>
      <c r="H311" s="368"/>
      <c r="I311" s="368"/>
      <c r="J311" s="368"/>
      <c r="K311" s="368"/>
      <c r="L311" s="368"/>
      <c r="M311" s="368"/>
      <c r="N311" s="368"/>
      <c r="O311" s="368"/>
      <c r="P311" s="368"/>
      <c r="Q311" s="307"/>
    </row>
    <row r="312" spans="4:17" s="321" customFormat="1" ht="18" customHeight="1">
      <c r="D312" s="368"/>
      <c r="E312" s="368"/>
      <c r="F312" s="368"/>
      <c r="G312" s="368"/>
      <c r="H312" s="368"/>
      <c r="I312" s="368"/>
      <c r="J312" s="368"/>
      <c r="K312" s="368"/>
      <c r="L312" s="368"/>
      <c r="M312" s="368"/>
      <c r="N312" s="368"/>
      <c r="O312" s="368"/>
      <c r="P312" s="368"/>
      <c r="Q312" s="307"/>
    </row>
    <row r="313" spans="4:17" s="321" customFormat="1" ht="18" customHeight="1">
      <c r="D313" s="368"/>
      <c r="E313" s="368"/>
      <c r="F313" s="368"/>
      <c r="G313" s="368"/>
      <c r="H313" s="368"/>
      <c r="I313" s="368"/>
      <c r="J313" s="368"/>
      <c r="K313" s="368"/>
      <c r="L313" s="368"/>
      <c r="M313" s="368"/>
      <c r="N313" s="368"/>
      <c r="O313" s="368"/>
      <c r="P313" s="368"/>
      <c r="Q313" s="307"/>
    </row>
    <row r="314" spans="4:17" s="321" customFormat="1" ht="18" customHeight="1">
      <c r="D314" s="368"/>
      <c r="E314" s="368"/>
      <c r="F314" s="368"/>
      <c r="G314" s="368"/>
      <c r="H314" s="368"/>
      <c r="I314" s="368"/>
      <c r="J314" s="368"/>
      <c r="K314" s="368"/>
      <c r="L314" s="368"/>
      <c r="M314" s="368"/>
      <c r="N314" s="368"/>
      <c r="O314" s="368"/>
      <c r="P314" s="368"/>
      <c r="Q314" s="307"/>
    </row>
    <row r="315" spans="4:17" s="321" customFormat="1" ht="18" customHeight="1">
      <c r="D315" s="368"/>
      <c r="E315" s="368"/>
      <c r="F315" s="368"/>
      <c r="G315" s="368"/>
      <c r="H315" s="368"/>
      <c r="I315" s="368"/>
      <c r="J315" s="368"/>
      <c r="K315" s="368"/>
      <c r="L315" s="368"/>
      <c r="M315" s="368"/>
      <c r="N315" s="368"/>
      <c r="O315" s="368"/>
      <c r="P315" s="368"/>
      <c r="Q315" s="307"/>
    </row>
    <row r="316" spans="4:17" s="321" customFormat="1" ht="18" customHeight="1">
      <c r="D316" s="368"/>
      <c r="E316" s="368"/>
      <c r="F316" s="368"/>
      <c r="G316" s="368"/>
      <c r="H316" s="368"/>
      <c r="I316" s="368"/>
      <c r="J316" s="368"/>
      <c r="K316" s="368"/>
      <c r="L316" s="368"/>
      <c r="M316" s="368"/>
      <c r="N316" s="368"/>
      <c r="O316" s="368"/>
      <c r="P316" s="368"/>
      <c r="Q316" s="307"/>
    </row>
    <row r="317" spans="4:17" s="321" customFormat="1" ht="18" customHeight="1">
      <c r="D317" s="368"/>
      <c r="E317" s="368"/>
      <c r="F317" s="368"/>
      <c r="G317" s="368"/>
      <c r="H317" s="368"/>
      <c r="I317" s="368"/>
      <c r="J317" s="368"/>
      <c r="K317" s="368"/>
      <c r="L317" s="368"/>
      <c r="M317" s="368"/>
      <c r="N317" s="368"/>
      <c r="O317" s="368"/>
      <c r="P317" s="368"/>
      <c r="Q317" s="307"/>
    </row>
    <row r="318" spans="4:17" s="321" customFormat="1" ht="18" customHeight="1">
      <c r="D318" s="368"/>
      <c r="E318" s="368"/>
      <c r="F318" s="368"/>
      <c r="G318" s="368"/>
      <c r="H318" s="368"/>
      <c r="I318" s="368"/>
      <c r="J318" s="368"/>
      <c r="K318" s="368"/>
      <c r="L318" s="368"/>
      <c r="M318" s="368"/>
      <c r="N318" s="368"/>
      <c r="O318" s="368"/>
      <c r="P318" s="368"/>
      <c r="Q318" s="307"/>
    </row>
    <row r="319" spans="4:17" s="321" customFormat="1" ht="18" customHeight="1">
      <c r="D319" s="368"/>
      <c r="E319" s="368"/>
      <c r="F319" s="368"/>
      <c r="G319" s="368"/>
      <c r="H319" s="368"/>
      <c r="I319" s="368"/>
      <c r="J319" s="368"/>
      <c r="K319" s="368"/>
      <c r="L319" s="368"/>
      <c r="M319" s="368"/>
      <c r="N319" s="368"/>
      <c r="O319" s="368"/>
      <c r="P319" s="368"/>
      <c r="Q319" s="307"/>
    </row>
    <row r="320" spans="4:17" s="321" customFormat="1" ht="18" customHeight="1">
      <c r="D320" s="368"/>
      <c r="E320" s="368"/>
      <c r="F320" s="368"/>
      <c r="G320" s="368"/>
      <c r="H320" s="368"/>
      <c r="I320" s="368"/>
      <c r="J320" s="368"/>
      <c r="K320" s="368"/>
      <c r="L320" s="368"/>
      <c r="M320" s="368"/>
      <c r="N320" s="368"/>
      <c r="O320" s="368"/>
      <c r="P320" s="368"/>
      <c r="Q320" s="307"/>
    </row>
    <row r="321" spans="4:17" s="321" customFormat="1" ht="18" customHeight="1">
      <c r="D321" s="368"/>
      <c r="E321" s="368"/>
      <c r="F321" s="368"/>
      <c r="G321" s="368"/>
      <c r="H321" s="368"/>
      <c r="I321" s="368"/>
      <c r="J321" s="368"/>
      <c r="K321" s="368"/>
      <c r="L321" s="368"/>
      <c r="M321" s="368"/>
      <c r="N321" s="368"/>
      <c r="O321" s="368"/>
      <c r="P321" s="368"/>
      <c r="Q321" s="307"/>
    </row>
    <row r="322" spans="4:17" s="321" customFormat="1" ht="18" customHeight="1">
      <c r="D322" s="368"/>
      <c r="E322" s="368"/>
      <c r="F322" s="368"/>
      <c r="G322" s="368"/>
      <c r="H322" s="368"/>
      <c r="I322" s="368"/>
      <c r="J322" s="368"/>
      <c r="K322" s="368"/>
      <c r="L322" s="368"/>
      <c r="M322" s="368"/>
      <c r="N322" s="368"/>
      <c r="O322" s="368"/>
      <c r="P322" s="368"/>
      <c r="Q322" s="307"/>
    </row>
    <row r="323" spans="4:17" s="321" customFormat="1" ht="18" customHeight="1">
      <c r="D323" s="368"/>
      <c r="E323" s="368"/>
      <c r="F323" s="368"/>
      <c r="G323" s="368"/>
      <c r="H323" s="368"/>
      <c r="I323" s="368"/>
      <c r="J323" s="368"/>
      <c r="K323" s="368"/>
      <c r="L323" s="368"/>
      <c r="M323" s="368"/>
      <c r="N323" s="368"/>
      <c r="O323" s="368"/>
      <c r="P323" s="368"/>
      <c r="Q323" s="307"/>
    </row>
    <row r="324" spans="4:17" s="321" customFormat="1" ht="18" customHeight="1">
      <c r="D324" s="368"/>
      <c r="E324" s="368"/>
      <c r="F324" s="368"/>
      <c r="G324" s="368"/>
      <c r="H324" s="368"/>
      <c r="I324" s="368"/>
      <c r="J324" s="368"/>
      <c r="K324" s="368"/>
      <c r="L324" s="368"/>
      <c r="M324" s="368"/>
      <c r="N324" s="368"/>
      <c r="O324" s="368"/>
      <c r="P324" s="368"/>
      <c r="Q324" s="307"/>
    </row>
    <row r="325" spans="4:17" s="321" customFormat="1" ht="18" customHeight="1">
      <c r="D325" s="368"/>
      <c r="E325" s="368"/>
      <c r="F325" s="368"/>
      <c r="G325" s="368"/>
      <c r="H325" s="368"/>
      <c r="I325" s="368"/>
      <c r="J325" s="368"/>
      <c r="K325" s="368"/>
      <c r="L325" s="368"/>
      <c r="M325" s="368"/>
      <c r="N325" s="368"/>
      <c r="O325" s="368"/>
      <c r="P325" s="368"/>
      <c r="Q325" s="307"/>
    </row>
    <row r="326" spans="4:17" s="321" customFormat="1" ht="18" customHeight="1">
      <c r="D326" s="368"/>
      <c r="E326" s="368"/>
      <c r="F326" s="368"/>
      <c r="G326" s="368"/>
      <c r="H326" s="368"/>
      <c r="I326" s="368"/>
      <c r="J326" s="368"/>
      <c r="K326" s="368"/>
      <c r="L326" s="368"/>
      <c r="M326" s="368"/>
      <c r="N326" s="368"/>
      <c r="O326" s="368"/>
      <c r="P326" s="368"/>
      <c r="Q326" s="307"/>
    </row>
    <row r="327" spans="4:17" s="321" customFormat="1" ht="18" customHeight="1">
      <c r="D327" s="368"/>
      <c r="E327" s="368"/>
      <c r="F327" s="368"/>
      <c r="G327" s="368"/>
      <c r="H327" s="368"/>
      <c r="I327" s="368"/>
      <c r="J327" s="368"/>
      <c r="K327" s="368"/>
      <c r="L327" s="368"/>
      <c r="M327" s="368"/>
      <c r="N327" s="368"/>
      <c r="O327" s="368"/>
      <c r="P327" s="368"/>
      <c r="Q327" s="307"/>
    </row>
    <row r="328" spans="4:17" s="321" customFormat="1" ht="18" customHeight="1">
      <c r="D328" s="368"/>
      <c r="E328" s="368"/>
      <c r="F328" s="368"/>
      <c r="G328" s="368"/>
      <c r="H328" s="368"/>
      <c r="I328" s="368"/>
      <c r="J328" s="368"/>
      <c r="K328" s="368"/>
      <c r="L328" s="368"/>
      <c r="M328" s="368"/>
      <c r="N328" s="368"/>
      <c r="O328" s="368"/>
      <c r="P328" s="368"/>
      <c r="Q328" s="307"/>
    </row>
    <row r="329" spans="4:17" s="321" customFormat="1" ht="18" customHeight="1">
      <c r="D329" s="368"/>
      <c r="E329" s="368"/>
      <c r="F329" s="368"/>
      <c r="G329" s="368"/>
      <c r="H329" s="368"/>
      <c r="I329" s="368"/>
      <c r="J329" s="368"/>
      <c r="K329" s="368"/>
      <c r="L329" s="368"/>
      <c r="M329" s="368"/>
      <c r="N329" s="368"/>
      <c r="O329" s="368"/>
      <c r="P329" s="368"/>
      <c r="Q329" s="307"/>
    </row>
    <row r="330" spans="4:17" s="321" customFormat="1" ht="18" customHeight="1">
      <c r="D330" s="368"/>
      <c r="E330" s="368"/>
      <c r="F330" s="368"/>
      <c r="G330" s="368"/>
      <c r="H330" s="368"/>
      <c r="I330" s="368"/>
      <c r="J330" s="368"/>
      <c r="K330" s="368"/>
      <c r="L330" s="368"/>
      <c r="M330" s="368"/>
      <c r="N330" s="368"/>
      <c r="O330" s="368"/>
      <c r="P330" s="368"/>
      <c r="Q330" s="369"/>
    </row>
    <row r="331" spans="4:17" s="321" customFormat="1" ht="18" customHeight="1">
      <c r="D331" s="368"/>
      <c r="E331" s="368"/>
      <c r="F331" s="368"/>
      <c r="G331" s="368"/>
      <c r="H331" s="368"/>
      <c r="I331" s="368"/>
      <c r="J331" s="368"/>
      <c r="K331" s="368"/>
      <c r="L331" s="368"/>
      <c r="M331" s="368"/>
      <c r="N331" s="368"/>
      <c r="O331" s="368"/>
      <c r="P331" s="368"/>
      <c r="Q331" s="369"/>
    </row>
    <row r="332" spans="4:17" s="321" customFormat="1" ht="18" customHeight="1">
      <c r="D332" s="368"/>
      <c r="E332" s="368"/>
      <c r="F332" s="368"/>
      <c r="G332" s="368"/>
      <c r="H332" s="368"/>
      <c r="I332" s="368"/>
      <c r="J332" s="368"/>
      <c r="K332" s="368"/>
      <c r="L332" s="368"/>
      <c r="M332" s="368"/>
      <c r="N332" s="368"/>
      <c r="O332" s="368"/>
      <c r="P332" s="368"/>
      <c r="Q332" s="369"/>
    </row>
    <row r="333" spans="4:17" s="321" customFormat="1" ht="18" customHeight="1">
      <c r="D333" s="368"/>
      <c r="E333" s="368"/>
      <c r="F333" s="368"/>
      <c r="G333" s="368"/>
      <c r="H333" s="368"/>
      <c r="I333" s="368"/>
      <c r="J333" s="368"/>
      <c r="K333" s="368"/>
      <c r="L333" s="368"/>
      <c r="M333" s="368"/>
      <c r="N333" s="368"/>
      <c r="O333" s="368"/>
      <c r="P333" s="368"/>
      <c r="Q333" s="369"/>
    </row>
    <row r="334" spans="4:17" s="321" customFormat="1" ht="18" customHeight="1">
      <c r="D334" s="368"/>
      <c r="E334" s="368"/>
      <c r="F334" s="368"/>
      <c r="G334" s="368"/>
      <c r="H334" s="368"/>
      <c r="I334" s="368"/>
      <c r="J334" s="368"/>
      <c r="K334" s="368"/>
      <c r="L334" s="368"/>
      <c r="M334" s="368"/>
      <c r="N334" s="368"/>
      <c r="O334" s="368"/>
      <c r="P334" s="368"/>
      <c r="Q334" s="369"/>
    </row>
    <row r="335" spans="4:17" s="321" customFormat="1" ht="18" customHeight="1">
      <c r="D335" s="368"/>
      <c r="E335" s="368"/>
      <c r="F335" s="368"/>
      <c r="G335" s="368"/>
      <c r="H335" s="368"/>
      <c r="I335" s="368"/>
      <c r="J335" s="368"/>
      <c r="K335" s="368"/>
      <c r="L335" s="368"/>
      <c r="M335" s="368"/>
      <c r="N335" s="368"/>
      <c r="O335" s="368"/>
      <c r="P335" s="368"/>
      <c r="Q335" s="369"/>
    </row>
    <row r="336" spans="4:17" s="321" customFormat="1" ht="18" customHeight="1">
      <c r="D336" s="368"/>
      <c r="E336" s="368"/>
      <c r="F336" s="368"/>
      <c r="G336" s="368"/>
      <c r="H336" s="368"/>
      <c r="I336" s="368"/>
      <c r="J336" s="368"/>
      <c r="K336" s="368"/>
      <c r="L336" s="368"/>
      <c r="M336" s="368"/>
      <c r="N336" s="368"/>
      <c r="O336" s="368"/>
      <c r="P336" s="368"/>
      <c r="Q336" s="369"/>
    </row>
    <row r="337" spans="4:17" s="321" customFormat="1" ht="18" customHeight="1">
      <c r="D337" s="368"/>
      <c r="E337" s="368"/>
      <c r="F337" s="368"/>
      <c r="G337" s="368"/>
      <c r="H337" s="368"/>
      <c r="I337" s="368"/>
      <c r="J337" s="368"/>
      <c r="K337" s="368"/>
      <c r="L337" s="368"/>
      <c r="M337" s="368"/>
      <c r="N337" s="368"/>
      <c r="O337" s="368"/>
      <c r="P337" s="368"/>
      <c r="Q337" s="369"/>
    </row>
    <row r="338" spans="4:17" s="321" customFormat="1" ht="18" customHeight="1">
      <c r="D338" s="368"/>
      <c r="E338" s="368"/>
      <c r="F338" s="368"/>
      <c r="G338" s="368"/>
      <c r="H338" s="368"/>
      <c r="I338" s="368"/>
      <c r="J338" s="368"/>
      <c r="K338" s="368"/>
      <c r="L338" s="368"/>
      <c r="M338" s="368"/>
      <c r="N338" s="368"/>
      <c r="O338" s="368"/>
      <c r="P338" s="368"/>
      <c r="Q338" s="369"/>
    </row>
    <row r="339" spans="4:17" s="321" customFormat="1" ht="18" customHeight="1">
      <c r="D339" s="368"/>
      <c r="E339" s="368"/>
      <c r="F339" s="368"/>
      <c r="G339" s="368"/>
      <c r="H339" s="368"/>
      <c r="I339" s="368"/>
      <c r="J339" s="368"/>
      <c r="K339" s="368"/>
      <c r="L339" s="368"/>
      <c r="M339" s="368"/>
      <c r="N339" s="368"/>
      <c r="O339" s="368"/>
      <c r="P339" s="368"/>
      <c r="Q339" s="369"/>
    </row>
    <row r="340" spans="4:17" s="321" customFormat="1" ht="18" customHeight="1">
      <c r="D340" s="368"/>
      <c r="E340" s="368"/>
      <c r="F340" s="368"/>
      <c r="G340" s="368"/>
      <c r="H340" s="368"/>
      <c r="I340" s="368"/>
      <c r="J340" s="368"/>
      <c r="K340" s="368"/>
      <c r="L340" s="368"/>
      <c r="M340" s="368"/>
      <c r="N340" s="368"/>
      <c r="O340" s="368"/>
      <c r="P340" s="368"/>
      <c r="Q340" s="369"/>
    </row>
    <row r="341" spans="4:17" s="321" customFormat="1" ht="18" customHeight="1">
      <c r="D341" s="368"/>
      <c r="E341" s="368"/>
      <c r="F341" s="368"/>
      <c r="G341" s="368"/>
      <c r="H341" s="368"/>
      <c r="I341" s="368"/>
      <c r="J341" s="368"/>
      <c r="K341" s="368"/>
      <c r="L341" s="368"/>
      <c r="M341" s="368"/>
      <c r="N341" s="368"/>
      <c r="O341" s="368"/>
      <c r="P341" s="368"/>
      <c r="Q341" s="369"/>
    </row>
    <row r="342" spans="4:17" s="321" customFormat="1" ht="18" customHeight="1">
      <c r="D342" s="368"/>
      <c r="E342" s="368"/>
      <c r="F342" s="368"/>
      <c r="G342" s="368"/>
      <c r="H342" s="368"/>
      <c r="I342" s="368"/>
      <c r="J342" s="368"/>
      <c r="K342" s="368"/>
      <c r="L342" s="368"/>
      <c r="M342" s="368"/>
      <c r="N342" s="368"/>
      <c r="O342" s="368"/>
      <c r="P342" s="368"/>
      <c r="Q342" s="369"/>
    </row>
    <row r="343" spans="4:17" s="321" customFormat="1" ht="18" customHeight="1">
      <c r="D343" s="368"/>
      <c r="E343" s="368"/>
      <c r="F343" s="368"/>
      <c r="G343" s="368"/>
      <c r="H343" s="368"/>
      <c r="I343" s="368"/>
      <c r="J343" s="368"/>
      <c r="K343" s="368"/>
      <c r="L343" s="368"/>
      <c r="M343" s="368"/>
      <c r="N343" s="368"/>
      <c r="O343" s="368"/>
      <c r="P343" s="368"/>
      <c r="Q343" s="369"/>
    </row>
    <row r="344" spans="4:17" s="321" customFormat="1" ht="18" customHeight="1">
      <c r="D344" s="368"/>
      <c r="E344" s="368"/>
      <c r="F344" s="368"/>
      <c r="G344" s="368"/>
      <c r="H344" s="368"/>
      <c r="I344" s="368"/>
      <c r="J344" s="368"/>
      <c r="K344" s="368"/>
      <c r="L344" s="368"/>
      <c r="M344" s="368"/>
      <c r="N344" s="368"/>
      <c r="O344" s="368"/>
      <c r="P344" s="368"/>
      <c r="Q344" s="369"/>
    </row>
    <row r="345" spans="4:17" s="321" customFormat="1" ht="18" customHeight="1">
      <c r="D345" s="368"/>
      <c r="E345" s="368"/>
      <c r="F345" s="368"/>
      <c r="G345" s="368"/>
      <c r="H345" s="368"/>
      <c r="I345" s="368"/>
      <c r="J345" s="368"/>
      <c r="K345" s="368"/>
      <c r="L345" s="368"/>
      <c r="M345" s="368"/>
      <c r="N345" s="368"/>
      <c r="O345" s="368"/>
      <c r="P345" s="368"/>
      <c r="Q345" s="369"/>
    </row>
    <row r="346" spans="4:17" s="321" customFormat="1" ht="18" customHeight="1">
      <c r="D346" s="368"/>
      <c r="E346" s="368"/>
      <c r="F346" s="368"/>
      <c r="G346" s="368"/>
      <c r="H346" s="368"/>
      <c r="I346" s="368"/>
      <c r="J346" s="368"/>
      <c r="K346" s="368"/>
      <c r="L346" s="368"/>
      <c r="M346" s="368"/>
      <c r="N346" s="368"/>
      <c r="O346" s="368"/>
      <c r="P346" s="368"/>
      <c r="Q346" s="369"/>
    </row>
    <row r="347" spans="4:17" s="321" customFormat="1" ht="18" customHeight="1">
      <c r="D347" s="368"/>
      <c r="E347" s="368"/>
      <c r="F347" s="368"/>
      <c r="G347" s="368"/>
      <c r="H347" s="368"/>
      <c r="I347" s="368"/>
      <c r="J347" s="368"/>
      <c r="K347" s="368"/>
      <c r="L347" s="368"/>
      <c r="M347" s="368"/>
      <c r="N347" s="368"/>
      <c r="O347" s="368"/>
      <c r="P347" s="368"/>
      <c r="Q347" s="369"/>
    </row>
    <row r="348" spans="4:17" s="321" customFormat="1" ht="18" customHeight="1">
      <c r="D348" s="368"/>
      <c r="E348" s="368"/>
      <c r="F348" s="368"/>
      <c r="G348" s="368"/>
      <c r="H348" s="368"/>
      <c r="I348" s="368"/>
      <c r="J348" s="368"/>
      <c r="K348" s="368"/>
      <c r="L348" s="368"/>
      <c r="M348" s="368"/>
      <c r="N348" s="368"/>
      <c r="O348" s="368"/>
      <c r="P348" s="368"/>
      <c r="Q348" s="369"/>
    </row>
    <row r="349" spans="4:17" s="321" customFormat="1" ht="18" customHeight="1">
      <c r="D349" s="368"/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9"/>
    </row>
    <row r="350" spans="4:17" s="321" customFormat="1" ht="18" customHeight="1">
      <c r="D350" s="368"/>
      <c r="E350" s="368"/>
      <c r="F350" s="368"/>
      <c r="G350" s="368"/>
      <c r="H350" s="368"/>
      <c r="I350" s="368"/>
      <c r="J350" s="368"/>
      <c r="K350" s="368"/>
      <c r="L350" s="368"/>
      <c r="M350" s="368"/>
      <c r="N350" s="368"/>
      <c r="O350" s="368"/>
      <c r="P350" s="368"/>
      <c r="Q350" s="369"/>
    </row>
    <row r="351" spans="4:17" s="321" customFormat="1" ht="18" customHeight="1">
      <c r="D351" s="368"/>
      <c r="E351" s="368"/>
      <c r="F351" s="368"/>
      <c r="G351" s="368"/>
      <c r="H351" s="368"/>
      <c r="I351" s="368"/>
      <c r="J351" s="368"/>
      <c r="K351" s="368"/>
      <c r="L351" s="368"/>
      <c r="M351" s="368"/>
      <c r="N351" s="368"/>
      <c r="O351" s="368"/>
      <c r="P351" s="368"/>
      <c r="Q351" s="369"/>
    </row>
    <row r="352" spans="4:17" s="321" customFormat="1" ht="18" customHeight="1">
      <c r="D352" s="368"/>
      <c r="E352" s="368"/>
      <c r="F352" s="368"/>
      <c r="G352" s="368"/>
      <c r="H352" s="368"/>
      <c r="I352" s="368"/>
      <c r="J352" s="368"/>
      <c r="K352" s="368"/>
      <c r="L352" s="368"/>
      <c r="M352" s="368"/>
      <c r="N352" s="368"/>
      <c r="O352" s="368"/>
      <c r="P352" s="368"/>
      <c r="Q352" s="369"/>
    </row>
    <row r="353" spans="4:17" s="321" customFormat="1" ht="18" customHeight="1">
      <c r="D353" s="368"/>
      <c r="E353" s="368"/>
      <c r="F353" s="368"/>
      <c r="G353" s="368"/>
      <c r="H353" s="368"/>
      <c r="I353" s="368"/>
      <c r="J353" s="368"/>
      <c r="K353" s="368"/>
      <c r="L353" s="368"/>
      <c r="M353" s="368"/>
      <c r="N353" s="368"/>
      <c r="O353" s="368"/>
      <c r="P353" s="368"/>
      <c r="Q353" s="369"/>
    </row>
    <row r="354" spans="4:17" s="321" customFormat="1" ht="18" customHeight="1">
      <c r="D354" s="368"/>
      <c r="E354" s="368"/>
      <c r="F354" s="368"/>
      <c r="G354" s="368"/>
      <c r="H354" s="368"/>
      <c r="I354" s="368"/>
      <c r="J354" s="368"/>
      <c r="K354" s="368"/>
      <c r="L354" s="368"/>
      <c r="M354" s="368"/>
      <c r="N354" s="368"/>
      <c r="O354" s="368"/>
      <c r="P354" s="368"/>
      <c r="Q354" s="369"/>
    </row>
    <row r="355" spans="4:17" s="321" customFormat="1" ht="18" customHeight="1">
      <c r="D355" s="368"/>
      <c r="E355" s="368"/>
      <c r="F355" s="368"/>
      <c r="G355" s="368"/>
      <c r="H355" s="368"/>
      <c r="I355" s="368"/>
      <c r="J355" s="368"/>
      <c r="K355" s="368"/>
      <c r="L355" s="368"/>
      <c r="M355" s="368"/>
      <c r="N355" s="368"/>
      <c r="O355" s="368"/>
      <c r="P355" s="368"/>
      <c r="Q355" s="369"/>
    </row>
    <row r="356" spans="4:17" s="321" customFormat="1" ht="18" customHeight="1">
      <c r="D356" s="368"/>
      <c r="E356" s="368"/>
      <c r="F356" s="368"/>
      <c r="G356" s="368"/>
      <c r="H356" s="368"/>
      <c r="I356" s="368"/>
      <c r="J356" s="368"/>
      <c r="K356" s="368"/>
      <c r="L356" s="368"/>
      <c r="M356" s="368"/>
      <c r="N356" s="368"/>
      <c r="O356" s="368"/>
      <c r="P356" s="368"/>
      <c r="Q356" s="369"/>
    </row>
    <row r="357" spans="4:17" s="321" customFormat="1" ht="18" customHeight="1">
      <c r="D357" s="368"/>
      <c r="E357" s="368"/>
      <c r="F357" s="368"/>
      <c r="G357" s="368"/>
      <c r="H357" s="368"/>
      <c r="I357" s="368"/>
      <c r="J357" s="368"/>
      <c r="K357" s="368"/>
      <c r="L357" s="368"/>
      <c r="M357" s="368"/>
      <c r="N357" s="368"/>
      <c r="O357" s="368"/>
      <c r="P357" s="368"/>
      <c r="Q357" s="369"/>
    </row>
    <row r="358" spans="4:17" s="321" customFormat="1" ht="18" customHeight="1">
      <c r="D358" s="368"/>
      <c r="E358" s="368"/>
      <c r="F358" s="368"/>
      <c r="G358" s="368"/>
      <c r="H358" s="368"/>
      <c r="I358" s="368"/>
      <c r="J358" s="368"/>
      <c r="K358" s="368"/>
      <c r="L358" s="368"/>
      <c r="M358" s="368"/>
      <c r="N358" s="368"/>
      <c r="O358" s="368"/>
      <c r="P358" s="368"/>
      <c r="Q358" s="369"/>
    </row>
    <row r="359" spans="4:17" s="321" customFormat="1" ht="18" customHeight="1">
      <c r="D359" s="368"/>
      <c r="E359" s="368"/>
      <c r="F359" s="368"/>
      <c r="G359" s="368"/>
      <c r="H359" s="368"/>
      <c r="I359" s="368"/>
      <c r="J359" s="368"/>
      <c r="K359" s="368"/>
      <c r="L359" s="368"/>
      <c r="M359" s="368"/>
      <c r="N359" s="368"/>
      <c r="O359" s="368"/>
      <c r="P359" s="368"/>
      <c r="Q359" s="369"/>
    </row>
    <row r="360" spans="4:17" s="321" customFormat="1" ht="18" customHeight="1">
      <c r="D360" s="368"/>
      <c r="E360" s="368"/>
      <c r="F360" s="368"/>
      <c r="G360" s="368"/>
      <c r="H360" s="368"/>
      <c r="I360" s="368"/>
      <c r="J360" s="368"/>
      <c r="K360" s="368"/>
      <c r="L360" s="368"/>
      <c r="M360" s="368"/>
      <c r="N360" s="368"/>
      <c r="O360" s="368"/>
      <c r="P360" s="368"/>
      <c r="Q360" s="369"/>
    </row>
    <row r="361" spans="4:17" s="321" customFormat="1" ht="18" customHeight="1">
      <c r="D361" s="368"/>
      <c r="E361" s="368"/>
      <c r="F361" s="368"/>
      <c r="G361" s="368"/>
      <c r="H361" s="368"/>
      <c r="I361" s="368"/>
      <c r="J361" s="368"/>
      <c r="K361" s="368"/>
      <c r="L361" s="368"/>
      <c r="M361" s="368"/>
      <c r="N361" s="368"/>
      <c r="O361" s="368"/>
      <c r="P361" s="368"/>
      <c r="Q361" s="369"/>
    </row>
    <row r="362" spans="4:17" s="321" customFormat="1" ht="18" customHeight="1">
      <c r="D362" s="368"/>
      <c r="E362" s="368"/>
      <c r="F362" s="368"/>
      <c r="G362" s="368"/>
      <c r="H362" s="368"/>
      <c r="I362" s="368"/>
      <c r="J362" s="368"/>
      <c r="K362" s="368"/>
      <c r="L362" s="368"/>
      <c r="M362" s="368"/>
      <c r="N362" s="368"/>
      <c r="O362" s="368"/>
      <c r="P362" s="368"/>
      <c r="Q362" s="369"/>
    </row>
    <row r="363" spans="4:17" s="321" customFormat="1" ht="18" customHeight="1">
      <c r="D363" s="368"/>
      <c r="E363" s="368"/>
      <c r="F363" s="368"/>
      <c r="G363" s="368"/>
      <c r="H363" s="368"/>
      <c r="I363" s="368"/>
      <c r="J363" s="368"/>
      <c r="K363" s="368"/>
      <c r="L363" s="368"/>
      <c r="M363" s="368"/>
      <c r="N363" s="368"/>
      <c r="O363" s="368"/>
      <c r="P363" s="368"/>
      <c r="Q363" s="369"/>
    </row>
    <row r="364" spans="4:17" s="321" customFormat="1" ht="18" customHeight="1">
      <c r="D364" s="368"/>
      <c r="E364" s="368"/>
      <c r="F364" s="368"/>
      <c r="G364" s="368"/>
      <c r="H364" s="368"/>
      <c r="I364" s="368"/>
      <c r="J364" s="368"/>
      <c r="K364" s="368"/>
      <c r="L364" s="368"/>
      <c r="M364" s="368"/>
      <c r="N364" s="368"/>
      <c r="O364" s="368"/>
      <c r="P364" s="368"/>
      <c r="Q364" s="369"/>
    </row>
    <row r="365" spans="4:17" s="321" customFormat="1" ht="18" customHeight="1">
      <c r="D365" s="368"/>
      <c r="E365" s="368"/>
      <c r="F365" s="368"/>
      <c r="G365" s="368"/>
      <c r="H365" s="368"/>
      <c r="I365" s="368"/>
      <c r="J365" s="368"/>
      <c r="K365" s="368"/>
      <c r="L365" s="368"/>
      <c r="M365" s="368"/>
      <c r="N365" s="368"/>
      <c r="O365" s="368"/>
      <c r="P365" s="368"/>
      <c r="Q365" s="369"/>
    </row>
    <row r="366" spans="4:17" s="321" customFormat="1" ht="18" customHeight="1">
      <c r="D366" s="368"/>
      <c r="E366" s="368"/>
      <c r="F366" s="368"/>
      <c r="G366" s="368"/>
      <c r="H366" s="368"/>
      <c r="I366" s="368"/>
      <c r="J366" s="368"/>
      <c r="K366" s="368"/>
      <c r="L366" s="368"/>
      <c r="M366" s="368"/>
      <c r="N366" s="368"/>
      <c r="O366" s="368"/>
      <c r="P366" s="368"/>
      <c r="Q366" s="369"/>
    </row>
    <row r="367" spans="4:17" s="321" customFormat="1" ht="18" customHeight="1">
      <c r="D367" s="368"/>
      <c r="E367" s="368"/>
      <c r="F367" s="368"/>
      <c r="G367" s="368"/>
      <c r="H367" s="368"/>
      <c r="I367" s="368"/>
      <c r="J367" s="368"/>
      <c r="K367" s="368"/>
      <c r="L367" s="368"/>
      <c r="M367" s="368"/>
      <c r="N367" s="368"/>
      <c r="O367" s="368"/>
      <c r="P367" s="368"/>
      <c r="Q367" s="369"/>
    </row>
    <row r="368" spans="4:17" s="321" customFormat="1" ht="18" customHeight="1">
      <c r="D368" s="368"/>
      <c r="E368" s="368"/>
      <c r="F368" s="368"/>
      <c r="G368" s="368"/>
      <c r="H368" s="368"/>
      <c r="I368" s="368"/>
      <c r="J368" s="368"/>
      <c r="K368" s="368"/>
      <c r="L368" s="368"/>
      <c r="M368" s="368"/>
      <c r="N368" s="368"/>
      <c r="O368" s="368"/>
      <c r="P368" s="368"/>
      <c r="Q368" s="369"/>
    </row>
    <row r="369" spans="4:17" s="321" customFormat="1" ht="18" customHeight="1">
      <c r="D369" s="368"/>
      <c r="E369" s="368"/>
      <c r="F369" s="368"/>
      <c r="G369" s="368"/>
      <c r="H369" s="368"/>
      <c r="I369" s="368"/>
      <c r="J369" s="368"/>
      <c r="K369" s="368"/>
      <c r="L369" s="368"/>
      <c r="M369" s="368"/>
      <c r="N369" s="368"/>
      <c r="O369" s="368"/>
      <c r="P369" s="368"/>
      <c r="Q369" s="369"/>
    </row>
    <row r="370" spans="4:17" s="321" customFormat="1" ht="18" customHeight="1">
      <c r="D370" s="368"/>
      <c r="E370" s="368"/>
      <c r="F370" s="368"/>
      <c r="G370" s="368"/>
      <c r="H370" s="368"/>
      <c r="I370" s="368"/>
      <c r="J370" s="368"/>
      <c r="K370" s="368"/>
      <c r="L370" s="368"/>
      <c r="M370" s="368"/>
      <c r="N370" s="368"/>
      <c r="O370" s="368"/>
      <c r="P370" s="368"/>
      <c r="Q370" s="369"/>
    </row>
    <row r="371" spans="4:17" s="321" customFormat="1" ht="18" customHeight="1">
      <c r="D371" s="368"/>
      <c r="E371" s="368"/>
      <c r="F371" s="368"/>
      <c r="G371" s="368"/>
      <c r="H371" s="368"/>
      <c r="I371" s="368"/>
      <c r="J371" s="368"/>
      <c r="K371" s="368"/>
      <c r="L371" s="368"/>
      <c r="M371" s="368"/>
      <c r="N371" s="368"/>
      <c r="O371" s="368"/>
      <c r="P371" s="368"/>
      <c r="Q371" s="369"/>
    </row>
    <row r="372" spans="4:17" s="321" customFormat="1" ht="18" customHeight="1">
      <c r="D372" s="368"/>
      <c r="E372" s="368"/>
      <c r="F372" s="368"/>
      <c r="G372" s="368"/>
      <c r="H372" s="368"/>
      <c r="I372" s="368"/>
      <c r="J372" s="368"/>
      <c r="K372" s="368"/>
      <c r="L372" s="368"/>
      <c r="M372" s="368"/>
      <c r="N372" s="368"/>
      <c r="O372" s="368"/>
      <c r="P372" s="368"/>
      <c r="Q372" s="369"/>
    </row>
    <row r="373" spans="4:17" s="321" customFormat="1" ht="18" customHeight="1">
      <c r="D373" s="368"/>
      <c r="E373" s="368"/>
      <c r="F373" s="368"/>
      <c r="G373" s="368"/>
      <c r="H373" s="368"/>
      <c r="I373" s="368"/>
      <c r="J373" s="368"/>
      <c r="K373" s="368"/>
      <c r="L373" s="368"/>
      <c r="M373" s="368"/>
      <c r="N373" s="368"/>
      <c r="O373" s="368"/>
      <c r="P373" s="368"/>
      <c r="Q373" s="369"/>
    </row>
    <row r="374" spans="4:17" s="321" customFormat="1" ht="18" customHeight="1">
      <c r="D374" s="368"/>
      <c r="E374" s="368"/>
      <c r="F374" s="368"/>
      <c r="G374" s="368"/>
      <c r="H374" s="368"/>
      <c r="I374" s="368"/>
      <c r="J374" s="368"/>
      <c r="K374" s="368"/>
      <c r="L374" s="368"/>
      <c r="M374" s="368"/>
      <c r="N374" s="368"/>
      <c r="O374" s="368"/>
      <c r="P374" s="368"/>
      <c r="Q374" s="369"/>
    </row>
    <row r="375" spans="4:17" s="321" customFormat="1" ht="18" customHeight="1">
      <c r="D375" s="368"/>
      <c r="E375" s="368"/>
      <c r="F375" s="368"/>
      <c r="G375" s="368"/>
      <c r="H375" s="368"/>
      <c r="I375" s="368"/>
      <c r="J375" s="368"/>
      <c r="K375" s="368"/>
      <c r="L375" s="368"/>
      <c r="M375" s="368"/>
      <c r="N375" s="368"/>
      <c r="O375" s="368"/>
      <c r="P375" s="368"/>
      <c r="Q375" s="369"/>
    </row>
    <row r="376" spans="4:17" s="321" customFormat="1" ht="18" customHeight="1">
      <c r="D376" s="368"/>
      <c r="E376" s="368"/>
      <c r="F376" s="368"/>
      <c r="G376" s="368"/>
      <c r="H376" s="368"/>
      <c r="I376" s="368"/>
      <c r="J376" s="368"/>
      <c r="K376" s="368"/>
      <c r="L376" s="368"/>
      <c r="M376" s="368"/>
      <c r="N376" s="368"/>
      <c r="O376" s="368"/>
      <c r="P376" s="368"/>
      <c r="Q376" s="369"/>
    </row>
    <row r="377" spans="4:17" s="321" customFormat="1" ht="18" customHeight="1">
      <c r="D377" s="368"/>
      <c r="E377" s="368"/>
      <c r="F377" s="368"/>
      <c r="G377" s="368"/>
      <c r="H377" s="368"/>
      <c r="I377" s="368"/>
      <c r="J377" s="368"/>
      <c r="K377" s="368"/>
      <c r="L377" s="368"/>
      <c r="M377" s="368"/>
      <c r="N377" s="368"/>
      <c r="O377" s="368"/>
      <c r="P377" s="368"/>
      <c r="Q377" s="369"/>
    </row>
    <row r="378" spans="4:17" s="321" customFormat="1" ht="18" customHeight="1">
      <c r="D378" s="368"/>
      <c r="E378" s="368"/>
      <c r="F378" s="368"/>
      <c r="G378" s="368"/>
      <c r="H378" s="368"/>
      <c r="I378" s="368"/>
      <c r="J378" s="368"/>
      <c r="K378" s="368"/>
      <c r="L378" s="368"/>
      <c r="M378" s="368"/>
      <c r="N378" s="368"/>
      <c r="O378" s="368"/>
      <c r="P378" s="368"/>
      <c r="Q378" s="369"/>
    </row>
    <row r="379" spans="4:17" s="321" customFormat="1" ht="18" customHeight="1">
      <c r="D379" s="368"/>
      <c r="E379" s="368"/>
      <c r="F379" s="368"/>
      <c r="G379" s="368"/>
      <c r="H379" s="368"/>
      <c r="I379" s="368"/>
      <c r="J379" s="368"/>
      <c r="K379" s="368"/>
      <c r="L379" s="368"/>
      <c r="M379" s="368"/>
      <c r="N379" s="368"/>
      <c r="O379" s="368"/>
      <c r="P379" s="368"/>
      <c r="Q379" s="369"/>
    </row>
    <row r="380" spans="4:17" s="321" customFormat="1" ht="18" customHeight="1">
      <c r="D380" s="368"/>
      <c r="E380" s="368"/>
      <c r="F380" s="368"/>
      <c r="G380" s="368"/>
      <c r="H380" s="368"/>
      <c r="I380" s="368"/>
      <c r="J380" s="368"/>
      <c r="K380" s="368"/>
      <c r="L380" s="368"/>
      <c r="M380" s="368"/>
      <c r="N380" s="368"/>
      <c r="O380" s="368"/>
      <c r="P380" s="368"/>
      <c r="Q380" s="369"/>
    </row>
    <row r="381" spans="4:17" s="321" customFormat="1" ht="18" customHeight="1">
      <c r="D381" s="368"/>
      <c r="E381" s="368"/>
      <c r="F381" s="368"/>
      <c r="G381" s="368"/>
      <c r="H381" s="368"/>
      <c r="I381" s="368"/>
      <c r="J381" s="368"/>
      <c r="K381" s="368"/>
      <c r="L381" s="368"/>
      <c r="M381" s="368"/>
      <c r="N381" s="368"/>
      <c r="O381" s="368"/>
      <c r="P381" s="368"/>
      <c r="Q381" s="369"/>
    </row>
    <row r="382" spans="4:17" s="321" customFormat="1" ht="18" customHeight="1">
      <c r="D382" s="368"/>
      <c r="E382" s="368"/>
      <c r="F382" s="368"/>
      <c r="G382" s="368"/>
      <c r="H382" s="368"/>
      <c r="I382" s="368"/>
      <c r="J382" s="368"/>
      <c r="K382" s="368"/>
      <c r="L382" s="368"/>
      <c r="M382" s="368"/>
      <c r="N382" s="368"/>
      <c r="O382" s="368"/>
      <c r="P382" s="368"/>
      <c r="Q382" s="369"/>
    </row>
    <row r="383" spans="4:17" s="321" customFormat="1" ht="18" customHeight="1">
      <c r="D383" s="368"/>
      <c r="E383" s="368"/>
      <c r="F383" s="368"/>
      <c r="G383" s="368"/>
      <c r="H383" s="368"/>
      <c r="I383" s="368"/>
      <c r="J383" s="368"/>
      <c r="K383" s="368"/>
      <c r="L383" s="368"/>
      <c r="M383" s="368"/>
      <c r="N383" s="368"/>
      <c r="O383" s="368"/>
      <c r="P383" s="368"/>
      <c r="Q383" s="369"/>
    </row>
    <row r="384" spans="4:17" s="321" customFormat="1" ht="18" customHeight="1">
      <c r="D384" s="368"/>
      <c r="E384" s="368"/>
      <c r="F384" s="368"/>
      <c r="G384" s="368"/>
      <c r="H384" s="368"/>
      <c r="I384" s="368"/>
      <c r="J384" s="368"/>
      <c r="K384" s="368"/>
      <c r="L384" s="368"/>
      <c r="M384" s="368"/>
      <c r="N384" s="368"/>
      <c r="O384" s="368"/>
      <c r="P384" s="368"/>
      <c r="Q384" s="369"/>
    </row>
    <row r="385" spans="4:17" s="321" customFormat="1" ht="18" customHeight="1">
      <c r="D385" s="368"/>
      <c r="E385" s="368"/>
      <c r="F385" s="368"/>
      <c r="G385" s="368"/>
      <c r="H385" s="368"/>
      <c r="I385" s="368"/>
      <c r="J385" s="368"/>
      <c r="K385" s="368"/>
      <c r="L385" s="368"/>
      <c r="M385" s="368"/>
      <c r="N385" s="368"/>
      <c r="O385" s="368"/>
      <c r="P385" s="368"/>
      <c r="Q385" s="369"/>
    </row>
    <row r="386" spans="4:17" s="321" customFormat="1" ht="18" customHeight="1">
      <c r="D386" s="368"/>
      <c r="E386" s="368"/>
      <c r="F386" s="368"/>
      <c r="G386" s="368"/>
      <c r="H386" s="368"/>
      <c r="I386" s="368"/>
      <c r="J386" s="368"/>
      <c r="K386" s="368"/>
      <c r="L386" s="368"/>
      <c r="M386" s="368"/>
      <c r="N386" s="368"/>
      <c r="O386" s="368"/>
      <c r="P386" s="368"/>
      <c r="Q386" s="369"/>
    </row>
    <row r="387" spans="4:17" s="321" customFormat="1" ht="18" customHeight="1">
      <c r="D387" s="368"/>
      <c r="E387" s="368"/>
      <c r="F387" s="368"/>
      <c r="G387" s="368"/>
      <c r="H387" s="368"/>
      <c r="I387" s="368"/>
      <c r="J387" s="368"/>
      <c r="K387" s="368"/>
      <c r="L387" s="368"/>
      <c r="M387" s="368"/>
      <c r="N387" s="368"/>
      <c r="O387" s="368"/>
      <c r="P387" s="368"/>
      <c r="Q387" s="369"/>
    </row>
    <row r="388" spans="4:17" s="321" customFormat="1" ht="18" customHeight="1">
      <c r="D388" s="368"/>
      <c r="E388" s="368"/>
      <c r="F388" s="368"/>
      <c r="G388" s="368"/>
      <c r="H388" s="368"/>
      <c r="I388" s="368"/>
      <c r="J388" s="368"/>
      <c r="K388" s="368"/>
      <c r="L388" s="368"/>
      <c r="M388" s="368"/>
      <c r="N388" s="368"/>
      <c r="O388" s="368"/>
      <c r="P388" s="368"/>
      <c r="Q388" s="369"/>
    </row>
    <row r="389" spans="4:17" s="321" customFormat="1" ht="18" customHeight="1">
      <c r="D389" s="368"/>
      <c r="E389" s="368"/>
      <c r="F389" s="368"/>
      <c r="G389" s="368"/>
      <c r="H389" s="368"/>
      <c r="I389" s="368"/>
      <c r="J389" s="368"/>
      <c r="K389" s="368"/>
      <c r="L389" s="368"/>
      <c r="M389" s="368"/>
      <c r="N389" s="368"/>
      <c r="O389" s="368"/>
      <c r="P389" s="368"/>
      <c r="Q389" s="369"/>
    </row>
    <row r="390" spans="4:17" s="321" customFormat="1" ht="18" customHeight="1">
      <c r="D390" s="368"/>
      <c r="E390" s="368"/>
      <c r="F390" s="368"/>
      <c r="G390" s="368"/>
      <c r="H390" s="368"/>
      <c r="I390" s="368"/>
      <c r="J390" s="368"/>
      <c r="K390" s="368"/>
      <c r="L390" s="368"/>
      <c r="M390" s="368"/>
      <c r="N390" s="368"/>
      <c r="O390" s="368"/>
      <c r="P390" s="368"/>
      <c r="Q390" s="369"/>
    </row>
    <row r="391" spans="4:17" s="321" customFormat="1" ht="18" customHeight="1">
      <c r="D391" s="368"/>
      <c r="E391" s="368"/>
      <c r="F391" s="368"/>
      <c r="G391" s="368"/>
      <c r="H391" s="368"/>
      <c r="I391" s="368"/>
      <c r="J391" s="368"/>
      <c r="K391" s="368"/>
      <c r="L391" s="368"/>
      <c r="M391" s="368"/>
      <c r="N391" s="368"/>
      <c r="O391" s="368"/>
      <c r="P391" s="368"/>
      <c r="Q391" s="369"/>
    </row>
    <row r="392" spans="4:17" s="321" customFormat="1" ht="18" customHeight="1">
      <c r="D392" s="368"/>
      <c r="E392" s="368"/>
      <c r="F392" s="368"/>
      <c r="G392" s="368"/>
      <c r="H392" s="368"/>
      <c r="I392" s="368"/>
      <c r="J392" s="368"/>
      <c r="K392" s="368"/>
      <c r="L392" s="368"/>
      <c r="M392" s="368"/>
      <c r="N392" s="368"/>
      <c r="O392" s="368"/>
      <c r="P392" s="368"/>
      <c r="Q392" s="369"/>
    </row>
    <row r="393" spans="4:17" s="321" customFormat="1" ht="18" customHeight="1">
      <c r="D393" s="368"/>
      <c r="E393" s="368"/>
      <c r="F393" s="368"/>
      <c r="G393" s="368"/>
      <c r="H393" s="368"/>
      <c r="I393" s="368"/>
      <c r="J393" s="368"/>
      <c r="K393" s="368"/>
      <c r="L393" s="368"/>
      <c r="M393" s="368"/>
      <c r="N393" s="368"/>
      <c r="O393" s="368"/>
      <c r="P393" s="368"/>
      <c r="Q393" s="369"/>
    </row>
    <row r="394" spans="4:17" s="321" customFormat="1" ht="18" customHeight="1">
      <c r="D394" s="368"/>
      <c r="E394" s="368"/>
      <c r="F394" s="368"/>
      <c r="G394" s="368"/>
      <c r="H394" s="368"/>
      <c r="I394" s="368"/>
      <c r="J394" s="368"/>
      <c r="K394" s="368"/>
      <c r="L394" s="368"/>
      <c r="M394" s="368"/>
      <c r="N394" s="368"/>
      <c r="O394" s="368"/>
      <c r="P394" s="368"/>
      <c r="Q394" s="369"/>
    </row>
    <row r="395" spans="4:17" s="321" customFormat="1" ht="18" customHeight="1">
      <c r="D395" s="368"/>
      <c r="E395" s="368"/>
      <c r="F395" s="368"/>
      <c r="G395" s="368"/>
      <c r="H395" s="368"/>
      <c r="I395" s="368"/>
      <c r="J395" s="368"/>
      <c r="K395" s="368"/>
      <c r="L395" s="368"/>
      <c r="M395" s="368"/>
      <c r="N395" s="368"/>
      <c r="O395" s="368"/>
      <c r="P395" s="368"/>
      <c r="Q395" s="369"/>
    </row>
    <row r="396" spans="4:17" s="321" customFormat="1" ht="18" customHeight="1">
      <c r="D396" s="368"/>
      <c r="E396" s="368"/>
      <c r="F396" s="368"/>
      <c r="G396" s="368"/>
      <c r="H396" s="368"/>
      <c r="I396" s="368"/>
      <c r="J396" s="368"/>
      <c r="K396" s="368"/>
      <c r="L396" s="368"/>
      <c r="M396" s="368"/>
      <c r="N396" s="368"/>
      <c r="O396" s="368"/>
      <c r="P396" s="368"/>
      <c r="Q396" s="369"/>
    </row>
    <row r="397" spans="4:17" s="321" customFormat="1" ht="18" customHeight="1">
      <c r="D397" s="368"/>
      <c r="E397" s="368"/>
      <c r="F397" s="368"/>
      <c r="G397" s="368"/>
      <c r="H397" s="368"/>
      <c r="I397" s="368"/>
      <c r="J397" s="368"/>
      <c r="K397" s="368"/>
      <c r="L397" s="368"/>
      <c r="M397" s="368"/>
      <c r="N397" s="368"/>
      <c r="O397" s="368"/>
      <c r="P397" s="368"/>
      <c r="Q397" s="369"/>
    </row>
    <row r="398" spans="4:17" s="321" customFormat="1" ht="18" customHeight="1">
      <c r="D398" s="368"/>
      <c r="E398" s="368"/>
      <c r="F398" s="368"/>
      <c r="G398" s="368"/>
      <c r="H398" s="368"/>
      <c r="I398" s="368"/>
      <c r="J398" s="368"/>
      <c r="K398" s="368"/>
      <c r="L398" s="368"/>
      <c r="M398" s="368"/>
      <c r="N398" s="368"/>
      <c r="O398" s="368"/>
      <c r="P398" s="368"/>
      <c r="Q398" s="369"/>
    </row>
    <row r="399" spans="4:17" s="321" customFormat="1" ht="18" customHeight="1">
      <c r="D399" s="368"/>
      <c r="E399" s="368"/>
      <c r="F399" s="368"/>
      <c r="G399" s="368"/>
      <c r="H399" s="368"/>
      <c r="I399" s="368"/>
      <c r="J399" s="368"/>
      <c r="K399" s="368"/>
      <c r="L399" s="368"/>
      <c r="M399" s="368"/>
      <c r="N399" s="368"/>
      <c r="O399" s="368"/>
      <c r="P399" s="368"/>
      <c r="Q399" s="369"/>
    </row>
    <row r="400" spans="4:17" s="321" customFormat="1" ht="18" customHeight="1">
      <c r="D400" s="368"/>
      <c r="E400" s="368"/>
      <c r="F400" s="368"/>
      <c r="G400" s="368"/>
      <c r="H400" s="368"/>
      <c r="I400" s="368"/>
      <c r="J400" s="368"/>
      <c r="K400" s="368"/>
      <c r="L400" s="368"/>
      <c r="M400" s="368"/>
      <c r="N400" s="368"/>
      <c r="O400" s="368"/>
      <c r="P400" s="368"/>
      <c r="Q400" s="369"/>
    </row>
    <row r="401" spans="4:17" s="321" customFormat="1" ht="18" customHeight="1">
      <c r="D401" s="368"/>
      <c r="E401" s="368"/>
      <c r="F401" s="368"/>
      <c r="G401" s="368"/>
      <c r="H401" s="368"/>
      <c r="I401" s="368"/>
      <c r="J401" s="368"/>
      <c r="K401" s="368"/>
      <c r="L401" s="368"/>
      <c r="M401" s="368"/>
      <c r="N401" s="368"/>
      <c r="O401" s="368"/>
      <c r="P401" s="368"/>
      <c r="Q401" s="369"/>
    </row>
    <row r="402" spans="4:17" s="321" customFormat="1" ht="18" customHeight="1">
      <c r="D402" s="368"/>
      <c r="E402" s="368"/>
      <c r="F402" s="368"/>
      <c r="G402" s="368"/>
      <c r="H402" s="368"/>
      <c r="I402" s="368"/>
      <c r="J402" s="368"/>
      <c r="K402" s="368"/>
      <c r="L402" s="368"/>
      <c r="M402" s="368"/>
      <c r="N402" s="368"/>
      <c r="O402" s="368"/>
      <c r="P402" s="368"/>
      <c r="Q402" s="369"/>
    </row>
    <row r="403" spans="4:17" s="321" customFormat="1" ht="18" customHeight="1">
      <c r="D403" s="368"/>
      <c r="E403" s="368"/>
      <c r="F403" s="368"/>
      <c r="G403" s="368"/>
      <c r="H403" s="368"/>
      <c r="I403" s="368"/>
      <c r="J403" s="368"/>
      <c r="K403" s="368"/>
      <c r="L403" s="368"/>
      <c r="M403" s="368"/>
      <c r="N403" s="368"/>
      <c r="O403" s="368"/>
      <c r="P403" s="368"/>
      <c r="Q403" s="369"/>
    </row>
    <row r="404" spans="4:17" s="321" customFormat="1" ht="18" customHeight="1">
      <c r="D404" s="368"/>
      <c r="E404" s="368"/>
      <c r="F404" s="368"/>
      <c r="G404" s="368"/>
      <c r="H404" s="368"/>
      <c r="I404" s="368"/>
      <c r="J404" s="368"/>
      <c r="K404" s="368"/>
      <c r="L404" s="368"/>
      <c r="M404" s="368"/>
      <c r="N404" s="368"/>
      <c r="O404" s="368"/>
      <c r="P404" s="368"/>
      <c r="Q404" s="369"/>
    </row>
    <row r="405" spans="4:17" s="321" customFormat="1" ht="18" customHeight="1">
      <c r="D405" s="368"/>
      <c r="E405" s="368"/>
      <c r="F405" s="368"/>
      <c r="G405" s="368"/>
      <c r="H405" s="368"/>
      <c r="I405" s="368"/>
      <c r="J405" s="368"/>
      <c r="K405" s="368"/>
      <c r="L405" s="368"/>
      <c r="M405" s="368"/>
      <c r="N405" s="368"/>
      <c r="O405" s="368"/>
      <c r="P405" s="368"/>
      <c r="Q405" s="369"/>
    </row>
    <row r="406" spans="4:17" s="321" customFormat="1" ht="18" customHeight="1">
      <c r="D406" s="368"/>
      <c r="E406" s="368"/>
      <c r="F406" s="368"/>
      <c r="G406" s="368"/>
      <c r="H406" s="368"/>
      <c r="I406" s="368"/>
      <c r="J406" s="368"/>
      <c r="K406" s="368"/>
      <c r="L406" s="368"/>
      <c r="M406" s="368"/>
      <c r="N406" s="368"/>
      <c r="O406" s="368"/>
      <c r="P406" s="368"/>
      <c r="Q406" s="369"/>
    </row>
    <row r="407" spans="4:17" s="321" customFormat="1" ht="18" customHeight="1">
      <c r="D407" s="368"/>
      <c r="E407" s="368"/>
      <c r="F407" s="368"/>
      <c r="G407" s="368"/>
      <c r="H407" s="368"/>
      <c r="I407" s="368"/>
      <c r="J407" s="368"/>
      <c r="K407" s="368"/>
      <c r="L407" s="368"/>
      <c r="M407" s="368"/>
      <c r="N407" s="368"/>
      <c r="O407" s="368"/>
      <c r="P407" s="368"/>
      <c r="Q407" s="369"/>
    </row>
    <row r="408" spans="4:17" s="321" customFormat="1" ht="18" customHeight="1">
      <c r="D408" s="368"/>
      <c r="E408" s="368"/>
      <c r="F408" s="368"/>
      <c r="G408" s="368"/>
      <c r="H408" s="368"/>
      <c r="I408" s="368"/>
      <c r="J408" s="368"/>
      <c r="K408" s="368"/>
      <c r="L408" s="368"/>
      <c r="M408" s="368"/>
      <c r="N408" s="368"/>
      <c r="O408" s="368"/>
      <c r="P408" s="368"/>
      <c r="Q408" s="369"/>
    </row>
    <row r="409" spans="4:17" s="321" customFormat="1" ht="18" customHeight="1">
      <c r="D409" s="368"/>
      <c r="E409" s="368"/>
      <c r="F409" s="368"/>
      <c r="G409" s="368"/>
      <c r="H409" s="368"/>
      <c r="I409" s="368"/>
      <c r="J409" s="368"/>
      <c r="K409" s="368"/>
      <c r="L409" s="368"/>
      <c r="M409" s="368"/>
      <c r="N409" s="368"/>
      <c r="O409" s="368"/>
      <c r="P409" s="368"/>
      <c r="Q409" s="369"/>
    </row>
    <row r="410" spans="4:17" s="321" customFormat="1" ht="18" customHeight="1">
      <c r="D410" s="368"/>
      <c r="E410" s="368"/>
      <c r="F410" s="368"/>
      <c r="G410" s="368"/>
      <c r="H410" s="368"/>
      <c r="I410" s="368"/>
      <c r="J410" s="368"/>
      <c r="K410" s="368"/>
      <c r="L410" s="368"/>
      <c r="M410" s="368"/>
      <c r="N410" s="368"/>
      <c r="O410" s="368"/>
      <c r="P410" s="368"/>
      <c r="Q410" s="369"/>
    </row>
    <row r="411" spans="4:17" s="321" customFormat="1" ht="18" customHeight="1">
      <c r="D411" s="368"/>
      <c r="E411" s="368"/>
      <c r="F411" s="368"/>
      <c r="G411" s="368"/>
      <c r="H411" s="368"/>
      <c r="I411" s="368"/>
      <c r="J411" s="368"/>
      <c r="K411" s="368"/>
      <c r="L411" s="368"/>
      <c r="M411" s="368"/>
      <c r="N411" s="368"/>
      <c r="O411" s="368"/>
      <c r="P411" s="368"/>
      <c r="Q411" s="369"/>
    </row>
    <row r="412" spans="4:17" s="321" customFormat="1" ht="18" customHeight="1">
      <c r="D412" s="368"/>
      <c r="E412" s="368"/>
      <c r="F412" s="368"/>
      <c r="G412" s="368"/>
      <c r="H412" s="368"/>
      <c r="I412" s="368"/>
      <c r="J412" s="368"/>
      <c r="K412" s="368"/>
      <c r="L412" s="368"/>
      <c r="M412" s="368"/>
      <c r="N412" s="368"/>
      <c r="O412" s="368"/>
      <c r="P412" s="368"/>
      <c r="Q412" s="369"/>
    </row>
    <row r="413" spans="4:17" s="321" customFormat="1" ht="18" customHeight="1">
      <c r="D413" s="368"/>
      <c r="E413" s="368"/>
      <c r="F413" s="368"/>
      <c r="G413" s="368"/>
      <c r="H413" s="368"/>
      <c r="I413" s="368"/>
      <c r="J413" s="368"/>
      <c r="K413" s="368"/>
      <c r="L413" s="368"/>
      <c r="M413" s="368"/>
      <c r="N413" s="368"/>
      <c r="O413" s="368"/>
      <c r="P413" s="368"/>
      <c r="Q413" s="369"/>
    </row>
    <row r="414" spans="4:17" s="321" customFormat="1" ht="18" customHeight="1">
      <c r="D414" s="368"/>
      <c r="E414" s="368"/>
      <c r="F414" s="368"/>
      <c r="G414" s="368"/>
      <c r="H414" s="368"/>
      <c r="I414" s="368"/>
      <c r="J414" s="368"/>
      <c r="K414" s="368"/>
      <c r="L414" s="368"/>
      <c r="M414" s="368"/>
      <c r="N414" s="368"/>
      <c r="O414" s="368"/>
      <c r="P414" s="368"/>
      <c r="Q414" s="369"/>
    </row>
    <row r="415" spans="4:17" s="321" customFormat="1" ht="18" customHeight="1">
      <c r="D415" s="368"/>
      <c r="E415" s="368"/>
      <c r="F415" s="368"/>
      <c r="G415" s="368"/>
      <c r="H415" s="368"/>
      <c r="I415" s="368"/>
      <c r="J415" s="368"/>
      <c r="K415" s="368"/>
      <c r="L415" s="368"/>
      <c r="M415" s="368"/>
      <c r="N415" s="368"/>
      <c r="O415" s="368"/>
      <c r="P415" s="368"/>
      <c r="Q415" s="369"/>
    </row>
    <row r="416" spans="4:17" s="321" customFormat="1" ht="18" customHeight="1">
      <c r="D416" s="368"/>
      <c r="E416" s="368"/>
      <c r="F416" s="368"/>
      <c r="G416" s="368"/>
      <c r="H416" s="368"/>
      <c r="I416" s="368"/>
      <c r="J416" s="368"/>
      <c r="K416" s="368"/>
      <c r="L416" s="368"/>
      <c r="M416" s="368"/>
      <c r="N416" s="368"/>
      <c r="O416" s="368"/>
      <c r="P416" s="368"/>
      <c r="Q416" s="369"/>
    </row>
    <row r="417" spans="4:17" s="321" customFormat="1" ht="18" customHeight="1">
      <c r="D417" s="368"/>
      <c r="E417" s="368"/>
      <c r="F417" s="368"/>
      <c r="G417" s="368"/>
      <c r="H417" s="368"/>
      <c r="I417" s="368"/>
      <c r="J417" s="368"/>
      <c r="K417" s="368"/>
      <c r="L417" s="368"/>
      <c r="M417" s="368"/>
      <c r="N417" s="368"/>
      <c r="O417" s="368"/>
      <c r="P417" s="368"/>
      <c r="Q417" s="369"/>
    </row>
    <row r="418" spans="4:17" s="321" customFormat="1" ht="18" customHeight="1">
      <c r="D418" s="368"/>
      <c r="E418" s="368"/>
      <c r="F418" s="368"/>
      <c r="G418" s="368"/>
      <c r="H418" s="368"/>
      <c r="I418" s="368"/>
      <c r="J418" s="368"/>
      <c r="K418" s="368"/>
      <c r="L418" s="368"/>
      <c r="M418" s="368"/>
      <c r="N418" s="368"/>
      <c r="O418" s="368"/>
      <c r="P418" s="368"/>
      <c r="Q418" s="369"/>
    </row>
    <row r="419" spans="4:17" s="321" customFormat="1" ht="18" customHeight="1">
      <c r="D419" s="368"/>
      <c r="E419" s="368"/>
      <c r="F419" s="368"/>
      <c r="G419" s="368"/>
      <c r="H419" s="368"/>
      <c r="I419" s="368"/>
      <c r="J419" s="368"/>
      <c r="K419" s="368"/>
      <c r="L419" s="368"/>
      <c r="M419" s="368"/>
      <c r="N419" s="368"/>
      <c r="O419" s="368"/>
      <c r="P419" s="368"/>
      <c r="Q419" s="369"/>
    </row>
    <row r="420" spans="4:17" s="321" customFormat="1" ht="18" customHeight="1">
      <c r="D420" s="368"/>
      <c r="E420" s="368"/>
      <c r="F420" s="368"/>
      <c r="G420" s="368"/>
      <c r="H420" s="368"/>
      <c r="I420" s="368"/>
      <c r="J420" s="368"/>
      <c r="K420" s="368"/>
      <c r="L420" s="368"/>
      <c r="M420" s="368"/>
      <c r="N420" s="368"/>
      <c r="O420" s="368"/>
      <c r="P420" s="368"/>
      <c r="Q420" s="369"/>
    </row>
    <row r="421" spans="4:17" s="321" customFormat="1" ht="18" customHeight="1">
      <c r="D421" s="368"/>
      <c r="E421" s="368"/>
      <c r="F421" s="368"/>
      <c r="G421" s="368"/>
      <c r="H421" s="368"/>
      <c r="I421" s="368"/>
      <c r="J421" s="368"/>
      <c r="K421" s="368"/>
      <c r="L421" s="368"/>
      <c r="M421" s="368"/>
      <c r="N421" s="368"/>
      <c r="O421" s="368"/>
      <c r="P421" s="368"/>
      <c r="Q421" s="369"/>
    </row>
    <row r="422" spans="4:17" s="321" customFormat="1" ht="18" customHeight="1">
      <c r="D422" s="368"/>
      <c r="E422" s="368"/>
      <c r="F422" s="368"/>
      <c r="G422" s="368"/>
      <c r="H422" s="368"/>
      <c r="I422" s="368"/>
      <c r="J422" s="368"/>
      <c r="K422" s="368"/>
      <c r="L422" s="368"/>
      <c r="M422" s="368"/>
      <c r="N422" s="368"/>
      <c r="O422" s="368"/>
      <c r="P422" s="368"/>
      <c r="Q422" s="369"/>
    </row>
    <row r="423" spans="4:17" s="321" customFormat="1" ht="18" customHeight="1">
      <c r="D423" s="368"/>
      <c r="E423" s="368"/>
      <c r="F423" s="368"/>
      <c r="G423" s="368"/>
      <c r="H423" s="368"/>
      <c r="I423" s="368"/>
      <c r="J423" s="368"/>
      <c r="K423" s="368"/>
      <c r="L423" s="368"/>
      <c r="M423" s="368"/>
      <c r="N423" s="368"/>
      <c r="O423" s="368"/>
      <c r="P423" s="368"/>
      <c r="Q423" s="369"/>
    </row>
    <row r="424" spans="4:17" s="321" customFormat="1" ht="18" customHeight="1">
      <c r="D424" s="368"/>
      <c r="E424" s="368"/>
      <c r="F424" s="368"/>
      <c r="G424" s="368"/>
      <c r="H424" s="368"/>
      <c r="I424" s="368"/>
      <c r="J424" s="368"/>
      <c r="K424" s="368"/>
      <c r="L424" s="368"/>
      <c r="M424" s="368"/>
      <c r="N424" s="368"/>
      <c r="O424" s="368"/>
      <c r="P424" s="368"/>
      <c r="Q424" s="369"/>
    </row>
    <row r="425" spans="4:17" s="321" customFormat="1" ht="18" customHeight="1">
      <c r="D425" s="368"/>
      <c r="E425" s="368"/>
      <c r="F425" s="368"/>
      <c r="G425" s="368"/>
      <c r="H425" s="368"/>
      <c r="I425" s="368"/>
      <c r="J425" s="368"/>
      <c r="K425" s="368"/>
      <c r="L425" s="368"/>
      <c r="M425" s="368"/>
      <c r="N425" s="368"/>
      <c r="O425" s="368"/>
      <c r="P425" s="368"/>
      <c r="Q425" s="369"/>
    </row>
    <row r="426" spans="4:17" s="321" customFormat="1" ht="18" customHeight="1">
      <c r="D426" s="368"/>
      <c r="E426" s="368"/>
      <c r="F426" s="368"/>
      <c r="G426" s="368"/>
      <c r="H426" s="368"/>
      <c r="I426" s="368"/>
      <c r="J426" s="368"/>
      <c r="K426" s="368"/>
      <c r="L426" s="368"/>
      <c r="M426" s="368"/>
      <c r="N426" s="368"/>
      <c r="O426" s="368"/>
      <c r="P426" s="368"/>
      <c r="Q426" s="369"/>
    </row>
    <row r="427" spans="4:17" s="321" customFormat="1" ht="18" customHeight="1">
      <c r="D427" s="368"/>
      <c r="E427" s="368"/>
      <c r="F427" s="368"/>
      <c r="G427" s="368"/>
      <c r="H427" s="368"/>
      <c r="I427" s="368"/>
      <c r="J427" s="368"/>
      <c r="K427" s="368"/>
      <c r="L427" s="368"/>
      <c r="M427" s="368"/>
      <c r="N427" s="368"/>
      <c r="O427" s="368"/>
      <c r="P427" s="368"/>
      <c r="Q427" s="369"/>
    </row>
    <row r="428" spans="4:17" s="321" customFormat="1" ht="18" customHeight="1">
      <c r="D428" s="368"/>
      <c r="E428" s="368"/>
      <c r="F428" s="368"/>
      <c r="G428" s="368"/>
      <c r="H428" s="368"/>
      <c r="I428" s="368"/>
      <c r="J428" s="368"/>
      <c r="K428" s="368"/>
      <c r="L428" s="368"/>
      <c r="M428" s="368"/>
      <c r="N428" s="368"/>
      <c r="O428" s="368"/>
      <c r="P428" s="368"/>
      <c r="Q428" s="369"/>
    </row>
    <row r="429" spans="4:17" s="321" customFormat="1" ht="18" customHeight="1">
      <c r="D429" s="368"/>
      <c r="E429" s="368"/>
      <c r="F429" s="368"/>
      <c r="G429" s="368"/>
      <c r="H429" s="368"/>
      <c r="I429" s="368"/>
      <c r="J429" s="368"/>
      <c r="K429" s="368"/>
      <c r="L429" s="368"/>
      <c r="M429" s="368"/>
      <c r="N429" s="368"/>
      <c r="O429" s="368"/>
      <c r="P429" s="368"/>
      <c r="Q429" s="369"/>
    </row>
    <row r="430" spans="4:17" s="321" customFormat="1" ht="18" customHeight="1">
      <c r="D430" s="368"/>
      <c r="E430" s="368"/>
      <c r="F430" s="368"/>
      <c r="G430" s="368"/>
      <c r="H430" s="368"/>
      <c r="I430" s="368"/>
      <c r="J430" s="368"/>
      <c r="K430" s="368"/>
      <c r="L430" s="368"/>
      <c r="M430" s="368"/>
      <c r="N430" s="368"/>
      <c r="O430" s="368"/>
      <c r="P430" s="368"/>
      <c r="Q430" s="369"/>
    </row>
    <row r="431" spans="4:17" s="321" customFormat="1" ht="18" customHeight="1">
      <c r="D431" s="368"/>
      <c r="E431" s="368"/>
      <c r="F431" s="368"/>
      <c r="G431" s="368"/>
      <c r="H431" s="368"/>
      <c r="I431" s="368"/>
      <c r="J431" s="368"/>
      <c r="K431" s="368"/>
      <c r="L431" s="368"/>
      <c r="M431" s="368"/>
      <c r="N431" s="368"/>
      <c r="O431" s="368"/>
      <c r="P431" s="368"/>
      <c r="Q431" s="369"/>
    </row>
    <row r="432" spans="4:17" s="321" customFormat="1" ht="18" customHeight="1">
      <c r="D432" s="368"/>
      <c r="E432" s="368"/>
      <c r="F432" s="368"/>
      <c r="G432" s="368"/>
      <c r="H432" s="368"/>
      <c r="I432" s="368"/>
      <c r="J432" s="368"/>
      <c r="K432" s="368"/>
      <c r="L432" s="368"/>
      <c r="M432" s="368"/>
      <c r="N432" s="368"/>
      <c r="O432" s="368"/>
      <c r="P432" s="368"/>
      <c r="Q432" s="369"/>
    </row>
    <row r="433" spans="4:17" s="321" customFormat="1" ht="18" customHeight="1">
      <c r="D433" s="368"/>
      <c r="E433" s="368"/>
      <c r="F433" s="368"/>
      <c r="G433" s="368"/>
      <c r="H433" s="368"/>
      <c r="I433" s="368"/>
      <c r="J433" s="368"/>
      <c r="K433" s="368"/>
      <c r="L433" s="368"/>
      <c r="M433" s="368"/>
      <c r="N433" s="368"/>
      <c r="O433" s="368"/>
      <c r="P433" s="368"/>
      <c r="Q433" s="369"/>
    </row>
    <row r="434" spans="4:17" s="321" customFormat="1" ht="18" customHeight="1">
      <c r="D434" s="368"/>
      <c r="E434" s="368"/>
      <c r="F434" s="368"/>
      <c r="G434" s="368"/>
      <c r="H434" s="368"/>
      <c r="I434" s="368"/>
      <c r="J434" s="368"/>
      <c r="K434" s="368"/>
      <c r="L434" s="368"/>
      <c r="M434" s="368"/>
      <c r="N434" s="368"/>
      <c r="O434" s="368"/>
      <c r="P434" s="368"/>
      <c r="Q434" s="369"/>
    </row>
    <row r="435" spans="4:17" s="321" customFormat="1" ht="18" customHeight="1">
      <c r="D435" s="368"/>
      <c r="E435" s="368"/>
      <c r="F435" s="368"/>
      <c r="G435" s="368"/>
      <c r="H435" s="368"/>
      <c r="I435" s="368"/>
      <c r="J435" s="368"/>
      <c r="K435" s="368"/>
      <c r="L435" s="368"/>
      <c r="M435" s="368"/>
      <c r="N435" s="368"/>
      <c r="O435" s="368"/>
      <c r="P435" s="368"/>
      <c r="Q435" s="369"/>
    </row>
    <row r="436" spans="4:17" s="321" customFormat="1" ht="18" customHeight="1">
      <c r="D436" s="368"/>
      <c r="E436" s="368"/>
      <c r="F436" s="368"/>
      <c r="G436" s="368"/>
      <c r="H436" s="368"/>
      <c r="I436" s="368"/>
      <c r="J436" s="368"/>
      <c r="K436" s="368"/>
      <c r="L436" s="368"/>
      <c r="M436" s="368"/>
      <c r="N436" s="368"/>
      <c r="O436" s="368"/>
      <c r="P436" s="368"/>
      <c r="Q436" s="369"/>
    </row>
    <row r="437" spans="4:17" s="321" customFormat="1" ht="18" customHeight="1">
      <c r="D437" s="368"/>
      <c r="E437" s="368"/>
      <c r="F437" s="368"/>
      <c r="G437" s="368"/>
      <c r="H437" s="368"/>
      <c r="I437" s="368"/>
      <c r="J437" s="368"/>
      <c r="K437" s="368"/>
      <c r="L437" s="368"/>
      <c r="M437" s="368"/>
      <c r="N437" s="368"/>
      <c r="O437" s="368"/>
      <c r="P437" s="368"/>
      <c r="Q437" s="369"/>
    </row>
    <row r="438" spans="4:17" s="321" customFormat="1" ht="18" customHeight="1">
      <c r="D438" s="368"/>
      <c r="E438" s="368"/>
      <c r="F438" s="368"/>
      <c r="G438" s="368"/>
      <c r="H438" s="368"/>
      <c r="I438" s="368"/>
      <c r="J438" s="368"/>
      <c r="K438" s="368"/>
      <c r="L438" s="368"/>
      <c r="M438" s="368"/>
      <c r="N438" s="368"/>
      <c r="O438" s="368"/>
      <c r="P438" s="368"/>
      <c r="Q438" s="369"/>
    </row>
    <row r="439" spans="4:17" s="321" customFormat="1" ht="18" customHeight="1">
      <c r="D439" s="368"/>
      <c r="E439" s="368"/>
      <c r="F439" s="368"/>
      <c r="G439" s="368"/>
      <c r="H439" s="368"/>
      <c r="I439" s="368"/>
      <c r="J439" s="368"/>
      <c r="K439" s="368"/>
      <c r="L439" s="368"/>
      <c r="M439" s="368"/>
      <c r="N439" s="368"/>
      <c r="O439" s="368"/>
      <c r="P439" s="368"/>
      <c r="Q439" s="369"/>
    </row>
    <row r="440" spans="4:17" s="321" customFormat="1" ht="18" customHeight="1">
      <c r="D440" s="368"/>
      <c r="E440" s="368"/>
      <c r="F440" s="368"/>
      <c r="G440" s="368"/>
      <c r="H440" s="368"/>
      <c r="I440" s="368"/>
      <c r="J440" s="368"/>
      <c r="K440" s="368"/>
      <c r="L440" s="368"/>
      <c r="M440" s="368"/>
      <c r="N440" s="368"/>
      <c r="O440" s="368"/>
      <c r="P440" s="368"/>
      <c r="Q440" s="369"/>
    </row>
    <row r="441" spans="4:17" s="321" customFormat="1" ht="18" customHeight="1">
      <c r="D441" s="368"/>
      <c r="E441" s="368"/>
      <c r="F441" s="368"/>
      <c r="G441" s="368"/>
      <c r="H441" s="368"/>
      <c r="I441" s="368"/>
      <c r="J441" s="368"/>
      <c r="K441" s="368"/>
      <c r="L441" s="368"/>
      <c r="M441" s="368"/>
      <c r="N441" s="368"/>
      <c r="O441" s="368"/>
      <c r="P441" s="368"/>
      <c r="Q441" s="369"/>
    </row>
    <row r="442" spans="4:17" s="321" customFormat="1" ht="18" customHeight="1">
      <c r="D442" s="368"/>
      <c r="E442" s="368"/>
      <c r="F442" s="368"/>
      <c r="G442" s="368"/>
      <c r="H442" s="368"/>
      <c r="I442" s="368"/>
      <c r="J442" s="368"/>
      <c r="K442" s="368"/>
      <c r="L442" s="368"/>
      <c r="M442" s="368"/>
      <c r="N442" s="368"/>
      <c r="O442" s="368"/>
      <c r="P442" s="368"/>
      <c r="Q442" s="369"/>
    </row>
    <row r="443" spans="4:17" s="321" customFormat="1" ht="18" customHeight="1">
      <c r="D443" s="368"/>
      <c r="E443" s="368"/>
      <c r="F443" s="368"/>
      <c r="G443" s="368"/>
      <c r="H443" s="368"/>
      <c r="I443" s="368"/>
      <c r="J443" s="368"/>
      <c r="K443" s="368"/>
      <c r="L443" s="368"/>
      <c r="M443" s="368"/>
      <c r="N443" s="368"/>
      <c r="O443" s="368"/>
      <c r="P443" s="368"/>
      <c r="Q443" s="369"/>
    </row>
    <row r="444" spans="4:17" s="321" customFormat="1" ht="18" customHeight="1">
      <c r="D444" s="368"/>
      <c r="E444" s="368"/>
      <c r="F444" s="368"/>
      <c r="G444" s="368"/>
      <c r="H444" s="368"/>
      <c r="I444" s="368"/>
      <c r="J444" s="368"/>
      <c r="K444" s="368"/>
      <c r="L444" s="368"/>
      <c r="M444" s="368"/>
      <c r="N444" s="368"/>
      <c r="O444" s="368"/>
      <c r="P444" s="368"/>
      <c r="Q444" s="369"/>
    </row>
    <row r="445" spans="4:17" s="321" customFormat="1" ht="18" customHeight="1">
      <c r="D445" s="368"/>
      <c r="E445" s="368"/>
      <c r="F445" s="368"/>
      <c r="G445" s="368"/>
      <c r="H445" s="368"/>
      <c r="I445" s="368"/>
      <c r="J445" s="368"/>
      <c r="K445" s="368"/>
      <c r="L445" s="368"/>
      <c r="M445" s="368"/>
      <c r="N445" s="368"/>
      <c r="O445" s="368"/>
      <c r="P445" s="368"/>
      <c r="Q445" s="369"/>
    </row>
    <row r="446" spans="4:17" s="321" customFormat="1" ht="18" customHeight="1">
      <c r="D446" s="368"/>
      <c r="E446" s="368"/>
      <c r="F446" s="368"/>
      <c r="G446" s="368"/>
      <c r="H446" s="368"/>
      <c r="I446" s="368"/>
      <c r="J446" s="368"/>
      <c r="K446" s="368"/>
      <c r="L446" s="368"/>
      <c r="M446" s="368"/>
      <c r="N446" s="368"/>
      <c r="O446" s="368"/>
      <c r="P446" s="368"/>
      <c r="Q446" s="369"/>
    </row>
    <row r="447" spans="4:17" s="321" customFormat="1" ht="18" customHeight="1">
      <c r="D447" s="368"/>
      <c r="E447" s="368"/>
      <c r="F447" s="368"/>
      <c r="G447" s="368"/>
      <c r="H447" s="368"/>
      <c r="I447" s="368"/>
      <c r="J447" s="368"/>
      <c r="K447" s="368"/>
      <c r="L447" s="368"/>
      <c r="M447" s="368"/>
      <c r="N447" s="368"/>
      <c r="O447" s="368"/>
      <c r="P447" s="368"/>
      <c r="Q447" s="369"/>
    </row>
    <row r="448" spans="4:17" s="321" customFormat="1" ht="18" customHeight="1">
      <c r="D448" s="368"/>
      <c r="E448" s="368"/>
      <c r="F448" s="368"/>
      <c r="G448" s="368"/>
      <c r="H448" s="368"/>
      <c r="I448" s="368"/>
      <c r="J448" s="368"/>
      <c r="K448" s="368"/>
      <c r="L448" s="368"/>
      <c r="M448" s="368"/>
      <c r="N448" s="368"/>
      <c r="O448" s="368"/>
      <c r="P448" s="368"/>
      <c r="Q448" s="369"/>
    </row>
    <row r="449" spans="4:17" s="321" customFormat="1" ht="18" customHeight="1">
      <c r="D449" s="368"/>
      <c r="E449" s="368"/>
      <c r="F449" s="368"/>
      <c r="G449" s="368"/>
      <c r="H449" s="368"/>
      <c r="I449" s="368"/>
      <c r="J449" s="368"/>
      <c r="K449" s="368"/>
      <c r="L449" s="368"/>
      <c r="M449" s="368"/>
      <c r="N449" s="368"/>
      <c r="O449" s="368"/>
      <c r="P449" s="368"/>
      <c r="Q449" s="369"/>
    </row>
    <row r="450" spans="4:17" s="321" customFormat="1" ht="18" customHeight="1">
      <c r="D450" s="368"/>
      <c r="E450" s="368"/>
      <c r="F450" s="368"/>
      <c r="G450" s="368"/>
      <c r="H450" s="368"/>
      <c r="I450" s="368"/>
      <c r="J450" s="368"/>
      <c r="K450" s="368"/>
      <c r="L450" s="368"/>
      <c r="M450" s="368"/>
      <c r="N450" s="368"/>
      <c r="O450" s="368"/>
      <c r="P450" s="368"/>
      <c r="Q450" s="369"/>
    </row>
    <row r="451" spans="4:17" s="321" customFormat="1" ht="18" customHeight="1">
      <c r="D451" s="368"/>
      <c r="E451" s="368"/>
      <c r="F451" s="368"/>
      <c r="G451" s="368"/>
      <c r="H451" s="368"/>
      <c r="I451" s="368"/>
      <c r="J451" s="368"/>
      <c r="K451" s="368"/>
      <c r="L451" s="368"/>
      <c r="M451" s="368"/>
      <c r="N451" s="368"/>
      <c r="O451" s="368"/>
      <c r="P451" s="368"/>
      <c r="Q451" s="369"/>
    </row>
    <row r="452" spans="4:17" s="321" customFormat="1" ht="18" customHeight="1">
      <c r="D452" s="368"/>
      <c r="E452" s="368"/>
      <c r="F452" s="368"/>
      <c r="G452" s="368"/>
      <c r="H452" s="368"/>
      <c r="I452" s="368"/>
      <c r="J452" s="368"/>
      <c r="K452" s="368"/>
      <c r="L452" s="368"/>
      <c r="M452" s="368"/>
      <c r="N452" s="368"/>
      <c r="O452" s="368"/>
      <c r="P452" s="368"/>
      <c r="Q452" s="369"/>
    </row>
    <row r="453" spans="4:17" s="321" customFormat="1" ht="18" customHeight="1">
      <c r="D453" s="368"/>
      <c r="E453" s="368"/>
      <c r="F453" s="368"/>
      <c r="G453" s="368"/>
      <c r="H453" s="368"/>
      <c r="I453" s="368"/>
      <c r="J453" s="368"/>
      <c r="K453" s="368"/>
      <c r="L453" s="368"/>
      <c r="M453" s="368"/>
      <c r="N453" s="368"/>
      <c r="O453" s="368"/>
      <c r="P453" s="368"/>
      <c r="Q453" s="369"/>
    </row>
    <row r="454" spans="4:17" s="321" customFormat="1" ht="18" customHeight="1">
      <c r="D454" s="368"/>
      <c r="E454" s="368"/>
      <c r="F454" s="368"/>
      <c r="G454" s="368"/>
      <c r="H454" s="368"/>
      <c r="I454" s="368"/>
      <c r="J454" s="368"/>
      <c r="K454" s="368"/>
      <c r="L454" s="368"/>
      <c r="M454" s="368"/>
      <c r="N454" s="368"/>
      <c r="O454" s="368"/>
      <c r="P454" s="368"/>
      <c r="Q454" s="369"/>
    </row>
    <row r="455" spans="4:17" s="321" customFormat="1" ht="18" customHeight="1">
      <c r="D455" s="368"/>
      <c r="E455" s="368"/>
      <c r="F455" s="368"/>
      <c r="G455" s="368"/>
      <c r="H455" s="368"/>
      <c r="I455" s="368"/>
      <c r="J455" s="368"/>
      <c r="K455" s="368"/>
      <c r="L455" s="368"/>
      <c r="M455" s="368"/>
      <c r="N455" s="368"/>
      <c r="O455" s="368"/>
      <c r="P455" s="368"/>
      <c r="Q455" s="369"/>
    </row>
    <row r="456" spans="4:17" s="321" customFormat="1" ht="18" customHeight="1">
      <c r="D456" s="368"/>
      <c r="E456" s="368"/>
      <c r="F456" s="368"/>
      <c r="G456" s="368"/>
      <c r="H456" s="368"/>
      <c r="I456" s="368"/>
      <c r="J456" s="368"/>
      <c r="K456" s="368"/>
      <c r="L456" s="368"/>
      <c r="M456" s="368"/>
      <c r="N456" s="368"/>
      <c r="O456" s="368"/>
      <c r="P456" s="368"/>
      <c r="Q456" s="369"/>
    </row>
    <row r="457" spans="4:17" s="321" customFormat="1" ht="18" customHeight="1">
      <c r="D457" s="368"/>
      <c r="E457" s="368"/>
      <c r="F457" s="368"/>
      <c r="G457" s="368"/>
      <c r="H457" s="368"/>
      <c r="I457" s="368"/>
      <c r="J457" s="368"/>
      <c r="K457" s="368"/>
      <c r="L457" s="368"/>
      <c r="M457" s="368"/>
      <c r="N457" s="368"/>
      <c r="O457" s="368"/>
      <c r="P457" s="368"/>
      <c r="Q457" s="369"/>
    </row>
    <row r="458" spans="4:17" s="321" customFormat="1" ht="18" customHeight="1">
      <c r="D458" s="368"/>
      <c r="E458" s="368"/>
      <c r="F458" s="368"/>
      <c r="G458" s="368"/>
      <c r="H458" s="368"/>
      <c r="I458" s="368"/>
      <c r="J458" s="368"/>
      <c r="K458" s="368"/>
      <c r="L458" s="368"/>
      <c r="M458" s="368"/>
      <c r="N458" s="368"/>
      <c r="O458" s="368"/>
      <c r="P458" s="368"/>
      <c r="Q458" s="369"/>
    </row>
    <row r="459" spans="4:17" s="321" customFormat="1" ht="18" customHeight="1">
      <c r="D459" s="368"/>
      <c r="E459" s="368"/>
      <c r="F459" s="368"/>
      <c r="G459" s="368"/>
      <c r="H459" s="368"/>
      <c r="I459" s="368"/>
      <c r="J459" s="368"/>
      <c r="K459" s="368"/>
      <c r="L459" s="368"/>
      <c r="M459" s="368"/>
      <c r="N459" s="368"/>
      <c r="O459" s="368"/>
      <c r="P459" s="368"/>
      <c r="Q459" s="369"/>
    </row>
    <row r="460" spans="4:17" s="321" customFormat="1" ht="18" customHeight="1">
      <c r="D460" s="368"/>
      <c r="E460" s="368"/>
      <c r="F460" s="368"/>
      <c r="G460" s="368"/>
      <c r="H460" s="368"/>
      <c r="I460" s="368"/>
      <c r="J460" s="368"/>
      <c r="K460" s="368"/>
      <c r="L460" s="368"/>
      <c r="M460" s="368"/>
      <c r="N460" s="368"/>
      <c r="O460" s="368"/>
      <c r="P460" s="368"/>
      <c r="Q460" s="369"/>
    </row>
    <row r="461" spans="4:17" s="321" customFormat="1" ht="18" customHeight="1">
      <c r="D461" s="368"/>
      <c r="E461" s="368"/>
      <c r="F461" s="368"/>
      <c r="G461" s="368"/>
      <c r="H461" s="368"/>
      <c r="I461" s="368"/>
      <c r="J461" s="368"/>
      <c r="K461" s="368"/>
      <c r="L461" s="368"/>
      <c r="M461" s="368"/>
      <c r="N461" s="368"/>
      <c r="O461" s="368"/>
      <c r="P461" s="368"/>
      <c r="Q461" s="369"/>
    </row>
    <row r="462" spans="4:17" s="321" customFormat="1" ht="18" customHeight="1">
      <c r="D462" s="368"/>
      <c r="E462" s="368"/>
      <c r="F462" s="368"/>
      <c r="G462" s="368"/>
      <c r="H462" s="368"/>
      <c r="I462" s="368"/>
      <c r="J462" s="368"/>
      <c r="K462" s="368"/>
      <c r="L462" s="368"/>
      <c r="M462" s="368"/>
      <c r="N462" s="368"/>
      <c r="O462" s="368"/>
      <c r="P462" s="368"/>
      <c r="Q462" s="369"/>
    </row>
    <row r="463" spans="4:17" s="321" customFormat="1" ht="18" customHeight="1">
      <c r="D463" s="368"/>
      <c r="E463" s="368"/>
      <c r="F463" s="368"/>
      <c r="G463" s="368"/>
      <c r="H463" s="368"/>
      <c r="I463" s="368"/>
      <c r="J463" s="368"/>
      <c r="K463" s="368"/>
      <c r="L463" s="368"/>
      <c r="M463" s="368"/>
      <c r="N463" s="368"/>
      <c r="O463" s="368"/>
      <c r="P463" s="368"/>
      <c r="Q463" s="369"/>
    </row>
    <row r="464" spans="4:17" s="321" customFormat="1" ht="18" customHeight="1">
      <c r="D464" s="368"/>
      <c r="E464" s="368"/>
      <c r="F464" s="368"/>
      <c r="G464" s="368"/>
      <c r="H464" s="368"/>
      <c r="I464" s="368"/>
      <c r="J464" s="368"/>
      <c r="K464" s="368"/>
      <c r="L464" s="368"/>
      <c r="M464" s="368"/>
      <c r="N464" s="368"/>
      <c r="O464" s="368"/>
      <c r="P464" s="368"/>
      <c r="Q464" s="369"/>
    </row>
    <row r="465" spans="4:17" s="321" customFormat="1" ht="18" customHeight="1">
      <c r="D465" s="368"/>
      <c r="E465" s="368"/>
      <c r="F465" s="368"/>
      <c r="G465" s="368"/>
      <c r="H465" s="368"/>
      <c r="I465" s="368"/>
      <c r="J465" s="368"/>
      <c r="K465" s="368"/>
      <c r="L465" s="368"/>
      <c r="M465" s="368"/>
      <c r="N465" s="368"/>
      <c r="O465" s="368"/>
      <c r="P465" s="368"/>
      <c r="Q465" s="369"/>
    </row>
    <row r="466" spans="4:17" s="321" customFormat="1" ht="18" customHeight="1">
      <c r="D466" s="368"/>
      <c r="E466" s="368"/>
      <c r="F466" s="368"/>
      <c r="G466" s="368"/>
      <c r="H466" s="368"/>
      <c r="I466" s="368"/>
      <c r="J466" s="368"/>
      <c r="K466" s="368"/>
      <c r="L466" s="368"/>
      <c r="M466" s="368"/>
      <c r="N466" s="368"/>
      <c r="O466" s="368"/>
      <c r="P466" s="368"/>
      <c r="Q466" s="369"/>
    </row>
    <row r="467" spans="4:17" s="321" customFormat="1" ht="18" customHeight="1">
      <c r="D467" s="368"/>
      <c r="E467" s="368"/>
      <c r="F467" s="368"/>
      <c r="G467" s="368"/>
      <c r="H467" s="368"/>
      <c r="I467" s="368"/>
      <c r="J467" s="368"/>
      <c r="K467" s="368"/>
      <c r="L467" s="368"/>
      <c r="M467" s="368"/>
      <c r="N467" s="368"/>
      <c r="O467" s="368"/>
      <c r="P467" s="368"/>
      <c r="Q467" s="369"/>
    </row>
    <row r="468" spans="4:17" s="321" customFormat="1" ht="18" customHeight="1">
      <c r="D468" s="368"/>
      <c r="E468" s="368"/>
      <c r="F468" s="368"/>
      <c r="G468" s="368"/>
      <c r="H468" s="368"/>
      <c r="I468" s="368"/>
      <c r="J468" s="368"/>
      <c r="K468" s="368"/>
      <c r="L468" s="368"/>
      <c r="M468" s="368"/>
      <c r="N468" s="368"/>
      <c r="O468" s="368"/>
      <c r="P468" s="368"/>
      <c r="Q468" s="369"/>
    </row>
    <row r="469" spans="4:17" s="321" customFormat="1" ht="18" customHeight="1">
      <c r="D469" s="368"/>
      <c r="E469" s="368"/>
      <c r="F469" s="368"/>
      <c r="G469" s="368"/>
      <c r="H469" s="368"/>
      <c r="I469" s="368"/>
      <c r="J469" s="368"/>
      <c r="K469" s="368"/>
      <c r="L469" s="368"/>
      <c r="M469" s="368"/>
      <c r="N469" s="368"/>
      <c r="O469" s="368"/>
      <c r="P469" s="368"/>
      <c r="Q469" s="369"/>
    </row>
    <row r="470" spans="4:17" s="321" customFormat="1" ht="18" customHeight="1">
      <c r="D470" s="368"/>
      <c r="E470" s="368"/>
      <c r="F470" s="368"/>
      <c r="G470" s="368"/>
      <c r="H470" s="368"/>
      <c r="I470" s="368"/>
      <c r="J470" s="368"/>
      <c r="K470" s="368"/>
      <c r="L470" s="368"/>
      <c r="M470" s="368"/>
      <c r="N470" s="368"/>
      <c r="O470" s="368"/>
      <c r="P470" s="368"/>
      <c r="Q470" s="369"/>
    </row>
    <row r="471" spans="4:17" s="321" customFormat="1" ht="18" customHeight="1">
      <c r="D471" s="368"/>
      <c r="E471" s="368"/>
      <c r="F471" s="368"/>
      <c r="G471" s="368"/>
      <c r="H471" s="368"/>
      <c r="I471" s="368"/>
      <c r="J471" s="368"/>
      <c r="K471" s="368"/>
      <c r="L471" s="368"/>
      <c r="M471" s="368"/>
      <c r="N471" s="368"/>
      <c r="O471" s="368"/>
      <c r="P471" s="368"/>
      <c r="Q471" s="369"/>
    </row>
    <row r="472" spans="4:17" s="321" customFormat="1" ht="18" customHeight="1">
      <c r="D472" s="368"/>
      <c r="E472" s="368"/>
      <c r="F472" s="368"/>
      <c r="G472" s="368"/>
      <c r="H472" s="368"/>
      <c r="I472" s="368"/>
      <c r="J472" s="368"/>
      <c r="K472" s="368"/>
      <c r="L472" s="368"/>
      <c r="M472" s="368"/>
      <c r="N472" s="368"/>
      <c r="O472" s="368"/>
      <c r="P472" s="368"/>
      <c r="Q472" s="369"/>
    </row>
    <row r="473" spans="4:17" s="321" customFormat="1" ht="18" customHeight="1">
      <c r="D473" s="368"/>
      <c r="E473" s="368"/>
      <c r="F473" s="368"/>
      <c r="G473" s="368"/>
      <c r="H473" s="368"/>
      <c r="I473" s="368"/>
      <c r="J473" s="368"/>
      <c r="K473" s="368"/>
      <c r="L473" s="368"/>
      <c r="M473" s="368"/>
      <c r="N473" s="368"/>
      <c r="O473" s="368"/>
      <c r="P473" s="368"/>
      <c r="Q473" s="369"/>
    </row>
    <row r="474" spans="4:17" s="321" customFormat="1" ht="18" customHeight="1">
      <c r="D474" s="368"/>
      <c r="E474" s="368"/>
      <c r="F474" s="368"/>
      <c r="G474" s="368"/>
      <c r="H474" s="368"/>
      <c r="I474" s="368"/>
      <c r="J474" s="368"/>
      <c r="K474" s="368"/>
      <c r="L474" s="368"/>
      <c r="M474" s="368"/>
      <c r="N474" s="368"/>
      <c r="O474" s="368"/>
      <c r="P474" s="368"/>
      <c r="Q474" s="369"/>
    </row>
    <row r="475" spans="4:17" s="321" customFormat="1" ht="18" customHeight="1">
      <c r="D475" s="368"/>
      <c r="E475" s="368"/>
      <c r="F475" s="368"/>
      <c r="G475" s="368"/>
      <c r="H475" s="368"/>
      <c r="I475" s="368"/>
      <c r="J475" s="368"/>
      <c r="K475" s="368"/>
      <c r="L475" s="368"/>
      <c r="M475" s="368"/>
      <c r="N475" s="368"/>
      <c r="O475" s="368"/>
      <c r="P475" s="368"/>
      <c r="Q475" s="369"/>
    </row>
    <row r="476" spans="4:17" s="321" customFormat="1" ht="18" customHeight="1">
      <c r="D476" s="368"/>
      <c r="E476" s="368"/>
      <c r="F476" s="368"/>
      <c r="G476" s="368"/>
      <c r="H476" s="368"/>
      <c r="I476" s="368"/>
      <c r="J476" s="368"/>
      <c r="K476" s="368"/>
      <c r="L476" s="368"/>
      <c r="M476" s="368"/>
      <c r="N476" s="368"/>
      <c r="O476" s="368"/>
      <c r="P476" s="368"/>
      <c r="Q476" s="369"/>
    </row>
    <row r="477" spans="4:17" s="321" customFormat="1" ht="18" customHeight="1">
      <c r="D477" s="368"/>
      <c r="E477" s="368"/>
      <c r="F477" s="368"/>
      <c r="G477" s="368"/>
      <c r="H477" s="368"/>
      <c r="I477" s="368"/>
      <c r="J477" s="368"/>
      <c r="K477" s="368"/>
      <c r="L477" s="368"/>
      <c r="M477" s="368"/>
      <c r="N477" s="368"/>
      <c r="O477" s="368"/>
      <c r="P477" s="368"/>
      <c r="Q477" s="369"/>
    </row>
    <row r="478" spans="4:17" s="321" customFormat="1" ht="18" customHeight="1">
      <c r="D478" s="368"/>
      <c r="E478" s="368"/>
      <c r="F478" s="368"/>
      <c r="G478" s="368"/>
      <c r="H478" s="368"/>
      <c r="I478" s="368"/>
      <c r="J478" s="368"/>
      <c r="K478" s="368"/>
      <c r="L478" s="368"/>
      <c r="M478" s="368"/>
      <c r="N478" s="368"/>
      <c r="O478" s="368"/>
      <c r="P478" s="368"/>
      <c r="Q478" s="369"/>
    </row>
    <row r="479" spans="4:17" s="321" customFormat="1" ht="18" customHeight="1">
      <c r="D479" s="368"/>
      <c r="E479" s="368"/>
      <c r="F479" s="368"/>
      <c r="G479" s="368"/>
      <c r="H479" s="368"/>
      <c r="I479" s="368"/>
      <c r="J479" s="368"/>
      <c r="K479" s="368"/>
      <c r="L479" s="368"/>
      <c r="M479" s="368"/>
      <c r="N479" s="368"/>
      <c r="O479" s="368"/>
      <c r="P479" s="368"/>
      <c r="Q479" s="369"/>
    </row>
    <row r="480" spans="4:17" s="321" customFormat="1" ht="18" customHeight="1">
      <c r="D480" s="368"/>
      <c r="E480" s="368"/>
      <c r="F480" s="368"/>
      <c r="G480" s="368"/>
      <c r="H480" s="368"/>
      <c r="I480" s="368"/>
      <c r="J480" s="368"/>
      <c r="K480" s="368"/>
      <c r="L480" s="368"/>
      <c r="M480" s="368"/>
      <c r="N480" s="368"/>
      <c r="O480" s="368"/>
      <c r="P480" s="368"/>
      <c r="Q480" s="369"/>
    </row>
    <row r="481" spans="4:17" s="321" customFormat="1" ht="18" customHeight="1">
      <c r="D481" s="368"/>
      <c r="E481" s="368"/>
      <c r="F481" s="368"/>
      <c r="G481" s="368"/>
      <c r="H481" s="368"/>
      <c r="I481" s="368"/>
      <c r="J481" s="368"/>
      <c r="K481" s="368"/>
      <c r="L481" s="368"/>
      <c r="M481" s="368"/>
      <c r="N481" s="368"/>
      <c r="O481" s="368"/>
      <c r="P481" s="368"/>
      <c r="Q481" s="369"/>
    </row>
    <row r="482" spans="4:17" s="321" customFormat="1" ht="18" customHeight="1">
      <c r="D482" s="368"/>
      <c r="E482" s="368"/>
      <c r="F482" s="368"/>
      <c r="G482" s="368"/>
      <c r="H482" s="368"/>
      <c r="I482" s="368"/>
      <c r="J482" s="368"/>
      <c r="K482" s="368"/>
      <c r="L482" s="368"/>
      <c r="M482" s="368"/>
      <c r="N482" s="368"/>
      <c r="O482" s="368"/>
      <c r="P482" s="368"/>
      <c r="Q482" s="369"/>
    </row>
    <row r="483" spans="4:17" s="321" customFormat="1" ht="18" customHeight="1">
      <c r="D483" s="368"/>
      <c r="E483" s="368"/>
      <c r="F483" s="368"/>
      <c r="G483" s="368"/>
      <c r="H483" s="368"/>
      <c r="I483" s="368"/>
      <c r="J483" s="368"/>
      <c r="K483" s="368"/>
      <c r="L483" s="368"/>
      <c r="M483" s="368"/>
      <c r="N483" s="368"/>
      <c r="O483" s="368"/>
      <c r="P483" s="368"/>
      <c r="Q483" s="369"/>
    </row>
    <row r="484" spans="4:17" s="321" customFormat="1" ht="18" customHeight="1">
      <c r="D484" s="368"/>
      <c r="E484" s="368"/>
      <c r="F484" s="368"/>
      <c r="G484" s="368"/>
      <c r="H484" s="368"/>
      <c r="I484" s="368"/>
      <c r="J484" s="368"/>
      <c r="K484" s="368"/>
      <c r="L484" s="368"/>
      <c r="M484" s="368"/>
      <c r="N484" s="368"/>
      <c r="O484" s="368"/>
      <c r="P484" s="368"/>
      <c r="Q484" s="369"/>
    </row>
    <row r="485" spans="4:17" s="321" customFormat="1" ht="18" customHeight="1">
      <c r="D485" s="368"/>
      <c r="E485" s="368"/>
      <c r="F485" s="368"/>
      <c r="G485" s="368"/>
      <c r="H485" s="368"/>
      <c r="I485" s="368"/>
      <c r="J485" s="368"/>
      <c r="K485" s="368"/>
      <c r="L485" s="368"/>
      <c r="M485" s="368"/>
      <c r="N485" s="368"/>
      <c r="O485" s="368"/>
      <c r="P485" s="368"/>
      <c r="Q485" s="369"/>
    </row>
    <row r="486" spans="4:17" s="321" customFormat="1" ht="18" customHeight="1">
      <c r="D486" s="368"/>
      <c r="E486" s="368"/>
      <c r="F486" s="368"/>
      <c r="G486" s="368"/>
      <c r="H486" s="368"/>
      <c r="I486" s="368"/>
      <c r="J486" s="368"/>
      <c r="K486" s="368"/>
      <c r="L486" s="368"/>
      <c r="M486" s="368"/>
      <c r="N486" s="368"/>
      <c r="O486" s="368"/>
      <c r="P486" s="368"/>
      <c r="Q486" s="369"/>
    </row>
    <row r="487" spans="4:17" s="321" customFormat="1" ht="18" customHeight="1">
      <c r="D487" s="368"/>
      <c r="E487" s="368"/>
      <c r="F487" s="368"/>
      <c r="G487" s="368"/>
      <c r="H487" s="368"/>
      <c r="I487" s="368"/>
      <c r="J487" s="368"/>
      <c r="K487" s="368"/>
      <c r="L487" s="368"/>
      <c r="M487" s="368"/>
      <c r="N487" s="368"/>
      <c r="O487" s="368"/>
      <c r="P487" s="368"/>
      <c r="Q487" s="369"/>
    </row>
    <row r="488" spans="4:17" s="321" customFormat="1" ht="18" customHeight="1">
      <c r="D488" s="368"/>
      <c r="E488" s="368"/>
      <c r="F488" s="368"/>
      <c r="G488" s="368"/>
      <c r="H488" s="368"/>
      <c r="I488" s="368"/>
      <c r="J488" s="368"/>
      <c r="K488" s="368"/>
      <c r="L488" s="368"/>
      <c r="M488" s="368"/>
      <c r="N488" s="368"/>
      <c r="O488" s="368"/>
      <c r="P488" s="368"/>
      <c r="Q488" s="369"/>
    </row>
    <row r="489" spans="4:17" s="321" customFormat="1" ht="18" customHeight="1">
      <c r="D489" s="368"/>
      <c r="E489" s="368"/>
      <c r="F489" s="368"/>
      <c r="G489" s="368"/>
      <c r="H489" s="368"/>
      <c r="I489" s="368"/>
      <c r="J489" s="368"/>
      <c r="K489" s="368"/>
      <c r="L489" s="368"/>
      <c r="M489" s="368"/>
      <c r="N489" s="368"/>
      <c r="O489" s="368"/>
      <c r="P489" s="368"/>
      <c r="Q489" s="369"/>
    </row>
    <row r="490" spans="4:17" s="321" customFormat="1" ht="18" customHeight="1">
      <c r="D490" s="368"/>
      <c r="E490" s="368"/>
      <c r="F490" s="368"/>
      <c r="G490" s="368"/>
      <c r="H490" s="368"/>
      <c r="I490" s="368"/>
      <c r="J490" s="368"/>
      <c r="K490" s="368"/>
      <c r="L490" s="368"/>
      <c r="M490" s="368"/>
      <c r="N490" s="368"/>
      <c r="O490" s="368"/>
      <c r="P490" s="368"/>
      <c r="Q490" s="369"/>
    </row>
    <row r="491" spans="4:17" s="321" customFormat="1" ht="18" customHeight="1">
      <c r="D491" s="368"/>
      <c r="E491" s="368"/>
      <c r="F491" s="368"/>
      <c r="G491" s="368"/>
      <c r="H491" s="368"/>
      <c r="I491" s="368"/>
      <c r="J491" s="368"/>
      <c r="K491" s="368"/>
      <c r="L491" s="368"/>
      <c r="M491" s="368"/>
      <c r="N491" s="368"/>
      <c r="O491" s="368"/>
      <c r="P491" s="368"/>
      <c r="Q491" s="369"/>
    </row>
    <row r="492" spans="4:17" s="321" customFormat="1" ht="18" customHeight="1">
      <c r="D492" s="368"/>
      <c r="E492" s="368"/>
      <c r="F492" s="368"/>
      <c r="G492" s="368"/>
      <c r="H492" s="368"/>
      <c r="I492" s="368"/>
      <c r="J492" s="368"/>
      <c r="K492" s="368"/>
      <c r="L492" s="368"/>
      <c r="M492" s="368"/>
      <c r="N492" s="368"/>
      <c r="O492" s="368"/>
      <c r="P492" s="368"/>
      <c r="Q492" s="369"/>
    </row>
    <row r="493" spans="4:17" s="321" customFormat="1" ht="18" customHeight="1">
      <c r="D493" s="368"/>
      <c r="E493" s="368"/>
      <c r="F493" s="368"/>
      <c r="G493" s="368"/>
      <c r="H493" s="368"/>
      <c r="I493" s="368"/>
      <c r="J493" s="368"/>
      <c r="K493" s="368"/>
      <c r="L493" s="368"/>
      <c r="M493" s="368"/>
      <c r="N493" s="368"/>
      <c r="O493" s="368"/>
      <c r="P493" s="368"/>
      <c r="Q493" s="369"/>
    </row>
    <row r="494" spans="4:17" s="321" customFormat="1" ht="18" customHeight="1">
      <c r="D494" s="368"/>
      <c r="E494" s="368"/>
      <c r="F494" s="368"/>
      <c r="G494" s="368"/>
      <c r="H494" s="368"/>
      <c r="I494" s="368"/>
      <c r="J494" s="368"/>
      <c r="K494" s="368"/>
      <c r="L494" s="368"/>
      <c r="M494" s="368"/>
      <c r="N494" s="368"/>
      <c r="O494" s="368"/>
      <c r="P494" s="368"/>
      <c r="Q494" s="369"/>
    </row>
    <row r="495" spans="4:17" s="321" customFormat="1" ht="18" customHeight="1">
      <c r="D495" s="368"/>
      <c r="E495" s="368"/>
      <c r="F495" s="368"/>
      <c r="G495" s="368"/>
      <c r="H495" s="368"/>
      <c r="I495" s="368"/>
      <c r="J495" s="368"/>
      <c r="K495" s="368"/>
      <c r="L495" s="368"/>
      <c r="M495" s="368"/>
      <c r="N495" s="368"/>
      <c r="O495" s="368"/>
      <c r="P495" s="368"/>
      <c r="Q495" s="369"/>
    </row>
    <row r="496" spans="4:17" s="321" customFormat="1" ht="18" customHeight="1">
      <c r="D496" s="368"/>
      <c r="E496" s="368"/>
      <c r="F496" s="368"/>
      <c r="G496" s="368"/>
      <c r="H496" s="368"/>
      <c r="I496" s="368"/>
      <c r="J496" s="368"/>
      <c r="K496" s="368"/>
      <c r="L496" s="368"/>
      <c r="M496" s="368"/>
      <c r="N496" s="368"/>
      <c r="O496" s="368"/>
      <c r="P496" s="368"/>
      <c r="Q496" s="369"/>
    </row>
    <row r="497" spans="4:17" s="321" customFormat="1" ht="18" customHeight="1">
      <c r="D497" s="368"/>
      <c r="E497" s="368"/>
      <c r="F497" s="368"/>
      <c r="G497" s="368"/>
      <c r="H497" s="368"/>
      <c r="I497" s="368"/>
      <c r="J497" s="368"/>
      <c r="K497" s="368"/>
      <c r="L497" s="368"/>
      <c r="M497" s="368"/>
      <c r="N497" s="368"/>
      <c r="O497" s="368"/>
      <c r="P497" s="368"/>
      <c r="Q497" s="369"/>
    </row>
    <row r="498" spans="4:17" s="321" customFormat="1" ht="18" customHeight="1">
      <c r="D498" s="368"/>
      <c r="E498" s="368"/>
      <c r="F498" s="368"/>
      <c r="G498" s="368"/>
      <c r="H498" s="368"/>
      <c r="I498" s="368"/>
      <c r="J498" s="368"/>
      <c r="K498" s="368"/>
      <c r="L498" s="368"/>
      <c r="M498" s="368"/>
      <c r="N498" s="368"/>
      <c r="O498" s="368"/>
      <c r="P498" s="368"/>
      <c r="Q498" s="369"/>
    </row>
    <row r="499" spans="4:17" s="321" customFormat="1" ht="18" customHeight="1">
      <c r="D499" s="368"/>
      <c r="E499" s="368"/>
      <c r="F499" s="368"/>
      <c r="G499" s="368"/>
      <c r="H499" s="368"/>
      <c r="I499" s="368"/>
      <c r="J499" s="368"/>
      <c r="K499" s="368"/>
      <c r="L499" s="368"/>
      <c r="M499" s="368"/>
      <c r="N499" s="368"/>
      <c r="O499" s="368"/>
      <c r="P499" s="368"/>
      <c r="Q499" s="369"/>
    </row>
    <row r="500" spans="4:17" s="321" customFormat="1" ht="18" customHeight="1">
      <c r="D500" s="368"/>
      <c r="E500" s="368"/>
      <c r="F500" s="368"/>
      <c r="G500" s="368"/>
      <c r="H500" s="368"/>
      <c r="I500" s="368"/>
      <c r="J500" s="368"/>
      <c r="K500" s="368"/>
      <c r="L500" s="368"/>
      <c r="M500" s="368"/>
      <c r="N500" s="368"/>
      <c r="O500" s="368"/>
      <c r="P500" s="368"/>
      <c r="Q500" s="369"/>
    </row>
    <row r="501" spans="4:17" s="321" customFormat="1" ht="18" customHeight="1">
      <c r="D501" s="368"/>
      <c r="E501" s="368"/>
      <c r="F501" s="368"/>
      <c r="G501" s="368"/>
      <c r="H501" s="368"/>
      <c r="I501" s="368"/>
      <c r="J501" s="368"/>
      <c r="K501" s="368"/>
      <c r="L501" s="368"/>
      <c r="M501" s="368"/>
      <c r="N501" s="368"/>
      <c r="O501" s="368"/>
      <c r="P501" s="368"/>
      <c r="Q501" s="369"/>
    </row>
    <row r="502" spans="4:17" s="321" customFormat="1" ht="18" customHeight="1">
      <c r="D502" s="368"/>
      <c r="E502" s="368"/>
      <c r="F502" s="368"/>
      <c r="G502" s="368"/>
      <c r="H502" s="368"/>
      <c r="I502" s="368"/>
      <c r="J502" s="368"/>
      <c r="K502" s="368"/>
      <c r="L502" s="368"/>
      <c r="M502" s="368"/>
      <c r="N502" s="368"/>
      <c r="O502" s="368"/>
      <c r="P502" s="368"/>
      <c r="Q502" s="369"/>
    </row>
    <row r="503" spans="4:17" s="321" customFormat="1" ht="18" customHeight="1">
      <c r="D503" s="368"/>
      <c r="E503" s="368"/>
      <c r="F503" s="368"/>
      <c r="G503" s="368"/>
      <c r="H503" s="368"/>
      <c r="I503" s="368"/>
      <c r="J503" s="368"/>
      <c r="K503" s="368"/>
      <c r="L503" s="368"/>
      <c r="M503" s="368"/>
      <c r="N503" s="368"/>
      <c r="O503" s="368"/>
      <c r="P503" s="368"/>
      <c r="Q503" s="369"/>
    </row>
    <row r="504" spans="4:17" s="321" customFormat="1" ht="18" customHeight="1">
      <c r="D504" s="368"/>
      <c r="E504" s="368"/>
      <c r="F504" s="368"/>
      <c r="G504" s="368"/>
      <c r="H504" s="368"/>
      <c r="I504" s="368"/>
      <c r="J504" s="368"/>
      <c r="K504" s="368"/>
      <c r="L504" s="368"/>
      <c r="M504" s="368"/>
      <c r="N504" s="368"/>
      <c r="O504" s="368"/>
      <c r="P504" s="368"/>
      <c r="Q504" s="369"/>
    </row>
    <row r="505" spans="4:17" s="321" customFormat="1" ht="18" customHeight="1">
      <c r="D505" s="368"/>
      <c r="E505" s="368"/>
      <c r="F505" s="368"/>
      <c r="G505" s="368"/>
      <c r="H505" s="368"/>
      <c r="I505" s="368"/>
      <c r="J505" s="368"/>
      <c r="K505" s="368"/>
      <c r="L505" s="368"/>
      <c r="M505" s="368"/>
      <c r="N505" s="368"/>
      <c r="O505" s="368"/>
      <c r="P505" s="368"/>
      <c r="Q505" s="369"/>
    </row>
    <row r="506" spans="4:17" s="321" customFormat="1" ht="18" customHeight="1">
      <c r="D506" s="368"/>
      <c r="E506" s="368"/>
      <c r="F506" s="368"/>
      <c r="G506" s="368"/>
      <c r="H506" s="368"/>
      <c r="I506" s="368"/>
      <c r="J506" s="368"/>
      <c r="K506" s="368"/>
      <c r="L506" s="368"/>
      <c r="M506" s="368"/>
      <c r="N506" s="368"/>
      <c r="O506" s="368"/>
      <c r="P506" s="368"/>
      <c r="Q506" s="369"/>
    </row>
    <row r="507" spans="4:17" s="321" customFormat="1" ht="18" customHeight="1">
      <c r="D507" s="368"/>
      <c r="E507" s="368"/>
      <c r="F507" s="368"/>
      <c r="G507" s="368"/>
      <c r="H507" s="368"/>
      <c r="I507" s="368"/>
      <c r="J507" s="368"/>
      <c r="K507" s="368"/>
      <c r="L507" s="368"/>
      <c r="M507" s="368"/>
      <c r="N507" s="368"/>
      <c r="O507" s="368"/>
      <c r="P507" s="368"/>
      <c r="Q507" s="369"/>
    </row>
    <row r="508" spans="4:17" s="321" customFormat="1" ht="18" customHeight="1">
      <c r="D508" s="368"/>
      <c r="E508" s="368"/>
      <c r="F508" s="368"/>
      <c r="G508" s="368"/>
      <c r="H508" s="368"/>
      <c r="I508" s="368"/>
      <c r="J508" s="368"/>
      <c r="K508" s="368"/>
      <c r="L508" s="368"/>
      <c r="M508" s="368"/>
      <c r="N508" s="368"/>
      <c r="O508" s="368"/>
      <c r="P508" s="368"/>
      <c r="Q508" s="369"/>
    </row>
    <row r="509" spans="4:17" s="321" customFormat="1" ht="18" customHeight="1">
      <c r="D509" s="368"/>
      <c r="E509" s="368"/>
      <c r="F509" s="368"/>
      <c r="G509" s="368"/>
      <c r="H509" s="368"/>
      <c r="I509" s="368"/>
      <c r="J509" s="368"/>
      <c r="K509" s="368"/>
      <c r="L509" s="368"/>
      <c r="M509" s="368"/>
      <c r="N509" s="368"/>
      <c r="O509" s="368"/>
      <c r="P509" s="368"/>
      <c r="Q509" s="369"/>
    </row>
    <row r="510" spans="4:17" s="321" customFormat="1" ht="18" customHeight="1">
      <c r="D510" s="368"/>
      <c r="E510" s="368"/>
      <c r="F510" s="368"/>
      <c r="G510" s="368"/>
      <c r="H510" s="368"/>
      <c r="I510" s="368"/>
      <c r="J510" s="368"/>
      <c r="K510" s="368"/>
      <c r="L510" s="368"/>
      <c r="M510" s="368"/>
      <c r="N510" s="368"/>
      <c r="O510" s="368"/>
      <c r="P510" s="368"/>
      <c r="Q510" s="369"/>
    </row>
    <row r="511" spans="4:17" s="321" customFormat="1" ht="18" customHeight="1">
      <c r="D511" s="368"/>
      <c r="E511" s="368"/>
      <c r="F511" s="368"/>
      <c r="G511" s="368"/>
      <c r="H511" s="368"/>
      <c r="I511" s="368"/>
      <c r="J511" s="368"/>
      <c r="K511" s="368"/>
      <c r="L511" s="368"/>
      <c r="M511" s="368"/>
      <c r="N511" s="368"/>
      <c r="O511" s="368"/>
      <c r="P511" s="368"/>
      <c r="Q511" s="369"/>
    </row>
    <row r="512" spans="4:17" s="321" customFormat="1" ht="18" customHeight="1">
      <c r="D512" s="368"/>
      <c r="E512" s="368"/>
      <c r="F512" s="368"/>
      <c r="G512" s="368"/>
      <c r="H512" s="368"/>
      <c r="I512" s="368"/>
      <c r="J512" s="368"/>
      <c r="K512" s="368"/>
      <c r="L512" s="368"/>
      <c r="M512" s="368"/>
      <c r="N512" s="368"/>
      <c r="O512" s="368"/>
      <c r="P512" s="368"/>
      <c r="Q512" s="369"/>
    </row>
    <row r="513" spans="4:17" s="321" customFormat="1" ht="18" customHeight="1">
      <c r="D513" s="368"/>
      <c r="E513" s="368"/>
      <c r="F513" s="368"/>
      <c r="G513" s="368"/>
      <c r="H513" s="368"/>
      <c r="I513" s="368"/>
      <c r="J513" s="368"/>
      <c r="K513" s="368"/>
      <c r="L513" s="368"/>
      <c r="M513" s="368"/>
      <c r="N513" s="368"/>
      <c r="O513" s="368"/>
      <c r="P513" s="368"/>
      <c r="Q513" s="369"/>
    </row>
    <row r="514" spans="4:17" s="321" customFormat="1" ht="18" customHeight="1">
      <c r="D514" s="368"/>
      <c r="E514" s="368"/>
      <c r="F514" s="368"/>
      <c r="G514" s="368"/>
      <c r="H514" s="368"/>
      <c r="I514" s="368"/>
      <c r="J514" s="368"/>
      <c r="K514" s="368"/>
      <c r="L514" s="368"/>
      <c r="M514" s="368"/>
      <c r="N514" s="368"/>
      <c r="O514" s="368"/>
      <c r="P514" s="368"/>
      <c r="Q514" s="369"/>
    </row>
    <row r="515" spans="4:17" s="321" customFormat="1" ht="18" customHeight="1">
      <c r="D515" s="368"/>
      <c r="E515" s="368"/>
      <c r="F515" s="368"/>
      <c r="G515" s="368"/>
      <c r="H515" s="368"/>
      <c r="I515" s="368"/>
      <c r="J515" s="368"/>
      <c r="K515" s="368"/>
      <c r="L515" s="368"/>
      <c r="M515" s="368"/>
      <c r="N515" s="368"/>
      <c r="O515" s="368"/>
      <c r="P515" s="368"/>
      <c r="Q515" s="369"/>
    </row>
    <row r="516" spans="4:17" s="321" customFormat="1" ht="18" customHeight="1">
      <c r="D516" s="368"/>
      <c r="E516" s="368"/>
      <c r="F516" s="368"/>
      <c r="G516" s="368"/>
      <c r="H516" s="368"/>
      <c r="I516" s="368"/>
      <c r="J516" s="368"/>
      <c r="K516" s="368"/>
      <c r="L516" s="368"/>
      <c r="M516" s="368"/>
      <c r="N516" s="368"/>
      <c r="O516" s="368"/>
      <c r="P516" s="368"/>
      <c r="Q516" s="369"/>
    </row>
    <row r="517" spans="4:17" s="321" customFormat="1" ht="18" customHeight="1">
      <c r="D517" s="368"/>
      <c r="E517" s="368"/>
      <c r="F517" s="368"/>
      <c r="G517" s="368"/>
      <c r="H517" s="368"/>
      <c r="I517" s="368"/>
      <c r="J517" s="368"/>
      <c r="K517" s="368"/>
      <c r="L517" s="368"/>
      <c r="M517" s="368"/>
      <c r="N517" s="368"/>
      <c r="O517" s="368"/>
      <c r="P517" s="368"/>
      <c r="Q517" s="369"/>
    </row>
    <row r="518" spans="4:17" s="321" customFormat="1" ht="18" customHeight="1">
      <c r="D518" s="368"/>
      <c r="E518" s="368"/>
      <c r="F518" s="368"/>
      <c r="G518" s="368"/>
      <c r="H518" s="368"/>
      <c r="I518" s="368"/>
      <c r="J518" s="368"/>
      <c r="K518" s="368"/>
      <c r="L518" s="368"/>
      <c r="M518" s="368"/>
      <c r="N518" s="368"/>
      <c r="O518" s="368"/>
      <c r="P518" s="368"/>
      <c r="Q518" s="369"/>
    </row>
    <row r="519" spans="4:17" s="321" customFormat="1" ht="18" customHeight="1">
      <c r="D519" s="368"/>
      <c r="E519" s="368"/>
      <c r="F519" s="368"/>
      <c r="G519" s="368"/>
      <c r="H519" s="368"/>
      <c r="I519" s="368"/>
      <c r="J519" s="368"/>
      <c r="K519" s="368"/>
      <c r="L519" s="368"/>
      <c r="M519" s="368"/>
      <c r="N519" s="368"/>
      <c r="O519" s="368"/>
      <c r="P519" s="368"/>
      <c r="Q519" s="369"/>
    </row>
    <row r="520" spans="4:17" s="321" customFormat="1" ht="18" customHeight="1">
      <c r="D520" s="368"/>
      <c r="E520" s="368"/>
      <c r="F520" s="368"/>
      <c r="G520" s="368"/>
      <c r="H520" s="368"/>
      <c r="I520" s="368"/>
      <c r="J520" s="368"/>
      <c r="K520" s="368"/>
      <c r="L520" s="368"/>
      <c r="M520" s="368"/>
      <c r="N520" s="368"/>
      <c r="O520" s="368"/>
      <c r="P520" s="368"/>
      <c r="Q520" s="369"/>
    </row>
    <row r="521" spans="4:17" s="321" customFormat="1" ht="18" customHeight="1">
      <c r="D521" s="368"/>
      <c r="E521" s="368"/>
      <c r="F521" s="368"/>
      <c r="G521" s="368"/>
      <c r="H521" s="368"/>
      <c r="I521" s="368"/>
      <c r="J521" s="368"/>
      <c r="K521" s="368"/>
      <c r="L521" s="368"/>
      <c r="M521" s="368"/>
      <c r="N521" s="368"/>
      <c r="O521" s="368"/>
      <c r="P521" s="368"/>
      <c r="Q521" s="369"/>
    </row>
    <row r="522" spans="4:17" s="321" customFormat="1" ht="18" customHeight="1">
      <c r="D522" s="368"/>
      <c r="E522" s="368"/>
      <c r="F522" s="368"/>
      <c r="G522" s="368"/>
      <c r="H522" s="368"/>
      <c r="I522" s="368"/>
      <c r="J522" s="368"/>
      <c r="K522" s="368"/>
      <c r="L522" s="368"/>
      <c r="M522" s="368"/>
      <c r="N522" s="368"/>
      <c r="O522" s="368"/>
      <c r="P522" s="368"/>
      <c r="Q522" s="369"/>
    </row>
    <row r="523" spans="4:17" s="321" customFormat="1" ht="18" customHeight="1">
      <c r="D523" s="368"/>
      <c r="E523" s="368"/>
      <c r="F523" s="368"/>
      <c r="G523" s="368"/>
      <c r="H523" s="368"/>
      <c r="I523" s="368"/>
      <c r="J523" s="368"/>
      <c r="K523" s="368"/>
      <c r="L523" s="368"/>
      <c r="M523" s="368"/>
      <c r="N523" s="368"/>
      <c r="O523" s="368"/>
      <c r="P523" s="368"/>
      <c r="Q523" s="369"/>
    </row>
    <row r="524" spans="4:17" s="321" customFormat="1" ht="18" customHeight="1">
      <c r="D524" s="368"/>
      <c r="E524" s="368"/>
      <c r="F524" s="368"/>
      <c r="G524" s="368"/>
      <c r="H524" s="368"/>
      <c r="I524" s="368"/>
      <c r="J524" s="368"/>
      <c r="K524" s="368"/>
      <c r="L524" s="368"/>
      <c r="M524" s="368"/>
      <c r="N524" s="368"/>
      <c r="O524" s="368"/>
      <c r="P524" s="368"/>
      <c r="Q524" s="369"/>
    </row>
    <row r="525" spans="4:17" s="321" customFormat="1" ht="18" customHeight="1">
      <c r="D525" s="368"/>
      <c r="E525" s="368"/>
      <c r="F525" s="368"/>
      <c r="G525" s="368"/>
      <c r="H525" s="368"/>
      <c r="I525" s="368"/>
      <c r="J525" s="368"/>
      <c r="K525" s="368"/>
      <c r="L525" s="368"/>
      <c r="M525" s="368"/>
      <c r="N525" s="368"/>
      <c r="O525" s="368"/>
      <c r="P525" s="368"/>
      <c r="Q525" s="369"/>
    </row>
    <row r="526" spans="4:17" s="321" customFormat="1" ht="18" customHeight="1">
      <c r="D526" s="368"/>
      <c r="E526" s="368"/>
      <c r="F526" s="368"/>
      <c r="G526" s="368"/>
      <c r="H526" s="368"/>
      <c r="I526" s="368"/>
      <c r="J526" s="368"/>
      <c r="K526" s="368"/>
      <c r="L526" s="368"/>
      <c r="M526" s="368"/>
      <c r="N526" s="368"/>
      <c r="O526" s="368"/>
      <c r="P526" s="368"/>
      <c r="Q526" s="369"/>
    </row>
    <row r="527" spans="4:17" s="321" customFormat="1" ht="18" customHeight="1">
      <c r="D527" s="368"/>
      <c r="E527" s="368"/>
      <c r="F527" s="368"/>
      <c r="G527" s="368"/>
      <c r="H527" s="368"/>
      <c r="I527" s="368"/>
      <c r="J527" s="368"/>
      <c r="K527" s="368"/>
      <c r="L527" s="368"/>
      <c r="M527" s="368"/>
      <c r="N527" s="368"/>
      <c r="O527" s="368"/>
      <c r="P527" s="368"/>
      <c r="Q527" s="369"/>
    </row>
    <row r="528" spans="4:17" s="321" customFormat="1" ht="18" customHeight="1">
      <c r="D528" s="368"/>
      <c r="E528" s="368"/>
      <c r="F528" s="368"/>
      <c r="G528" s="368"/>
      <c r="H528" s="368"/>
      <c r="I528" s="368"/>
      <c r="J528" s="368"/>
      <c r="K528" s="368"/>
      <c r="L528" s="368"/>
      <c r="M528" s="368"/>
      <c r="N528" s="368"/>
      <c r="O528" s="368"/>
      <c r="P528" s="368"/>
      <c r="Q528" s="369"/>
    </row>
    <row r="529" spans="4:17" s="321" customFormat="1" ht="18" customHeight="1">
      <c r="D529" s="368"/>
      <c r="E529" s="368"/>
      <c r="F529" s="368"/>
      <c r="G529" s="368"/>
      <c r="H529" s="368"/>
      <c r="I529" s="368"/>
      <c r="J529" s="368"/>
      <c r="K529" s="368"/>
      <c r="L529" s="368"/>
      <c r="M529" s="368"/>
      <c r="N529" s="368"/>
      <c r="O529" s="368"/>
      <c r="P529" s="368"/>
      <c r="Q529" s="369"/>
    </row>
    <row r="530" spans="4:17" s="321" customFormat="1" ht="18" customHeight="1">
      <c r="D530" s="368"/>
      <c r="E530" s="368"/>
      <c r="F530" s="368"/>
      <c r="G530" s="368"/>
      <c r="H530" s="368"/>
      <c r="I530" s="368"/>
      <c r="J530" s="368"/>
      <c r="K530" s="368"/>
      <c r="L530" s="368"/>
      <c r="M530" s="368"/>
      <c r="N530" s="368"/>
      <c r="O530" s="368"/>
      <c r="P530" s="368"/>
      <c r="Q530" s="369"/>
    </row>
    <row r="531" spans="4:17" s="321" customFormat="1" ht="18" customHeight="1">
      <c r="D531" s="368"/>
      <c r="E531" s="368"/>
      <c r="F531" s="368"/>
      <c r="G531" s="368"/>
      <c r="H531" s="368"/>
      <c r="I531" s="368"/>
      <c r="J531" s="368"/>
      <c r="K531" s="368"/>
      <c r="L531" s="368"/>
      <c r="M531" s="368"/>
      <c r="N531" s="368"/>
      <c r="O531" s="368"/>
      <c r="P531" s="368"/>
      <c r="Q531" s="369"/>
    </row>
    <row r="532" spans="4:17" s="321" customFormat="1" ht="18" customHeight="1">
      <c r="D532" s="368"/>
      <c r="E532" s="368"/>
      <c r="F532" s="368"/>
      <c r="G532" s="368"/>
      <c r="H532" s="368"/>
      <c r="I532" s="368"/>
      <c r="J532" s="368"/>
      <c r="K532" s="368"/>
      <c r="L532" s="368"/>
      <c r="M532" s="368"/>
      <c r="N532" s="368"/>
      <c r="O532" s="368"/>
      <c r="P532" s="368"/>
      <c r="Q532" s="369"/>
    </row>
    <row r="533" spans="4:17" s="321" customFormat="1" ht="18" customHeight="1">
      <c r="D533" s="368"/>
      <c r="E533" s="368"/>
      <c r="F533" s="368"/>
      <c r="G533" s="368"/>
      <c r="H533" s="368"/>
      <c r="I533" s="368"/>
      <c r="J533" s="368"/>
      <c r="K533" s="368"/>
      <c r="L533" s="368"/>
      <c r="M533" s="368"/>
      <c r="N533" s="368"/>
      <c r="O533" s="368"/>
      <c r="P533" s="368"/>
      <c r="Q533" s="369"/>
    </row>
    <row r="534" spans="4:17" s="321" customFormat="1" ht="18" customHeight="1">
      <c r="D534" s="368"/>
      <c r="E534" s="368"/>
      <c r="F534" s="368"/>
      <c r="G534" s="368"/>
      <c r="H534" s="368"/>
      <c r="I534" s="368"/>
      <c r="J534" s="368"/>
      <c r="K534" s="368"/>
      <c r="L534" s="368"/>
      <c r="M534" s="368"/>
      <c r="N534" s="368"/>
      <c r="O534" s="368"/>
      <c r="P534" s="368"/>
      <c r="Q534" s="369"/>
    </row>
    <row r="535" spans="4:17" s="321" customFormat="1" ht="18" customHeight="1">
      <c r="D535" s="368"/>
      <c r="E535" s="368"/>
      <c r="F535" s="368"/>
      <c r="G535" s="368"/>
      <c r="H535" s="368"/>
      <c r="I535" s="368"/>
      <c r="J535" s="368"/>
      <c r="K535" s="368"/>
      <c r="L535" s="368"/>
      <c r="M535" s="368"/>
      <c r="N535" s="368"/>
      <c r="O535" s="368"/>
      <c r="P535" s="368"/>
      <c r="Q535" s="369"/>
    </row>
    <row r="536" spans="4:17" s="321" customFormat="1" ht="18" customHeight="1">
      <c r="D536" s="368"/>
      <c r="E536" s="368"/>
      <c r="F536" s="368"/>
      <c r="G536" s="368"/>
      <c r="H536" s="368"/>
      <c r="I536" s="368"/>
      <c r="J536" s="368"/>
      <c r="K536" s="368"/>
      <c r="L536" s="368"/>
      <c r="M536" s="368"/>
      <c r="N536" s="368"/>
      <c r="O536" s="368"/>
      <c r="P536" s="368"/>
      <c r="Q536" s="369"/>
    </row>
    <row r="537" spans="4:17" s="321" customFormat="1" ht="18" customHeight="1">
      <c r="D537" s="368"/>
      <c r="E537" s="368"/>
      <c r="F537" s="368"/>
      <c r="G537" s="368"/>
      <c r="H537" s="368"/>
      <c r="I537" s="368"/>
      <c r="J537" s="368"/>
      <c r="K537" s="368"/>
      <c r="L537" s="368"/>
      <c r="M537" s="368"/>
      <c r="N537" s="368"/>
      <c r="O537" s="368"/>
      <c r="P537" s="368"/>
      <c r="Q537" s="369"/>
    </row>
    <row r="538" spans="4:17" s="321" customFormat="1" ht="18" customHeight="1">
      <c r="D538" s="368"/>
      <c r="E538" s="368"/>
      <c r="F538" s="368"/>
      <c r="G538" s="368"/>
      <c r="H538" s="368"/>
      <c r="I538" s="368"/>
      <c r="J538" s="368"/>
      <c r="K538" s="368"/>
      <c r="L538" s="368"/>
      <c r="M538" s="368"/>
      <c r="N538" s="368"/>
      <c r="O538" s="368"/>
      <c r="P538" s="368"/>
      <c r="Q538" s="369"/>
    </row>
    <row r="539" spans="4:17" s="321" customFormat="1" ht="18" customHeight="1">
      <c r="D539" s="368"/>
      <c r="E539" s="368"/>
      <c r="F539" s="368"/>
      <c r="G539" s="368"/>
      <c r="H539" s="368"/>
      <c r="I539" s="368"/>
      <c r="J539" s="368"/>
      <c r="K539" s="368"/>
      <c r="L539" s="368"/>
      <c r="M539" s="368"/>
      <c r="N539" s="368"/>
      <c r="O539" s="368"/>
      <c r="P539" s="368"/>
      <c r="Q539" s="369"/>
    </row>
    <row r="540" spans="4:17" s="321" customFormat="1" ht="18" customHeight="1">
      <c r="D540" s="368"/>
      <c r="E540" s="368"/>
      <c r="F540" s="368"/>
      <c r="G540" s="368"/>
      <c r="H540" s="368"/>
      <c r="I540" s="368"/>
      <c r="J540" s="368"/>
      <c r="K540" s="368"/>
      <c r="L540" s="368"/>
      <c r="M540" s="368"/>
      <c r="N540" s="368"/>
      <c r="O540" s="368"/>
      <c r="P540" s="368"/>
      <c r="Q540" s="369"/>
    </row>
    <row r="541" spans="4:17" s="321" customFormat="1" ht="18" customHeight="1">
      <c r="D541" s="368"/>
      <c r="E541" s="368"/>
      <c r="F541" s="368"/>
      <c r="G541" s="368"/>
      <c r="H541" s="368"/>
      <c r="I541" s="368"/>
      <c r="J541" s="368"/>
      <c r="K541" s="368"/>
      <c r="L541" s="368"/>
      <c r="M541" s="368"/>
      <c r="N541" s="368"/>
      <c r="O541" s="368"/>
      <c r="P541" s="368"/>
      <c r="Q541" s="369"/>
    </row>
    <row r="542" spans="4:17" s="321" customFormat="1" ht="18" customHeight="1">
      <c r="D542" s="368"/>
      <c r="E542" s="368"/>
      <c r="F542" s="368"/>
      <c r="G542" s="368"/>
      <c r="H542" s="368"/>
      <c r="I542" s="368"/>
      <c r="J542" s="368"/>
      <c r="K542" s="368"/>
      <c r="L542" s="368"/>
      <c r="M542" s="368"/>
      <c r="N542" s="368"/>
      <c r="O542" s="368"/>
      <c r="P542" s="368"/>
      <c r="Q542" s="369"/>
    </row>
    <row r="543" spans="4:17" s="321" customFormat="1" ht="18" customHeight="1">
      <c r="D543" s="368"/>
      <c r="E543" s="368"/>
      <c r="F543" s="368"/>
      <c r="G543" s="368"/>
      <c r="H543" s="368"/>
      <c r="I543" s="368"/>
      <c r="J543" s="368"/>
      <c r="K543" s="368"/>
      <c r="L543" s="368"/>
      <c r="M543" s="368"/>
      <c r="N543" s="368"/>
      <c r="O543" s="368"/>
      <c r="P543" s="368"/>
      <c r="Q543" s="369"/>
    </row>
    <row r="544" spans="4:17" s="321" customFormat="1" ht="18" customHeight="1">
      <c r="D544" s="368"/>
      <c r="E544" s="368"/>
      <c r="F544" s="368"/>
      <c r="G544" s="368"/>
      <c r="H544" s="368"/>
      <c r="I544" s="368"/>
      <c r="J544" s="368"/>
      <c r="K544" s="368"/>
      <c r="L544" s="368"/>
      <c r="M544" s="368"/>
      <c r="N544" s="368"/>
      <c r="O544" s="368"/>
      <c r="P544" s="368"/>
      <c r="Q544" s="369"/>
    </row>
    <row r="545" spans="4:17" s="321" customFormat="1" ht="18" customHeight="1">
      <c r="D545" s="368"/>
      <c r="E545" s="368"/>
      <c r="F545" s="368"/>
      <c r="G545" s="368"/>
      <c r="H545" s="368"/>
      <c r="I545" s="368"/>
      <c r="J545" s="368"/>
      <c r="K545" s="368"/>
      <c r="L545" s="368"/>
      <c r="M545" s="368"/>
      <c r="N545" s="368"/>
      <c r="O545" s="368"/>
      <c r="P545" s="368"/>
      <c r="Q545" s="369"/>
    </row>
    <row r="546" spans="4:17" s="321" customFormat="1" ht="18" customHeight="1">
      <c r="D546" s="368"/>
      <c r="E546" s="368"/>
      <c r="F546" s="368"/>
      <c r="G546" s="368"/>
      <c r="H546" s="368"/>
      <c r="I546" s="368"/>
      <c r="J546" s="368"/>
      <c r="K546" s="368"/>
      <c r="L546" s="368"/>
      <c r="M546" s="368"/>
      <c r="N546" s="368"/>
      <c r="O546" s="368"/>
      <c r="P546" s="368"/>
      <c r="Q546" s="369"/>
    </row>
    <row r="547" spans="4:17" s="321" customFormat="1" ht="18" customHeight="1">
      <c r="D547" s="368"/>
      <c r="E547" s="368"/>
      <c r="F547" s="368"/>
      <c r="G547" s="368"/>
      <c r="H547" s="368"/>
      <c r="I547" s="368"/>
      <c r="J547" s="368"/>
      <c r="K547" s="368"/>
      <c r="L547" s="368"/>
      <c r="M547" s="368"/>
      <c r="N547" s="368"/>
      <c r="O547" s="368"/>
      <c r="P547" s="368"/>
      <c r="Q547" s="369"/>
    </row>
    <row r="548" spans="4:17" s="321" customFormat="1" ht="18" customHeight="1">
      <c r="D548" s="368"/>
      <c r="E548" s="368"/>
      <c r="F548" s="368"/>
      <c r="G548" s="368"/>
      <c r="H548" s="368"/>
      <c r="I548" s="368"/>
      <c r="J548" s="368"/>
      <c r="K548" s="368"/>
      <c r="L548" s="368"/>
      <c r="M548" s="368"/>
      <c r="N548" s="368"/>
      <c r="O548" s="368"/>
      <c r="P548" s="368"/>
      <c r="Q548" s="369"/>
    </row>
    <row r="549" spans="4:17" s="321" customFormat="1" ht="18" customHeight="1">
      <c r="D549" s="368"/>
      <c r="E549" s="368"/>
      <c r="F549" s="368"/>
      <c r="G549" s="368"/>
      <c r="H549" s="368"/>
      <c r="I549" s="368"/>
      <c r="J549" s="368"/>
      <c r="K549" s="368"/>
      <c r="L549" s="368"/>
      <c r="M549" s="368"/>
      <c r="N549" s="368"/>
      <c r="O549" s="368"/>
      <c r="P549" s="368"/>
      <c r="Q549" s="369"/>
    </row>
    <row r="550" spans="4:17" s="321" customFormat="1" ht="18" customHeight="1">
      <c r="D550" s="368"/>
      <c r="E550" s="368"/>
      <c r="F550" s="368"/>
      <c r="G550" s="368"/>
      <c r="H550" s="368"/>
      <c r="I550" s="368"/>
      <c r="J550" s="368"/>
      <c r="K550" s="368"/>
      <c r="L550" s="368"/>
      <c r="M550" s="368"/>
      <c r="N550" s="368"/>
      <c r="O550" s="368"/>
      <c r="P550" s="368"/>
      <c r="Q550" s="369"/>
    </row>
    <row r="551" spans="4:17" s="321" customFormat="1" ht="18" customHeight="1">
      <c r="D551" s="368"/>
      <c r="E551" s="368"/>
      <c r="F551" s="368"/>
      <c r="G551" s="368"/>
      <c r="H551" s="368"/>
      <c r="I551" s="368"/>
      <c r="J551" s="368"/>
      <c r="K551" s="368"/>
      <c r="L551" s="368"/>
      <c r="M551" s="368"/>
      <c r="N551" s="368"/>
      <c r="O551" s="368"/>
      <c r="P551" s="368"/>
      <c r="Q551" s="369"/>
    </row>
    <row r="552" spans="4:17" s="321" customFormat="1" ht="18" customHeight="1">
      <c r="D552" s="368"/>
      <c r="E552" s="368"/>
      <c r="F552" s="368"/>
      <c r="G552" s="368"/>
      <c r="H552" s="368"/>
      <c r="I552" s="368"/>
      <c r="J552" s="368"/>
      <c r="K552" s="368"/>
      <c r="L552" s="368"/>
      <c r="M552" s="368"/>
      <c r="N552" s="368"/>
      <c r="O552" s="368"/>
      <c r="P552" s="368"/>
      <c r="Q552" s="369"/>
    </row>
    <row r="553" spans="4:17" s="321" customFormat="1" ht="18" customHeight="1">
      <c r="D553" s="368"/>
      <c r="E553" s="368"/>
      <c r="F553" s="368"/>
      <c r="G553" s="368"/>
      <c r="H553" s="368"/>
      <c r="I553" s="368"/>
      <c r="J553" s="368"/>
      <c r="K553" s="368"/>
      <c r="L553" s="368"/>
      <c r="M553" s="368"/>
      <c r="N553" s="368"/>
      <c r="O553" s="368"/>
      <c r="P553" s="368"/>
      <c r="Q553" s="369"/>
    </row>
    <row r="554" spans="4:17" s="321" customFormat="1" ht="18" customHeight="1">
      <c r="D554" s="368"/>
      <c r="E554" s="368"/>
      <c r="F554" s="368"/>
      <c r="G554" s="368"/>
      <c r="H554" s="368"/>
      <c r="I554" s="368"/>
      <c r="J554" s="368"/>
      <c r="K554" s="368"/>
      <c r="L554" s="368"/>
      <c r="M554" s="368"/>
      <c r="N554" s="368"/>
      <c r="O554" s="368"/>
      <c r="P554" s="368"/>
      <c r="Q554" s="369"/>
    </row>
    <row r="555" spans="4:17" s="321" customFormat="1" ht="18" customHeight="1">
      <c r="D555" s="368"/>
      <c r="E555" s="368"/>
      <c r="F555" s="368"/>
      <c r="G555" s="368"/>
      <c r="H555" s="368"/>
      <c r="I555" s="368"/>
      <c r="J555" s="368"/>
      <c r="K555" s="368"/>
      <c r="L555" s="368"/>
      <c r="M555" s="368"/>
      <c r="N555" s="368"/>
      <c r="O555" s="368"/>
      <c r="P555" s="368"/>
      <c r="Q555" s="369"/>
    </row>
    <row r="556" spans="4:17" s="321" customFormat="1" ht="18" customHeight="1">
      <c r="D556" s="368"/>
      <c r="E556" s="368"/>
      <c r="F556" s="368"/>
      <c r="G556" s="368"/>
      <c r="H556" s="368"/>
      <c r="I556" s="368"/>
      <c r="J556" s="368"/>
      <c r="K556" s="368"/>
      <c r="L556" s="368"/>
      <c r="M556" s="368"/>
      <c r="N556" s="368"/>
      <c r="O556" s="368"/>
      <c r="P556" s="368"/>
      <c r="Q556" s="369"/>
    </row>
    <row r="557" spans="4:17" s="321" customFormat="1" ht="18" customHeight="1">
      <c r="D557" s="368"/>
      <c r="E557" s="368"/>
      <c r="F557" s="368"/>
      <c r="G557" s="368"/>
      <c r="H557" s="368"/>
      <c r="I557" s="368"/>
      <c r="J557" s="368"/>
      <c r="K557" s="368"/>
      <c r="L557" s="368"/>
      <c r="M557" s="368"/>
      <c r="N557" s="368"/>
      <c r="O557" s="368"/>
      <c r="P557" s="368"/>
      <c r="Q557" s="369"/>
    </row>
    <row r="558" spans="4:17" s="321" customFormat="1" ht="18" customHeight="1">
      <c r="D558" s="368"/>
      <c r="E558" s="368"/>
      <c r="F558" s="368"/>
      <c r="G558" s="368"/>
      <c r="H558" s="368"/>
      <c r="I558" s="368"/>
      <c r="J558" s="368"/>
      <c r="K558" s="368"/>
      <c r="L558" s="368"/>
      <c r="M558" s="368"/>
      <c r="N558" s="368"/>
      <c r="O558" s="368"/>
      <c r="P558" s="368"/>
      <c r="Q558" s="369"/>
    </row>
    <row r="559" spans="4:17" s="321" customFormat="1" ht="18" customHeight="1">
      <c r="D559" s="368"/>
      <c r="E559" s="368"/>
      <c r="F559" s="368"/>
      <c r="G559" s="368"/>
      <c r="H559" s="368"/>
      <c r="I559" s="368"/>
      <c r="J559" s="368"/>
      <c r="K559" s="368"/>
      <c r="L559" s="368"/>
      <c r="M559" s="368"/>
      <c r="N559" s="368"/>
      <c r="O559" s="368"/>
      <c r="P559" s="368"/>
      <c r="Q559" s="369"/>
    </row>
    <row r="560" spans="4:17" s="321" customFormat="1" ht="18" customHeight="1">
      <c r="D560" s="368"/>
      <c r="E560" s="368"/>
      <c r="F560" s="368"/>
      <c r="G560" s="368"/>
      <c r="H560" s="368"/>
      <c r="I560" s="368"/>
      <c r="J560" s="368"/>
      <c r="K560" s="368"/>
      <c r="L560" s="368"/>
      <c r="M560" s="368"/>
      <c r="N560" s="368"/>
      <c r="O560" s="368"/>
      <c r="P560" s="368"/>
      <c r="Q560" s="369"/>
    </row>
    <row r="561" spans="4:17" s="321" customFormat="1" ht="18" customHeight="1">
      <c r="D561" s="368"/>
      <c r="E561" s="368"/>
      <c r="F561" s="368"/>
      <c r="G561" s="368"/>
      <c r="H561" s="368"/>
      <c r="I561" s="368"/>
      <c r="J561" s="368"/>
      <c r="K561" s="368"/>
      <c r="L561" s="368"/>
      <c r="M561" s="368"/>
      <c r="N561" s="368"/>
      <c r="O561" s="368"/>
      <c r="P561" s="368"/>
      <c r="Q561" s="369"/>
    </row>
    <row r="562" spans="4:17" s="321" customFormat="1" ht="18" customHeight="1">
      <c r="D562" s="368"/>
      <c r="E562" s="368"/>
      <c r="F562" s="368"/>
      <c r="G562" s="368"/>
      <c r="H562" s="368"/>
      <c r="I562" s="368"/>
      <c r="J562" s="368"/>
      <c r="K562" s="368"/>
      <c r="L562" s="368"/>
      <c r="M562" s="368"/>
      <c r="N562" s="368"/>
      <c r="O562" s="368"/>
      <c r="P562" s="368"/>
      <c r="Q562" s="369"/>
    </row>
    <row r="563" spans="4:17" s="321" customFormat="1" ht="18" customHeight="1">
      <c r="D563" s="368"/>
      <c r="E563" s="368"/>
      <c r="F563" s="368"/>
      <c r="G563" s="368"/>
      <c r="H563" s="368"/>
      <c r="I563" s="368"/>
      <c r="J563" s="368"/>
      <c r="K563" s="368"/>
      <c r="L563" s="368"/>
      <c r="M563" s="368"/>
      <c r="N563" s="368"/>
      <c r="O563" s="368"/>
      <c r="P563" s="368"/>
      <c r="Q563" s="369"/>
    </row>
    <row r="564" spans="4:17" s="321" customFormat="1" ht="18" customHeight="1">
      <c r="D564" s="368"/>
      <c r="E564" s="368"/>
      <c r="F564" s="368"/>
      <c r="G564" s="368"/>
      <c r="H564" s="368"/>
      <c r="I564" s="368"/>
      <c r="J564" s="368"/>
      <c r="K564" s="368"/>
      <c r="L564" s="368"/>
      <c r="M564" s="368"/>
      <c r="N564" s="368"/>
      <c r="O564" s="368"/>
      <c r="P564" s="368"/>
      <c r="Q564" s="369"/>
    </row>
    <row r="565" spans="4:17" s="321" customFormat="1" ht="18" customHeight="1">
      <c r="D565" s="368"/>
      <c r="E565" s="368"/>
      <c r="F565" s="368"/>
      <c r="G565" s="368"/>
      <c r="H565" s="368"/>
      <c r="I565" s="368"/>
      <c r="J565" s="368"/>
      <c r="K565" s="368"/>
      <c r="L565" s="368"/>
      <c r="M565" s="368"/>
      <c r="N565" s="368"/>
      <c r="O565" s="368"/>
      <c r="P565" s="368"/>
      <c r="Q565" s="369"/>
    </row>
    <row r="566" spans="4:17" s="321" customFormat="1" ht="18" customHeight="1">
      <c r="D566" s="368"/>
      <c r="E566" s="368"/>
      <c r="F566" s="368"/>
      <c r="G566" s="368"/>
      <c r="H566" s="368"/>
      <c r="I566" s="368"/>
      <c r="J566" s="368"/>
      <c r="K566" s="368"/>
      <c r="L566" s="368"/>
      <c r="M566" s="368"/>
      <c r="N566" s="368"/>
      <c r="O566" s="368"/>
      <c r="P566" s="368"/>
      <c r="Q566" s="369"/>
    </row>
    <row r="567" spans="4:17" s="321" customFormat="1" ht="18" customHeight="1">
      <c r="D567" s="368"/>
      <c r="E567" s="368"/>
      <c r="F567" s="368"/>
      <c r="G567" s="368"/>
      <c r="H567" s="368"/>
      <c r="I567" s="368"/>
      <c r="J567" s="368"/>
      <c r="K567" s="368"/>
      <c r="L567" s="368"/>
      <c r="M567" s="368"/>
      <c r="N567" s="368"/>
      <c r="O567" s="368"/>
      <c r="P567" s="368"/>
      <c r="Q567" s="369"/>
    </row>
    <row r="568" spans="4:17" s="321" customFormat="1" ht="18" customHeight="1">
      <c r="D568" s="368"/>
      <c r="E568" s="368"/>
      <c r="F568" s="368"/>
      <c r="G568" s="368"/>
      <c r="H568" s="368"/>
      <c r="I568" s="368"/>
      <c r="J568" s="368"/>
      <c r="K568" s="368"/>
      <c r="L568" s="368"/>
      <c r="M568" s="368"/>
      <c r="N568" s="368"/>
      <c r="O568" s="368"/>
      <c r="P568" s="368"/>
      <c r="Q568" s="369"/>
    </row>
    <row r="569" spans="4:17" s="321" customFormat="1" ht="18" customHeight="1">
      <c r="D569" s="368"/>
      <c r="E569" s="368"/>
      <c r="F569" s="368"/>
      <c r="G569" s="368"/>
      <c r="H569" s="368"/>
      <c r="I569" s="368"/>
      <c r="J569" s="368"/>
      <c r="K569" s="368"/>
      <c r="L569" s="368"/>
      <c r="M569" s="368"/>
      <c r="N569" s="368"/>
      <c r="O569" s="368"/>
      <c r="P569" s="368"/>
      <c r="Q569" s="369"/>
    </row>
    <row r="570" spans="4:17" s="321" customFormat="1" ht="18" customHeight="1">
      <c r="D570" s="368"/>
      <c r="E570" s="368"/>
      <c r="F570" s="368"/>
      <c r="G570" s="368"/>
      <c r="H570" s="368"/>
      <c r="I570" s="368"/>
      <c r="J570" s="368"/>
      <c r="K570" s="368"/>
      <c r="L570" s="368"/>
      <c r="M570" s="368"/>
      <c r="N570" s="368"/>
      <c r="O570" s="368"/>
      <c r="P570" s="368"/>
      <c r="Q570" s="369"/>
    </row>
    <row r="571" spans="4:17" s="321" customFormat="1" ht="18" customHeight="1">
      <c r="D571" s="368"/>
      <c r="E571" s="368"/>
      <c r="F571" s="368"/>
      <c r="G571" s="368"/>
      <c r="H571" s="368"/>
      <c r="I571" s="368"/>
      <c r="J571" s="368"/>
      <c r="K571" s="368"/>
      <c r="L571" s="368"/>
      <c r="M571" s="368"/>
      <c r="N571" s="368"/>
      <c r="O571" s="368"/>
      <c r="P571" s="368"/>
      <c r="Q571" s="369"/>
    </row>
    <row r="572" spans="4:17" s="321" customFormat="1" ht="18" customHeight="1">
      <c r="D572" s="368"/>
      <c r="E572" s="368"/>
      <c r="F572" s="368"/>
      <c r="G572" s="368"/>
      <c r="H572" s="368"/>
      <c r="I572" s="368"/>
      <c r="J572" s="368"/>
      <c r="K572" s="368"/>
      <c r="L572" s="368"/>
      <c r="M572" s="368"/>
      <c r="N572" s="368"/>
      <c r="O572" s="368"/>
      <c r="P572" s="368"/>
      <c r="Q572" s="369"/>
    </row>
    <row r="573" spans="4:17" s="321" customFormat="1" ht="18" customHeight="1">
      <c r="D573" s="368"/>
      <c r="E573" s="368"/>
      <c r="F573" s="368"/>
      <c r="G573" s="368"/>
      <c r="H573" s="368"/>
      <c r="I573" s="368"/>
      <c r="J573" s="368"/>
      <c r="K573" s="368"/>
      <c r="L573" s="368"/>
      <c r="M573" s="368"/>
      <c r="N573" s="368"/>
      <c r="O573" s="368"/>
      <c r="P573" s="368"/>
      <c r="Q573" s="369"/>
    </row>
    <row r="574" spans="4:17" s="321" customFormat="1" ht="18" customHeight="1">
      <c r="D574" s="368"/>
      <c r="E574" s="368"/>
      <c r="F574" s="368"/>
      <c r="G574" s="368"/>
      <c r="H574" s="368"/>
      <c r="I574" s="368"/>
      <c r="J574" s="368"/>
      <c r="K574" s="368"/>
      <c r="L574" s="368"/>
      <c r="M574" s="368"/>
      <c r="N574" s="368"/>
      <c r="O574" s="368"/>
      <c r="P574" s="368"/>
      <c r="Q574" s="369"/>
    </row>
    <row r="575" spans="4:17" s="321" customFormat="1" ht="18" customHeight="1">
      <c r="D575" s="368"/>
      <c r="E575" s="368"/>
      <c r="F575" s="368"/>
      <c r="G575" s="368"/>
      <c r="H575" s="368"/>
      <c r="I575" s="368"/>
      <c r="J575" s="368"/>
      <c r="K575" s="368"/>
      <c r="L575" s="368"/>
      <c r="M575" s="368"/>
      <c r="N575" s="368"/>
      <c r="O575" s="368"/>
      <c r="P575" s="368"/>
      <c r="Q575" s="369"/>
    </row>
    <row r="576" spans="4:17" s="321" customFormat="1" ht="18" customHeight="1">
      <c r="D576" s="368"/>
      <c r="E576" s="368"/>
      <c r="F576" s="368"/>
      <c r="G576" s="368"/>
      <c r="H576" s="368"/>
      <c r="I576" s="368"/>
      <c r="J576" s="368"/>
      <c r="K576" s="368"/>
      <c r="L576" s="368"/>
      <c r="M576" s="368"/>
      <c r="N576" s="368"/>
      <c r="O576" s="368"/>
      <c r="P576" s="368"/>
      <c r="Q576" s="369"/>
    </row>
    <row r="577" spans="4:17" s="321" customFormat="1" ht="18" customHeight="1">
      <c r="D577" s="368"/>
      <c r="E577" s="368"/>
      <c r="F577" s="368"/>
      <c r="G577" s="368"/>
      <c r="H577" s="368"/>
      <c r="I577" s="368"/>
      <c r="J577" s="368"/>
      <c r="K577" s="368"/>
      <c r="L577" s="368"/>
      <c r="M577" s="368"/>
      <c r="N577" s="368"/>
      <c r="O577" s="368"/>
      <c r="P577" s="368"/>
      <c r="Q577" s="369"/>
    </row>
    <row r="578" spans="4:17" s="321" customFormat="1" ht="18" customHeight="1">
      <c r="D578" s="368"/>
      <c r="E578" s="368"/>
      <c r="F578" s="368"/>
      <c r="G578" s="368"/>
      <c r="H578" s="368"/>
      <c r="I578" s="368"/>
      <c r="J578" s="368"/>
      <c r="K578" s="368"/>
      <c r="L578" s="368"/>
      <c r="M578" s="368"/>
      <c r="N578" s="368"/>
      <c r="O578" s="368"/>
      <c r="P578" s="368"/>
      <c r="Q578" s="369"/>
    </row>
    <row r="579" spans="4:17" s="321" customFormat="1" ht="18" customHeight="1">
      <c r="D579" s="368"/>
      <c r="E579" s="368"/>
      <c r="F579" s="368"/>
      <c r="G579" s="368"/>
      <c r="H579" s="368"/>
      <c r="I579" s="368"/>
      <c r="J579" s="368"/>
      <c r="K579" s="368"/>
      <c r="L579" s="368"/>
      <c r="M579" s="368"/>
      <c r="N579" s="368"/>
      <c r="O579" s="368"/>
      <c r="P579" s="368"/>
      <c r="Q579" s="369"/>
    </row>
    <row r="580" spans="4:17" s="321" customFormat="1" ht="18" customHeight="1">
      <c r="D580" s="368"/>
      <c r="E580" s="368"/>
      <c r="F580" s="368"/>
      <c r="G580" s="368"/>
      <c r="H580" s="368"/>
      <c r="I580" s="368"/>
      <c r="J580" s="368"/>
      <c r="K580" s="368"/>
      <c r="L580" s="368"/>
      <c r="M580" s="368"/>
      <c r="N580" s="368"/>
      <c r="O580" s="368"/>
      <c r="P580" s="368"/>
      <c r="Q580" s="369"/>
    </row>
    <row r="581" spans="4:17" s="321" customFormat="1" ht="18" customHeight="1">
      <c r="D581" s="368"/>
      <c r="E581" s="368"/>
      <c r="F581" s="368"/>
      <c r="G581" s="368"/>
      <c r="H581" s="368"/>
      <c r="I581" s="368"/>
      <c r="J581" s="368"/>
      <c r="K581" s="368"/>
      <c r="L581" s="368"/>
      <c r="M581" s="368"/>
      <c r="N581" s="368"/>
      <c r="O581" s="368"/>
      <c r="P581" s="368"/>
      <c r="Q581" s="369"/>
    </row>
    <row r="582" spans="4:17" s="321" customFormat="1" ht="18" customHeight="1">
      <c r="D582" s="368"/>
      <c r="E582" s="368"/>
      <c r="F582" s="368"/>
      <c r="G582" s="368"/>
      <c r="H582" s="368"/>
      <c r="I582" s="368"/>
      <c r="J582" s="368"/>
      <c r="K582" s="368"/>
      <c r="L582" s="368"/>
      <c r="M582" s="368"/>
      <c r="N582" s="368"/>
      <c r="O582" s="368"/>
      <c r="P582" s="368"/>
      <c r="Q582" s="369"/>
    </row>
    <row r="583" spans="4:17" s="321" customFormat="1" ht="18" customHeight="1">
      <c r="D583" s="368"/>
      <c r="E583" s="368"/>
      <c r="F583" s="368"/>
      <c r="G583" s="368"/>
      <c r="H583" s="368"/>
      <c r="I583" s="368"/>
      <c r="J583" s="368"/>
      <c r="K583" s="368"/>
      <c r="L583" s="368"/>
      <c r="M583" s="368"/>
      <c r="N583" s="368"/>
      <c r="O583" s="368"/>
      <c r="P583" s="368"/>
      <c r="Q583" s="369"/>
    </row>
    <row r="584" spans="4:17" s="321" customFormat="1" ht="18" customHeight="1">
      <c r="D584" s="368"/>
      <c r="E584" s="368"/>
      <c r="F584" s="368"/>
      <c r="G584" s="368"/>
      <c r="H584" s="368"/>
      <c r="I584" s="368"/>
      <c r="J584" s="368"/>
      <c r="K584" s="368"/>
      <c r="L584" s="368"/>
      <c r="M584" s="368"/>
      <c r="N584" s="368"/>
      <c r="O584" s="368"/>
      <c r="P584" s="368"/>
      <c r="Q584" s="369"/>
    </row>
    <row r="585" spans="4:17" s="321" customFormat="1" ht="18" customHeight="1">
      <c r="D585" s="368"/>
      <c r="E585" s="368"/>
      <c r="F585" s="368"/>
      <c r="G585" s="368"/>
      <c r="H585" s="368"/>
      <c r="I585" s="368"/>
      <c r="J585" s="368"/>
      <c r="K585" s="368"/>
      <c r="L585" s="368"/>
      <c r="M585" s="368"/>
      <c r="N585" s="368"/>
      <c r="O585" s="368"/>
      <c r="P585" s="368"/>
      <c r="Q585" s="369"/>
    </row>
    <row r="586" spans="4:17" s="321" customFormat="1" ht="18" customHeight="1">
      <c r="D586" s="368"/>
      <c r="E586" s="368"/>
      <c r="F586" s="368"/>
      <c r="G586" s="368"/>
      <c r="H586" s="368"/>
      <c r="I586" s="368"/>
      <c r="J586" s="368"/>
      <c r="K586" s="368"/>
      <c r="L586" s="368"/>
      <c r="M586" s="368"/>
      <c r="N586" s="368"/>
      <c r="O586" s="368"/>
      <c r="P586" s="368"/>
      <c r="Q586" s="369"/>
    </row>
    <row r="587" spans="4:17" s="321" customFormat="1" ht="18" customHeight="1">
      <c r="D587" s="368"/>
      <c r="E587" s="368"/>
      <c r="F587" s="368"/>
      <c r="G587" s="368"/>
      <c r="H587" s="368"/>
      <c r="I587" s="368"/>
      <c r="J587" s="368"/>
      <c r="K587" s="368"/>
      <c r="L587" s="368"/>
      <c r="M587" s="368"/>
      <c r="N587" s="368"/>
      <c r="O587" s="368"/>
      <c r="P587" s="368"/>
      <c r="Q587" s="369"/>
    </row>
    <row r="588" spans="4:17" s="321" customFormat="1" ht="18" customHeight="1">
      <c r="D588" s="368"/>
      <c r="E588" s="368"/>
      <c r="F588" s="368"/>
      <c r="G588" s="368"/>
      <c r="H588" s="368"/>
      <c r="I588" s="368"/>
      <c r="J588" s="368"/>
      <c r="K588" s="368"/>
      <c r="L588" s="368"/>
      <c r="M588" s="368"/>
      <c r="N588" s="368"/>
      <c r="O588" s="368"/>
      <c r="P588" s="368"/>
      <c r="Q588" s="369"/>
    </row>
    <row r="589" spans="4:17" s="321" customFormat="1" ht="18" customHeight="1">
      <c r="D589" s="368"/>
      <c r="E589" s="368"/>
      <c r="F589" s="368"/>
      <c r="G589" s="368"/>
      <c r="H589" s="368"/>
      <c r="I589" s="368"/>
      <c r="J589" s="368"/>
      <c r="K589" s="368"/>
      <c r="L589" s="368"/>
      <c r="M589" s="368"/>
      <c r="N589" s="368"/>
      <c r="O589" s="368"/>
      <c r="P589" s="368"/>
      <c r="Q589" s="369"/>
    </row>
    <row r="590" spans="4:17" s="321" customFormat="1" ht="18" customHeight="1">
      <c r="D590" s="368"/>
      <c r="E590" s="368"/>
      <c r="F590" s="368"/>
      <c r="G590" s="368"/>
      <c r="H590" s="368"/>
      <c r="I590" s="368"/>
      <c r="J590" s="368"/>
      <c r="K590" s="368"/>
      <c r="L590" s="368"/>
      <c r="M590" s="368"/>
      <c r="N590" s="368"/>
      <c r="O590" s="368"/>
      <c r="P590" s="368"/>
      <c r="Q590" s="369"/>
    </row>
    <row r="591" spans="4:17" s="321" customFormat="1" ht="18" customHeight="1">
      <c r="D591" s="368"/>
      <c r="E591" s="368"/>
      <c r="F591" s="368"/>
      <c r="G591" s="368"/>
      <c r="H591" s="368"/>
      <c r="I591" s="368"/>
      <c r="J591" s="368"/>
      <c r="K591" s="368"/>
      <c r="L591" s="368"/>
      <c r="M591" s="368"/>
      <c r="N591" s="368"/>
      <c r="O591" s="368"/>
      <c r="P591" s="368"/>
      <c r="Q591" s="369"/>
    </row>
    <row r="592" spans="4:17" s="321" customFormat="1" ht="18" customHeight="1">
      <c r="D592" s="368"/>
      <c r="E592" s="368"/>
      <c r="F592" s="368"/>
      <c r="G592" s="368"/>
      <c r="H592" s="368"/>
      <c r="I592" s="368"/>
      <c r="J592" s="368"/>
      <c r="K592" s="368"/>
      <c r="L592" s="368"/>
      <c r="M592" s="368"/>
      <c r="N592" s="368"/>
      <c r="O592" s="368"/>
      <c r="P592" s="368"/>
      <c r="Q592" s="369"/>
    </row>
    <row r="593" spans="18:18" ht="18" customHeight="1">
      <c r="R593" s="321"/>
    </row>
    <row r="594" spans="18:18" ht="18" customHeight="1">
      <c r="R594" s="321"/>
    </row>
    <row r="595" spans="18:18" ht="18" customHeight="1">
      <c r="R595" s="321"/>
    </row>
    <row r="596" spans="18:18" ht="18" customHeight="1">
      <c r="R596" s="321"/>
    </row>
  </sheetData>
  <phoneticPr fontId="56" type="noConversion"/>
  <hyperlinks>
    <hyperlink ref="Q3" location="Summary!A1" display="&lt;back to Summary&gt;" xr:uid="{00000000-0004-0000-0400-000000000000}"/>
    <hyperlink ref="R91" location="IS明細!H77" display="IS明細!H77" xr:uid="{00000000-0004-0000-0400-000001000000}"/>
    <hyperlink ref="R210" location="銷售費用!A1" display="detail of exp" xr:uid="{00000000-0004-0000-0400-000002000000}"/>
  </hyperlinks>
  <pageMargins left="0.14000000000000001" right="0.14000000000000001" top="0.48" bottom="0" header="0.28999999999999998" footer="0.23622047244094491"/>
  <pageSetup paperSize="9" scale="29" orientation="landscape" r:id="rId1"/>
  <headerFooter alignWithMargins="0">
    <oddHeader>&amp;R&amp;F--&amp;A</oddHeader>
    <oddFooter>&amp;RP.4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B59F-35EB-234D-A889-34CA9E43AA24}">
  <sheetPr>
    <tabColor indexed="13"/>
  </sheetPr>
  <dimension ref="A1:R273"/>
  <sheetViews>
    <sheetView workbookViewId="0">
      <selection activeCell="U41" sqref="U41"/>
    </sheetView>
  </sheetViews>
  <sheetFormatPr baseColWidth="10" defaultRowHeight="13"/>
  <sheetData>
    <row r="1" spans="1:17">
      <c r="A1" t="s">
        <v>444</v>
      </c>
    </row>
    <row r="2" spans="1:17">
      <c r="A2" t="s">
        <v>2362</v>
      </c>
    </row>
    <row r="3" spans="1:17">
      <c r="A3" t="s">
        <v>2363</v>
      </c>
      <c r="Q3" t="s">
        <v>2364</v>
      </c>
    </row>
    <row r="4" spans="1:17">
      <c r="A4" t="s">
        <v>445</v>
      </c>
      <c r="D4" t="s">
        <v>1767</v>
      </c>
      <c r="E4" t="s">
        <v>1768</v>
      </c>
      <c r="F4" t="s">
        <v>1769</v>
      </c>
      <c r="G4" t="s">
        <v>1770</v>
      </c>
      <c r="H4" t="s">
        <v>1771</v>
      </c>
      <c r="I4" t="s">
        <v>1772</v>
      </c>
      <c r="J4" t="s">
        <v>1773</v>
      </c>
      <c r="K4" t="s">
        <v>1774</v>
      </c>
      <c r="L4" t="s">
        <v>1775</v>
      </c>
      <c r="M4" t="s">
        <v>1776</v>
      </c>
      <c r="N4" t="s">
        <v>1777</v>
      </c>
      <c r="O4" t="s">
        <v>1778</v>
      </c>
      <c r="P4" t="s">
        <v>1791</v>
      </c>
      <c r="Q4" t="s">
        <v>886</v>
      </c>
    </row>
    <row r="5" spans="1:17">
      <c r="C5" t="s">
        <v>1779</v>
      </c>
      <c r="D5">
        <v>67</v>
      </c>
      <c r="E5">
        <v>69</v>
      </c>
      <c r="F5">
        <v>69</v>
      </c>
      <c r="G5">
        <v>68</v>
      </c>
      <c r="H5">
        <v>70</v>
      </c>
      <c r="I5">
        <v>71</v>
      </c>
      <c r="J5">
        <v>70</v>
      </c>
      <c r="K5">
        <v>70</v>
      </c>
      <c r="L5">
        <v>0</v>
      </c>
      <c r="M5">
        <v>0</v>
      </c>
      <c r="N5">
        <v>0</v>
      </c>
      <c r="O5">
        <v>0</v>
      </c>
    </row>
    <row r="6" spans="1:17">
      <c r="A6" t="s">
        <v>1501</v>
      </c>
    </row>
    <row r="7" spans="1:17">
      <c r="B7" t="s">
        <v>1502</v>
      </c>
    </row>
    <row r="8" spans="1:17">
      <c r="B8" t="s">
        <v>1503</v>
      </c>
      <c r="D8">
        <v>60242992</v>
      </c>
      <c r="E8">
        <v>53027714</v>
      </c>
      <c r="F8">
        <v>65197616</v>
      </c>
      <c r="G8">
        <v>67460983</v>
      </c>
      <c r="H8">
        <v>53238236</v>
      </c>
      <c r="I8">
        <v>87451211</v>
      </c>
      <c r="J8">
        <v>98237627</v>
      </c>
      <c r="K8">
        <v>82131376</v>
      </c>
      <c r="L8">
        <v>0</v>
      </c>
      <c r="M8">
        <v>0</v>
      </c>
      <c r="N8">
        <v>0</v>
      </c>
      <c r="O8">
        <v>0</v>
      </c>
      <c r="P8">
        <v>566987755</v>
      </c>
      <c r="Q8">
        <v>1</v>
      </c>
    </row>
    <row r="9" spans="1:17">
      <c r="B9" t="s">
        <v>1504</v>
      </c>
      <c r="D9">
        <v>6052118</v>
      </c>
      <c r="E9">
        <v>6516828</v>
      </c>
      <c r="F9">
        <v>4965549</v>
      </c>
      <c r="G9">
        <v>3547544</v>
      </c>
      <c r="H9">
        <v>4730748</v>
      </c>
      <c r="I9">
        <v>10034944</v>
      </c>
      <c r="J9">
        <v>8173236</v>
      </c>
      <c r="K9">
        <v>8365372</v>
      </c>
      <c r="L9">
        <v>0</v>
      </c>
      <c r="M9">
        <v>0</v>
      </c>
      <c r="N9">
        <v>0</v>
      </c>
      <c r="O9">
        <v>0</v>
      </c>
      <c r="P9">
        <v>52386339</v>
      </c>
      <c r="Q9">
        <v>9.2394127629793349E-2</v>
      </c>
    </row>
    <row r="10" spans="1:17">
      <c r="B10" t="s">
        <v>1505</v>
      </c>
      <c r="D10">
        <v>54190874</v>
      </c>
      <c r="E10">
        <v>46510886</v>
      </c>
      <c r="F10">
        <v>60232067</v>
      </c>
      <c r="G10">
        <v>63913439</v>
      </c>
      <c r="H10">
        <v>48507488</v>
      </c>
      <c r="I10">
        <v>77416267</v>
      </c>
      <c r="J10">
        <v>90064391</v>
      </c>
      <c r="K10">
        <v>73766004</v>
      </c>
      <c r="L10">
        <v>0</v>
      </c>
      <c r="M10">
        <v>0</v>
      </c>
      <c r="N10">
        <v>0</v>
      </c>
      <c r="O10">
        <v>0</v>
      </c>
      <c r="P10">
        <v>514601416</v>
      </c>
      <c r="Q10">
        <v>0.90760587237020662</v>
      </c>
    </row>
    <row r="11" spans="1:17">
      <c r="B11" t="s">
        <v>1506</v>
      </c>
      <c r="D11">
        <v>0</v>
      </c>
      <c r="E11">
        <v>0</v>
      </c>
      <c r="F11">
        <v>0</v>
      </c>
      <c r="G11">
        <v>116289</v>
      </c>
      <c r="H11">
        <v>0</v>
      </c>
      <c r="I11">
        <v>13559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129848</v>
      </c>
      <c r="Q11">
        <v>2.2901376415086777E-4</v>
      </c>
    </row>
    <row r="12" spans="1:17">
      <c r="B12" t="s">
        <v>1507</v>
      </c>
      <c r="D12">
        <v>0</v>
      </c>
      <c r="E12">
        <v>0</v>
      </c>
      <c r="F12">
        <v>1493168</v>
      </c>
      <c r="G12">
        <v>0</v>
      </c>
      <c r="H12">
        <v>0</v>
      </c>
      <c r="I12">
        <v>31565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1524733</v>
      </c>
      <c r="Q12">
        <v>2.689181532677015E-3</v>
      </c>
    </row>
    <row r="13" spans="1:17">
      <c r="B13" t="s">
        <v>1508</v>
      </c>
      <c r="D13">
        <v>60242992</v>
      </c>
      <c r="E13">
        <v>53027714</v>
      </c>
      <c r="F13">
        <v>63704448</v>
      </c>
      <c r="G13">
        <v>67344694</v>
      </c>
      <c r="H13">
        <v>53238236</v>
      </c>
      <c r="I13">
        <v>87406087</v>
      </c>
      <c r="J13">
        <v>98237627</v>
      </c>
      <c r="K13">
        <v>82131376</v>
      </c>
      <c r="L13">
        <v>0</v>
      </c>
      <c r="M13">
        <v>0</v>
      </c>
      <c r="N13">
        <v>0</v>
      </c>
      <c r="O13">
        <v>0</v>
      </c>
      <c r="P13">
        <v>565333174</v>
      </c>
      <c r="Q13">
        <v>0.99708180470317209</v>
      </c>
    </row>
    <row r="14" spans="1:17">
      <c r="B14" t="s">
        <v>1509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Q14">
        <v>0</v>
      </c>
    </row>
    <row r="15" spans="1:17">
      <c r="B15" t="s">
        <v>1510</v>
      </c>
      <c r="D15">
        <v>3959</v>
      </c>
      <c r="E15">
        <v>43786</v>
      </c>
      <c r="F15">
        <v>27522</v>
      </c>
      <c r="G15">
        <v>20986</v>
      </c>
      <c r="H15">
        <v>43107</v>
      </c>
      <c r="I15">
        <v>81879</v>
      </c>
      <c r="J15">
        <v>3539</v>
      </c>
      <c r="K15">
        <v>3539</v>
      </c>
      <c r="L15">
        <v>0</v>
      </c>
      <c r="M15">
        <v>0</v>
      </c>
      <c r="N15">
        <v>0</v>
      </c>
      <c r="O15">
        <v>0</v>
      </c>
      <c r="P15">
        <v>228317</v>
      </c>
      <c r="Q15">
        <v>4.0268418142469406E-4</v>
      </c>
    </row>
    <row r="16" spans="1:17">
      <c r="B16" t="s">
        <v>1511</v>
      </c>
      <c r="D16">
        <v>3959</v>
      </c>
      <c r="E16">
        <v>43786</v>
      </c>
      <c r="F16">
        <v>27522</v>
      </c>
      <c r="G16">
        <v>20986</v>
      </c>
      <c r="H16">
        <v>43107</v>
      </c>
      <c r="I16">
        <v>81879</v>
      </c>
      <c r="J16">
        <v>3539</v>
      </c>
      <c r="K16">
        <v>3539</v>
      </c>
      <c r="L16">
        <v>0</v>
      </c>
      <c r="M16">
        <v>0</v>
      </c>
      <c r="N16">
        <v>0</v>
      </c>
      <c r="O16">
        <v>0</v>
      </c>
      <c r="P16">
        <v>228317</v>
      </c>
      <c r="Q16">
        <v>4.0268418142469406E-4</v>
      </c>
    </row>
    <row r="17" spans="1:17">
      <c r="B17" t="s">
        <v>1512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B18" t="s">
        <v>1513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B19" t="s">
        <v>1514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B20" t="s">
        <v>1515</v>
      </c>
      <c r="D20">
        <v>3959</v>
      </c>
      <c r="E20">
        <v>43786</v>
      </c>
      <c r="F20">
        <v>27522</v>
      </c>
      <c r="G20">
        <v>20986</v>
      </c>
      <c r="H20">
        <v>43107</v>
      </c>
      <c r="I20">
        <v>81879</v>
      </c>
      <c r="J20">
        <v>3539</v>
      </c>
      <c r="K20">
        <v>3539</v>
      </c>
      <c r="L20">
        <v>0</v>
      </c>
      <c r="M20">
        <v>0</v>
      </c>
      <c r="N20">
        <v>0</v>
      </c>
      <c r="O20">
        <v>0</v>
      </c>
      <c r="P20">
        <v>228317</v>
      </c>
      <c r="Q20">
        <v>4.0268418142469406E-4</v>
      </c>
    </row>
    <row r="21" spans="1:17">
      <c r="A21" t="s">
        <v>1516</v>
      </c>
      <c r="D21">
        <v>60246951</v>
      </c>
      <c r="E21">
        <v>53071500</v>
      </c>
      <c r="F21">
        <v>63731970</v>
      </c>
      <c r="G21">
        <v>67365680</v>
      </c>
      <c r="H21">
        <v>53281343</v>
      </c>
      <c r="I21">
        <v>87487966</v>
      </c>
      <c r="J21">
        <v>98241166</v>
      </c>
      <c r="K21">
        <v>82134915</v>
      </c>
      <c r="L21">
        <v>0</v>
      </c>
      <c r="M21">
        <v>0</v>
      </c>
      <c r="N21">
        <v>0</v>
      </c>
      <c r="O21">
        <v>0</v>
      </c>
      <c r="P21">
        <v>565561491</v>
      </c>
      <c r="Q21">
        <v>1</v>
      </c>
    </row>
    <row r="22" spans="1:17">
      <c r="A22" t="s">
        <v>1517</v>
      </c>
    </row>
    <row r="23" spans="1:17">
      <c r="B23" t="s">
        <v>1518</v>
      </c>
    </row>
    <row r="24" spans="1:17">
      <c r="B24" t="s">
        <v>1519</v>
      </c>
      <c r="D24">
        <v>0</v>
      </c>
      <c r="E24">
        <v>0</v>
      </c>
      <c r="F24">
        <v>205528</v>
      </c>
      <c r="G24">
        <v>24730</v>
      </c>
      <c r="H24">
        <v>-13892</v>
      </c>
      <c r="I24">
        <v>21297</v>
      </c>
      <c r="J24">
        <v>21992</v>
      </c>
      <c r="K24">
        <v>0</v>
      </c>
      <c r="L24">
        <v>0</v>
      </c>
      <c r="M24">
        <v>0</v>
      </c>
      <c r="N24">
        <v>0</v>
      </c>
      <c r="O24">
        <v>0</v>
      </c>
      <c r="P24">
        <v>259655</v>
      </c>
      <c r="Q24">
        <v>4.5795521633443389E-4</v>
      </c>
    </row>
    <row r="25" spans="1:17">
      <c r="B25" t="s">
        <v>1520</v>
      </c>
      <c r="D25">
        <v>52605395</v>
      </c>
      <c r="E25">
        <v>49188788</v>
      </c>
      <c r="F25">
        <v>54845750</v>
      </c>
      <c r="G25">
        <v>59713244</v>
      </c>
      <c r="H25">
        <v>45764439</v>
      </c>
      <c r="I25">
        <v>74659138</v>
      </c>
      <c r="J25">
        <v>84930497</v>
      </c>
      <c r="K25">
        <v>70526211</v>
      </c>
      <c r="L25">
        <v>0</v>
      </c>
      <c r="M25">
        <v>0</v>
      </c>
      <c r="N25">
        <v>0</v>
      </c>
      <c r="O25">
        <v>0</v>
      </c>
      <c r="P25">
        <v>492233462</v>
      </c>
      <c r="Q25">
        <v>0.86815536607135368</v>
      </c>
    </row>
    <row r="26" spans="1:17">
      <c r="B26" t="s">
        <v>1521</v>
      </c>
      <c r="D26">
        <v>52737740</v>
      </c>
      <c r="E26">
        <v>49056975</v>
      </c>
      <c r="F26">
        <v>54832535</v>
      </c>
      <c r="G26">
        <v>59713260</v>
      </c>
      <c r="H26">
        <v>45764439</v>
      </c>
      <c r="I26">
        <v>74659138</v>
      </c>
      <c r="J26">
        <v>84930497</v>
      </c>
      <c r="K26">
        <v>70526211</v>
      </c>
      <c r="L26">
        <v>0</v>
      </c>
      <c r="M26">
        <v>0</v>
      </c>
      <c r="N26">
        <v>0</v>
      </c>
      <c r="O26">
        <v>0</v>
      </c>
      <c r="P26">
        <v>492220795</v>
      </c>
      <c r="Q26">
        <v>0.86813302520087055</v>
      </c>
    </row>
    <row r="27" spans="1:17">
      <c r="B27" t="s">
        <v>1522</v>
      </c>
      <c r="D27">
        <v>0</v>
      </c>
      <c r="E27">
        <v>0</v>
      </c>
      <c r="F27">
        <v>12667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12667</v>
      </c>
      <c r="Q27">
        <v>2.2340870483172956E-5</v>
      </c>
    </row>
    <row r="28" spans="1:17">
      <c r="B28" t="s">
        <v>1437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B29" t="s">
        <v>1438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B30" t="s">
        <v>1440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B31" t="s">
        <v>1442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B32" t="s">
        <v>1444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2:17">
      <c r="B33" t="s">
        <v>1446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2:17">
      <c r="B34" t="s">
        <v>1448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2:17">
      <c r="B35" t="s">
        <v>1450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2:17">
      <c r="B36" t="s">
        <v>1452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2:17">
      <c r="B37" t="s">
        <v>1523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2:17">
      <c r="B38" t="s">
        <v>1524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2:17">
      <c r="B39" t="s">
        <v>1525</v>
      </c>
      <c r="D39">
        <v>-132345</v>
      </c>
      <c r="E39">
        <v>131813</v>
      </c>
      <c r="F39">
        <v>548</v>
      </c>
      <c r="G39">
        <v>-16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2:17">
      <c r="B40" t="s">
        <v>1454</v>
      </c>
      <c r="D40">
        <v>1023451</v>
      </c>
      <c r="E40">
        <v>1006220</v>
      </c>
      <c r="F40">
        <v>1020731</v>
      </c>
      <c r="G40">
        <v>1062155</v>
      </c>
      <c r="H40">
        <v>1055778</v>
      </c>
      <c r="I40">
        <v>1051561</v>
      </c>
      <c r="J40">
        <v>1065149</v>
      </c>
      <c r="K40">
        <v>1088082</v>
      </c>
      <c r="L40">
        <v>0</v>
      </c>
      <c r="M40">
        <v>0</v>
      </c>
      <c r="N40">
        <v>0</v>
      </c>
      <c r="O40">
        <v>0</v>
      </c>
      <c r="P40">
        <v>8373127</v>
      </c>
      <c r="Q40">
        <v>1.4767738678942016E-2</v>
      </c>
    </row>
    <row r="41" spans="2:17">
      <c r="B41" t="s">
        <v>1456</v>
      </c>
      <c r="D41">
        <v>726247</v>
      </c>
      <c r="E41">
        <v>741039</v>
      </c>
      <c r="F41">
        <v>734100</v>
      </c>
      <c r="G41">
        <v>771882</v>
      </c>
      <c r="H41">
        <v>771217</v>
      </c>
      <c r="I41">
        <v>770641</v>
      </c>
      <c r="J41">
        <v>792332</v>
      </c>
      <c r="K41">
        <v>796776</v>
      </c>
      <c r="L41">
        <v>0</v>
      </c>
      <c r="M41">
        <v>0</v>
      </c>
      <c r="N41">
        <v>0</v>
      </c>
      <c r="O41">
        <v>0</v>
      </c>
      <c r="P41">
        <v>6104234</v>
      </c>
      <c r="Q41">
        <v>1.076607730267473E-2</v>
      </c>
    </row>
    <row r="42" spans="2:17">
      <c r="B42" t="s">
        <v>1458</v>
      </c>
      <c r="D42">
        <v>0</v>
      </c>
      <c r="E42">
        <v>14913</v>
      </c>
      <c r="F42">
        <v>19383</v>
      </c>
      <c r="G42">
        <v>21000</v>
      </c>
      <c r="H42">
        <v>12994</v>
      </c>
      <c r="I42">
        <v>8283</v>
      </c>
      <c r="J42">
        <v>0</v>
      </c>
      <c r="K42">
        <v>17567</v>
      </c>
      <c r="L42">
        <v>0</v>
      </c>
      <c r="M42">
        <v>0</v>
      </c>
      <c r="N42">
        <v>0</v>
      </c>
      <c r="O42">
        <v>0</v>
      </c>
      <c r="P42">
        <v>94140</v>
      </c>
      <c r="Q42">
        <v>1.6603533175068306E-4</v>
      </c>
    </row>
    <row r="43" spans="2:17">
      <c r="B43" t="s">
        <v>1459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2:17">
      <c r="B44" t="s">
        <v>1460</v>
      </c>
      <c r="D44">
        <v>46704</v>
      </c>
      <c r="E44">
        <v>47368</v>
      </c>
      <c r="F44">
        <v>47328</v>
      </c>
      <c r="G44">
        <v>49573</v>
      </c>
      <c r="H44">
        <v>49867</v>
      </c>
      <c r="I44">
        <v>50137</v>
      </c>
      <c r="J44">
        <v>50317</v>
      </c>
      <c r="K44">
        <v>50539</v>
      </c>
      <c r="L44">
        <v>0</v>
      </c>
      <c r="M44">
        <v>0</v>
      </c>
      <c r="N44">
        <v>0</v>
      </c>
      <c r="O44">
        <v>0</v>
      </c>
      <c r="P44">
        <v>391833</v>
      </c>
      <c r="Q44">
        <v>6.9107841667585921E-4</v>
      </c>
    </row>
    <row r="45" spans="2:17">
      <c r="B45" t="s">
        <v>1462</v>
      </c>
      <c r="D45">
        <v>250500</v>
      </c>
      <c r="E45">
        <v>202900</v>
      </c>
      <c r="F45">
        <v>219920</v>
      </c>
      <c r="G45">
        <v>219700</v>
      </c>
      <c r="H45">
        <v>221700</v>
      </c>
      <c r="I45">
        <v>222500</v>
      </c>
      <c r="J45">
        <v>222500</v>
      </c>
      <c r="K45">
        <v>223200</v>
      </c>
      <c r="L45">
        <v>0</v>
      </c>
      <c r="M45">
        <v>0</v>
      </c>
      <c r="N45">
        <v>0</v>
      </c>
      <c r="O45">
        <v>0</v>
      </c>
      <c r="P45">
        <v>1782920</v>
      </c>
      <c r="Q45">
        <v>3.1445476278407457E-3</v>
      </c>
    </row>
    <row r="46" spans="2:17">
      <c r="B46" t="s">
        <v>1464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2:17">
      <c r="B47" t="s">
        <v>1466</v>
      </c>
      <c r="D47">
        <v>194800</v>
      </c>
      <c r="E47">
        <v>194800</v>
      </c>
      <c r="F47">
        <v>194800</v>
      </c>
      <c r="G47">
        <v>194800</v>
      </c>
      <c r="H47">
        <v>194800</v>
      </c>
      <c r="I47">
        <v>194800</v>
      </c>
      <c r="J47">
        <v>194800</v>
      </c>
      <c r="K47">
        <v>194800</v>
      </c>
      <c r="L47">
        <v>0</v>
      </c>
      <c r="M47">
        <v>0</v>
      </c>
      <c r="N47">
        <v>0</v>
      </c>
      <c r="O47">
        <v>0</v>
      </c>
      <c r="P47">
        <v>1558400</v>
      </c>
      <c r="Q47">
        <v>2.7485602400707933E-3</v>
      </c>
    </row>
    <row r="48" spans="2:17">
      <c r="B48" t="s">
        <v>1467</v>
      </c>
      <c r="D48">
        <v>0</v>
      </c>
      <c r="E48">
        <v>0</v>
      </c>
      <c r="F48">
        <v>0</v>
      </c>
      <c r="G48">
        <v>2106</v>
      </c>
      <c r="H48">
        <v>0</v>
      </c>
      <c r="I48">
        <v>300</v>
      </c>
      <c r="J48">
        <v>3250</v>
      </c>
      <c r="K48">
        <v>0</v>
      </c>
      <c r="L48">
        <v>0</v>
      </c>
      <c r="M48">
        <v>0</v>
      </c>
      <c r="N48">
        <v>0</v>
      </c>
      <c r="O48">
        <v>0</v>
      </c>
      <c r="P48">
        <v>5656</v>
      </c>
      <c r="Q48">
        <v>9.9755240745895827E-6</v>
      </c>
    </row>
    <row r="49" spans="2:17">
      <c r="B49" t="s">
        <v>1468</v>
      </c>
      <c r="D49">
        <v>1000</v>
      </c>
      <c r="E49">
        <v>39000</v>
      </c>
      <c r="F49">
        <v>65426</v>
      </c>
      <c r="G49">
        <v>36619</v>
      </c>
      <c r="H49">
        <v>37680</v>
      </c>
      <c r="I49">
        <v>3600</v>
      </c>
      <c r="J49">
        <v>14900</v>
      </c>
      <c r="K49">
        <v>43302</v>
      </c>
      <c r="L49">
        <v>0</v>
      </c>
      <c r="M49">
        <v>0</v>
      </c>
      <c r="N49">
        <v>0</v>
      </c>
      <c r="O49">
        <v>0</v>
      </c>
      <c r="P49">
        <v>241527</v>
      </c>
      <c r="Q49">
        <v>4.2598274454798413E-4</v>
      </c>
    </row>
    <row r="50" spans="2:17">
      <c r="B50" t="s">
        <v>1469</v>
      </c>
      <c r="D50">
        <v>218647</v>
      </c>
      <c r="E50">
        <v>281290</v>
      </c>
      <c r="F50">
        <v>85115</v>
      </c>
      <c r="G50">
        <v>209308</v>
      </c>
      <c r="H50">
        <v>98647</v>
      </c>
      <c r="I50">
        <v>154436</v>
      </c>
      <c r="J50">
        <v>226398</v>
      </c>
      <c r="K50">
        <v>179376</v>
      </c>
      <c r="L50">
        <v>0</v>
      </c>
      <c r="M50">
        <v>0</v>
      </c>
      <c r="N50">
        <v>0</v>
      </c>
      <c r="O50">
        <v>0</v>
      </c>
      <c r="P50">
        <v>1453217</v>
      </c>
      <c r="Q50">
        <v>2.5630482972246907E-3</v>
      </c>
    </row>
    <row r="51" spans="2:17">
      <c r="B51" t="s">
        <v>1470</v>
      </c>
      <c r="D51">
        <v>7122</v>
      </c>
      <c r="E51">
        <v>0</v>
      </c>
      <c r="F51">
        <v>18222</v>
      </c>
      <c r="G51">
        <v>8520</v>
      </c>
      <c r="H51">
        <v>7759</v>
      </c>
      <c r="I51">
        <v>11388</v>
      </c>
      <c r="J51">
        <v>7485</v>
      </c>
      <c r="K51">
        <v>7021</v>
      </c>
      <c r="L51">
        <v>0</v>
      </c>
      <c r="M51">
        <v>0</v>
      </c>
      <c r="N51">
        <v>0</v>
      </c>
      <c r="O51">
        <v>0</v>
      </c>
      <c r="P51">
        <v>67517</v>
      </c>
      <c r="Q51">
        <v>1.1908017308063381E-4</v>
      </c>
    </row>
    <row r="52" spans="2:17">
      <c r="B52" t="s">
        <v>1471</v>
      </c>
      <c r="D52">
        <v>5000</v>
      </c>
      <c r="E52">
        <v>1500</v>
      </c>
      <c r="F52">
        <v>23000</v>
      </c>
      <c r="G52">
        <v>6300</v>
      </c>
      <c r="H52">
        <v>1500</v>
      </c>
      <c r="I52">
        <v>1500</v>
      </c>
      <c r="J52">
        <v>1500</v>
      </c>
      <c r="K52">
        <v>49414</v>
      </c>
      <c r="L52">
        <v>0</v>
      </c>
      <c r="M52">
        <v>0</v>
      </c>
      <c r="N52">
        <v>0</v>
      </c>
      <c r="O52">
        <v>0</v>
      </c>
      <c r="P52">
        <v>89714</v>
      </c>
      <c r="Q52">
        <v>1.5822916669514317E-4</v>
      </c>
    </row>
    <row r="53" spans="2:17">
      <c r="B53" t="s">
        <v>1472</v>
      </c>
      <c r="D53">
        <v>4880</v>
      </c>
      <c r="E53">
        <v>8770</v>
      </c>
      <c r="F53">
        <v>47400</v>
      </c>
      <c r="G53">
        <v>0</v>
      </c>
      <c r="H53">
        <v>8770</v>
      </c>
      <c r="I53">
        <v>5800</v>
      </c>
      <c r="J53">
        <v>8770</v>
      </c>
      <c r="K53">
        <v>11670</v>
      </c>
      <c r="L53">
        <v>0</v>
      </c>
      <c r="M53">
        <v>0</v>
      </c>
      <c r="N53">
        <v>0</v>
      </c>
      <c r="O53">
        <v>0</v>
      </c>
      <c r="P53">
        <v>96060</v>
      </c>
      <c r="Q53">
        <v>1.6942164826822407E-4</v>
      </c>
    </row>
    <row r="54" spans="2:17">
      <c r="B54" t="s">
        <v>1474</v>
      </c>
      <c r="D54">
        <v>62134</v>
      </c>
      <c r="E54">
        <v>18389</v>
      </c>
      <c r="F54">
        <v>21035</v>
      </c>
      <c r="G54">
        <v>33734</v>
      </c>
      <c r="H54">
        <v>20689</v>
      </c>
      <c r="I54">
        <v>21271</v>
      </c>
      <c r="J54">
        <v>6217</v>
      </c>
      <c r="K54">
        <v>49570</v>
      </c>
      <c r="L54">
        <v>0</v>
      </c>
      <c r="M54">
        <v>0</v>
      </c>
      <c r="N54">
        <v>0</v>
      </c>
      <c r="O54">
        <v>0</v>
      </c>
      <c r="P54">
        <v>233039</v>
      </c>
      <c r="Q54">
        <v>4.1101240361002153E-4</v>
      </c>
    </row>
    <row r="55" spans="2:17">
      <c r="B55" t="s">
        <v>1475</v>
      </c>
      <c r="D55">
        <v>91284</v>
      </c>
      <c r="E55">
        <v>98978</v>
      </c>
      <c r="F55">
        <v>97237</v>
      </c>
      <c r="G55">
        <v>100077</v>
      </c>
      <c r="H55">
        <v>100395</v>
      </c>
      <c r="I55">
        <v>104340</v>
      </c>
      <c r="J55">
        <v>101292</v>
      </c>
      <c r="K55">
        <v>101223</v>
      </c>
      <c r="L55">
        <v>0</v>
      </c>
      <c r="M55">
        <v>0</v>
      </c>
      <c r="N55">
        <v>0</v>
      </c>
      <c r="O55">
        <v>0</v>
      </c>
      <c r="P55">
        <v>794826</v>
      </c>
      <c r="Q55">
        <v>1.4018397981099256E-3</v>
      </c>
    </row>
    <row r="56" spans="2:17">
      <c r="B56" t="s">
        <v>1476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2:17">
      <c r="B57" t="s">
        <v>1478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2:17">
      <c r="B58" t="s">
        <v>1479</v>
      </c>
      <c r="D58">
        <v>1405542</v>
      </c>
      <c r="E58">
        <v>1338009</v>
      </c>
      <c r="F58">
        <v>1301208</v>
      </c>
      <c r="G58">
        <v>1243846</v>
      </c>
      <c r="H58">
        <v>1185621</v>
      </c>
      <c r="I58">
        <v>1199295</v>
      </c>
      <c r="J58">
        <v>1131349</v>
      </c>
      <c r="K58">
        <v>992171</v>
      </c>
      <c r="L58">
        <v>0</v>
      </c>
      <c r="M58">
        <v>0</v>
      </c>
      <c r="N58">
        <v>0</v>
      </c>
      <c r="O58">
        <v>0</v>
      </c>
      <c r="P58">
        <v>9797041</v>
      </c>
      <c r="Q58">
        <v>1.7279105084024256E-2</v>
      </c>
    </row>
    <row r="59" spans="2:17">
      <c r="B59" t="s">
        <v>1480</v>
      </c>
      <c r="D59">
        <v>40560</v>
      </c>
      <c r="E59">
        <v>40523</v>
      </c>
      <c r="F59">
        <v>31371</v>
      </c>
      <c r="G59">
        <v>36042</v>
      </c>
      <c r="H59">
        <v>35998</v>
      </c>
      <c r="I59">
        <v>30983</v>
      </c>
      <c r="J59">
        <v>30998</v>
      </c>
      <c r="K59">
        <v>44623</v>
      </c>
      <c r="L59">
        <v>0</v>
      </c>
      <c r="M59">
        <v>0</v>
      </c>
      <c r="N59">
        <v>0</v>
      </c>
      <c r="O59">
        <v>0</v>
      </c>
      <c r="P59">
        <v>291098</v>
      </c>
      <c r="Q59">
        <v>5.1341144042872677E-4</v>
      </c>
    </row>
    <row r="60" spans="2:17">
      <c r="B60" t="s">
        <v>1482</v>
      </c>
      <c r="D60">
        <v>27000</v>
      </c>
      <c r="E60">
        <v>30680</v>
      </c>
      <c r="F60">
        <v>28960</v>
      </c>
      <c r="G60">
        <v>31080</v>
      </c>
      <c r="H60">
        <v>28800</v>
      </c>
      <c r="I60">
        <v>29920</v>
      </c>
      <c r="J60">
        <v>31520</v>
      </c>
      <c r="K60">
        <v>30320</v>
      </c>
      <c r="L60">
        <v>0</v>
      </c>
      <c r="M60">
        <v>0</v>
      </c>
      <c r="N60">
        <v>0</v>
      </c>
      <c r="O60">
        <v>0</v>
      </c>
      <c r="P60">
        <v>238280</v>
      </c>
      <c r="Q60">
        <v>4.2025598947899675E-4</v>
      </c>
    </row>
    <row r="61" spans="2:17">
      <c r="B61" t="s">
        <v>1483</v>
      </c>
      <c r="D61">
        <v>20539</v>
      </c>
      <c r="E61">
        <v>17560</v>
      </c>
      <c r="F61">
        <v>21904</v>
      </c>
      <c r="G61">
        <v>23816</v>
      </c>
      <c r="H61">
        <v>18532</v>
      </c>
      <c r="I61">
        <v>30011</v>
      </c>
      <c r="J61">
        <v>34171</v>
      </c>
      <c r="K61">
        <v>28569</v>
      </c>
      <c r="L61">
        <v>0</v>
      </c>
      <c r="M61">
        <v>0</v>
      </c>
      <c r="N61">
        <v>0</v>
      </c>
      <c r="O61">
        <v>0</v>
      </c>
      <c r="P61">
        <v>195102</v>
      </c>
      <c r="Q61">
        <v>3.4410266937775401E-4</v>
      </c>
    </row>
    <row r="62" spans="2:17">
      <c r="B62" t="s">
        <v>1484</v>
      </c>
      <c r="D62">
        <v>183</v>
      </c>
      <c r="E62">
        <v>183</v>
      </c>
      <c r="F62">
        <v>183</v>
      </c>
      <c r="G62">
        <v>183</v>
      </c>
      <c r="H62">
        <v>183</v>
      </c>
      <c r="I62">
        <v>183</v>
      </c>
      <c r="J62">
        <v>183</v>
      </c>
      <c r="K62">
        <v>183</v>
      </c>
      <c r="L62">
        <v>0</v>
      </c>
      <c r="M62">
        <v>0</v>
      </c>
      <c r="N62">
        <v>0</v>
      </c>
      <c r="O62">
        <v>0</v>
      </c>
      <c r="P62">
        <v>1464</v>
      </c>
      <c r="Q62">
        <v>2.5820663446250262E-6</v>
      </c>
    </row>
    <row r="63" spans="2:17">
      <c r="B63" t="s">
        <v>1485</v>
      </c>
      <c r="D63">
        <v>3024</v>
      </c>
      <c r="E63">
        <v>3080</v>
      </c>
      <c r="F63">
        <v>4938</v>
      </c>
      <c r="G63">
        <v>408</v>
      </c>
      <c r="H63">
        <v>5583</v>
      </c>
      <c r="I63">
        <v>448</v>
      </c>
      <c r="J63">
        <v>1020</v>
      </c>
      <c r="K63">
        <v>5644</v>
      </c>
      <c r="L63">
        <v>0</v>
      </c>
      <c r="M63">
        <v>0</v>
      </c>
      <c r="N63">
        <v>0</v>
      </c>
      <c r="O63">
        <v>0</v>
      </c>
      <c r="P63">
        <v>24145</v>
      </c>
      <c r="Q63">
        <v>4.2584693914597858E-5</v>
      </c>
    </row>
    <row r="64" spans="2:17">
      <c r="B64" t="s">
        <v>1486</v>
      </c>
      <c r="D64">
        <v>0</v>
      </c>
      <c r="E64">
        <v>0</v>
      </c>
      <c r="F64">
        <v>0</v>
      </c>
      <c r="G64">
        <v>0</v>
      </c>
      <c r="H64">
        <v>0</v>
      </c>
      <c r="I64">
        <v>89286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89286</v>
      </c>
      <c r="Q64">
        <v>1.5747430030477465E-4</v>
      </c>
    </row>
    <row r="65" spans="2:17">
      <c r="B65" t="s">
        <v>1487</v>
      </c>
      <c r="D65">
        <v>-111022</v>
      </c>
      <c r="E65">
        <v>496869</v>
      </c>
      <c r="F65">
        <v>226998</v>
      </c>
      <c r="G65">
        <v>372479</v>
      </c>
      <c r="H65">
        <v>92498</v>
      </c>
      <c r="I65">
        <v>158211</v>
      </c>
      <c r="J65">
        <v>192934</v>
      </c>
      <c r="K65">
        <v>866827</v>
      </c>
      <c r="L65">
        <v>0</v>
      </c>
      <c r="M65">
        <v>0</v>
      </c>
      <c r="N65">
        <v>0</v>
      </c>
      <c r="O65">
        <v>0</v>
      </c>
      <c r="P65">
        <v>2295794</v>
      </c>
      <c r="Q65">
        <v>4.0491068453497731E-3</v>
      </c>
    </row>
    <row r="66" spans="2:17">
      <c r="B66" t="s">
        <v>1489</v>
      </c>
      <c r="D66">
        <v>0</v>
      </c>
      <c r="E66">
        <v>0</v>
      </c>
      <c r="F66">
        <v>0</v>
      </c>
      <c r="G66">
        <v>35318</v>
      </c>
      <c r="H66">
        <v>26000</v>
      </c>
      <c r="I66">
        <v>448</v>
      </c>
      <c r="J66">
        <v>2420</v>
      </c>
      <c r="K66">
        <v>62362</v>
      </c>
      <c r="L66">
        <v>0</v>
      </c>
      <c r="M66">
        <v>0</v>
      </c>
      <c r="N66">
        <v>0</v>
      </c>
      <c r="O66">
        <v>0</v>
      </c>
      <c r="P66">
        <v>126548</v>
      </c>
      <c r="Q66">
        <v>2.2319353263634416E-4</v>
      </c>
    </row>
    <row r="67" spans="2:17">
      <c r="B67" t="s">
        <v>1491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2:17">
      <c r="B68" t="s">
        <v>1493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2:17">
      <c r="B69" t="s">
        <v>1495</v>
      </c>
      <c r="D69">
        <v>-258335</v>
      </c>
      <c r="E69">
        <v>39122</v>
      </c>
      <c r="F69">
        <v>114233</v>
      </c>
      <c r="G69">
        <v>-45706</v>
      </c>
      <c r="H69">
        <v>-117503</v>
      </c>
      <c r="I69">
        <v>-58268</v>
      </c>
      <c r="J69">
        <v>3112</v>
      </c>
      <c r="K69">
        <v>465889</v>
      </c>
      <c r="L69">
        <v>0</v>
      </c>
      <c r="M69">
        <v>0</v>
      </c>
      <c r="N69">
        <v>0</v>
      </c>
      <c r="O69">
        <v>0</v>
      </c>
      <c r="P69">
        <v>142544</v>
      </c>
      <c r="Q69">
        <v>2.5140578212310777E-4</v>
      </c>
    </row>
    <row r="70" spans="2:17">
      <c r="B70" t="s">
        <v>1496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2:17">
      <c r="B71" t="s">
        <v>1497</v>
      </c>
      <c r="D71">
        <v>147313</v>
      </c>
      <c r="E71">
        <v>457747</v>
      </c>
      <c r="F71">
        <v>112765</v>
      </c>
      <c r="G71">
        <v>382867</v>
      </c>
      <c r="H71">
        <v>184001</v>
      </c>
      <c r="I71">
        <v>216031</v>
      </c>
      <c r="J71">
        <v>187402</v>
      </c>
      <c r="K71">
        <v>338576</v>
      </c>
      <c r="L71">
        <v>0</v>
      </c>
      <c r="M71">
        <v>0</v>
      </c>
      <c r="N71">
        <v>0</v>
      </c>
      <c r="O71">
        <v>0</v>
      </c>
      <c r="P71">
        <v>2026702</v>
      </c>
      <c r="Q71">
        <v>3.574507530590321E-3</v>
      </c>
    </row>
    <row r="72" spans="2:17">
      <c r="B72" t="s">
        <v>1529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2:17">
      <c r="B73" t="s">
        <v>1530</v>
      </c>
      <c r="D73">
        <v>-3126489</v>
      </c>
      <c r="E73">
        <v>-3444038</v>
      </c>
      <c r="F73">
        <v>-3187980</v>
      </c>
      <c r="G73">
        <v>-3361489</v>
      </c>
      <c r="H73">
        <v>-2893233</v>
      </c>
      <c r="I73">
        <v>-3087333</v>
      </c>
      <c r="J73">
        <v>-3051936</v>
      </c>
      <c r="K73">
        <v>-3692795</v>
      </c>
      <c r="L73">
        <v>0</v>
      </c>
      <c r="M73">
        <v>0</v>
      </c>
      <c r="N73">
        <v>0</v>
      </c>
      <c r="O73">
        <v>0</v>
      </c>
      <c r="P73">
        <v>-25845293</v>
      </c>
      <c r="Q73">
        <v>-4.5583511763847527E-2</v>
      </c>
    </row>
    <row r="74" spans="2:17">
      <c r="B74" t="s">
        <v>1531</v>
      </c>
      <c r="D74">
        <v>136175</v>
      </c>
      <c r="E74">
        <v>334294</v>
      </c>
      <c r="F74">
        <v>5828747</v>
      </c>
      <c r="G74">
        <v>683423</v>
      </c>
      <c r="H74">
        <v>90781</v>
      </c>
      <c r="I74">
        <v>3316275</v>
      </c>
      <c r="J74">
        <v>4251307</v>
      </c>
      <c r="K74">
        <v>339132</v>
      </c>
      <c r="L74">
        <v>0</v>
      </c>
      <c r="M74">
        <v>0</v>
      </c>
      <c r="N74">
        <v>0</v>
      </c>
      <c r="O74">
        <v>0</v>
      </c>
      <c r="P74">
        <v>14980134</v>
      </c>
      <c r="Q74">
        <v>2.6420559999571772E-2</v>
      </c>
    </row>
    <row r="75" spans="2:17">
      <c r="B75" t="s">
        <v>1532</v>
      </c>
      <c r="D75">
        <v>29313</v>
      </c>
      <c r="E75">
        <v>33618</v>
      </c>
      <c r="F75">
        <v>48932</v>
      </c>
      <c r="G75">
        <v>114245</v>
      </c>
      <c r="H75">
        <v>43113</v>
      </c>
      <c r="I75">
        <v>30492</v>
      </c>
      <c r="J75">
        <v>19416</v>
      </c>
      <c r="K75">
        <v>61317</v>
      </c>
      <c r="L75">
        <v>0</v>
      </c>
      <c r="M75">
        <v>0</v>
      </c>
      <c r="N75">
        <v>0</v>
      </c>
      <c r="O75">
        <v>0</v>
      </c>
      <c r="P75">
        <v>380446</v>
      </c>
      <c r="Q75">
        <v>6.7099509053771369E-4</v>
      </c>
    </row>
    <row r="76" spans="2:17">
      <c r="B76" t="s">
        <v>1533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2:17">
      <c r="B77" t="s">
        <v>1534</v>
      </c>
      <c r="D77">
        <v>2874749</v>
      </c>
      <c r="E77">
        <v>2763471</v>
      </c>
      <c r="F77">
        <v>-7456555</v>
      </c>
      <c r="G77">
        <v>-591918</v>
      </c>
      <c r="H77">
        <v>1054460</v>
      </c>
      <c r="I77">
        <v>-1470722</v>
      </c>
      <c r="J77">
        <v>-2031582</v>
      </c>
      <c r="K77">
        <v>23984</v>
      </c>
      <c r="L77">
        <v>0</v>
      </c>
      <c r="M77">
        <v>0</v>
      </c>
      <c r="N77">
        <v>0</v>
      </c>
      <c r="O77">
        <v>0</v>
      </c>
      <c r="P77">
        <v>-4834113</v>
      </c>
      <c r="Q77">
        <v>-8.5259566143540445E-3</v>
      </c>
    </row>
    <row r="78" spans="2:17">
      <c r="B78" t="s">
        <v>1535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2:17">
      <c r="B79" t="s">
        <v>1536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2:17">
      <c r="B80" t="s">
        <v>1537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8">
      <c r="B81" t="s">
        <v>1538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8">
      <c r="B82" t="s">
        <v>1539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8">
      <c r="B83" t="s">
        <v>1540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8">
      <c r="B84" t="s">
        <v>1541</v>
      </c>
      <c r="D84">
        <v>55645632</v>
      </c>
      <c r="E84">
        <v>52320171</v>
      </c>
      <c r="F84">
        <v>53472402</v>
      </c>
      <c r="G84">
        <v>59943724</v>
      </c>
      <c r="H84">
        <v>46938901</v>
      </c>
      <c r="I84">
        <v>76556480</v>
      </c>
      <c r="J84">
        <v>87191630</v>
      </c>
      <c r="K84">
        <v>70950644</v>
      </c>
      <c r="L84">
        <v>0</v>
      </c>
      <c r="M84">
        <v>0</v>
      </c>
      <c r="N84">
        <v>0</v>
      </c>
      <c r="O84">
        <v>0</v>
      </c>
      <c r="P84">
        <v>503019584</v>
      </c>
      <c r="Q84">
        <v>0.88717891976344354</v>
      </c>
    </row>
    <row r="85" spans="1:18">
      <c r="B85" t="s">
        <v>1542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8">
      <c r="B86" t="s">
        <v>1543</v>
      </c>
      <c r="D86">
        <v>1237</v>
      </c>
      <c r="E86">
        <v>0</v>
      </c>
      <c r="F86">
        <v>0</v>
      </c>
      <c r="G86">
        <v>3591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4828</v>
      </c>
      <c r="Q86">
        <v>8.5151750764000181E-6</v>
      </c>
    </row>
    <row r="87" spans="1:18">
      <c r="B87" t="s">
        <v>1544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8">
      <c r="B88" t="s">
        <v>1545</v>
      </c>
      <c r="D88">
        <v>1237</v>
      </c>
      <c r="E88">
        <v>0</v>
      </c>
      <c r="F88">
        <v>0</v>
      </c>
      <c r="G88">
        <v>3591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4828</v>
      </c>
      <c r="Q88">
        <v>8.5151750764000181E-6</v>
      </c>
    </row>
    <row r="89" spans="1:18">
      <c r="A89" t="s">
        <v>1546</v>
      </c>
      <c r="D89">
        <v>55646869</v>
      </c>
      <c r="E89">
        <v>52320171</v>
      </c>
      <c r="F89">
        <v>53472402</v>
      </c>
      <c r="G89">
        <v>59947315</v>
      </c>
      <c r="H89">
        <v>46938901</v>
      </c>
      <c r="I89">
        <v>76556480</v>
      </c>
      <c r="J89">
        <v>87191630</v>
      </c>
      <c r="K89">
        <v>70950644</v>
      </c>
      <c r="L89">
        <v>0</v>
      </c>
      <c r="M89">
        <v>0</v>
      </c>
      <c r="N89">
        <v>0</v>
      </c>
      <c r="O89">
        <v>0</v>
      </c>
      <c r="P89">
        <v>503024412</v>
      </c>
      <c r="Q89">
        <v>0.88942479289135334</v>
      </c>
    </row>
    <row r="90" spans="1:18">
      <c r="A90" t="s">
        <v>1547</v>
      </c>
      <c r="D90">
        <v>4600082</v>
      </c>
      <c r="E90">
        <v>751329</v>
      </c>
      <c r="F90">
        <v>10259568</v>
      </c>
      <c r="G90">
        <v>7418365</v>
      </c>
      <c r="H90">
        <v>6342442</v>
      </c>
      <c r="I90">
        <v>10931486</v>
      </c>
      <c r="J90">
        <v>11049536</v>
      </c>
      <c r="K90">
        <v>11184271</v>
      </c>
      <c r="L90">
        <v>0</v>
      </c>
      <c r="M90">
        <v>0</v>
      </c>
      <c r="N90">
        <v>0</v>
      </c>
      <c r="O90">
        <v>0</v>
      </c>
      <c r="P90">
        <v>62537079</v>
      </c>
      <c r="Q90">
        <v>0.11057520710864666</v>
      </c>
    </row>
    <row r="91" spans="1:18">
      <c r="A91" t="s">
        <v>1548</v>
      </c>
      <c r="D91">
        <v>7.6353772658138332</v>
      </c>
      <c r="E91">
        <v>1.415692038099545</v>
      </c>
      <c r="F91">
        <v>16.097992891165923</v>
      </c>
      <c r="G91">
        <v>11.012083601026516</v>
      </c>
      <c r="H91">
        <v>11.903682683073511</v>
      </c>
      <c r="I91">
        <v>12.494845291065516</v>
      </c>
      <c r="J91">
        <v>11.247358362990113</v>
      </c>
      <c r="K91">
        <v>13.616950842403625</v>
      </c>
      <c r="L91" t="e">
        <v>#DIV/0!</v>
      </c>
      <c r="M91" t="e">
        <v>#DIV/0!</v>
      </c>
      <c r="N91" t="e">
        <v>#DIV/0!</v>
      </c>
      <c r="O91" t="e">
        <v>#DIV/0!</v>
      </c>
      <c r="P91">
        <v>11.057520710864665</v>
      </c>
      <c r="R91" t="s">
        <v>2365</v>
      </c>
    </row>
    <row r="92" spans="1:18">
      <c r="A92" t="s">
        <v>1549</v>
      </c>
    </row>
    <row r="93" spans="1:18">
      <c r="A93" t="s">
        <v>1550</v>
      </c>
    </row>
    <row r="94" spans="1:18">
      <c r="A94" t="s">
        <v>1551</v>
      </c>
    </row>
    <row r="95" spans="1:18">
      <c r="B95" t="s">
        <v>1552</v>
      </c>
    </row>
    <row r="96" spans="1:18">
      <c r="B96" t="s">
        <v>1395</v>
      </c>
      <c r="D96">
        <v>1400449</v>
      </c>
      <c r="E96">
        <v>1731573</v>
      </c>
      <c r="F96">
        <v>1617767</v>
      </c>
      <c r="G96">
        <v>1595394</v>
      </c>
      <c r="H96">
        <v>1548120</v>
      </c>
      <c r="I96">
        <v>1519795</v>
      </c>
      <c r="J96">
        <v>1616078</v>
      </c>
      <c r="K96">
        <v>1718648</v>
      </c>
      <c r="L96">
        <v>0</v>
      </c>
      <c r="M96">
        <v>0</v>
      </c>
      <c r="N96">
        <v>0</v>
      </c>
      <c r="O96">
        <v>0</v>
      </c>
      <c r="P96">
        <v>12747824</v>
      </c>
      <c r="Q96">
        <v>2.2483420298909276E-2</v>
      </c>
    </row>
    <row r="97" spans="2:17">
      <c r="B97" t="s">
        <v>1396</v>
      </c>
      <c r="D97">
        <v>986000</v>
      </c>
      <c r="E97">
        <v>1193611</v>
      </c>
      <c r="F97">
        <v>1159419</v>
      </c>
      <c r="G97">
        <v>1183297</v>
      </c>
      <c r="H97">
        <v>1122853</v>
      </c>
      <c r="I97">
        <v>1122449</v>
      </c>
      <c r="J97">
        <v>1176565</v>
      </c>
      <c r="K97">
        <v>1275463</v>
      </c>
      <c r="L97">
        <v>0</v>
      </c>
      <c r="M97">
        <v>0</v>
      </c>
      <c r="N97">
        <v>0</v>
      </c>
      <c r="O97">
        <v>0</v>
      </c>
      <c r="P97">
        <v>9219657</v>
      </c>
      <c r="Q97">
        <v>1.6260769158938891E-2</v>
      </c>
    </row>
    <row r="98" spans="2:17">
      <c r="B98" t="s">
        <v>1397</v>
      </c>
      <c r="D98">
        <v>0</v>
      </c>
      <c r="E98">
        <v>18700</v>
      </c>
      <c r="F98">
        <v>52614</v>
      </c>
      <c r="G98">
        <v>0</v>
      </c>
      <c r="H98">
        <v>15669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86983</v>
      </c>
      <c r="Q98">
        <v>1.5341248419024499E-4</v>
      </c>
    </row>
    <row r="99" spans="2:17">
      <c r="B99" t="s">
        <v>1398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2:17">
      <c r="B100" t="s">
        <v>1399</v>
      </c>
      <c r="D100">
        <v>0</v>
      </c>
      <c r="E100">
        <v>18700</v>
      </c>
      <c r="F100">
        <v>52614</v>
      </c>
      <c r="G100">
        <v>0</v>
      </c>
      <c r="H100">
        <v>15669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86983</v>
      </c>
      <c r="Q100">
        <v>1.5341248419024499E-4</v>
      </c>
    </row>
    <row r="101" spans="2:17">
      <c r="B101" t="s">
        <v>1400</v>
      </c>
      <c r="D101">
        <v>353500</v>
      </c>
      <c r="E101">
        <v>447100</v>
      </c>
      <c r="F101">
        <v>335840</v>
      </c>
      <c r="G101">
        <v>340900</v>
      </c>
      <c r="H101">
        <v>342100</v>
      </c>
      <c r="I101">
        <v>324800</v>
      </c>
      <c r="J101">
        <v>364300</v>
      </c>
      <c r="K101">
        <v>364300</v>
      </c>
      <c r="L101">
        <v>0</v>
      </c>
      <c r="M101">
        <v>0</v>
      </c>
      <c r="N101">
        <v>0</v>
      </c>
      <c r="O101">
        <v>0</v>
      </c>
      <c r="P101">
        <v>2872840</v>
      </c>
      <c r="Q101">
        <v>5.0668466376315308E-3</v>
      </c>
    </row>
    <row r="102" spans="2:17">
      <c r="B102" t="s">
        <v>1401</v>
      </c>
      <c r="D102">
        <v>60949</v>
      </c>
      <c r="E102">
        <v>72162</v>
      </c>
      <c r="F102">
        <v>69894</v>
      </c>
      <c r="G102">
        <v>71197</v>
      </c>
      <c r="H102">
        <v>67498</v>
      </c>
      <c r="I102">
        <v>72546</v>
      </c>
      <c r="J102">
        <v>75213</v>
      </c>
      <c r="K102">
        <v>78885</v>
      </c>
      <c r="L102">
        <v>0</v>
      </c>
      <c r="M102">
        <v>0</v>
      </c>
      <c r="N102">
        <v>0</v>
      </c>
      <c r="O102">
        <v>0</v>
      </c>
      <c r="P102">
        <v>568344</v>
      </c>
      <c r="Q102">
        <v>1.0023920181486106E-3</v>
      </c>
    </row>
    <row r="103" spans="2:17">
      <c r="B103" t="s">
        <v>1402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2:17">
      <c r="B104" t="s">
        <v>1403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2:17">
      <c r="B105" t="s">
        <v>1404</v>
      </c>
      <c r="D105">
        <v>0</v>
      </c>
      <c r="E105">
        <v>0</v>
      </c>
      <c r="F105">
        <v>492</v>
      </c>
      <c r="G105">
        <v>600</v>
      </c>
      <c r="H105">
        <v>0</v>
      </c>
      <c r="I105">
        <v>1491</v>
      </c>
      <c r="J105">
        <v>2766</v>
      </c>
      <c r="K105">
        <v>510</v>
      </c>
      <c r="L105">
        <v>0</v>
      </c>
      <c r="M105">
        <v>0</v>
      </c>
      <c r="N105">
        <v>0</v>
      </c>
      <c r="O105">
        <v>0</v>
      </c>
      <c r="P105">
        <v>5859</v>
      </c>
      <c r="Q105">
        <v>1.0333556498058763E-5</v>
      </c>
    </row>
    <row r="106" spans="2:17">
      <c r="B106" t="s">
        <v>1405</v>
      </c>
      <c r="D106">
        <v>14500</v>
      </c>
      <c r="E106">
        <v>70700</v>
      </c>
      <c r="F106">
        <v>98827</v>
      </c>
      <c r="G106">
        <v>36419</v>
      </c>
      <c r="H106">
        <v>160433</v>
      </c>
      <c r="I106">
        <v>94864</v>
      </c>
      <c r="J106">
        <v>83134</v>
      </c>
      <c r="K106">
        <v>34846</v>
      </c>
      <c r="L106">
        <v>0</v>
      </c>
      <c r="M106">
        <v>0</v>
      </c>
      <c r="N106">
        <v>0</v>
      </c>
      <c r="O106">
        <v>0</v>
      </c>
      <c r="P106">
        <v>593723</v>
      </c>
      <c r="Q106">
        <v>1.0471531259083364E-3</v>
      </c>
    </row>
    <row r="107" spans="2:17">
      <c r="B107" t="s">
        <v>1406</v>
      </c>
      <c r="D107">
        <v>51044</v>
      </c>
      <c r="E107">
        <v>18828</v>
      </c>
      <c r="F107">
        <v>191659</v>
      </c>
      <c r="G107">
        <v>-175991</v>
      </c>
      <c r="H107">
        <v>15619</v>
      </c>
      <c r="I107">
        <v>15194</v>
      </c>
      <c r="J107">
        <v>10051</v>
      </c>
      <c r="K107">
        <v>60530</v>
      </c>
      <c r="L107">
        <v>0</v>
      </c>
      <c r="M107">
        <v>0</v>
      </c>
      <c r="N107">
        <v>0</v>
      </c>
      <c r="O107">
        <v>0</v>
      </c>
      <c r="P107">
        <v>186934</v>
      </c>
      <c r="Q107">
        <v>3.2969671452604828E-4</v>
      </c>
    </row>
    <row r="108" spans="2:17">
      <c r="B108" t="s">
        <v>1407</v>
      </c>
      <c r="D108">
        <v>12943</v>
      </c>
      <c r="E108">
        <v>0</v>
      </c>
      <c r="F108">
        <v>19883</v>
      </c>
      <c r="G108">
        <v>11820</v>
      </c>
      <c r="H108">
        <v>12903</v>
      </c>
      <c r="I108">
        <v>10150</v>
      </c>
      <c r="J108">
        <v>10853</v>
      </c>
      <c r="K108">
        <v>12045</v>
      </c>
      <c r="L108">
        <v>0</v>
      </c>
      <c r="M108">
        <v>0</v>
      </c>
      <c r="N108">
        <v>0</v>
      </c>
      <c r="O108">
        <v>0</v>
      </c>
      <c r="P108">
        <v>90597</v>
      </c>
      <c r="Q108">
        <v>1.5978651955190815E-4</v>
      </c>
    </row>
    <row r="109" spans="2:17">
      <c r="B109" t="s">
        <v>1408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2:17">
      <c r="B110" t="s">
        <v>1409</v>
      </c>
      <c r="D110">
        <v>0</v>
      </c>
      <c r="E110">
        <v>10000</v>
      </c>
      <c r="F110">
        <v>0</v>
      </c>
      <c r="G110">
        <v>0</v>
      </c>
      <c r="H110">
        <v>0</v>
      </c>
      <c r="I110">
        <v>489954</v>
      </c>
      <c r="J110">
        <v>0</v>
      </c>
      <c r="K110">
        <v>22625</v>
      </c>
      <c r="L110">
        <v>0</v>
      </c>
      <c r="M110">
        <v>0</v>
      </c>
      <c r="N110">
        <v>0</v>
      </c>
      <c r="O110">
        <v>0</v>
      </c>
      <c r="P110">
        <v>522579</v>
      </c>
      <c r="Q110">
        <v>9.2167598928128531E-4</v>
      </c>
    </row>
    <row r="111" spans="2:17">
      <c r="B111" t="s">
        <v>1410</v>
      </c>
      <c r="D111">
        <v>17701</v>
      </c>
      <c r="E111">
        <v>10962</v>
      </c>
      <c r="F111">
        <v>14270</v>
      </c>
      <c r="G111">
        <v>14710</v>
      </c>
      <c r="H111">
        <v>17659</v>
      </c>
      <c r="I111">
        <v>18979</v>
      </c>
      <c r="J111">
        <v>18905</v>
      </c>
      <c r="K111">
        <v>26442</v>
      </c>
      <c r="L111">
        <v>0</v>
      </c>
      <c r="M111">
        <v>0</v>
      </c>
      <c r="N111">
        <v>0</v>
      </c>
      <c r="O111">
        <v>0</v>
      </c>
      <c r="P111">
        <v>139628</v>
      </c>
      <c r="Q111">
        <v>2.4626281391209231E-4</v>
      </c>
    </row>
    <row r="112" spans="2:17">
      <c r="B112" t="s">
        <v>1411</v>
      </c>
      <c r="D112">
        <v>103517</v>
      </c>
      <c r="E112">
        <v>122908</v>
      </c>
      <c r="F112">
        <v>122347</v>
      </c>
      <c r="G112">
        <v>125238</v>
      </c>
      <c r="H112">
        <v>121879</v>
      </c>
      <c r="I112">
        <v>125170</v>
      </c>
      <c r="J112">
        <v>128998</v>
      </c>
      <c r="K112">
        <v>133537</v>
      </c>
      <c r="L112">
        <v>0</v>
      </c>
      <c r="M112">
        <v>0</v>
      </c>
      <c r="N112">
        <v>0</v>
      </c>
      <c r="O112">
        <v>0</v>
      </c>
      <c r="P112">
        <v>983594</v>
      </c>
      <c r="Q112">
        <v>1.7347711503928334E-3</v>
      </c>
    </row>
    <row r="113" spans="2:17">
      <c r="B113" t="s">
        <v>1412</v>
      </c>
      <c r="D113">
        <v>1245</v>
      </c>
      <c r="E113">
        <v>4745</v>
      </c>
      <c r="F113">
        <v>101010</v>
      </c>
      <c r="G113">
        <v>84510</v>
      </c>
      <c r="H113">
        <v>35922</v>
      </c>
      <c r="I113">
        <v>163716</v>
      </c>
      <c r="J113">
        <v>46187</v>
      </c>
      <c r="K113">
        <v>45967</v>
      </c>
      <c r="L113">
        <v>0</v>
      </c>
      <c r="M113">
        <v>0</v>
      </c>
      <c r="N113">
        <v>0</v>
      </c>
      <c r="O113">
        <v>0</v>
      </c>
      <c r="P113">
        <v>483302</v>
      </c>
      <c r="Q113">
        <v>8.5240288831281723E-4</v>
      </c>
    </row>
    <row r="114" spans="2:17">
      <c r="B114" t="s">
        <v>1413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2:17">
      <c r="B115" t="s">
        <v>1414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2:17">
      <c r="B116" t="s">
        <v>1415</v>
      </c>
      <c r="D116">
        <v>0</v>
      </c>
      <c r="E116">
        <v>-153329</v>
      </c>
      <c r="F116">
        <v>-419419</v>
      </c>
      <c r="G116">
        <v>5198</v>
      </c>
      <c r="H116">
        <v>-5198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-572748</v>
      </c>
      <c r="Q116">
        <v>-1.0101593816607204E-3</v>
      </c>
    </row>
    <row r="117" spans="2:17">
      <c r="B117" t="s">
        <v>1416</v>
      </c>
      <c r="D117">
        <v>391</v>
      </c>
      <c r="E117">
        <v>392</v>
      </c>
      <c r="F117">
        <v>391</v>
      </c>
      <c r="G117">
        <v>392</v>
      </c>
      <c r="H117">
        <v>391</v>
      </c>
      <c r="I117">
        <v>392</v>
      </c>
      <c r="J117">
        <v>391</v>
      </c>
      <c r="K117">
        <v>392</v>
      </c>
      <c r="L117">
        <v>0</v>
      </c>
      <c r="M117">
        <v>0</v>
      </c>
      <c r="N117">
        <v>0</v>
      </c>
      <c r="O117">
        <v>0</v>
      </c>
      <c r="P117">
        <v>3132</v>
      </c>
      <c r="Q117">
        <v>5.5239288192387856E-6</v>
      </c>
    </row>
    <row r="118" spans="2:17">
      <c r="B118" t="s">
        <v>1417</v>
      </c>
      <c r="D118">
        <v>3288</v>
      </c>
      <c r="E118">
        <v>3347</v>
      </c>
      <c r="F118">
        <v>3266</v>
      </c>
      <c r="G118">
        <v>3348</v>
      </c>
      <c r="H118">
        <v>3422</v>
      </c>
      <c r="I118">
        <v>3194</v>
      </c>
      <c r="J118">
        <v>3421</v>
      </c>
      <c r="K118">
        <v>3421</v>
      </c>
      <c r="L118">
        <v>0</v>
      </c>
      <c r="M118">
        <v>0</v>
      </c>
      <c r="N118">
        <v>0</v>
      </c>
      <c r="O118">
        <v>0</v>
      </c>
      <c r="P118">
        <v>26707</v>
      </c>
      <c r="Q118">
        <v>4.7103310017691653E-5</v>
      </c>
    </row>
    <row r="119" spans="2:17">
      <c r="B119" t="s">
        <v>1418</v>
      </c>
      <c r="D119">
        <v>27000</v>
      </c>
      <c r="E119">
        <v>30580</v>
      </c>
      <c r="F119">
        <v>30400</v>
      </c>
      <c r="G119">
        <v>31340</v>
      </c>
      <c r="H119">
        <v>28080</v>
      </c>
      <c r="I119">
        <v>29120</v>
      </c>
      <c r="J119">
        <v>30080</v>
      </c>
      <c r="K119">
        <v>31880</v>
      </c>
      <c r="L119">
        <v>0</v>
      </c>
      <c r="M119">
        <v>0</v>
      </c>
      <c r="N119">
        <v>0</v>
      </c>
      <c r="O119">
        <v>0</v>
      </c>
      <c r="P119">
        <v>238480</v>
      </c>
      <c r="Q119">
        <v>4.2060873078290727E-4</v>
      </c>
    </row>
    <row r="120" spans="2:17">
      <c r="B120" t="s">
        <v>1419</v>
      </c>
      <c r="D120">
        <v>21907</v>
      </c>
      <c r="E120">
        <v>19903</v>
      </c>
      <c r="F120">
        <v>23364</v>
      </c>
      <c r="G120">
        <v>25308</v>
      </c>
      <c r="H120">
        <v>20848</v>
      </c>
      <c r="I120">
        <v>30012</v>
      </c>
      <c r="J120">
        <v>38443</v>
      </c>
      <c r="K120">
        <v>32141</v>
      </c>
      <c r="L120">
        <v>0</v>
      </c>
      <c r="M120">
        <v>0</v>
      </c>
      <c r="N120">
        <v>0</v>
      </c>
      <c r="O120">
        <v>0</v>
      </c>
      <c r="P120">
        <v>211926</v>
      </c>
      <c r="Q120">
        <v>3.7377526786270719E-4</v>
      </c>
    </row>
    <row r="121" spans="2:17">
      <c r="B121" t="s">
        <v>1420</v>
      </c>
      <c r="D121">
        <v>0</v>
      </c>
      <c r="E121">
        <v>294658</v>
      </c>
      <c r="F121">
        <v>0</v>
      </c>
      <c r="G121">
        <v>52383</v>
      </c>
      <c r="H121">
        <v>231552</v>
      </c>
      <c r="I121">
        <v>0</v>
      </c>
      <c r="J121">
        <v>293885</v>
      </c>
      <c r="K121">
        <v>12080</v>
      </c>
      <c r="L121">
        <v>0</v>
      </c>
      <c r="M121">
        <v>0</v>
      </c>
      <c r="N121">
        <v>0</v>
      </c>
      <c r="O121">
        <v>0</v>
      </c>
      <c r="P121">
        <v>884558</v>
      </c>
      <c r="Q121">
        <v>1.5601007115224209E-3</v>
      </c>
    </row>
    <row r="122" spans="2:17">
      <c r="B122" t="s">
        <v>1422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2:17">
      <c r="B123" t="s">
        <v>1423</v>
      </c>
      <c r="D123">
        <v>175645</v>
      </c>
      <c r="E123">
        <v>302795</v>
      </c>
      <c r="F123">
        <v>214478</v>
      </c>
      <c r="G123">
        <v>191200</v>
      </c>
      <c r="H123">
        <v>273885</v>
      </c>
      <c r="I123">
        <v>226367</v>
      </c>
      <c r="J123">
        <v>254953</v>
      </c>
      <c r="K123">
        <v>402536</v>
      </c>
      <c r="L123">
        <v>0</v>
      </c>
      <c r="M123">
        <v>0</v>
      </c>
      <c r="N123">
        <v>0</v>
      </c>
      <c r="O123">
        <v>0</v>
      </c>
      <c r="P123">
        <v>2041859</v>
      </c>
      <c r="Q123">
        <v>3.6012400303071803E-3</v>
      </c>
    </row>
    <row r="124" spans="2:17">
      <c r="B124" t="s">
        <v>1425</v>
      </c>
      <c r="D124">
        <v>928</v>
      </c>
      <c r="E124">
        <v>928</v>
      </c>
      <c r="F124">
        <v>928</v>
      </c>
      <c r="G124">
        <v>928</v>
      </c>
      <c r="H124">
        <v>928</v>
      </c>
      <c r="I124">
        <v>928</v>
      </c>
      <c r="J124">
        <v>928</v>
      </c>
      <c r="K124">
        <v>928</v>
      </c>
      <c r="L124">
        <v>0</v>
      </c>
      <c r="M124">
        <v>0</v>
      </c>
      <c r="N124">
        <v>0</v>
      </c>
      <c r="O124">
        <v>0</v>
      </c>
      <c r="P124">
        <v>7424</v>
      </c>
      <c r="Q124">
        <v>1.3093757201158604E-5</v>
      </c>
    </row>
    <row r="125" spans="2:17">
      <c r="B125" t="s">
        <v>1426</v>
      </c>
      <c r="D125">
        <v>448</v>
      </c>
      <c r="E125">
        <v>8670</v>
      </c>
      <c r="F125">
        <v>21047</v>
      </c>
      <c r="G125">
        <v>20244</v>
      </c>
      <c r="H125">
        <v>1055</v>
      </c>
      <c r="I125">
        <v>53618</v>
      </c>
      <c r="J125">
        <v>2006</v>
      </c>
      <c r="K125">
        <v>30190</v>
      </c>
      <c r="L125">
        <v>0</v>
      </c>
      <c r="M125">
        <v>0</v>
      </c>
      <c r="N125">
        <v>0</v>
      </c>
      <c r="O125">
        <v>0</v>
      </c>
      <c r="P125">
        <v>137278</v>
      </c>
      <c r="Q125">
        <v>2.4211810359114368E-4</v>
      </c>
    </row>
    <row r="126" spans="2:17">
      <c r="B126" t="s">
        <v>1427</v>
      </c>
      <c r="D126">
        <v>602430</v>
      </c>
      <c r="E126">
        <v>530277</v>
      </c>
      <c r="F126">
        <v>637044</v>
      </c>
      <c r="G126">
        <v>673447</v>
      </c>
      <c r="H126">
        <v>532382</v>
      </c>
      <c r="I126">
        <v>874061</v>
      </c>
      <c r="J126">
        <v>982376</v>
      </c>
      <c r="K126">
        <v>821314</v>
      </c>
      <c r="L126">
        <v>0</v>
      </c>
      <c r="M126">
        <v>0</v>
      </c>
      <c r="N126">
        <v>0</v>
      </c>
      <c r="O126">
        <v>0</v>
      </c>
      <c r="P126">
        <v>5653331</v>
      </c>
      <c r="Q126">
        <v>9.9708167418888962E-3</v>
      </c>
    </row>
    <row r="127" spans="2:17">
      <c r="B127" t="s">
        <v>1428</v>
      </c>
      <c r="D127">
        <v>248745</v>
      </c>
      <c r="E127">
        <v>26641</v>
      </c>
      <c r="F127">
        <v>-612774</v>
      </c>
      <c r="G127">
        <v>132228</v>
      </c>
      <c r="H127">
        <v>-100773</v>
      </c>
      <c r="I127">
        <v>89556</v>
      </c>
      <c r="J127">
        <v>171259</v>
      </c>
      <c r="K127">
        <v>196785</v>
      </c>
      <c r="L127">
        <v>0</v>
      </c>
      <c r="M127">
        <v>0</v>
      </c>
      <c r="N127">
        <v>0</v>
      </c>
      <c r="O127">
        <v>0</v>
      </c>
      <c r="P127">
        <v>151667</v>
      </c>
      <c r="Q127">
        <v>2.6749607670098626E-4</v>
      </c>
    </row>
    <row r="128" spans="2:17">
      <c r="B128" t="s">
        <v>1429</v>
      </c>
      <c r="D128">
        <v>0</v>
      </c>
      <c r="E128">
        <v>23227</v>
      </c>
      <c r="F128">
        <v>0</v>
      </c>
      <c r="G128">
        <v>0</v>
      </c>
      <c r="H128">
        <v>8486</v>
      </c>
      <c r="I128">
        <v>19655</v>
      </c>
      <c r="J128">
        <v>0</v>
      </c>
      <c r="K128">
        <v>1243</v>
      </c>
      <c r="L128">
        <v>0</v>
      </c>
      <c r="M128">
        <v>0</v>
      </c>
      <c r="N128">
        <v>0</v>
      </c>
      <c r="O128">
        <v>0</v>
      </c>
      <c r="P128">
        <v>52611</v>
      </c>
      <c r="Q128">
        <v>9.2790363700182558E-5</v>
      </c>
    </row>
    <row r="129" spans="2:17">
      <c r="B129" t="s">
        <v>1430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2:17">
      <c r="B130" t="s">
        <v>1431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2:17">
      <c r="B131" t="s">
        <v>1432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2:17">
      <c r="B132" t="s">
        <v>1433</v>
      </c>
      <c r="D132">
        <v>237798</v>
      </c>
      <c r="E132">
        <v>-7596</v>
      </c>
      <c r="F132">
        <v>-642916</v>
      </c>
      <c r="G132">
        <v>105729</v>
      </c>
      <c r="H132">
        <v>-129796</v>
      </c>
      <c r="I132">
        <v>48013</v>
      </c>
      <c r="J132">
        <v>160693</v>
      </c>
      <c r="K132">
        <v>180620</v>
      </c>
      <c r="L132">
        <v>0</v>
      </c>
      <c r="M132">
        <v>0</v>
      </c>
      <c r="N132">
        <v>0</v>
      </c>
      <c r="O132">
        <v>0</v>
      </c>
      <c r="P132">
        <v>-47455</v>
      </c>
      <c r="Q132">
        <v>-8.3696692885369285E-5</v>
      </c>
    </row>
    <row r="133" spans="2:17">
      <c r="B133" t="s">
        <v>1435</v>
      </c>
      <c r="D133">
        <v>10947</v>
      </c>
      <c r="E133">
        <v>11010</v>
      </c>
      <c r="F133">
        <v>30142</v>
      </c>
      <c r="G133">
        <v>26499</v>
      </c>
      <c r="H133">
        <v>20537</v>
      </c>
      <c r="I133">
        <v>21888</v>
      </c>
      <c r="J133">
        <v>10566</v>
      </c>
      <c r="K133">
        <v>14922</v>
      </c>
      <c r="L133">
        <v>0</v>
      </c>
      <c r="M133">
        <v>0</v>
      </c>
      <c r="N133">
        <v>0</v>
      </c>
      <c r="O133">
        <v>0</v>
      </c>
      <c r="P133">
        <v>146511</v>
      </c>
      <c r="Q133">
        <v>2.5840240588617295E-4</v>
      </c>
    </row>
    <row r="134" spans="2:17">
      <c r="B134" t="s">
        <v>1553</v>
      </c>
      <c r="D134">
        <v>2682181</v>
      </c>
      <c r="E134">
        <v>3034578</v>
      </c>
      <c r="F134">
        <v>2064980</v>
      </c>
      <c r="G134">
        <v>2828716</v>
      </c>
      <c r="H134">
        <v>2899107</v>
      </c>
      <c r="I134">
        <v>3746561</v>
      </c>
      <c r="J134">
        <v>3694714</v>
      </c>
      <c r="K134">
        <v>3586817</v>
      </c>
      <c r="L134">
        <v>0</v>
      </c>
      <c r="M134">
        <v>0</v>
      </c>
      <c r="N134">
        <v>0</v>
      </c>
      <c r="O134">
        <v>0</v>
      </c>
      <c r="P134">
        <v>24537654</v>
      </c>
      <c r="Q134">
        <v>4.3386359203158691E-2</v>
      </c>
    </row>
    <row r="135" spans="2:17">
      <c r="B135" t="s">
        <v>1554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Q135">
        <v>0</v>
      </c>
    </row>
    <row r="136" spans="2:17">
      <c r="B136" t="s">
        <v>1351</v>
      </c>
      <c r="D136">
        <v>1348010</v>
      </c>
      <c r="E136">
        <v>1387258</v>
      </c>
      <c r="F136">
        <v>1338557</v>
      </c>
      <c r="G136">
        <v>1330622</v>
      </c>
      <c r="H136">
        <v>1336029</v>
      </c>
      <c r="I136">
        <v>1353207</v>
      </c>
      <c r="J136">
        <v>3014551</v>
      </c>
      <c r="K136">
        <v>1355631</v>
      </c>
      <c r="L136">
        <v>0</v>
      </c>
      <c r="M136">
        <v>0</v>
      </c>
      <c r="N136">
        <v>0</v>
      </c>
      <c r="O136">
        <v>0</v>
      </c>
      <c r="P136">
        <v>12463865</v>
      </c>
      <c r="Q136">
        <v>2.1982599959323636E-2</v>
      </c>
    </row>
    <row r="137" spans="2:17">
      <c r="B137" t="s">
        <v>1352</v>
      </c>
      <c r="D137">
        <v>965400</v>
      </c>
      <c r="E137">
        <v>996534</v>
      </c>
      <c r="F137">
        <v>997200</v>
      </c>
      <c r="G137">
        <v>993898</v>
      </c>
      <c r="H137">
        <v>997200</v>
      </c>
      <c r="I137">
        <v>1016483</v>
      </c>
      <c r="J137">
        <v>996534</v>
      </c>
      <c r="K137">
        <v>1000904</v>
      </c>
      <c r="L137">
        <v>0</v>
      </c>
      <c r="M137">
        <v>0</v>
      </c>
      <c r="N137">
        <v>0</v>
      </c>
      <c r="O137">
        <v>0</v>
      </c>
      <c r="P137">
        <v>7964153</v>
      </c>
      <c r="Q137">
        <v>1.4046428568814506E-2</v>
      </c>
    </row>
    <row r="138" spans="2:17">
      <c r="B138" t="s">
        <v>1353</v>
      </c>
      <c r="D138">
        <v>0</v>
      </c>
      <c r="E138">
        <v>0</v>
      </c>
      <c r="F138">
        <v>1433</v>
      </c>
      <c r="G138">
        <v>0</v>
      </c>
      <c r="H138">
        <v>2219</v>
      </c>
      <c r="I138">
        <v>0</v>
      </c>
      <c r="J138">
        <v>1925</v>
      </c>
      <c r="K138">
        <v>16553</v>
      </c>
      <c r="L138">
        <v>0</v>
      </c>
      <c r="M138">
        <v>0</v>
      </c>
      <c r="N138">
        <v>0</v>
      </c>
      <c r="O138">
        <v>0</v>
      </c>
      <c r="P138">
        <v>22130</v>
      </c>
      <c r="Q138">
        <v>3.9030825277699339E-5</v>
      </c>
    </row>
    <row r="139" spans="2:17">
      <c r="B139" t="s">
        <v>1354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2:17">
      <c r="B140" t="s">
        <v>1355</v>
      </c>
      <c r="D140">
        <v>0</v>
      </c>
      <c r="E140">
        <v>0</v>
      </c>
      <c r="F140">
        <v>1433</v>
      </c>
      <c r="G140">
        <v>0</v>
      </c>
      <c r="H140">
        <v>2219</v>
      </c>
      <c r="I140">
        <v>0</v>
      </c>
      <c r="J140">
        <v>1925</v>
      </c>
      <c r="K140">
        <v>16553</v>
      </c>
      <c r="L140">
        <v>0</v>
      </c>
      <c r="M140">
        <v>0</v>
      </c>
      <c r="N140">
        <v>0</v>
      </c>
      <c r="O140">
        <v>0</v>
      </c>
      <c r="P140">
        <v>22130</v>
      </c>
      <c r="Q140">
        <v>3.9030825277699339E-5</v>
      </c>
    </row>
    <row r="141" spans="2:17">
      <c r="B141" t="s">
        <v>1356</v>
      </c>
      <c r="D141">
        <v>330500</v>
      </c>
      <c r="E141">
        <v>338500</v>
      </c>
      <c r="F141">
        <v>287700</v>
      </c>
      <c r="G141">
        <v>284500</v>
      </c>
      <c r="H141">
        <v>284500</v>
      </c>
      <c r="I141">
        <v>284500</v>
      </c>
      <c r="J141">
        <v>1963868</v>
      </c>
      <c r="K141">
        <v>285500</v>
      </c>
      <c r="L141">
        <v>0</v>
      </c>
      <c r="M141">
        <v>0</v>
      </c>
      <c r="N141">
        <v>0</v>
      </c>
      <c r="O141">
        <v>0</v>
      </c>
      <c r="P141">
        <v>4059568</v>
      </c>
      <c r="Q141">
        <v>7.1598865481671643E-3</v>
      </c>
    </row>
    <row r="142" spans="2:17">
      <c r="B142" t="s">
        <v>1357</v>
      </c>
      <c r="D142">
        <v>52110</v>
      </c>
      <c r="E142">
        <v>52224</v>
      </c>
      <c r="F142">
        <v>52224</v>
      </c>
      <c r="G142">
        <v>52224</v>
      </c>
      <c r="H142">
        <v>52110</v>
      </c>
      <c r="I142">
        <v>52224</v>
      </c>
      <c r="J142">
        <v>52224</v>
      </c>
      <c r="K142">
        <v>52674</v>
      </c>
      <c r="L142">
        <v>0</v>
      </c>
      <c r="M142">
        <v>0</v>
      </c>
      <c r="N142">
        <v>0</v>
      </c>
      <c r="O142">
        <v>0</v>
      </c>
      <c r="P142">
        <v>418014</v>
      </c>
      <c r="Q142">
        <v>7.3725401706426625E-4</v>
      </c>
    </row>
    <row r="143" spans="2:17">
      <c r="B143" t="s">
        <v>1358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2:17">
      <c r="B144" t="s">
        <v>1359</v>
      </c>
      <c r="D144">
        <v>9214</v>
      </c>
      <c r="E144">
        <v>9214</v>
      </c>
      <c r="F144">
        <v>9215</v>
      </c>
      <c r="G144">
        <v>9214</v>
      </c>
      <c r="H144">
        <v>9214</v>
      </c>
      <c r="I144">
        <v>15691</v>
      </c>
      <c r="J144">
        <v>9214</v>
      </c>
      <c r="K144">
        <v>9214</v>
      </c>
      <c r="L144">
        <v>0</v>
      </c>
      <c r="M144">
        <v>0</v>
      </c>
      <c r="N144">
        <v>0</v>
      </c>
      <c r="O144">
        <v>0</v>
      </c>
      <c r="P144">
        <v>80190</v>
      </c>
      <c r="Q144">
        <v>1.414316258029241E-4</v>
      </c>
    </row>
    <row r="145" spans="2:17">
      <c r="B145" t="s">
        <v>1360</v>
      </c>
      <c r="D145">
        <v>660</v>
      </c>
      <c r="E145">
        <v>3660</v>
      </c>
      <c r="F145">
        <v>5268</v>
      </c>
      <c r="G145">
        <v>2612</v>
      </c>
      <c r="H145">
        <v>6500</v>
      </c>
      <c r="I145">
        <v>2269</v>
      </c>
      <c r="J145">
        <v>16972</v>
      </c>
      <c r="K145">
        <v>1610</v>
      </c>
      <c r="L145">
        <v>0</v>
      </c>
      <c r="M145">
        <v>0</v>
      </c>
      <c r="N145">
        <v>0</v>
      </c>
      <c r="O145">
        <v>0</v>
      </c>
      <c r="P145">
        <v>39551</v>
      </c>
      <c r="Q145">
        <v>6.975635655482542E-5</v>
      </c>
    </row>
    <row r="146" spans="2:17">
      <c r="B146" t="s">
        <v>1361</v>
      </c>
      <c r="D146">
        <v>47200</v>
      </c>
      <c r="E146">
        <v>233684</v>
      </c>
      <c r="F146">
        <v>135742</v>
      </c>
      <c r="G146">
        <v>33500</v>
      </c>
      <c r="H146">
        <v>24228</v>
      </c>
      <c r="I146">
        <v>21228</v>
      </c>
      <c r="J146">
        <v>78205</v>
      </c>
      <c r="K146">
        <v>33973</v>
      </c>
      <c r="L146">
        <v>0</v>
      </c>
      <c r="M146">
        <v>0</v>
      </c>
      <c r="N146">
        <v>0</v>
      </c>
      <c r="O146">
        <v>0</v>
      </c>
      <c r="P146">
        <v>607760</v>
      </c>
      <c r="Q146">
        <v>1.0719102743232964E-3</v>
      </c>
    </row>
    <row r="147" spans="2:17">
      <c r="B147" t="s">
        <v>1362</v>
      </c>
      <c r="D147">
        <v>3250</v>
      </c>
      <c r="E147">
        <v>2710</v>
      </c>
      <c r="F147">
        <v>2710</v>
      </c>
      <c r="G147">
        <v>2600</v>
      </c>
      <c r="H147">
        <v>2800</v>
      </c>
      <c r="I147">
        <v>2350</v>
      </c>
      <c r="J147">
        <v>2250</v>
      </c>
      <c r="K147">
        <v>2900</v>
      </c>
      <c r="L147">
        <v>0</v>
      </c>
      <c r="M147">
        <v>0</v>
      </c>
      <c r="N147">
        <v>0</v>
      </c>
      <c r="O147">
        <v>0</v>
      </c>
      <c r="P147">
        <v>21570</v>
      </c>
      <c r="Q147">
        <v>3.8043149626749875E-5</v>
      </c>
    </row>
    <row r="148" spans="2:17">
      <c r="B148" t="s">
        <v>1363</v>
      </c>
      <c r="D148">
        <v>7080</v>
      </c>
      <c r="E148">
        <v>2784</v>
      </c>
      <c r="F148">
        <v>21856</v>
      </c>
      <c r="G148">
        <v>8719</v>
      </c>
      <c r="H148">
        <v>11839</v>
      </c>
      <c r="I148">
        <v>12912</v>
      </c>
      <c r="J148">
        <v>11469</v>
      </c>
      <c r="K148">
        <v>8914</v>
      </c>
      <c r="L148">
        <v>0</v>
      </c>
      <c r="M148">
        <v>0</v>
      </c>
      <c r="N148">
        <v>0</v>
      </c>
      <c r="O148">
        <v>0</v>
      </c>
      <c r="P148">
        <v>85573</v>
      </c>
      <c r="Q148">
        <v>1.5092565799767582E-4</v>
      </c>
    </row>
    <row r="149" spans="2:17">
      <c r="B149" t="s">
        <v>1364</v>
      </c>
      <c r="D149">
        <v>952</v>
      </c>
      <c r="E149">
        <v>2000</v>
      </c>
      <c r="F149">
        <v>0</v>
      </c>
      <c r="G149">
        <v>51434</v>
      </c>
      <c r="H149">
        <v>0</v>
      </c>
      <c r="I149">
        <v>3143</v>
      </c>
      <c r="J149">
        <v>2000</v>
      </c>
      <c r="K149">
        <v>25843</v>
      </c>
      <c r="L149">
        <v>0</v>
      </c>
      <c r="M149">
        <v>0</v>
      </c>
      <c r="N149">
        <v>0</v>
      </c>
      <c r="O149">
        <v>0</v>
      </c>
      <c r="P149">
        <v>85372</v>
      </c>
      <c r="Q149">
        <v>1.5057115298724573E-4</v>
      </c>
    </row>
    <row r="150" spans="2:17">
      <c r="B150" t="s">
        <v>1365</v>
      </c>
      <c r="D150">
        <v>2500</v>
      </c>
      <c r="E150">
        <v>2500</v>
      </c>
      <c r="F150">
        <v>2500</v>
      </c>
      <c r="G150">
        <v>2500</v>
      </c>
      <c r="H150">
        <v>2500</v>
      </c>
      <c r="I150">
        <v>3280</v>
      </c>
      <c r="J150">
        <v>2500</v>
      </c>
      <c r="K150">
        <v>2500</v>
      </c>
      <c r="L150">
        <v>0</v>
      </c>
      <c r="M150">
        <v>0</v>
      </c>
      <c r="N150">
        <v>0</v>
      </c>
      <c r="O150">
        <v>0</v>
      </c>
      <c r="P150">
        <v>20780</v>
      </c>
      <c r="Q150">
        <v>3.664982147630331E-5</v>
      </c>
    </row>
    <row r="151" spans="2:17">
      <c r="B151" t="s">
        <v>1367</v>
      </c>
      <c r="D151">
        <v>13011</v>
      </c>
      <c r="E151">
        <v>8030</v>
      </c>
      <c r="F151">
        <v>10454</v>
      </c>
      <c r="G151">
        <v>10776</v>
      </c>
      <c r="H151">
        <v>12937</v>
      </c>
      <c r="I151">
        <v>13205</v>
      </c>
      <c r="J151">
        <v>13851</v>
      </c>
      <c r="K151">
        <v>19372</v>
      </c>
      <c r="L151">
        <v>0</v>
      </c>
      <c r="M151">
        <v>0</v>
      </c>
      <c r="N151">
        <v>0</v>
      </c>
      <c r="O151">
        <v>0</v>
      </c>
      <c r="P151">
        <v>101636</v>
      </c>
      <c r="Q151">
        <v>1.7925607582124943E-4</v>
      </c>
    </row>
    <row r="152" spans="2:17">
      <c r="B152" t="s">
        <v>1368</v>
      </c>
      <c r="D152">
        <v>84268</v>
      </c>
      <c r="E152">
        <v>86007</v>
      </c>
      <c r="F152">
        <v>87624</v>
      </c>
      <c r="G152">
        <v>85735</v>
      </c>
      <c r="H152">
        <v>85929</v>
      </c>
      <c r="I152">
        <v>180151</v>
      </c>
      <c r="J152">
        <v>101560</v>
      </c>
      <c r="K152">
        <v>102144</v>
      </c>
      <c r="L152">
        <v>0</v>
      </c>
      <c r="M152">
        <v>0</v>
      </c>
      <c r="N152">
        <v>0</v>
      </c>
      <c r="O152">
        <v>0</v>
      </c>
      <c r="P152">
        <v>813418</v>
      </c>
      <c r="Q152">
        <v>1.4346306297214478E-3</v>
      </c>
    </row>
    <row r="153" spans="2:17">
      <c r="B153" t="s">
        <v>1369</v>
      </c>
      <c r="D153">
        <v>6348</v>
      </c>
      <c r="E153">
        <v>66029</v>
      </c>
      <c r="F153">
        <v>22100</v>
      </c>
      <c r="G153">
        <v>6950</v>
      </c>
      <c r="H153">
        <v>9367</v>
      </c>
      <c r="I153">
        <v>10427</v>
      </c>
      <c r="J153">
        <v>21335</v>
      </c>
      <c r="K153">
        <v>4602</v>
      </c>
      <c r="L153">
        <v>0</v>
      </c>
      <c r="M153">
        <v>0</v>
      </c>
      <c r="N153">
        <v>0</v>
      </c>
      <c r="O153">
        <v>0</v>
      </c>
      <c r="P153">
        <v>147158</v>
      </c>
      <c r="Q153">
        <v>2.5954352400432354E-4</v>
      </c>
    </row>
    <row r="154" spans="2:17">
      <c r="B154" t="s">
        <v>1370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2:17">
      <c r="B155" t="s">
        <v>1371</v>
      </c>
      <c r="D155">
        <v>0</v>
      </c>
      <c r="E155">
        <v>0</v>
      </c>
      <c r="F155">
        <v>0</v>
      </c>
      <c r="G155">
        <v>0</v>
      </c>
      <c r="H155">
        <v>193470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193470</v>
      </c>
      <c r="Q155">
        <v>3.4122430033784416E-4</v>
      </c>
    </row>
    <row r="156" spans="2:17">
      <c r="B156" t="s">
        <v>1372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2:17">
      <c r="B157" t="s">
        <v>1374</v>
      </c>
      <c r="D157">
        <v>35306</v>
      </c>
      <c r="E157">
        <v>35299</v>
      </c>
      <c r="F157">
        <v>35306</v>
      </c>
      <c r="G157">
        <v>35303</v>
      </c>
      <c r="H157">
        <v>30705</v>
      </c>
      <c r="I157">
        <v>30711</v>
      </c>
      <c r="J157">
        <v>30705</v>
      </c>
      <c r="K157">
        <v>30711</v>
      </c>
      <c r="L157">
        <v>0</v>
      </c>
      <c r="M157">
        <v>0</v>
      </c>
      <c r="N157">
        <v>0</v>
      </c>
      <c r="O157">
        <v>0</v>
      </c>
      <c r="P157">
        <v>264046</v>
      </c>
      <c r="Q157">
        <v>4.6569965166178939E-4</v>
      </c>
    </row>
    <row r="158" spans="2:17">
      <c r="B158" t="s">
        <v>1376</v>
      </c>
      <c r="D158">
        <v>1221</v>
      </c>
      <c r="E158">
        <v>1191</v>
      </c>
      <c r="F158">
        <v>1214</v>
      </c>
      <c r="G158">
        <v>1191</v>
      </c>
      <c r="H158">
        <v>1764</v>
      </c>
      <c r="I158">
        <v>1757</v>
      </c>
      <c r="J158">
        <v>1764</v>
      </c>
      <c r="K158">
        <v>1764</v>
      </c>
      <c r="L158">
        <v>0</v>
      </c>
      <c r="M158">
        <v>0</v>
      </c>
      <c r="N158">
        <v>0</v>
      </c>
      <c r="O158">
        <v>0</v>
      </c>
      <c r="P158">
        <v>11866</v>
      </c>
      <c r="Q158">
        <v>2.0928141561011313E-5</v>
      </c>
    </row>
    <row r="159" spans="2:17">
      <c r="B159" t="s">
        <v>1377</v>
      </c>
      <c r="D159">
        <v>19800</v>
      </c>
      <c r="E159">
        <v>21080</v>
      </c>
      <c r="F159">
        <v>21080</v>
      </c>
      <c r="G159">
        <v>19880</v>
      </c>
      <c r="H159">
        <v>19800</v>
      </c>
      <c r="I159">
        <v>20280</v>
      </c>
      <c r="J159">
        <v>20520</v>
      </c>
      <c r="K159">
        <v>19880</v>
      </c>
      <c r="L159">
        <v>0</v>
      </c>
      <c r="M159">
        <v>0</v>
      </c>
      <c r="N159">
        <v>0</v>
      </c>
      <c r="O159">
        <v>0</v>
      </c>
      <c r="P159">
        <v>162320</v>
      </c>
      <c r="Q159">
        <v>2.8628484225378027E-4</v>
      </c>
    </row>
    <row r="160" spans="2:17">
      <c r="B160" t="s">
        <v>1378</v>
      </c>
      <c r="D160">
        <v>15062</v>
      </c>
      <c r="E160">
        <v>12877</v>
      </c>
      <c r="F160">
        <v>16063</v>
      </c>
      <c r="G160">
        <v>16374</v>
      </c>
      <c r="H160">
        <v>12741</v>
      </c>
      <c r="I160">
        <v>20632</v>
      </c>
      <c r="J160">
        <v>23492</v>
      </c>
      <c r="K160">
        <v>19641</v>
      </c>
      <c r="L160">
        <v>0</v>
      </c>
      <c r="M160">
        <v>0</v>
      </c>
      <c r="N160">
        <v>0</v>
      </c>
      <c r="O160">
        <v>0</v>
      </c>
      <c r="P160">
        <v>136882</v>
      </c>
      <c r="Q160">
        <v>2.4141967580940086E-4</v>
      </c>
    </row>
    <row r="161" spans="2:17">
      <c r="B161" t="s">
        <v>1379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2:17">
      <c r="B162" t="s">
        <v>1381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2:17">
      <c r="B163" t="s">
        <v>1382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2:17">
      <c r="B164" t="s">
        <v>1384</v>
      </c>
      <c r="D164">
        <v>679</v>
      </c>
      <c r="E164">
        <v>679</v>
      </c>
      <c r="F164">
        <v>679</v>
      </c>
      <c r="G164">
        <v>679</v>
      </c>
      <c r="H164">
        <v>679</v>
      </c>
      <c r="I164">
        <v>679</v>
      </c>
      <c r="J164">
        <v>679</v>
      </c>
      <c r="K164">
        <v>679</v>
      </c>
      <c r="L164">
        <v>0</v>
      </c>
      <c r="M164">
        <v>0</v>
      </c>
      <c r="N164">
        <v>0</v>
      </c>
      <c r="O164">
        <v>0</v>
      </c>
      <c r="P164">
        <v>5432</v>
      </c>
      <c r="Q164">
        <v>9.5804538142097977E-6</v>
      </c>
    </row>
    <row r="165" spans="2:17">
      <c r="B165" t="s">
        <v>1385</v>
      </c>
      <c r="D165">
        <v>11793</v>
      </c>
      <c r="E165">
        <v>9520</v>
      </c>
      <c r="F165">
        <v>9599</v>
      </c>
      <c r="G165">
        <v>9518</v>
      </c>
      <c r="H165">
        <v>9537</v>
      </c>
      <c r="I165">
        <v>9608</v>
      </c>
      <c r="J165">
        <v>9516</v>
      </c>
      <c r="K165">
        <v>11288</v>
      </c>
      <c r="L165">
        <v>0</v>
      </c>
      <c r="M165">
        <v>0</v>
      </c>
      <c r="N165">
        <v>0</v>
      </c>
      <c r="O165">
        <v>0</v>
      </c>
      <c r="P165">
        <v>80379</v>
      </c>
      <c r="Q165">
        <v>1.4176496633511954E-4</v>
      </c>
    </row>
    <row r="166" spans="2:17">
      <c r="B166" t="s">
        <v>1386</v>
      </c>
      <c r="D166">
        <v>149411</v>
      </c>
      <c r="E166">
        <v>191353</v>
      </c>
      <c r="F166">
        <v>162679</v>
      </c>
      <c r="G166">
        <v>143343</v>
      </c>
      <c r="H166">
        <v>101524</v>
      </c>
      <c r="I166">
        <v>96131</v>
      </c>
      <c r="J166">
        <v>137536</v>
      </c>
      <c r="K166">
        <v>104558</v>
      </c>
      <c r="L166">
        <v>0</v>
      </c>
      <c r="M166">
        <v>0</v>
      </c>
      <c r="N166">
        <v>0</v>
      </c>
      <c r="O166">
        <v>0</v>
      </c>
      <c r="P166">
        <v>1086535</v>
      </c>
      <c r="Q166">
        <v>1.916328863222099E-3</v>
      </c>
    </row>
    <row r="167" spans="2:17">
      <c r="B167" t="s">
        <v>1387</v>
      </c>
      <c r="D167">
        <v>1800</v>
      </c>
      <c r="E167">
        <v>3118</v>
      </c>
      <c r="F167">
        <v>24262</v>
      </c>
      <c r="G167">
        <v>18353</v>
      </c>
      <c r="H167">
        <v>0</v>
      </c>
      <c r="I167">
        <v>0</v>
      </c>
      <c r="J167">
        <v>23140</v>
      </c>
      <c r="K167">
        <v>6149</v>
      </c>
      <c r="L167">
        <v>0</v>
      </c>
      <c r="M167">
        <v>0</v>
      </c>
      <c r="N167">
        <v>0</v>
      </c>
      <c r="O167">
        <v>0</v>
      </c>
      <c r="P167">
        <v>76822</v>
      </c>
      <c r="Q167">
        <v>1.354914622450709E-4</v>
      </c>
    </row>
    <row r="168" spans="2:17">
      <c r="B168" t="s">
        <v>1389</v>
      </c>
      <c r="D168">
        <v>0</v>
      </c>
      <c r="E168">
        <v>1200</v>
      </c>
      <c r="F168">
        <v>0</v>
      </c>
      <c r="G168">
        <v>2400</v>
      </c>
      <c r="H168">
        <v>0</v>
      </c>
      <c r="I168">
        <v>2400</v>
      </c>
      <c r="J168">
        <v>0</v>
      </c>
      <c r="K168">
        <v>2400</v>
      </c>
      <c r="L168">
        <v>0</v>
      </c>
      <c r="M168">
        <v>0</v>
      </c>
      <c r="N168">
        <v>0</v>
      </c>
      <c r="O168">
        <v>0</v>
      </c>
      <c r="P168">
        <v>8400</v>
      </c>
      <c r="Q168">
        <v>1.4815134764241954E-5</v>
      </c>
    </row>
    <row r="169" spans="2:17">
      <c r="B169" t="s">
        <v>1390</v>
      </c>
      <c r="D169">
        <v>130000</v>
      </c>
      <c r="E169">
        <v>57000</v>
      </c>
      <c r="F169">
        <v>103720</v>
      </c>
      <c r="G169">
        <v>85750</v>
      </c>
      <c r="H169">
        <v>64500</v>
      </c>
      <c r="I169">
        <v>60000</v>
      </c>
      <c r="J169">
        <v>82000</v>
      </c>
      <c r="K169">
        <v>66750</v>
      </c>
      <c r="L169">
        <v>0</v>
      </c>
      <c r="M169">
        <v>0</v>
      </c>
      <c r="N169">
        <v>0</v>
      </c>
      <c r="O169">
        <v>0</v>
      </c>
      <c r="P169">
        <v>649720</v>
      </c>
      <c r="Q169">
        <v>1.1459153998837242E-3</v>
      </c>
    </row>
    <row r="170" spans="2:17">
      <c r="B170" t="s">
        <v>1391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2:17">
      <c r="B171" t="s">
        <v>1393</v>
      </c>
      <c r="D171">
        <v>17611</v>
      </c>
      <c r="E171">
        <v>130035</v>
      </c>
      <c r="F171">
        <v>34697</v>
      </c>
      <c r="G171">
        <v>36840</v>
      </c>
      <c r="H171">
        <v>37024</v>
      </c>
      <c r="I171">
        <v>33731</v>
      </c>
      <c r="J171">
        <v>32396</v>
      </c>
      <c r="K171">
        <v>29259</v>
      </c>
      <c r="L171">
        <v>0</v>
      </c>
      <c r="M171">
        <v>0</v>
      </c>
      <c r="N171">
        <v>0</v>
      </c>
      <c r="O171">
        <v>0</v>
      </c>
      <c r="P171">
        <v>351593</v>
      </c>
      <c r="Q171">
        <v>6.2010686632906213E-4</v>
      </c>
    </row>
    <row r="172" spans="2:17">
      <c r="B172" t="s">
        <v>1555</v>
      </c>
      <c r="D172">
        <v>1755765</v>
      </c>
      <c r="E172">
        <v>2075875</v>
      </c>
      <c r="F172">
        <v>1882646</v>
      </c>
      <c r="G172">
        <v>1770950</v>
      </c>
      <c r="H172">
        <v>1871563</v>
      </c>
      <c r="I172">
        <v>1797661</v>
      </c>
      <c r="J172">
        <v>3498119</v>
      </c>
      <c r="K172">
        <v>1755224</v>
      </c>
      <c r="L172">
        <v>0</v>
      </c>
      <c r="M172">
        <v>0</v>
      </c>
      <c r="N172">
        <v>0</v>
      </c>
      <c r="O172">
        <v>0</v>
      </c>
      <c r="P172">
        <v>16407803</v>
      </c>
      <c r="Q172">
        <v>2.901152794365202E-2</v>
      </c>
    </row>
    <row r="173" spans="2:17">
      <c r="B173" t="s">
        <v>1556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Q173">
        <v>0</v>
      </c>
    </row>
    <row r="174" spans="2:17">
      <c r="B174" t="s">
        <v>1283</v>
      </c>
      <c r="D174">
        <v>1991941</v>
      </c>
      <c r="E174">
        <v>1991341</v>
      </c>
      <c r="F174">
        <v>2121411</v>
      </c>
      <c r="G174">
        <v>1988501</v>
      </c>
      <c r="H174">
        <v>2049368</v>
      </c>
      <c r="I174">
        <v>2061506</v>
      </c>
      <c r="J174">
        <v>2076086</v>
      </c>
      <c r="K174">
        <v>2079573</v>
      </c>
      <c r="L174">
        <v>0</v>
      </c>
      <c r="M174">
        <v>0</v>
      </c>
      <c r="N174">
        <v>0</v>
      </c>
      <c r="O174">
        <v>0</v>
      </c>
      <c r="P174">
        <v>16359727</v>
      </c>
      <c r="Q174">
        <v>2.8853757168000919E-2</v>
      </c>
    </row>
    <row r="175" spans="2:17">
      <c r="B175" t="s">
        <v>1285</v>
      </c>
      <c r="D175">
        <v>1499800</v>
      </c>
      <c r="E175">
        <v>1460057</v>
      </c>
      <c r="F175">
        <v>1445212</v>
      </c>
      <c r="G175">
        <v>1430173</v>
      </c>
      <c r="H175">
        <v>1517600</v>
      </c>
      <c r="I175">
        <v>1487560</v>
      </c>
      <c r="J175">
        <v>1536930</v>
      </c>
      <c r="K175">
        <v>1531827</v>
      </c>
      <c r="L175">
        <v>0</v>
      </c>
      <c r="M175">
        <v>0</v>
      </c>
      <c r="N175">
        <v>0</v>
      </c>
      <c r="O175">
        <v>0</v>
      </c>
      <c r="P175">
        <v>11909159</v>
      </c>
      <c r="Q175">
        <v>2.1004261370688684E-2</v>
      </c>
    </row>
    <row r="176" spans="2:17">
      <c r="B176" t="s">
        <v>1287</v>
      </c>
      <c r="D176">
        <v>0</v>
      </c>
      <c r="E176">
        <v>3300</v>
      </c>
      <c r="F176">
        <v>41250</v>
      </c>
      <c r="G176">
        <v>50310</v>
      </c>
      <c r="H176">
        <v>0</v>
      </c>
      <c r="I176">
        <v>12135</v>
      </c>
      <c r="J176">
        <v>0</v>
      </c>
      <c r="K176">
        <v>7132</v>
      </c>
      <c r="L176">
        <v>0</v>
      </c>
      <c r="M176">
        <v>0</v>
      </c>
      <c r="N176">
        <v>0</v>
      </c>
      <c r="O176">
        <v>0</v>
      </c>
      <c r="P176">
        <v>114127</v>
      </c>
      <c r="Q176">
        <v>2.0128653395698113E-4</v>
      </c>
    </row>
    <row r="177" spans="2:17">
      <c r="B177" t="s">
        <v>1289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2:17">
      <c r="B178" t="s">
        <v>1291</v>
      </c>
      <c r="D178">
        <v>0</v>
      </c>
      <c r="E178">
        <v>3300</v>
      </c>
      <c r="F178">
        <v>41250</v>
      </c>
      <c r="G178">
        <v>50310</v>
      </c>
      <c r="H178">
        <v>0</v>
      </c>
      <c r="I178">
        <v>12135</v>
      </c>
      <c r="J178">
        <v>0</v>
      </c>
      <c r="K178">
        <v>7132</v>
      </c>
      <c r="L178">
        <v>0</v>
      </c>
      <c r="M178">
        <v>0</v>
      </c>
      <c r="N178">
        <v>0</v>
      </c>
      <c r="O178">
        <v>0</v>
      </c>
      <c r="P178">
        <v>114127</v>
      </c>
      <c r="Q178">
        <v>2.0128653395698113E-4</v>
      </c>
    </row>
    <row r="179" spans="2:17">
      <c r="B179" t="s">
        <v>1293</v>
      </c>
      <c r="D179">
        <v>398000</v>
      </c>
      <c r="E179">
        <v>435000</v>
      </c>
      <c r="F179">
        <v>445580</v>
      </c>
      <c r="G179">
        <v>416500</v>
      </c>
      <c r="H179">
        <v>436300</v>
      </c>
      <c r="I179">
        <v>466600</v>
      </c>
      <c r="J179">
        <v>441800</v>
      </c>
      <c r="K179">
        <v>443000</v>
      </c>
      <c r="L179">
        <v>0</v>
      </c>
      <c r="M179">
        <v>0</v>
      </c>
      <c r="N179">
        <v>0</v>
      </c>
      <c r="O179">
        <v>0</v>
      </c>
      <c r="P179">
        <v>3482780</v>
      </c>
      <c r="Q179">
        <v>6.1426017921674516E-3</v>
      </c>
    </row>
    <row r="180" spans="2:17">
      <c r="B180" t="s">
        <v>1295</v>
      </c>
      <c r="D180">
        <v>94141</v>
      </c>
      <c r="E180">
        <v>92984</v>
      </c>
      <c r="F180">
        <v>94024</v>
      </c>
      <c r="G180">
        <v>91518</v>
      </c>
      <c r="H180">
        <v>95468</v>
      </c>
      <c r="I180">
        <v>95211</v>
      </c>
      <c r="J180">
        <v>97356</v>
      </c>
      <c r="K180">
        <v>97614</v>
      </c>
      <c r="L180">
        <v>0</v>
      </c>
      <c r="M180">
        <v>0</v>
      </c>
      <c r="N180">
        <v>0</v>
      </c>
      <c r="O180">
        <v>0</v>
      </c>
      <c r="P180">
        <v>758316</v>
      </c>
      <c r="Q180">
        <v>1.3374468730810597E-3</v>
      </c>
    </row>
    <row r="181" spans="2:17">
      <c r="B181" t="s">
        <v>1297</v>
      </c>
      <c r="D181">
        <v>0</v>
      </c>
      <c r="E181">
        <v>0</v>
      </c>
      <c r="F181">
        <v>95345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95345</v>
      </c>
      <c r="Q181">
        <v>1.6816059810674394E-4</v>
      </c>
    </row>
    <row r="182" spans="2:17">
      <c r="B182" t="s">
        <v>1299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2:17">
      <c r="B183" t="s">
        <v>1301</v>
      </c>
      <c r="D183">
        <v>0</v>
      </c>
      <c r="E183">
        <v>600</v>
      </c>
      <c r="F183">
        <v>0</v>
      </c>
      <c r="G183">
        <v>300</v>
      </c>
      <c r="H183">
        <v>0</v>
      </c>
      <c r="I183">
        <v>600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1500</v>
      </c>
      <c r="Q183">
        <v>2.6455597793289203E-6</v>
      </c>
    </row>
    <row r="184" spans="2:17">
      <c r="B184" t="s">
        <v>1303</v>
      </c>
      <c r="D184">
        <v>0</v>
      </c>
      <c r="E184">
        <v>27700</v>
      </c>
      <c r="F184">
        <v>2100</v>
      </c>
      <c r="G184">
        <v>0</v>
      </c>
      <c r="H184">
        <v>78118</v>
      </c>
      <c r="I184">
        <v>3900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111818</v>
      </c>
      <c r="Q184">
        <v>1.9721413560333414E-4</v>
      </c>
    </row>
    <row r="185" spans="2:17">
      <c r="B185" t="s">
        <v>1306</v>
      </c>
      <c r="D185">
        <v>546</v>
      </c>
      <c r="E185">
        <v>750</v>
      </c>
      <c r="F185">
        <v>960</v>
      </c>
      <c r="G185">
        <v>2734</v>
      </c>
      <c r="H185">
        <v>3530</v>
      </c>
      <c r="I185">
        <v>200</v>
      </c>
      <c r="J185">
        <v>948</v>
      </c>
      <c r="K185">
        <v>290</v>
      </c>
      <c r="L185">
        <v>0</v>
      </c>
      <c r="M185">
        <v>0</v>
      </c>
      <c r="N185">
        <v>0</v>
      </c>
      <c r="O185">
        <v>0</v>
      </c>
      <c r="P185">
        <v>9958</v>
      </c>
      <c r="Q185">
        <v>1.7562989521704927E-5</v>
      </c>
    </row>
    <row r="186" spans="2:17">
      <c r="B186" t="s">
        <v>1308</v>
      </c>
      <c r="D186">
        <v>16772</v>
      </c>
      <c r="E186">
        <v>0</v>
      </c>
      <c r="F186">
        <v>34445</v>
      </c>
      <c r="G186">
        <v>19186</v>
      </c>
      <c r="H186">
        <v>18651</v>
      </c>
      <c r="I186">
        <v>15128</v>
      </c>
      <c r="J186">
        <v>16240</v>
      </c>
      <c r="K186">
        <v>15686</v>
      </c>
      <c r="L186">
        <v>0</v>
      </c>
      <c r="M186">
        <v>0</v>
      </c>
      <c r="N186">
        <v>0</v>
      </c>
      <c r="O186">
        <v>0</v>
      </c>
      <c r="P186">
        <v>136108</v>
      </c>
      <c r="Q186">
        <v>2.4005456696326712E-4</v>
      </c>
    </row>
    <row r="187" spans="2:17">
      <c r="B187" t="s">
        <v>1310</v>
      </c>
      <c r="D187">
        <v>0</v>
      </c>
      <c r="E187">
        <v>0</v>
      </c>
      <c r="F187">
        <v>5720</v>
      </c>
      <c r="G187">
        <v>-5720</v>
      </c>
      <c r="H187">
        <v>1000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1000</v>
      </c>
      <c r="Q187">
        <v>1.7637065195526136E-6</v>
      </c>
    </row>
    <row r="188" spans="2:17">
      <c r="B188" t="s">
        <v>1312</v>
      </c>
      <c r="D188">
        <v>31288</v>
      </c>
      <c r="E188">
        <v>18992</v>
      </c>
      <c r="F188">
        <v>24722</v>
      </c>
      <c r="G188">
        <v>25486</v>
      </c>
      <c r="H188">
        <v>30596</v>
      </c>
      <c r="I188">
        <v>31234</v>
      </c>
      <c r="J188">
        <v>32754</v>
      </c>
      <c r="K188">
        <v>45814</v>
      </c>
      <c r="L188">
        <v>0</v>
      </c>
      <c r="M188">
        <v>0</v>
      </c>
      <c r="N188">
        <v>0</v>
      </c>
      <c r="O188">
        <v>0</v>
      </c>
      <c r="P188">
        <v>240886</v>
      </c>
      <c r="Q188">
        <v>4.2485220866895091E-4</v>
      </c>
    </row>
    <row r="189" spans="2:17">
      <c r="B189" t="s">
        <v>1314</v>
      </c>
      <c r="D189">
        <v>163587</v>
      </c>
      <c r="E189">
        <v>162864</v>
      </c>
      <c r="F189">
        <v>170709</v>
      </c>
      <c r="G189">
        <v>159277</v>
      </c>
      <c r="H189">
        <v>163810</v>
      </c>
      <c r="I189">
        <v>176515</v>
      </c>
      <c r="J189">
        <v>168942</v>
      </c>
      <c r="K189">
        <v>169278</v>
      </c>
      <c r="L189">
        <v>0</v>
      </c>
      <c r="M189">
        <v>0</v>
      </c>
      <c r="N189">
        <v>0</v>
      </c>
      <c r="O189">
        <v>0</v>
      </c>
      <c r="P189">
        <v>1334982</v>
      </c>
      <c r="Q189">
        <v>2.3545164568853872E-3</v>
      </c>
    </row>
    <row r="190" spans="2:17">
      <c r="B190" t="s">
        <v>1316</v>
      </c>
      <c r="D190">
        <v>0</v>
      </c>
      <c r="E190">
        <v>598</v>
      </c>
      <c r="F190">
        <v>9880</v>
      </c>
      <c r="G190">
        <v>0</v>
      </c>
      <c r="H190">
        <v>1942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12420</v>
      </c>
      <c r="Q190">
        <v>2.190523497284346E-5</v>
      </c>
    </row>
    <row r="191" spans="2:17">
      <c r="B191" t="s">
        <v>1318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2:17">
      <c r="B192" t="s">
        <v>1320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2:17">
      <c r="B193" t="s">
        <v>1322</v>
      </c>
      <c r="D193">
        <v>116342</v>
      </c>
      <c r="E193">
        <v>116342</v>
      </c>
      <c r="F193">
        <v>116342</v>
      </c>
      <c r="G193">
        <v>116342</v>
      </c>
      <c r="H193">
        <v>116342</v>
      </c>
      <c r="I193">
        <v>116342</v>
      </c>
      <c r="J193">
        <v>116341</v>
      </c>
      <c r="K193">
        <v>116342</v>
      </c>
      <c r="L193">
        <v>0</v>
      </c>
      <c r="M193">
        <v>0</v>
      </c>
      <c r="N193">
        <v>0</v>
      </c>
      <c r="O193">
        <v>0</v>
      </c>
      <c r="P193">
        <v>930735</v>
      </c>
      <c r="Q193">
        <v>1.6415433874758017E-3</v>
      </c>
    </row>
    <row r="194" spans="2:17">
      <c r="B194" t="s">
        <v>1324</v>
      </c>
      <c r="D194">
        <v>172176</v>
      </c>
      <c r="E194">
        <v>172184</v>
      </c>
      <c r="F194">
        <v>5920</v>
      </c>
      <c r="G194">
        <v>87715</v>
      </c>
      <c r="H194">
        <v>88318</v>
      </c>
      <c r="I194">
        <v>48409</v>
      </c>
      <c r="J194">
        <v>47806</v>
      </c>
      <c r="K194">
        <v>47802</v>
      </c>
      <c r="L194">
        <v>0</v>
      </c>
      <c r="M194">
        <v>0</v>
      </c>
      <c r="N194">
        <v>0</v>
      </c>
      <c r="O194">
        <v>0</v>
      </c>
      <c r="P194">
        <v>670330</v>
      </c>
      <c r="Q194">
        <v>1.1822653912517034E-3</v>
      </c>
    </row>
    <row r="195" spans="2:17">
      <c r="B195" t="s">
        <v>1326</v>
      </c>
      <c r="D195">
        <v>45000</v>
      </c>
      <c r="E195">
        <v>49520</v>
      </c>
      <c r="F195">
        <v>53800</v>
      </c>
      <c r="G195">
        <v>48880</v>
      </c>
      <c r="H195">
        <v>45000</v>
      </c>
      <c r="I195">
        <v>50140</v>
      </c>
      <c r="J195">
        <v>52920</v>
      </c>
      <c r="K195">
        <v>49040</v>
      </c>
      <c r="L195">
        <v>0</v>
      </c>
      <c r="M195">
        <v>0</v>
      </c>
      <c r="N195">
        <v>0</v>
      </c>
      <c r="O195">
        <v>0</v>
      </c>
      <c r="P195">
        <v>394300</v>
      </c>
      <c r="Q195">
        <v>6.9542948065959558E-4</v>
      </c>
    </row>
    <row r="196" spans="2:17">
      <c r="B196" t="s">
        <v>1328</v>
      </c>
      <c r="D196">
        <v>32862</v>
      </c>
      <c r="E196">
        <v>29267</v>
      </c>
      <c r="F196">
        <v>36507</v>
      </c>
      <c r="G196">
        <v>35725</v>
      </c>
      <c r="H196">
        <v>27801</v>
      </c>
      <c r="I196">
        <v>50645</v>
      </c>
      <c r="J196">
        <v>51256</v>
      </c>
      <c r="K196">
        <v>42851</v>
      </c>
      <c r="L196">
        <v>0</v>
      </c>
      <c r="M196">
        <v>0</v>
      </c>
      <c r="N196">
        <v>0</v>
      </c>
      <c r="O196">
        <v>0</v>
      </c>
      <c r="P196">
        <v>306914</v>
      </c>
      <c r="Q196">
        <v>5.4130622274197089E-4</v>
      </c>
    </row>
    <row r="197" spans="2:17">
      <c r="B197" t="s">
        <v>1330</v>
      </c>
      <c r="D197">
        <v>29800</v>
      </c>
      <c r="E197">
        <v>32137</v>
      </c>
      <c r="F197">
        <v>295681</v>
      </c>
      <c r="G197">
        <v>533230</v>
      </c>
      <c r="H197">
        <v>32680</v>
      </c>
      <c r="I197">
        <v>207816</v>
      </c>
      <c r="J197">
        <v>180000</v>
      </c>
      <c r="K197">
        <v>478148</v>
      </c>
      <c r="L197">
        <v>0</v>
      </c>
      <c r="M197">
        <v>0</v>
      </c>
      <c r="N197">
        <v>0</v>
      </c>
      <c r="O197">
        <v>0</v>
      </c>
      <c r="P197">
        <v>1789492</v>
      </c>
      <c r="Q197">
        <v>3.1561387070872457E-3</v>
      </c>
    </row>
    <row r="198" spans="2:17">
      <c r="B198" t="s">
        <v>1332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2:17">
      <c r="B199" t="s">
        <v>1334</v>
      </c>
      <c r="D199">
        <v>1610</v>
      </c>
      <c r="E199">
        <v>1610</v>
      </c>
      <c r="F199">
        <v>1610</v>
      </c>
      <c r="G199">
        <v>1610</v>
      </c>
      <c r="H199">
        <v>1610</v>
      </c>
      <c r="I199">
        <v>1610</v>
      </c>
      <c r="J199">
        <v>1610</v>
      </c>
      <c r="K199">
        <v>1610</v>
      </c>
      <c r="L199">
        <v>0</v>
      </c>
      <c r="M199">
        <v>0</v>
      </c>
      <c r="N199">
        <v>0</v>
      </c>
      <c r="O199">
        <v>0</v>
      </c>
      <c r="P199">
        <v>12880</v>
      </c>
      <c r="Q199">
        <v>2.2716539971837663E-5</v>
      </c>
    </row>
    <row r="200" spans="2:17">
      <c r="B200" t="s">
        <v>1336</v>
      </c>
      <c r="D200">
        <v>6187</v>
      </c>
      <c r="E200">
        <v>4631</v>
      </c>
      <c r="F200">
        <v>653</v>
      </c>
      <c r="G200">
        <v>5037</v>
      </c>
      <c r="H200">
        <v>0</v>
      </c>
      <c r="I200">
        <v>3300</v>
      </c>
      <c r="J200">
        <v>2650</v>
      </c>
      <c r="K200">
        <v>9291</v>
      </c>
      <c r="L200">
        <v>0</v>
      </c>
      <c r="M200">
        <v>0</v>
      </c>
      <c r="N200">
        <v>0</v>
      </c>
      <c r="O200">
        <v>0</v>
      </c>
      <c r="P200">
        <v>31749</v>
      </c>
      <c r="Q200">
        <v>5.5995918289275927E-5</v>
      </c>
    </row>
    <row r="201" spans="2:17">
      <c r="B201" t="s">
        <v>1338</v>
      </c>
      <c r="D201">
        <v>329745</v>
      </c>
      <c r="E201">
        <v>23706</v>
      </c>
      <c r="F201">
        <v>327763</v>
      </c>
      <c r="G201">
        <v>349638</v>
      </c>
      <c r="H201">
        <v>336499</v>
      </c>
      <c r="I201">
        <v>386187</v>
      </c>
      <c r="J201">
        <v>417799</v>
      </c>
      <c r="K201">
        <v>263766</v>
      </c>
      <c r="L201">
        <v>0</v>
      </c>
      <c r="M201">
        <v>0</v>
      </c>
      <c r="N201">
        <v>0</v>
      </c>
      <c r="O201">
        <v>0</v>
      </c>
      <c r="P201">
        <v>2435103</v>
      </c>
      <c r="Q201">
        <v>4.2948070368821279E-3</v>
      </c>
    </row>
    <row r="202" spans="2:17">
      <c r="B202" t="s">
        <v>1340</v>
      </c>
      <c r="D202">
        <v>0</v>
      </c>
      <c r="E202">
        <v>760</v>
      </c>
      <c r="F202">
        <v>25108</v>
      </c>
      <c r="G202">
        <v>1500</v>
      </c>
      <c r="H202">
        <v>23691</v>
      </c>
      <c r="I202">
        <v>0</v>
      </c>
      <c r="J202">
        <v>3901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54960</v>
      </c>
      <c r="Q202">
        <v>9.6933310314611641E-5</v>
      </c>
    </row>
    <row r="203" spans="2:17">
      <c r="B203" t="s">
        <v>1341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2:17">
      <c r="B204" t="s">
        <v>1343</v>
      </c>
      <c r="D204">
        <v>0</v>
      </c>
      <c r="E204">
        <v>18000</v>
      </c>
      <c r="F204">
        <v>60000</v>
      </c>
      <c r="G204">
        <v>0</v>
      </c>
      <c r="H204">
        <v>2000</v>
      </c>
      <c r="I204">
        <v>23200</v>
      </c>
      <c r="J204">
        <v>18000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121200</v>
      </c>
      <c r="Q204">
        <v>2.1376123016977677E-4</v>
      </c>
    </row>
    <row r="205" spans="2:17">
      <c r="B205" t="s">
        <v>1345</v>
      </c>
      <c r="D205">
        <v>-182393</v>
      </c>
      <c r="E205">
        <v>78687</v>
      </c>
      <c r="F205">
        <v>81631</v>
      </c>
      <c r="G205">
        <v>107149</v>
      </c>
      <c r="H205">
        <v>187925</v>
      </c>
      <c r="I205">
        <v>100326</v>
      </c>
      <c r="J205">
        <v>212709</v>
      </c>
      <c r="K205">
        <v>97949</v>
      </c>
      <c r="L205">
        <v>0</v>
      </c>
      <c r="M205">
        <v>0</v>
      </c>
      <c r="N205">
        <v>0</v>
      </c>
      <c r="O205">
        <v>0</v>
      </c>
      <c r="P205">
        <v>683983</v>
      </c>
      <c r="Q205">
        <v>1.2063452763631554E-3</v>
      </c>
    </row>
    <row r="206" spans="2:17">
      <c r="B206" t="s">
        <v>1346</v>
      </c>
      <c r="D206">
        <v>191082</v>
      </c>
      <c r="E206">
        <v>126677</v>
      </c>
      <c r="F206">
        <v>103703</v>
      </c>
      <c r="G206">
        <v>125992</v>
      </c>
      <c r="H206">
        <v>105690</v>
      </c>
      <c r="I206">
        <v>147063</v>
      </c>
      <c r="J206">
        <v>134457</v>
      </c>
      <c r="K206">
        <v>118923</v>
      </c>
      <c r="L206">
        <v>0</v>
      </c>
      <c r="M206">
        <v>0</v>
      </c>
      <c r="N206">
        <v>0</v>
      </c>
      <c r="O206">
        <v>0</v>
      </c>
      <c r="P206">
        <v>1053587</v>
      </c>
      <c r="Q206">
        <v>1.8582182608158795E-3</v>
      </c>
    </row>
    <row r="207" spans="2:17">
      <c r="B207" t="s">
        <v>1347</v>
      </c>
      <c r="D207">
        <v>4500</v>
      </c>
      <c r="E207">
        <v>12500</v>
      </c>
      <c r="F207">
        <v>22200</v>
      </c>
      <c r="G207">
        <v>38500</v>
      </c>
      <c r="H207">
        <v>0</v>
      </c>
      <c r="I207">
        <v>80000</v>
      </c>
      <c r="J207">
        <v>0</v>
      </c>
      <c r="K207">
        <v>20000</v>
      </c>
      <c r="L207">
        <v>0</v>
      </c>
      <c r="M207">
        <v>0</v>
      </c>
      <c r="N207">
        <v>0</v>
      </c>
      <c r="O207">
        <v>0</v>
      </c>
      <c r="P207">
        <v>177700</v>
      </c>
      <c r="Q207">
        <v>3.1341064852449943E-4</v>
      </c>
    </row>
    <row r="208" spans="2:17">
      <c r="B208" t="s">
        <v>1349</v>
      </c>
      <c r="D208">
        <v>316556</v>
      </c>
      <c r="E208">
        <v>-212918</v>
      </c>
      <c r="F208">
        <v>35121</v>
      </c>
      <c r="G208">
        <v>76497</v>
      </c>
      <c r="H208">
        <v>17193</v>
      </c>
      <c r="I208">
        <v>35598</v>
      </c>
      <c r="J208">
        <v>48732</v>
      </c>
      <c r="K208">
        <v>26894</v>
      </c>
      <c r="L208">
        <v>0</v>
      </c>
      <c r="M208">
        <v>0</v>
      </c>
      <c r="N208">
        <v>0</v>
      </c>
      <c r="O208">
        <v>0</v>
      </c>
      <c r="P208">
        <v>343673</v>
      </c>
      <c r="Q208">
        <v>6.0613831069420538E-4</v>
      </c>
    </row>
    <row r="209" spans="1:18">
      <c r="B209" t="s">
        <v>1557</v>
      </c>
      <c r="D209">
        <v>2937856</v>
      </c>
      <c r="E209">
        <v>2632242</v>
      </c>
      <c r="F209">
        <v>3208223</v>
      </c>
      <c r="G209">
        <v>3367941</v>
      </c>
      <c r="H209">
        <v>2995265</v>
      </c>
      <c r="I209">
        <v>3153532</v>
      </c>
      <c r="J209">
        <v>3165352</v>
      </c>
      <c r="K209">
        <v>3319491</v>
      </c>
      <c r="L209">
        <v>0</v>
      </c>
      <c r="M209">
        <v>0</v>
      </c>
      <c r="N209">
        <v>0</v>
      </c>
      <c r="O209">
        <v>0</v>
      </c>
      <c r="P209">
        <v>24779902</v>
      </c>
      <c r="Q209">
        <v>4.3814691053638236E-2</v>
      </c>
    </row>
    <row r="210" spans="1:18">
      <c r="A210" t="s">
        <v>1558</v>
      </c>
      <c r="D210">
        <v>7375802</v>
      </c>
      <c r="E210">
        <v>7742695</v>
      </c>
      <c r="F210">
        <v>7155849</v>
      </c>
      <c r="G210">
        <v>7967607</v>
      </c>
      <c r="H210">
        <v>7765935</v>
      </c>
      <c r="I210">
        <v>8697754</v>
      </c>
      <c r="J210">
        <v>10358185</v>
      </c>
      <c r="K210">
        <v>8661532</v>
      </c>
      <c r="L210">
        <v>0</v>
      </c>
      <c r="M210">
        <v>0</v>
      </c>
      <c r="N210">
        <v>0</v>
      </c>
      <c r="O210">
        <v>0</v>
      </c>
      <c r="P210">
        <v>65725359</v>
      </c>
      <c r="Q210">
        <v>0.11621257820044895</v>
      </c>
      <c r="R210" t="s">
        <v>2366</v>
      </c>
    </row>
    <row r="211" spans="1:18">
      <c r="A211" t="s">
        <v>1559</v>
      </c>
      <c r="D211">
        <v>-2775720</v>
      </c>
      <c r="E211">
        <v>-6991366</v>
      </c>
      <c r="F211">
        <v>3103719</v>
      </c>
      <c r="G211">
        <v>-549242</v>
      </c>
      <c r="H211">
        <v>-1423493</v>
      </c>
      <c r="I211">
        <v>2233732</v>
      </c>
      <c r="J211">
        <v>691351</v>
      </c>
      <c r="K211">
        <v>2522739</v>
      </c>
      <c r="L211">
        <v>0</v>
      </c>
      <c r="M211">
        <v>0</v>
      </c>
      <c r="N211">
        <v>0</v>
      </c>
      <c r="O211">
        <v>0</v>
      </c>
      <c r="P211">
        <v>-3188280</v>
      </c>
      <c r="Q211">
        <v>-5.6373710918022884E-3</v>
      </c>
    </row>
    <row r="212" spans="1:18">
      <c r="A212" t="s">
        <v>1560</v>
      </c>
    </row>
    <row r="213" spans="1:18">
      <c r="B213" t="s">
        <v>1561</v>
      </c>
    </row>
    <row r="214" spans="1:18">
      <c r="B214" t="s">
        <v>1562</v>
      </c>
      <c r="D214">
        <v>1250</v>
      </c>
      <c r="E214">
        <v>1250</v>
      </c>
      <c r="F214">
        <v>1250</v>
      </c>
      <c r="G214">
        <v>1250</v>
      </c>
      <c r="H214">
        <v>1250</v>
      </c>
      <c r="I214">
        <v>61835</v>
      </c>
      <c r="J214">
        <v>1250</v>
      </c>
      <c r="K214">
        <v>1250</v>
      </c>
      <c r="L214">
        <v>0</v>
      </c>
      <c r="M214">
        <v>0</v>
      </c>
      <c r="N214">
        <v>0</v>
      </c>
      <c r="O214">
        <v>0</v>
      </c>
      <c r="P214">
        <v>70585</v>
      </c>
      <c r="Q214">
        <v>1.2449122468262123E-4</v>
      </c>
    </row>
    <row r="215" spans="1:18">
      <c r="B215" t="s">
        <v>1563</v>
      </c>
      <c r="D215">
        <v>1250</v>
      </c>
      <c r="E215">
        <v>1250</v>
      </c>
      <c r="F215">
        <v>1250</v>
      </c>
      <c r="G215">
        <v>1250</v>
      </c>
      <c r="H215">
        <v>1250</v>
      </c>
      <c r="I215">
        <v>61835</v>
      </c>
      <c r="J215">
        <v>1250</v>
      </c>
      <c r="K215">
        <v>1250</v>
      </c>
      <c r="L215">
        <v>0</v>
      </c>
      <c r="M215">
        <v>0</v>
      </c>
      <c r="N215">
        <v>0</v>
      </c>
      <c r="O215">
        <v>0</v>
      </c>
      <c r="P215">
        <v>70585</v>
      </c>
      <c r="Q215">
        <v>1.2449122468262123E-4</v>
      </c>
    </row>
    <row r="216" spans="1:18">
      <c r="B216" t="s">
        <v>1564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8">
      <c r="B217" t="s">
        <v>1565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8">
      <c r="B218" t="s">
        <v>1566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8">
      <c r="B219" t="s">
        <v>1567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8">
      <c r="B220" t="s">
        <v>1568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8">
      <c r="B221" t="s">
        <v>1569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8">
      <c r="B222" t="s">
        <v>1570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8">
      <c r="B223" t="s">
        <v>1571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8">
      <c r="B224" t="s">
        <v>1572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2:17">
      <c r="B225" t="s">
        <v>1573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2:17">
      <c r="B226" t="s">
        <v>1574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2:17">
      <c r="B227" t="s">
        <v>1575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2:17">
      <c r="B228" t="s">
        <v>1576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2:17">
      <c r="B229" t="s">
        <v>1577</v>
      </c>
      <c r="D229">
        <v>860624</v>
      </c>
      <c r="E229">
        <v>930103</v>
      </c>
      <c r="F229">
        <v>2946964</v>
      </c>
      <c r="G229">
        <v>3612795</v>
      </c>
      <c r="H229">
        <v>1971131</v>
      </c>
      <c r="I229">
        <v>3773237</v>
      </c>
      <c r="J229">
        <v>1126662</v>
      </c>
      <c r="K229">
        <v>739833</v>
      </c>
      <c r="L229">
        <v>0</v>
      </c>
      <c r="M229">
        <v>0</v>
      </c>
      <c r="N229">
        <v>0</v>
      </c>
      <c r="O229">
        <v>0</v>
      </c>
      <c r="P229">
        <v>15961349</v>
      </c>
      <c r="Q229">
        <v>2.8151135292154589E-2</v>
      </c>
    </row>
    <row r="230" spans="2:17">
      <c r="B230" t="s">
        <v>1578</v>
      </c>
      <c r="D230">
        <v>860624</v>
      </c>
      <c r="E230">
        <v>930103</v>
      </c>
      <c r="F230">
        <v>2946964</v>
      </c>
      <c r="G230">
        <v>87861</v>
      </c>
      <c r="H230">
        <v>1971131</v>
      </c>
      <c r="I230">
        <v>141142</v>
      </c>
      <c r="J230">
        <v>1126662</v>
      </c>
      <c r="K230">
        <v>739833</v>
      </c>
      <c r="L230">
        <v>0</v>
      </c>
      <c r="M230">
        <v>0</v>
      </c>
      <c r="N230">
        <v>0</v>
      </c>
      <c r="O230">
        <v>0</v>
      </c>
      <c r="P230">
        <v>8804320</v>
      </c>
      <c r="Q230">
        <v>1.5528236584227468E-2</v>
      </c>
    </row>
    <row r="231" spans="2:17">
      <c r="B231" t="s">
        <v>1579</v>
      </c>
      <c r="D231">
        <v>0</v>
      </c>
      <c r="E231">
        <v>0</v>
      </c>
      <c r="F231">
        <v>0</v>
      </c>
      <c r="G231">
        <v>3524934</v>
      </c>
      <c r="H231">
        <v>0</v>
      </c>
      <c r="I231">
        <v>3632095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7157029</v>
      </c>
      <c r="Q231">
        <v>1.2622898707927122E-2</v>
      </c>
    </row>
    <row r="232" spans="2:17">
      <c r="B232" t="s">
        <v>1580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2:17">
      <c r="B233" t="s">
        <v>1581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2:17">
      <c r="B234" t="s">
        <v>1582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2:17">
      <c r="B235" t="s">
        <v>1583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2:17">
      <c r="B236" t="s">
        <v>1584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2:17">
      <c r="B237" t="s">
        <v>1585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2:17">
      <c r="B238" t="s">
        <v>1586</v>
      </c>
      <c r="D238">
        <v>151618</v>
      </c>
      <c r="E238">
        <v>59477</v>
      </c>
      <c r="F238">
        <v>53695</v>
      </c>
      <c r="G238">
        <v>277576</v>
      </c>
      <c r="H238">
        <v>239006</v>
      </c>
      <c r="I238">
        <v>88951</v>
      </c>
      <c r="J238">
        <v>70176</v>
      </c>
      <c r="K238">
        <v>264338</v>
      </c>
      <c r="L238">
        <v>0</v>
      </c>
      <c r="M238">
        <v>0</v>
      </c>
      <c r="N238">
        <v>0</v>
      </c>
      <c r="O238">
        <v>0</v>
      </c>
      <c r="P238">
        <v>1204837</v>
      </c>
      <c r="Q238">
        <v>2.1249788718982125E-3</v>
      </c>
    </row>
    <row r="239" spans="2:17">
      <c r="B239" t="s">
        <v>1587</v>
      </c>
      <c r="D239">
        <v>1013492</v>
      </c>
      <c r="E239">
        <v>990830</v>
      </c>
      <c r="F239">
        <v>3001909</v>
      </c>
      <c r="G239">
        <v>3891621</v>
      </c>
      <c r="H239">
        <v>2211387</v>
      </c>
      <c r="I239">
        <v>3924023</v>
      </c>
      <c r="J239">
        <v>1198088</v>
      </c>
      <c r="K239">
        <v>1005421</v>
      </c>
      <c r="L239">
        <v>0</v>
      </c>
      <c r="M239">
        <v>0</v>
      </c>
      <c r="N239">
        <v>0</v>
      </c>
      <c r="O239">
        <v>0</v>
      </c>
      <c r="P239">
        <v>17236771</v>
      </c>
      <c r="Q239">
        <v>3.0477271303466454E-2</v>
      </c>
    </row>
    <row r="240" spans="2:17">
      <c r="B240" t="s">
        <v>1588</v>
      </c>
    </row>
    <row r="241" spans="2:17">
      <c r="B241" t="s">
        <v>1589</v>
      </c>
      <c r="D241">
        <v>26301</v>
      </c>
      <c r="E241">
        <v>74827</v>
      </c>
      <c r="F241">
        <v>69962</v>
      </c>
      <c r="G241">
        <v>93988</v>
      </c>
      <c r="H241">
        <v>91944</v>
      </c>
      <c r="I241">
        <v>112861</v>
      </c>
      <c r="J241">
        <v>96752</v>
      </c>
      <c r="K241">
        <v>117626</v>
      </c>
      <c r="L241">
        <v>0</v>
      </c>
      <c r="M241">
        <v>0</v>
      </c>
      <c r="N241">
        <v>0</v>
      </c>
      <c r="O241">
        <v>0</v>
      </c>
      <c r="P241">
        <v>684261</v>
      </c>
      <c r="Q241">
        <v>1.2068355867755909E-3</v>
      </c>
    </row>
    <row r="242" spans="2:17">
      <c r="B242" t="s">
        <v>1590</v>
      </c>
      <c r="D242">
        <v>26301</v>
      </c>
      <c r="E242">
        <v>74827</v>
      </c>
      <c r="F242">
        <v>69962</v>
      </c>
      <c r="G242">
        <v>93988</v>
      </c>
      <c r="H242">
        <v>91944</v>
      </c>
      <c r="I242">
        <v>112861</v>
      </c>
      <c r="J242">
        <v>96752</v>
      </c>
      <c r="K242">
        <v>117626</v>
      </c>
      <c r="L242">
        <v>0</v>
      </c>
      <c r="M242">
        <v>0</v>
      </c>
      <c r="N242">
        <v>0</v>
      </c>
      <c r="O242">
        <v>0</v>
      </c>
      <c r="P242">
        <v>684261</v>
      </c>
      <c r="Q242">
        <v>1.2068355867755909E-3</v>
      </c>
    </row>
    <row r="243" spans="2:17">
      <c r="B243" t="s">
        <v>1591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2:17">
      <c r="B244" t="s">
        <v>1592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2:17">
      <c r="B245" t="s">
        <v>1593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2:17">
      <c r="B246" t="s">
        <v>1594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2:17">
      <c r="B247" t="s">
        <v>1595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2:17">
      <c r="B248" t="s">
        <v>1596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2:17">
      <c r="B249" t="s">
        <v>1597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2:17">
      <c r="B250" t="s">
        <v>1598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2:17">
      <c r="B251" t="s">
        <v>1599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2:17">
      <c r="B252" t="s">
        <v>1600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2:17">
      <c r="B253" t="s">
        <v>1601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2:17">
      <c r="B254" t="s">
        <v>1602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2:17">
      <c r="B255" t="s">
        <v>1603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2:17">
      <c r="B256" t="s">
        <v>1604</v>
      </c>
      <c r="D256">
        <v>5599361</v>
      </c>
      <c r="E256">
        <v>4644987</v>
      </c>
      <c r="F256">
        <v>3836889</v>
      </c>
      <c r="G256">
        <v>3895955</v>
      </c>
      <c r="H256">
        <v>2165183</v>
      </c>
      <c r="I256">
        <v>1755192</v>
      </c>
      <c r="J256">
        <v>2260251</v>
      </c>
      <c r="K256">
        <v>704027</v>
      </c>
      <c r="L256">
        <v>0</v>
      </c>
      <c r="M256">
        <v>0</v>
      </c>
      <c r="N256">
        <v>0</v>
      </c>
      <c r="O256">
        <v>0</v>
      </c>
      <c r="P256">
        <v>24861845</v>
      </c>
      <c r="Q256">
        <v>4.3848998114606547E-2</v>
      </c>
    </row>
    <row r="257" spans="1:17">
      <c r="B257" t="s">
        <v>1605</v>
      </c>
      <c r="D257">
        <v>76888</v>
      </c>
      <c r="E257">
        <v>3801528</v>
      </c>
      <c r="F257">
        <v>2842966</v>
      </c>
      <c r="G257">
        <v>3895955</v>
      </c>
      <c r="H257">
        <v>1410102</v>
      </c>
      <c r="I257">
        <v>1755192</v>
      </c>
      <c r="J257">
        <v>145899</v>
      </c>
      <c r="K257">
        <v>433355</v>
      </c>
      <c r="L257">
        <v>0</v>
      </c>
      <c r="M257">
        <v>0</v>
      </c>
      <c r="N257">
        <v>0</v>
      </c>
      <c r="O257">
        <v>0</v>
      </c>
      <c r="P257">
        <v>14361885</v>
      </c>
      <c r="Q257">
        <v>2.5330150207564888E-2</v>
      </c>
    </row>
    <row r="258" spans="1:17">
      <c r="B258" t="s">
        <v>1606</v>
      </c>
      <c r="D258">
        <v>5522473</v>
      </c>
      <c r="E258">
        <v>843459</v>
      </c>
      <c r="F258">
        <v>993923</v>
      </c>
      <c r="G258">
        <v>0</v>
      </c>
      <c r="H258">
        <v>755081</v>
      </c>
      <c r="I258">
        <v>0</v>
      </c>
      <c r="J258">
        <v>2114352</v>
      </c>
      <c r="K258">
        <v>270672</v>
      </c>
      <c r="L258">
        <v>0</v>
      </c>
      <c r="M258">
        <v>0</v>
      </c>
      <c r="N258">
        <v>0</v>
      </c>
      <c r="O258">
        <v>0</v>
      </c>
      <c r="P258">
        <v>10499960</v>
      </c>
      <c r="Q258">
        <v>1.8518847907041662E-2</v>
      </c>
    </row>
    <row r="259" spans="1:17">
      <c r="B259" t="s">
        <v>1607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>
      <c r="B260" t="s">
        <v>1608</v>
      </c>
      <c r="D260">
        <v>368283</v>
      </c>
      <c r="E260">
        <v>252106</v>
      </c>
      <c r="F260">
        <v>140305</v>
      </c>
      <c r="G260">
        <v>118770</v>
      </c>
      <c r="H260">
        <v>230411</v>
      </c>
      <c r="I260">
        <v>277435</v>
      </c>
      <c r="J260">
        <v>178264</v>
      </c>
      <c r="K260">
        <v>416667</v>
      </c>
      <c r="L260">
        <v>0</v>
      </c>
      <c r="M260">
        <v>0</v>
      </c>
      <c r="N260">
        <v>0</v>
      </c>
      <c r="O260">
        <v>0</v>
      </c>
      <c r="P260">
        <v>1982241</v>
      </c>
      <c r="Q260">
        <v>3.4960913750244926E-3</v>
      </c>
    </row>
    <row r="261" spans="1:17">
      <c r="B261" t="s">
        <v>1609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>
      <c r="B262" t="s">
        <v>1610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>
      <c r="B263" t="s">
        <v>1611</v>
      </c>
      <c r="D263">
        <v>0</v>
      </c>
      <c r="E263">
        <v>0</v>
      </c>
      <c r="F263">
        <v>0</v>
      </c>
      <c r="G263">
        <v>133996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133996</v>
      </c>
      <c r="Q263">
        <v>2.36329618793972E-4</v>
      </c>
    </row>
    <row r="264" spans="1:17">
      <c r="B264" t="s">
        <v>1612</v>
      </c>
      <c r="D264">
        <v>5993945</v>
      </c>
      <c r="E264">
        <v>4971920</v>
      </c>
      <c r="F264">
        <v>4047156</v>
      </c>
      <c r="G264">
        <v>4242709</v>
      </c>
      <c r="H264">
        <v>2487538</v>
      </c>
      <c r="I264">
        <v>2145488</v>
      </c>
      <c r="J264">
        <v>2535267</v>
      </c>
      <c r="K264">
        <v>1238320</v>
      </c>
      <c r="L264">
        <v>0</v>
      </c>
      <c r="M264">
        <v>0</v>
      </c>
      <c r="N264">
        <v>0</v>
      </c>
      <c r="O264">
        <v>0</v>
      </c>
      <c r="P264">
        <v>27662343</v>
      </c>
      <c r="Q264">
        <v>4.8911291592871199E-2</v>
      </c>
    </row>
    <row r="265" spans="1:17">
      <c r="A265" t="s">
        <v>1613</v>
      </c>
      <c r="D265">
        <v>-4980453</v>
      </c>
      <c r="E265">
        <v>-3981090</v>
      </c>
      <c r="F265">
        <v>-1045247</v>
      </c>
      <c r="G265">
        <v>-351088</v>
      </c>
      <c r="H265">
        <v>-276151</v>
      </c>
      <c r="I265">
        <v>1778535</v>
      </c>
      <c r="J265">
        <v>-1337179</v>
      </c>
      <c r="K265">
        <v>-232899</v>
      </c>
      <c r="L265">
        <v>0</v>
      </c>
      <c r="M265">
        <v>0</v>
      </c>
      <c r="N265">
        <v>0</v>
      </c>
      <c r="O265">
        <v>0</v>
      </c>
      <c r="P265">
        <v>-10425572</v>
      </c>
      <c r="Q265">
        <v>-1.8434020289404747</v>
      </c>
    </row>
    <row r="266" spans="1:17">
      <c r="A266" t="s">
        <v>1614</v>
      </c>
      <c r="D266">
        <v>-7756173</v>
      </c>
      <c r="E266">
        <v>-10972456</v>
      </c>
      <c r="F266">
        <v>2058472</v>
      </c>
      <c r="G266">
        <v>-900330</v>
      </c>
      <c r="H266">
        <v>-1699644</v>
      </c>
      <c r="I266">
        <v>4012267</v>
      </c>
      <c r="J266">
        <v>-645828</v>
      </c>
      <c r="K266">
        <v>2289840</v>
      </c>
      <c r="L266">
        <v>0</v>
      </c>
      <c r="M266">
        <v>0</v>
      </c>
      <c r="N266">
        <v>0</v>
      </c>
      <c r="O266">
        <v>0</v>
      </c>
      <c r="P266">
        <v>-13613852</v>
      </c>
      <c r="Q266">
        <v>-2.4071391381207036E-2</v>
      </c>
    </row>
    <row r="267" spans="1:17">
      <c r="A267" t="s">
        <v>1615</v>
      </c>
    </row>
    <row r="268" spans="1:17">
      <c r="B268" t="s">
        <v>1616</v>
      </c>
    </row>
    <row r="269" spans="1:17">
      <c r="B269" t="s">
        <v>1617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>
      <c r="B270" t="s">
        <v>1618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>
      <c r="B271" t="s">
        <v>1619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>
      <c r="A272" t="s">
        <v>1620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>
      <c r="A273" t="s">
        <v>1621</v>
      </c>
      <c r="D273">
        <v>-7756173</v>
      </c>
      <c r="E273">
        <v>-10972456</v>
      </c>
      <c r="F273">
        <v>2058472</v>
      </c>
      <c r="G273">
        <v>-900330</v>
      </c>
      <c r="H273">
        <v>-1699644</v>
      </c>
      <c r="I273">
        <v>4012267</v>
      </c>
      <c r="J273">
        <v>-645828</v>
      </c>
      <c r="K273">
        <v>2289840</v>
      </c>
      <c r="L273">
        <v>0</v>
      </c>
      <c r="M273">
        <v>0</v>
      </c>
      <c r="N273">
        <v>0</v>
      </c>
      <c r="O273">
        <v>0</v>
      </c>
      <c r="P273">
        <v>-13613852</v>
      </c>
      <c r="Q273">
        <v>-2.4071391381207036E-2</v>
      </c>
    </row>
  </sheetData>
  <phoneticPr fontId="18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indexed="13"/>
    <pageSetUpPr fitToPage="1"/>
  </sheetPr>
  <dimension ref="A1:T358"/>
  <sheetViews>
    <sheetView view="pageBreakPreview" zoomScale="80" zoomScaleSheetLayoutView="80" workbookViewId="0">
      <pane xSplit="3" ySplit="5" topLeftCell="J6" activePane="bottomRight" state="frozen"/>
      <selection pane="topRight" activeCell="D1" sqref="D1"/>
      <selection pane="bottomLeft" activeCell="A6" sqref="A6"/>
      <selection pane="bottomRight" activeCell="K28" sqref="K28"/>
    </sheetView>
  </sheetViews>
  <sheetFormatPr baseColWidth="10" defaultColWidth="11.3984375" defaultRowHeight="21" customHeight="1" outlineLevelCol="1"/>
  <cols>
    <col min="1" max="1" width="3" style="313" customWidth="1"/>
    <col min="2" max="2" width="32.59765625" style="313" customWidth="1"/>
    <col min="3" max="3" width="5.59765625" style="313" customWidth="1"/>
    <col min="4" max="4" width="16.19921875" style="951" customWidth="1"/>
    <col min="5" max="5" width="14.796875" style="951" customWidth="1"/>
    <col min="6" max="6" width="15.59765625" style="951" customWidth="1"/>
    <col min="7" max="8" width="14.796875" style="951" customWidth="1"/>
    <col min="9" max="9" width="17" style="951" customWidth="1"/>
    <col min="10" max="10" width="15.59765625" style="951" customWidth="1"/>
    <col min="11" max="11" width="16.3984375" style="951" customWidth="1"/>
    <col min="12" max="12" width="17.796875" style="951" hidden="1" customWidth="1" outlineLevel="1"/>
    <col min="13" max="13" width="15.796875" style="951" hidden="1" customWidth="1" outlineLevel="1"/>
    <col min="14" max="14" width="16.59765625" style="951" hidden="1" customWidth="1" outlineLevel="1"/>
    <col min="15" max="15" width="19.796875" style="951" hidden="1" customWidth="1" outlineLevel="1"/>
    <col min="16" max="16" width="19.796875" style="951" bestFit="1" customWidth="1" collapsed="1"/>
    <col min="17" max="17" width="10.796875" style="952" customWidth="1"/>
    <col min="18" max="18" width="14.59765625" style="312" bestFit="1" customWidth="1"/>
    <col min="19" max="19" width="11.3984375" style="313" customWidth="1"/>
    <col min="20" max="16384" width="11.3984375" style="313"/>
  </cols>
  <sheetData>
    <row r="1" spans="1:20" ht="21" customHeight="1">
      <c r="A1" s="308" t="s">
        <v>616</v>
      </c>
      <c r="B1" s="309"/>
      <c r="C1" s="309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1"/>
    </row>
    <row r="2" spans="1:20" ht="21" customHeight="1">
      <c r="A2" s="314" t="s">
        <v>1842</v>
      </c>
      <c r="B2" s="309"/>
      <c r="C2" s="309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1"/>
    </row>
    <row r="3" spans="1:20" ht="21" customHeight="1">
      <c r="A3" s="308" t="s">
        <v>889</v>
      </c>
      <c r="B3" s="309"/>
      <c r="C3" s="309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1"/>
    </row>
    <row r="4" spans="1:20" s="917" customFormat="1" ht="21" customHeight="1" thickBot="1">
      <c r="A4" s="315" t="s">
        <v>617</v>
      </c>
      <c r="B4" s="916"/>
      <c r="C4" s="916"/>
      <c r="D4" s="316" t="s">
        <v>1767</v>
      </c>
      <c r="E4" s="316" t="s">
        <v>1768</v>
      </c>
      <c r="F4" s="316" t="s">
        <v>1769</v>
      </c>
      <c r="G4" s="316" t="s">
        <v>1770</v>
      </c>
      <c r="H4" s="316" t="s">
        <v>1771</v>
      </c>
      <c r="I4" s="316" t="s">
        <v>1772</v>
      </c>
      <c r="J4" s="316" t="s">
        <v>1773</v>
      </c>
      <c r="K4" s="316" t="s">
        <v>1774</v>
      </c>
      <c r="L4" s="316" t="s">
        <v>1775</v>
      </c>
      <c r="M4" s="316" t="s">
        <v>1776</v>
      </c>
      <c r="N4" s="316" t="s">
        <v>1777</v>
      </c>
      <c r="O4" s="316" t="s">
        <v>1778</v>
      </c>
      <c r="P4" s="317" t="str">
        <f>TWN_IS!P4</f>
        <v>2017/1~2017/12</v>
      </c>
      <c r="Q4" s="318" t="s">
        <v>1114</v>
      </c>
      <c r="R4" s="312"/>
    </row>
    <row r="5" spans="1:20" s="917" customFormat="1" ht="21" customHeight="1" thickTop="1" thickBot="1">
      <c r="A5" s="319"/>
      <c r="B5" s="918"/>
      <c r="C5" s="918" t="s">
        <v>1115</v>
      </c>
      <c r="D5" s="320">
        <f>TWN_IS!D5</f>
        <v>67</v>
      </c>
      <c r="E5" s="320">
        <f>TWN_IS!E5</f>
        <v>69</v>
      </c>
      <c r="F5" s="320">
        <f>TWN_IS!F5</f>
        <v>69</v>
      </c>
      <c r="G5" s="320">
        <f>TWN_IS!G5</f>
        <v>68</v>
      </c>
      <c r="H5" s="320">
        <f>TWN_IS!H5</f>
        <v>70</v>
      </c>
      <c r="I5" s="320">
        <f>TWN_IS!I5</f>
        <v>71</v>
      </c>
      <c r="J5" s="320">
        <f>TWN_IS!J5</f>
        <v>70</v>
      </c>
      <c r="K5" s="320">
        <f>TWN_IS!K5</f>
        <v>70</v>
      </c>
      <c r="L5" s="320">
        <f>TWN_IS!L5</f>
        <v>0</v>
      </c>
      <c r="M5" s="320">
        <f>TWN_IS!M5</f>
        <v>0</v>
      </c>
      <c r="N5" s="320">
        <f>TWN_IS!N5</f>
        <v>0</v>
      </c>
      <c r="O5" s="320">
        <f>TWN_IS!O5</f>
        <v>0</v>
      </c>
      <c r="P5" s="320"/>
      <c r="Q5" s="318"/>
      <c r="R5" s="312"/>
    </row>
    <row r="6" spans="1:20" ht="21" customHeight="1" thickTop="1">
      <c r="A6" s="331" t="s">
        <v>1126</v>
      </c>
      <c r="B6" s="331"/>
      <c r="C6" s="309"/>
      <c r="D6" s="919">
        <f>TWN_IS!D21</f>
        <v>60246951</v>
      </c>
      <c r="E6" s="919">
        <f>TWN_IS!E21</f>
        <v>53071500</v>
      </c>
      <c r="F6" s="919">
        <f>TWN_IS!F21</f>
        <v>63731970</v>
      </c>
      <c r="G6" s="919">
        <f>TWN_IS!G21</f>
        <v>67365680</v>
      </c>
      <c r="H6" s="919">
        <f>TWN_IS!H21</f>
        <v>53281343</v>
      </c>
      <c r="I6" s="919">
        <f>TWN_IS!I21</f>
        <v>87487966</v>
      </c>
      <c r="J6" s="919">
        <f>TWN_IS!J21</f>
        <v>98241166</v>
      </c>
      <c r="K6" s="919">
        <f>TWN_IS!K21</f>
        <v>82134915</v>
      </c>
      <c r="L6" s="919">
        <f>TWN_IS!L21</f>
        <v>0</v>
      </c>
      <c r="M6" s="919">
        <f>TWN_IS!M21</f>
        <v>0</v>
      </c>
      <c r="N6" s="919">
        <f>TWN_IS!N21</f>
        <v>0</v>
      </c>
      <c r="O6" s="919">
        <f>TWN_IS!O21</f>
        <v>0</v>
      </c>
      <c r="P6" s="332">
        <f>SUM(D6:O6)</f>
        <v>565561491</v>
      </c>
      <c r="Q6" s="311">
        <f>P6/$P$6</f>
        <v>1</v>
      </c>
      <c r="R6" s="313"/>
    </row>
    <row r="7" spans="1:20" ht="21" customHeight="1">
      <c r="A7" s="920" t="s">
        <v>1127</v>
      </c>
      <c r="B7" s="920"/>
      <c r="C7" s="921"/>
      <c r="D7" s="922">
        <f>TWN_IS!D89-IS明細!D77</f>
        <v>52772120</v>
      </c>
      <c r="E7" s="922">
        <f>TWN_IS!E89-IS明細!F77</f>
        <v>49556700</v>
      </c>
      <c r="F7" s="922">
        <f>TWN_IS!F89-IS明細!H77</f>
        <v>60928957</v>
      </c>
      <c r="G7" s="922">
        <f>TWN_IS!G89-IS明細!J77</f>
        <v>60539233</v>
      </c>
      <c r="H7" s="922">
        <f>TWN_IS!H89-IS明細!L77</f>
        <v>45884441</v>
      </c>
      <c r="I7" s="922">
        <f>TWN_IS!I89-IS明細!N77</f>
        <v>78027202</v>
      </c>
      <c r="J7" s="922">
        <f>TWN_IS!J89-IS明細!P77</f>
        <v>89223212</v>
      </c>
      <c r="K7" s="922">
        <f>TWN_IS!K89-IS明細!R77</f>
        <v>70926660</v>
      </c>
      <c r="L7" s="922">
        <f>TWN_IS!L89-IS明細!T77</f>
        <v>0</v>
      </c>
      <c r="M7" s="922">
        <f>TWN_IS!M89-IS明細!V77</f>
        <v>0</v>
      </c>
      <c r="N7" s="922">
        <f>TWN_IS!N89-IS明細!X77</f>
        <v>0</v>
      </c>
      <c r="O7" s="922">
        <f>TWN_IS!O89-IS明細!Z77</f>
        <v>0</v>
      </c>
      <c r="P7" s="333">
        <f>SUM(D7:O7)</f>
        <v>507858525</v>
      </c>
      <c r="Q7" s="923">
        <f>P7/$P$6</f>
        <v>0.89797225073091125</v>
      </c>
      <c r="R7" s="313"/>
      <c r="T7" s="924"/>
    </row>
    <row r="8" spans="1:20" ht="21" customHeight="1">
      <c r="A8" s="331" t="s">
        <v>890</v>
      </c>
      <c r="B8" s="331"/>
      <c r="C8" s="309"/>
      <c r="D8" s="919">
        <f>D6-D7</f>
        <v>7474831</v>
      </c>
      <c r="E8" s="919">
        <f>E6-E7</f>
        <v>3514800</v>
      </c>
      <c r="F8" s="919">
        <f t="shared" ref="F8:M8" si="0">F6-F7</f>
        <v>2803013</v>
      </c>
      <c r="G8" s="919">
        <f t="shared" si="0"/>
        <v>6826447</v>
      </c>
      <c r="H8" s="919">
        <f t="shared" si="0"/>
        <v>7396902</v>
      </c>
      <c r="I8" s="919">
        <f t="shared" si="0"/>
        <v>9460764</v>
      </c>
      <c r="J8" s="919">
        <f t="shared" si="0"/>
        <v>9017954</v>
      </c>
      <c r="K8" s="919">
        <f t="shared" si="0"/>
        <v>11208255</v>
      </c>
      <c r="L8" s="919">
        <f t="shared" si="0"/>
        <v>0</v>
      </c>
      <c r="M8" s="919">
        <f t="shared" si="0"/>
        <v>0</v>
      </c>
      <c r="N8" s="919">
        <f>N6-N7</f>
        <v>0</v>
      </c>
      <c r="O8" s="919">
        <f>O6-O7</f>
        <v>0</v>
      </c>
      <c r="P8" s="332">
        <f>SUM(D8:O8)</f>
        <v>57702966</v>
      </c>
      <c r="Q8" s="311">
        <f>P8/$P$6</f>
        <v>0.10202774926908877</v>
      </c>
      <c r="R8" s="313"/>
      <c r="T8" s="924"/>
    </row>
    <row r="9" spans="1:20" ht="21" customHeight="1" thickBot="1">
      <c r="A9" s="925" t="s">
        <v>891</v>
      </c>
      <c r="B9" s="925"/>
      <c r="C9" s="926"/>
      <c r="D9" s="927">
        <f>D8/D6*100</f>
        <v>12.406986371808259</v>
      </c>
      <c r="E9" s="927">
        <f>E8/E6*100</f>
        <v>6.6227636301969985</v>
      </c>
      <c r="F9" s="928">
        <f t="shared" ref="F9:N9" si="1">F8/F6*100</f>
        <v>4.3981270310646288</v>
      </c>
      <c r="G9" s="927">
        <f t="shared" si="1"/>
        <v>10.13341956913372</v>
      </c>
      <c r="H9" s="927">
        <f t="shared" si="1"/>
        <v>13.882724390036492</v>
      </c>
      <c r="I9" s="927">
        <f t="shared" si="1"/>
        <v>10.813788950128297</v>
      </c>
      <c r="J9" s="927">
        <f t="shared" si="1"/>
        <v>9.1794044871169369</v>
      </c>
      <c r="K9" s="927">
        <f t="shared" si="1"/>
        <v>13.646151578777429</v>
      </c>
      <c r="L9" s="928" t="e">
        <f t="shared" si="1"/>
        <v>#DIV/0!</v>
      </c>
      <c r="M9" s="927" t="e">
        <f t="shared" si="1"/>
        <v>#DIV/0!</v>
      </c>
      <c r="N9" s="927" t="e">
        <f t="shared" si="1"/>
        <v>#DIV/0!</v>
      </c>
      <c r="O9" s="927" t="e">
        <f>O8/O6*100</f>
        <v>#DIV/0!</v>
      </c>
      <c r="P9" s="929">
        <f>P8/P6*100</f>
        <v>10.202774926908877</v>
      </c>
      <c r="Q9" s="930"/>
      <c r="R9" s="931" t="s">
        <v>1128</v>
      </c>
      <c r="S9" s="932"/>
      <c r="T9" s="924"/>
    </row>
    <row r="10" spans="1:20" ht="21" customHeight="1" thickTop="1">
      <c r="A10" s="331"/>
      <c r="B10" s="331" t="s">
        <v>1129</v>
      </c>
      <c r="C10" s="309"/>
      <c r="D10" s="919">
        <f>TWN_IS!D134</f>
        <v>2682181</v>
      </c>
      <c r="E10" s="919">
        <f>TWN_IS!E134</f>
        <v>3034578</v>
      </c>
      <c r="F10" s="919">
        <f>TWN_IS!F134</f>
        <v>2064980</v>
      </c>
      <c r="G10" s="919">
        <f>TWN_IS!G134</f>
        <v>2828716</v>
      </c>
      <c r="H10" s="919">
        <f>TWN_IS!H134</f>
        <v>2899107</v>
      </c>
      <c r="I10" s="919">
        <f>TWN_IS!I134</f>
        <v>3746561</v>
      </c>
      <c r="J10" s="919">
        <f>TWN_IS!J134</f>
        <v>3694714</v>
      </c>
      <c r="K10" s="919">
        <f>TWN_IS!K134</f>
        <v>3586817</v>
      </c>
      <c r="L10" s="919">
        <f>TWN_IS!L134</f>
        <v>0</v>
      </c>
      <c r="M10" s="919">
        <f>TWN_IS!M134</f>
        <v>0</v>
      </c>
      <c r="N10" s="919">
        <f>TWN_IS!N134</f>
        <v>0</v>
      </c>
      <c r="O10" s="919">
        <f>TWN_IS!O134</f>
        <v>0</v>
      </c>
      <c r="P10" s="332">
        <f>SUM(D10:O10)</f>
        <v>24537654</v>
      </c>
      <c r="Q10" s="311">
        <f>P10/$P$6</f>
        <v>4.3386359203158691E-2</v>
      </c>
      <c r="R10" s="313"/>
      <c r="T10" s="924"/>
    </row>
    <row r="11" spans="1:20" ht="21" customHeight="1">
      <c r="A11" s="331"/>
      <c r="B11" s="331" t="s">
        <v>1130</v>
      </c>
      <c r="C11" s="309"/>
      <c r="D11" s="919">
        <f>TWN_IS!D172</f>
        <v>1755765</v>
      </c>
      <c r="E11" s="919">
        <f>TWN_IS!E172</f>
        <v>2075875</v>
      </c>
      <c r="F11" s="919">
        <f>TWN_IS!F172</f>
        <v>1882646</v>
      </c>
      <c r="G11" s="919">
        <f>TWN_IS!G172</f>
        <v>1770950</v>
      </c>
      <c r="H11" s="919">
        <f>TWN_IS!H172</f>
        <v>1871563</v>
      </c>
      <c r="I11" s="919">
        <f>TWN_IS!I172</f>
        <v>1797661</v>
      </c>
      <c r="J11" s="919">
        <f>TWN_IS!J172</f>
        <v>3498119</v>
      </c>
      <c r="K11" s="919">
        <f>TWN_IS!K172</f>
        <v>1755224</v>
      </c>
      <c r="L11" s="919">
        <f>TWN_IS!L172</f>
        <v>0</v>
      </c>
      <c r="M11" s="919">
        <f>TWN_IS!M172</f>
        <v>0</v>
      </c>
      <c r="N11" s="919">
        <f>TWN_IS!N172</f>
        <v>0</v>
      </c>
      <c r="O11" s="919">
        <f>TWN_IS!O172</f>
        <v>0</v>
      </c>
      <c r="P11" s="332">
        <f>SUM(D11:O11)</f>
        <v>16407803</v>
      </c>
      <c r="Q11" s="311">
        <f>P11/$P$6</f>
        <v>2.901152794365202E-2</v>
      </c>
      <c r="R11" s="313"/>
    </row>
    <row r="12" spans="1:20" ht="21" customHeight="1">
      <c r="A12" s="933"/>
      <c r="B12" s="933" t="s">
        <v>1131</v>
      </c>
      <c r="C12" s="934"/>
      <c r="D12" s="922">
        <f>TWN_IS!D209</f>
        <v>2937856</v>
      </c>
      <c r="E12" s="922">
        <f>TWN_IS!E209</f>
        <v>2632242</v>
      </c>
      <c r="F12" s="922">
        <f>TWN_IS!F209</f>
        <v>3208223</v>
      </c>
      <c r="G12" s="922">
        <f>TWN_IS!G209</f>
        <v>3367941</v>
      </c>
      <c r="H12" s="922">
        <f>TWN_IS!H209</f>
        <v>2995265</v>
      </c>
      <c r="I12" s="922">
        <f>TWN_IS!I209</f>
        <v>3153532</v>
      </c>
      <c r="J12" s="922">
        <f>TWN_IS!J209</f>
        <v>3165352</v>
      </c>
      <c r="K12" s="922">
        <f>TWN_IS!K209</f>
        <v>3319491</v>
      </c>
      <c r="L12" s="922">
        <f>TWN_IS!L209</f>
        <v>0</v>
      </c>
      <c r="M12" s="922">
        <f>TWN_IS!M209</f>
        <v>0</v>
      </c>
      <c r="N12" s="922">
        <f>TWN_IS!N209</f>
        <v>0</v>
      </c>
      <c r="O12" s="922">
        <f>TWN_IS!O209</f>
        <v>0</v>
      </c>
      <c r="P12" s="333">
        <f>SUM(D12:O12)</f>
        <v>24779902</v>
      </c>
      <c r="Q12" s="923">
        <f>P12/$P$6</f>
        <v>4.3814691053638236E-2</v>
      </c>
      <c r="R12" s="313"/>
    </row>
    <row r="13" spans="1:20" ht="21" customHeight="1">
      <c r="A13" s="935" t="s">
        <v>1132</v>
      </c>
      <c r="B13" s="935"/>
      <c r="C13" s="936"/>
      <c r="D13" s="937">
        <f>SUM(D10:D12)</f>
        <v>7375802</v>
      </c>
      <c r="E13" s="937">
        <f>SUM(E10:E12)</f>
        <v>7742695</v>
      </c>
      <c r="F13" s="937">
        <f t="shared" ref="F13:O13" si="2">SUM(F10:F12)</f>
        <v>7155849</v>
      </c>
      <c r="G13" s="937">
        <f t="shared" si="2"/>
        <v>7967607</v>
      </c>
      <c r="H13" s="937">
        <f t="shared" si="2"/>
        <v>7765935</v>
      </c>
      <c r="I13" s="937">
        <f t="shared" si="2"/>
        <v>8697754</v>
      </c>
      <c r="J13" s="937">
        <f t="shared" si="2"/>
        <v>10358185</v>
      </c>
      <c r="K13" s="937">
        <f t="shared" si="2"/>
        <v>8661532</v>
      </c>
      <c r="L13" s="937">
        <f t="shared" si="2"/>
        <v>0</v>
      </c>
      <c r="M13" s="937">
        <f t="shared" si="2"/>
        <v>0</v>
      </c>
      <c r="N13" s="937">
        <f>SUM(N10:N12)</f>
        <v>0</v>
      </c>
      <c r="O13" s="937">
        <f t="shared" si="2"/>
        <v>0</v>
      </c>
      <c r="P13" s="938">
        <f>SUM(D13:O13)</f>
        <v>65725359</v>
      </c>
      <c r="Q13" s="939">
        <f>P13/$P$6</f>
        <v>0.11621257820044895</v>
      </c>
      <c r="R13" s="313"/>
    </row>
    <row r="14" spans="1:20" ht="21" customHeight="1">
      <c r="A14" s="331" t="s">
        <v>892</v>
      </c>
      <c r="B14" s="331"/>
      <c r="C14" s="309"/>
      <c r="D14" s="919">
        <f>D8-D13</f>
        <v>99029</v>
      </c>
      <c r="E14" s="919">
        <f>E8-E13</f>
        <v>-4227895</v>
      </c>
      <c r="F14" s="919">
        <f t="shared" ref="F14:O14" si="3">F8-F13</f>
        <v>-4352836</v>
      </c>
      <c r="G14" s="919">
        <f t="shared" si="3"/>
        <v>-1141160</v>
      </c>
      <c r="H14" s="919">
        <f t="shared" si="3"/>
        <v>-369033</v>
      </c>
      <c r="I14" s="919">
        <f t="shared" si="3"/>
        <v>763010</v>
      </c>
      <c r="J14" s="919">
        <f t="shared" si="3"/>
        <v>-1340231</v>
      </c>
      <c r="K14" s="919">
        <f t="shared" si="3"/>
        <v>2546723</v>
      </c>
      <c r="L14" s="919">
        <f t="shared" si="3"/>
        <v>0</v>
      </c>
      <c r="M14" s="919">
        <f t="shared" si="3"/>
        <v>0</v>
      </c>
      <c r="N14" s="919">
        <f>N8-N13</f>
        <v>0</v>
      </c>
      <c r="O14" s="919">
        <f t="shared" si="3"/>
        <v>0</v>
      </c>
      <c r="P14" s="332">
        <f>SUM(D14:O14)</f>
        <v>-8022393</v>
      </c>
      <c r="Q14" s="940">
        <f>P14/$P$6</f>
        <v>-1.418482893136018E-2</v>
      </c>
      <c r="R14" s="313"/>
    </row>
    <row r="15" spans="1:20" ht="21" customHeight="1">
      <c r="A15" s="331" t="s">
        <v>1133</v>
      </c>
      <c r="B15" s="331"/>
      <c r="C15" s="309"/>
      <c r="D15" s="919"/>
      <c r="E15" s="919"/>
      <c r="F15" s="919"/>
      <c r="G15" s="919"/>
      <c r="H15" s="919"/>
      <c r="I15" s="919"/>
      <c r="J15" s="919"/>
      <c r="K15" s="919"/>
      <c r="L15" s="919"/>
      <c r="M15" s="919"/>
      <c r="N15" s="919"/>
      <c r="O15" s="919"/>
      <c r="P15" s="332"/>
      <c r="Q15" s="940"/>
      <c r="R15" s="313"/>
    </row>
    <row r="16" spans="1:20" ht="21" customHeight="1">
      <c r="A16" s="331"/>
      <c r="B16" s="331" t="s">
        <v>1134</v>
      </c>
      <c r="C16" s="309"/>
      <c r="D16" s="919">
        <f>TWN_IS!D239</f>
        <v>1013492</v>
      </c>
      <c r="E16" s="919">
        <f>TWN_IS!E239</f>
        <v>990830</v>
      </c>
      <c r="F16" s="919">
        <f>TWN_IS!F239</f>
        <v>3001909</v>
      </c>
      <c r="G16" s="919">
        <f>TWN_IS!G239</f>
        <v>3891621</v>
      </c>
      <c r="H16" s="919">
        <f>TWN_IS!H239</f>
        <v>2211387</v>
      </c>
      <c r="I16" s="919">
        <f>TWN_IS!I239</f>
        <v>3924023</v>
      </c>
      <c r="J16" s="919">
        <f>TWN_IS!J239</f>
        <v>1198088</v>
      </c>
      <c r="K16" s="919">
        <f>TWN_IS!K239</f>
        <v>1005421</v>
      </c>
      <c r="L16" s="919">
        <f>TWN_IS!L239</f>
        <v>0</v>
      </c>
      <c r="M16" s="919">
        <f>TWN_IS!M239</f>
        <v>0</v>
      </c>
      <c r="N16" s="919">
        <f>TWN_IS!N239</f>
        <v>0</v>
      </c>
      <c r="O16" s="919">
        <f>TWN_IS!O239</f>
        <v>0</v>
      </c>
      <c r="P16" s="332">
        <f>SUM(D16:O16)</f>
        <v>17236771</v>
      </c>
      <c r="Q16" s="940">
        <f>P16/$P$6</f>
        <v>3.0477271303466454E-2</v>
      </c>
      <c r="R16" s="313"/>
    </row>
    <row r="17" spans="1:18" ht="21" customHeight="1">
      <c r="A17" s="933"/>
      <c r="B17" s="920" t="s">
        <v>1135</v>
      </c>
      <c r="C17" s="921"/>
      <c r="D17" s="922">
        <f>TWN_IS!D264+IS明細!D77</f>
        <v>8868694</v>
      </c>
      <c r="E17" s="922">
        <f>TWN_IS!E264+IS明細!F77</f>
        <v>7735391</v>
      </c>
      <c r="F17" s="922">
        <f>TWN_IS!F264+IS明細!H77</f>
        <v>-3409399</v>
      </c>
      <c r="G17" s="922">
        <f>TWN_IS!G264+IS明細!J77</f>
        <v>3650791</v>
      </c>
      <c r="H17" s="922">
        <f>TWN_IS!H264+IS明細!L77</f>
        <v>3541998</v>
      </c>
      <c r="I17" s="922">
        <f>TWN_IS!I264+IS明細!N77</f>
        <v>674766</v>
      </c>
      <c r="J17" s="922">
        <f>TWN_IS!J264+IS明細!P77</f>
        <v>503685</v>
      </c>
      <c r="K17" s="922">
        <f>TWN_IS!K264+IS明細!R77</f>
        <v>1262304</v>
      </c>
      <c r="L17" s="922">
        <f>TWN_IS!L264+IS明細!T77</f>
        <v>0</v>
      </c>
      <c r="M17" s="922">
        <f>TWN_IS!M264+IS明細!V77</f>
        <v>0</v>
      </c>
      <c r="N17" s="922">
        <f>TWN_IS!N264+IS明細!X77</f>
        <v>0</v>
      </c>
      <c r="O17" s="922">
        <f>TWN_IS!O264+IS明細!Z77</f>
        <v>0</v>
      </c>
      <c r="P17" s="333">
        <f>SUM(D17:O17)</f>
        <v>22828230</v>
      </c>
      <c r="Q17" s="941">
        <f>P17/$P$6</f>
        <v>4.0363833753313309E-2</v>
      </c>
      <c r="R17" s="313"/>
    </row>
    <row r="18" spans="1:18" ht="21" customHeight="1">
      <c r="A18" s="935" t="s">
        <v>1136</v>
      </c>
      <c r="B18" s="935"/>
      <c r="C18" s="936"/>
      <c r="D18" s="937">
        <f>D16-D17</f>
        <v>-7855202</v>
      </c>
      <c r="E18" s="937">
        <f>E16-E17</f>
        <v>-6744561</v>
      </c>
      <c r="F18" s="937">
        <f t="shared" ref="F18:N18" si="4">F16-F17</f>
        <v>6411308</v>
      </c>
      <c r="G18" s="937">
        <f t="shared" si="4"/>
        <v>240830</v>
      </c>
      <c r="H18" s="937">
        <f t="shared" si="4"/>
        <v>-1330611</v>
      </c>
      <c r="I18" s="937">
        <f t="shared" si="4"/>
        <v>3249257</v>
      </c>
      <c r="J18" s="937">
        <f t="shared" si="4"/>
        <v>694403</v>
      </c>
      <c r="K18" s="937">
        <f t="shared" si="4"/>
        <v>-256883</v>
      </c>
      <c r="L18" s="937">
        <f>L16-L17</f>
        <v>0</v>
      </c>
      <c r="M18" s="937">
        <f t="shared" si="4"/>
        <v>0</v>
      </c>
      <c r="N18" s="937">
        <f t="shared" si="4"/>
        <v>0</v>
      </c>
      <c r="O18" s="937">
        <f>O16-O17</f>
        <v>0</v>
      </c>
      <c r="P18" s="938">
        <f>SUM(D18:O18)</f>
        <v>-5591459</v>
      </c>
      <c r="Q18" s="942">
        <f>P18/$P$6</f>
        <v>-9.8865624498468557E-3</v>
      </c>
      <c r="R18" s="313"/>
    </row>
    <row r="19" spans="1:18" ht="21" customHeight="1" thickBot="1">
      <c r="A19" s="943" t="s">
        <v>893</v>
      </c>
      <c r="B19" s="943"/>
      <c r="C19" s="944"/>
      <c r="D19" s="945">
        <f>D14+D18</f>
        <v>-7756173</v>
      </c>
      <c r="E19" s="945">
        <f>E14+E18</f>
        <v>-10972456</v>
      </c>
      <c r="F19" s="945">
        <f t="shared" ref="F19:O19" si="5">F14+F18</f>
        <v>2058472</v>
      </c>
      <c r="G19" s="945">
        <f t="shared" si="5"/>
        <v>-900330</v>
      </c>
      <c r="H19" s="945">
        <f t="shared" si="5"/>
        <v>-1699644</v>
      </c>
      <c r="I19" s="945">
        <f t="shared" si="5"/>
        <v>4012267</v>
      </c>
      <c r="J19" s="945">
        <f t="shared" si="5"/>
        <v>-645828</v>
      </c>
      <c r="K19" s="945">
        <f t="shared" si="5"/>
        <v>2289840</v>
      </c>
      <c r="L19" s="945">
        <f t="shared" si="5"/>
        <v>0</v>
      </c>
      <c r="M19" s="945">
        <f t="shared" si="5"/>
        <v>0</v>
      </c>
      <c r="N19" s="945">
        <f t="shared" si="5"/>
        <v>0</v>
      </c>
      <c r="O19" s="945">
        <f t="shared" si="5"/>
        <v>0</v>
      </c>
      <c r="P19" s="946">
        <f>SUM(D19:O19)</f>
        <v>-13613852</v>
      </c>
      <c r="Q19" s="947">
        <f>P19/$P$6</f>
        <v>-2.4071391381207036E-2</v>
      </c>
      <c r="R19" s="313"/>
    </row>
    <row r="20" spans="1:18" ht="21" customHeight="1" thickTop="1">
      <c r="A20" s="331" t="s">
        <v>1137</v>
      </c>
      <c r="B20" s="331"/>
      <c r="C20" s="309"/>
      <c r="D20" s="919"/>
      <c r="E20" s="919"/>
      <c r="F20" s="919"/>
      <c r="G20" s="919"/>
      <c r="H20" s="919"/>
      <c r="I20" s="919"/>
      <c r="J20" s="919"/>
      <c r="K20" s="919"/>
      <c r="L20" s="919"/>
      <c r="M20" s="919"/>
      <c r="N20" s="919"/>
      <c r="O20" s="919"/>
      <c r="P20" s="332"/>
      <c r="Q20" s="311"/>
      <c r="R20" s="313"/>
    </row>
    <row r="21" spans="1:18" ht="21" hidden="1" customHeight="1">
      <c r="A21" s="331"/>
      <c r="B21" s="331" t="s">
        <v>894</v>
      </c>
      <c r="C21" s="309"/>
      <c r="D21" s="919"/>
      <c r="E21" s="919"/>
      <c r="F21" s="919"/>
      <c r="G21" s="919"/>
      <c r="H21" s="919"/>
      <c r="I21" s="919"/>
      <c r="J21" s="919"/>
      <c r="K21" s="919"/>
      <c r="L21" s="919"/>
      <c r="M21" s="919"/>
      <c r="N21" s="919"/>
      <c r="O21" s="919"/>
      <c r="P21" s="332"/>
      <c r="Q21" s="311">
        <f t="shared" ref="Q21:Q26" si="6">P21/$P$6</f>
        <v>0</v>
      </c>
      <c r="R21" s="313"/>
    </row>
    <row r="22" spans="1:18" ht="21" hidden="1" customHeight="1">
      <c r="A22" s="331"/>
      <c r="B22" s="331" t="s">
        <v>895</v>
      </c>
      <c r="C22" s="309"/>
      <c r="D22" s="919">
        <v>0</v>
      </c>
      <c r="E22" s="919">
        <v>0</v>
      </c>
      <c r="F22" s="919">
        <v>0</v>
      </c>
      <c r="G22" s="919">
        <v>0</v>
      </c>
      <c r="H22" s="919">
        <v>0</v>
      </c>
      <c r="I22" s="919">
        <v>0</v>
      </c>
      <c r="J22" s="919">
        <v>0</v>
      </c>
      <c r="K22" s="919">
        <v>0</v>
      </c>
      <c r="L22" s="919">
        <v>0</v>
      </c>
      <c r="M22" s="919">
        <v>0</v>
      </c>
      <c r="N22" s="919">
        <v>0</v>
      </c>
      <c r="O22" s="919">
        <v>0</v>
      </c>
      <c r="P22" s="332">
        <f>SUM(D22:O22)</f>
        <v>0</v>
      </c>
      <c r="Q22" s="311">
        <f t="shared" si="6"/>
        <v>0</v>
      </c>
      <c r="R22" s="313"/>
    </row>
    <row r="23" spans="1:18" ht="21" hidden="1" customHeight="1">
      <c r="A23" s="331"/>
      <c r="B23" s="331" t="s">
        <v>896</v>
      </c>
      <c r="C23" s="309"/>
      <c r="D23" s="919">
        <v>0</v>
      </c>
      <c r="E23" s="919">
        <v>0</v>
      </c>
      <c r="F23" s="919">
        <v>0</v>
      </c>
      <c r="G23" s="919">
        <v>0</v>
      </c>
      <c r="H23" s="919">
        <v>0</v>
      </c>
      <c r="I23" s="919">
        <v>0</v>
      </c>
      <c r="J23" s="919">
        <v>0</v>
      </c>
      <c r="K23" s="919">
        <v>0</v>
      </c>
      <c r="L23" s="919">
        <v>0</v>
      </c>
      <c r="M23" s="919">
        <v>0</v>
      </c>
      <c r="N23" s="919">
        <v>0</v>
      </c>
      <c r="O23" s="919">
        <v>0</v>
      </c>
      <c r="P23" s="332">
        <f>SUM(D23:O23)</f>
        <v>0</v>
      </c>
      <c r="Q23" s="311">
        <f t="shared" si="6"/>
        <v>0</v>
      </c>
      <c r="R23" s="313"/>
    </row>
    <row r="24" spans="1:18" s="948" customFormat="1" ht="21" hidden="1" customHeight="1">
      <c r="A24" s="331"/>
      <c r="B24" s="331" t="s">
        <v>1138</v>
      </c>
      <c r="C24" s="332"/>
      <c r="D24" s="919">
        <v>0</v>
      </c>
      <c r="E24" s="919">
        <v>0</v>
      </c>
      <c r="F24" s="919">
        <v>0</v>
      </c>
      <c r="G24" s="919">
        <v>0</v>
      </c>
      <c r="H24" s="919">
        <v>0</v>
      </c>
      <c r="I24" s="919">
        <v>0</v>
      </c>
      <c r="J24" s="919">
        <v>0</v>
      </c>
      <c r="K24" s="919">
        <v>0</v>
      </c>
      <c r="L24" s="919">
        <v>0</v>
      </c>
      <c r="M24" s="919">
        <v>0</v>
      </c>
      <c r="N24" s="919">
        <v>0</v>
      </c>
      <c r="O24" s="919">
        <v>0</v>
      </c>
      <c r="P24" s="332">
        <f>SUM(D24:O24)</f>
        <v>0</v>
      </c>
      <c r="Q24" s="311">
        <f t="shared" si="6"/>
        <v>0</v>
      </c>
    </row>
    <row r="25" spans="1:18" ht="21" hidden="1" customHeight="1">
      <c r="A25" s="331" t="s">
        <v>1138</v>
      </c>
      <c r="B25" s="331"/>
      <c r="C25" s="309"/>
      <c r="D25" s="919">
        <v>0</v>
      </c>
      <c r="E25" s="919">
        <v>0</v>
      </c>
      <c r="F25" s="919">
        <v>0</v>
      </c>
      <c r="G25" s="919">
        <v>0</v>
      </c>
      <c r="H25" s="919">
        <v>0</v>
      </c>
      <c r="I25" s="919">
        <v>0</v>
      </c>
      <c r="J25" s="919">
        <v>0</v>
      </c>
      <c r="K25" s="919">
        <v>0</v>
      </c>
      <c r="L25" s="919">
        <v>0</v>
      </c>
      <c r="M25" s="919">
        <v>0</v>
      </c>
      <c r="N25" s="919">
        <v>0</v>
      </c>
      <c r="O25" s="919">
        <v>0</v>
      </c>
      <c r="P25" s="332">
        <f>SUM(D25:O25)</f>
        <v>0</v>
      </c>
      <c r="Q25" s="311">
        <f t="shared" si="6"/>
        <v>0</v>
      </c>
      <c r="R25" s="313"/>
    </row>
    <row r="26" spans="1:18" ht="21" customHeight="1" thickBot="1">
      <c r="A26" s="943" t="s">
        <v>897</v>
      </c>
      <c r="B26" s="943"/>
      <c r="C26" s="944"/>
      <c r="D26" s="945">
        <f>D19</f>
        <v>-7756173</v>
      </c>
      <c r="E26" s="945">
        <f>E19</f>
        <v>-10972456</v>
      </c>
      <c r="F26" s="945">
        <f t="shared" ref="F26:O26" si="7">F19</f>
        <v>2058472</v>
      </c>
      <c r="G26" s="945">
        <f t="shared" si="7"/>
        <v>-900330</v>
      </c>
      <c r="H26" s="945">
        <f t="shared" si="7"/>
        <v>-1699644</v>
      </c>
      <c r="I26" s="945">
        <f t="shared" si="7"/>
        <v>4012267</v>
      </c>
      <c r="J26" s="945">
        <f t="shared" si="7"/>
        <v>-645828</v>
      </c>
      <c r="K26" s="945">
        <f t="shared" si="7"/>
        <v>2289840</v>
      </c>
      <c r="L26" s="945">
        <f t="shared" si="7"/>
        <v>0</v>
      </c>
      <c r="M26" s="945">
        <f t="shared" si="7"/>
        <v>0</v>
      </c>
      <c r="N26" s="945">
        <f t="shared" si="7"/>
        <v>0</v>
      </c>
      <c r="O26" s="945">
        <f t="shared" si="7"/>
        <v>0</v>
      </c>
      <c r="P26" s="946">
        <f>SUM(D26:O26)</f>
        <v>-13613852</v>
      </c>
      <c r="Q26" s="949">
        <f t="shared" si="6"/>
        <v>-2.4071391381207036E-2</v>
      </c>
      <c r="R26" s="313"/>
    </row>
    <row r="27" spans="1:18" s="309" customFormat="1" ht="12.75" customHeight="1" thickTop="1">
      <c r="D27" s="332"/>
      <c r="E27" s="332"/>
      <c r="F27" s="332"/>
      <c r="G27" s="332"/>
      <c r="H27" s="332"/>
      <c r="I27" s="332"/>
      <c r="J27" s="332"/>
      <c r="K27" s="332"/>
      <c r="L27" s="332"/>
      <c r="M27" s="332"/>
      <c r="N27" s="332"/>
      <c r="O27" s="332"/>
      <c r="P27" s="332"/>
      <c r="Q27" s="311"/>
    </row>
    <row r="28" spans="1:18" s="335" customFormat="1" ht="21" customHeight="1">
      <c r="A28" s="309" t="s">
        <v>1139</v>
      </c>
      <c r="B28" s="331" t="s">
        <v>1140</v>
      </c>
      <c r="C28" s="309"/>
      <c r="D28" s="332">
        <f>IS明細!D77</f>
        <v>2874749</v>
      </c>
      <c r="E28" s="332">
        <f>IS明細!F77</f>
        <v>2763471</v>
      </c>
      <c r="F28" s="332">
        <f>IS明細!H77</f>
        <v>-7456555</v>
      </c>
      <c r="G28" s="332">
        <f>IS明細!J77</f>
        <v>-591918</v>
      </c>
      <c r="H28" s="332">
        <f>IS明細!L77</f>
        <v>1054460</v>
      </c>
      <c r="I28" s="332">
        <f>IS明細!N77</f>
        <v>-1470722</v>
      </c>
      <c r="J28" s="332">
        <f>IS明細!P77</f>
        <v>-2031582</v>
      </c>
      <c r="K28" s="332">
        <f>IS明細!R77</f>
        <v>23984</v>
      </c>
      <c r="L28" s="332">
        <f>IS明細!T77</f>
        <v>0</v>
      </c>
      <c r="M28" s="332">
        <f>IS明細!V77</f>
        <v>0</v>
      </c>
      <c r="N28" s="332">
        <f>IS明細!X77</f>
        <v>0</v>
      </c>
      <c r="O28" s="332">
        <f>IS明細!Z77</f>
        <v>0</v>
      </c>
      <c r="P28" s="333">
        <f>SUM(D28:O28)</f>
        <v>-4834113</v>
      </c>
      <c r="Q28" s="334"/>
    </row>
    <row r="29" spans="1:18" s="335" customFormat="1" ht="21" customHeight="1">
      <c r="D29" s="950"/>
      <c r="E29" s="950"/>
      <c r="F29" s="950"/>
      <c r="G29" s="950"/>
      <c r="H29" s="950"/>
      <c r="I29" s="950"/>
      <c r="J29" s="950"/>
      <c r="K29" s="950"/>
      <c r="L29" s="950"/>
      <c r="M29" s="950"/>
      <c r="N29" s="950"/>
      <c r="O29" s="950"/>
      <c r="P29" s="950"/>
      <c r="Q29" s="334"/>
    </row>
    <row r="30" spans="1:18" s="335" customFormat="1" ht="21" customHeight="1">
      <c r="D30" s="950"/>
      <c r="E30" s="950"/>
      <c r="F30" s="950"/>
      <c r="G30" s="950"/>
      <c r="H30" s="950"/>
      <c r="I30" s="950"/>
      <c r="J30" s="950"/>
      <c r="K30" s="950"/>
      <c r="L30" s="950"/>
      <c r="M30" s="950"/>
      <c r="N30" s="950"/>
      <c r="O30" s="950"/>
      <c r="P30" s="950"/>
      <c r="Q30" s="334"/>
    </row>
    <row r="31" spans="1:18" s="335" customFormat="1" ht="21" customHeight="1">
      <c r="D31" s="950"/>
      <c r="E31" s="950"/>
      <c r="F31" s="950"/>
      <c r="G31" s="950"/>
      <c r="H31" s="950"/>
      <c r="I31" s="950"/>
      <c r="J31" s="950"/>
      <c r="K31" s="950"/>
      <c r="L31" s="950"/>
      <c r="M31" s="950"/>
      <c r="N31" s="950"/>
      <c r="O31" s="950"/>
      <c r="P31" s="950"/>
      <c r="Q31" s="334"/>
    </row>
    <row r="32" spans="1:18" s="335" customFormat="1" ht="21" customHeight="1">
      <c r="D32" s="950"/>
      <c r="E32" s="950"/>
      <c r="F32" s="950"/>
      <c r="G32" s="950"/>
      <c r="H32" s="950"/>
      <c r="I32" s="950"/>
      <c r="J32" s="950"/>
      <c r="K32" s="950"/>
      <c r="L32" s="950"/>
      <c r="M32" s="950"/>
      <c r="N32" s="950"/>
      <c r="O32" s="950"/>
      <c r="P32" s="950"/>
      <c r="Q32" s="334"/>
    </row>
    <row r="33" spans="4:18" s="335" customFormat="1" ht="21" customHeight="1">
      <c r="D33" s="950"/>
      <c r="E33" s="950"/>
      <c r="F33" s="950"/>
      <c r="G33" s="950"/>
      <c r="H33" s="950"/>
      <c r="I33" s="950"/>
      <c r="J33" s="950"/>
      <c r="K33" s="950"/>
      <c r="L33" s="950"/>
      <c r="M33" s="950"/>
      <c r="N33" s="950"/>
      <c r="O33" s="950"/>
      <c r="P33" s="950"/>
      <c r="Q33" s="334"/>
    </row>
    <row r="34" spans="4:18" s="335" customFormat="1" ht="21" customHeight="1">
      <c r="D34" s="950"/>
      <c r="E34" s="950"/>
      <c r="F34" s="950"/>
      <c r="G34" s="950"/>
      <c r="H34" s="950"/>
      <c r="I34" s="950"/>
      <c r="J34" s="950"/>
      <c r="K34" s="950"/>
      <c r="L34" s="950"/>
      <c r="M34" s="950"/>
      <c r="N34" s="950"/>
      <c r="O34" s="950"/>
      <c r="P34" s="950"/>
      <c r="Q34" s="334"/>
    </row>
    <row r="35" spans="4:18" ht="21" customHeight="1">
      <c r="R35" s="313"/>
    </row>
    <row r="36" spans="4:18" ht="21" customHeight="1">
      <c r="R36" s="313"/>
    </row>
    <row r="37" spans="4:18" ht="21" customHeight="1">
      <c r="R37" s="313"/>
    </row>
    <row r="38" spans="4:18" ht="21" customHeight="1">
      <c r="R38" s="313"/>
    </row>
    <row r="39" spans="4:18" ht="21" customHeight="1">
      <c r="R39" s="313"/>
    </row>
    <row r="40" spans="4:18" ht="21" customHeight="1">
      <c r="R40" s="313"/>
    </row>
    <row r="41" spans="4:18" ht="21" customHeight="1">
      <c r="R41" s="313"/>
    </row>
    <row r="42" spans="4:18" ht="21" customHeight="1">
      <c r="R42" s="313"/>
    </row>
    <row r="43" spans="4:18" ht="21" customHeight="1">
      <c r="R43" s="313"/>
    </row>
    <row r="44" spans="4:18" ht="21" customHeight="1">
      <c r="R44" s="313"/>
    </row>
    <row r="45" spans="4:18" ht="21" customHeight="1">
      <c r="R45" s="313"/>
    </row>
    <row r="46" spans="4:18" ht="21" customHeight="1">
      <c r="R46" s="313"/>
    </row>
    <row r="47" spans="4:18" ht="21" customHeight="1">
      <c r="R47" s="313"/>
    </row>
    <row r="48" spans="4:18" ht="21" customHeight="1">
      <c r="R48" s="313"/>
    </row>
    <row r="49" spans="18:18" ht="21" customHeight="1">
      <c r="R49" s="313"/>
    </row>
    <row r="50" spans="18:18" ht="21" customHeight="1">
      <c r="R50" s="313"/>
    </row>
    <row r="51" spans="18:18" ht="21" customHeight="1">
      <c r="R51" s="313"/>
    </row>
    <row r="52" spans="18:18" ht="21" customHeight="1">
      <c r="R52" s="313"/>
    </row>
    <row r="53" spans="18:18" ht="21" customHeight="1">
      <c r="R53" s="313"/>
    </row>
    <row r="54" spans="18:18" ht="21" customHeight="1">
      <c r="R54" s="313"/>
    </row>
    <row r="55" spans="18:18" ht="21" customHeight="1">
      <c r="R55" s="313"/>
    </row>
    <row r="56" spans="18:18" ht="21" customHeight="1">
      <c r="R56" s="313"/>
    </row>
    <row r="57" spans="18:18" ht="21" customHeight="1">
      <c r="R57" s="313"/>
    </row>
    <row r="58" spans="18:18" ht="21" customHeight="1">
      <c r="R58" s="313"/>
    </row>
    <row r="59" spans="18:18" ht="21" customHeight="1">
      <c r="R59" s="313"/>
    </row>
    <row r="60" spans="18:18" ht="21" customHeight="1">
      <c r="R60" s="313"/>
    </row>
    <row r="61" spans="18:18" ht="21" customHeight="1">
      <c r="R61" s="313"/>
    </row>
    <row r="62" spans="18:18" ht="21" customHeight="1">
      <c r="R62" s="313"/>
    </row>
    <row r="63" spans="18:18" ht="21" customHeight="1">
      <c r="R63" s="313"/>
    </row>
    <row r="64" spans="18:18" ht="21" customHeight="1">
      <c r="R64" s="313"/>
    </row>
    <row r="65" spans="18:18" ht="21" customHeight="1">
      <c r="R65" s="313"/>
    </row>
    <row r="66" spans="18:18" ht="21" customHeight="1">
      <c r="R66" s="313"/>
    </row>
    <row r="67" spans="18:18" ht="21" customHeight="1">
      <c r="R67" s="313"/>
    </row>
    <row r="68" spans="18:18" ht="21" customHeight="1">
      <c r="R68" s="313"/>
    </row>
    <row r="69" spans="18:18" ht="21" customHeight="1">
      <c r="R69" s="313"/>
    </row>
    <row r="70" spans="18:18" ht="21" customHeight="1">
      <c r="R70" s="313"/>
    </row>
    <row r="71" spans="18:18" ht="21" customHeight="1">
      <c r="R71" s="313"/>
    </row>
    <row r="72" spans="18:18" ht="21" customHeight="1">
      <c r="R72" s="313"/>
    </row>
    <row r="73" spans="18:18" ht="21" customHeight="1">
      <c r="R73" s="313"/>
    </row>
    <row r="74" spans="18:18" ht="21" customHeight="1">
      <c r="R74" s="313"/>
    </row>
    <row r="75" spans="18:18" ht="21" customHeight="1">
      <c r="R75" s="313"/>
    </row>
    <row r="76" spans="18:18" ht="21" customHeight="1">
      <c r="R76" s="313"/>
    </row>
    <row r="77" spans="18:18" ht="21" customHeight="1">
      <c r="R77" s="313"/>
    </row>
    <row r="78" spans="18:18" ht="21" customHeight="1">
      <c r="R78" s="313"/>
    </row>
    <row r="79" spans="18:18" ht="21" customHeight="1">
      <c r="R79" s="313"/>
    </row>
    <row r="80" spans="18:18" ht="21" customHeight="1">
      <c r="R80" s="313"/>
    </row>
    <row r="81" spans="18:18" ht="21" customHeight="1">
      <c r="R81" s="313"/>
    </row>
    <row r="82" spans="18:18" ht="21" customHeight="1">
      <c r="R82" s="313"/>
    </row>
    <row r="83" spans="18:18" ht="21" customHeight="1">
      <c r="R83" s="313"/>
    </row>
    <row r="84" spans="18:18" ht="21" customHeight="1">
      <c r="R84" s="313"/>
    </row>
    <row r="85" spans="18:18" ht="21" customHeight="1">
      <c r="R85" s="313"/>
    </row>
    <row r="86" spans="18:18" ht="21" customHeight="1">
      <c r="R86" s="313"/>
    </row>
    <row r="87" spans="18:18" ht="21" customHeight="1">
      <c r="R87" s="313"/>
    </row>
    <row r="88" spans="18:18" ht="21" customHeight="1">
      <c r="R88" s="313"/>
    </row>
    <row r="89" spans="18:18" ht="21" customHeight="1">
      <c r="R89" s="313"/>
    </row>
    <row r="90" spans="18:18" ht="21" customHeight="1">
      <c r="R90" s="313"/>
    </row>
    <row r="91" spans="18:18" ht="21" customHeight="1">
      <c r="R91" s="313"/>
    </row>
    <row r="92" spans="18:18" ht="21" customHeight="1">
      <c r="R92" s="313"/>
    </row>
    <row r="93" spans="18:18" ht="21" customHeight="1">
      <c r="R93" s="313"/>
    </row>
    <row r="94" spans="18:18" ht="21" customHeight="1">
      <c r="R94" s="313"/>
    </row>
    <row r="95" spans="18:18" ht="21" customHeight="1">
      <c r="R95" s="313"/>
    </row>
    <row r="96" spans="18:18" ht="21" customHeight="1">
      <c r="R96" s="313"/>
    </row>
    <row r="97" spans="18:18" ht="21" customHeight="1">
      <c r="R97" s="313"/>
    </row>
    <row r="98" spans="18:18" ht="21" customHeight="1">
      <c r="R98" s="313"/>
    </row>
    <row r="99" spans="18:18" ht="21" customHeight="1">
      <c r="R99" s="313"/>
    </row>
    <row r="100" spans="18:18" ht="21" customHeight="1">
      <c r="R100" s="313"/>
    </row>
    <row r="101" spans="18:18" ht="21" customHeight="1">
      <c r="R101" s="313"/>
    </row>
    <row r="102" spans="18:18" ht="21" customHeight="1">
      <c r="R102" s="313"/>
    </row>
    <row r="103" spans="18:18" ht="21" customHeight="1">
      <c r="R103" s="313"/>
    </row>
    <row r="104" spans="18:18" ht="21" customHeight="1">
      <c r="R104" s="313"/>
    </row>
    <row r="105" spans="18:18" ht="21" customHeight="1">
      <c r="R105" s="313"/>
    </row>
    <row r="106" spans="18:18" ht="21" customHeight="1">
      <c r="R106" s="313"/>
    </row>
    <row r="107" spans="18:18" ht="21" customHeight="1">
      <c r="R107" s="313"/>
    </row>
    <row r="108" spans="18:18" ht="21" customHeight="1">
      <c r="R108" s="313"/>
    </row>
    <row r="109" spans="18:18" ht="21" customHeight="1">
      <c r="R109" s="313"/>
    </row>
    <row r="110" spans="18:18" ht="21" customHeight="1">
      <c r="R110" s="313"/>
    </row>
    <row r="111" spans="18:18" ht="21" customHeight="1">
      <c r="R111" s="313"/>
    </row>
    <row r="112" spans="18:18" ht="21" customHeight="1">
      <c r="R112" s="313"/>
    </row>
    <row r="113" spans="18:18" ht="21" customHeight="1">
      <c r="R113" s="313"/>
    </row>
    <row r="114" spans="18:18" ht="21" customHeight="1">
      <c r="R114" s="313"/>
    </row>
    <row r="115" spans="18:18" ht="21" customHeight="1">
      <c r="R115" s="313"/>
    </row>
    <row r="116" spans="18:18" ht="21" customHeight="1">
      <c r="R116" s="313"/>
    </row>
    <row r="117" spans="18:18" ht="21" customHeight="1">
      <c r="R117" s="313"/>
    </row>
    <row r="118" spans="18:18" ht="21" customHeight="1">
      <c r="R118" s="313"/>
    </row>
    <row r="119" spans="18:18" ht="21" customHeight="1">
      <c r="R119" s="313"/>
    </row>
    <row r="120" spans="18:18" ht="21" customHeight="1">
      <c r="R120" s="313"/>
    </row>
    <row r="121" spans="18:18" ht="21" customHeight="1">
      <c r="R121" s="313"/>
    </row>
    <row r="122" spans="18:18" ht="21" customHeight="1">
      <c r="R122" s="313"/>
    </row>
    <row r="123" spans="18:18" ht="21" customHeight="1">
      <c r="R123" s="313"/>
    </row>
    <row r="124" spans="18:18" ht="21" customHeight="1">
      <c r="R124" s="313"/>
    </row>
    <row r="125" spans="18:18" ht="21" customHeight="1">
      <c r="R125" s="313"/>
    </row>
    <row r="126" spans="18:18" ht="21" customHeight="1">
      <c r="R126" s="313"/>
    </row>
    <row r="127" spans="18:18" ht="21" customHeight="1">
      <c r="R127" s="313"/>
    </row>
    <row r="128" spans="18:18" ht="21" customHeight="1">
      <c r="R128" s="313"/>
    </row>
    <row r="129" spans="18:18" ht="21" customHeight="1">
      <c r="R129" s="313"/>
    </row>
    <row r="130" spans="18:18" ht="21" customHeight="1">
      <c r="R130" s="313"/>
    </row>
    <row r="131" spans="18:18" ht="21" customHeight="1">
      <c r="R131" s="313"/>
    </row>
    <row r="132" spans="18:18" ht="21" customHeight="1">
      <c r="R132" s="313"/>
    </row>
    <row r="133" spans="18:18" ht="21" customHeight="1">
      <c r="R133" s="313"/>
    </row>
    <row r="134" spans="18:18" ht="21" customHeight="1">
      <c r="R134" s="313"/>
    </row>
    <row r="135" spans="18:18" ht="21" customHeight="1">
      <c r="R135" s="313"/>
    </row>
    <row r="136" spans="18:18" ht="21" customHeight="1">
      <c r="R136" s="313"/>
    </row>
    <row r="137" spans="18:18" ht="21" customHeight="1">
      <c r="R137" s="313"/>
    </row>
    <row r="138" spans="18:18" ht="21" customHeight="1">
      <c r="R138" s="313"/>
    </row>
    <row r="139" spans="18:18" ht="21" customHeight="1">
      <c r="R139" s="313"/>
    </row>
    <row r="140" spans="18:18" ht="21" customHeight="1">
      <c r="R140" s="313"/>
    </row>
    <row r="141" spans="18:18" ht="21" customHeight="1">
      <c r="R141" s="313"/>
    </row>
    <row r="142" spans="18:18" ht="21" customHeight="1">
      <c r="R142" s="313"/>
    </row>
    <row r="143" spans="18:18" ht="21" customHeight="1">
      <c r="R143" s="313"/>
    </row>
    <row r="144" spans="18:18" ht="21" customHeight="1">
      <c r="R144" s="313"/>
    </row>
    <row r="145" spans="18:18" ht="21" customHeight="1">
      <c r="R145" s="313"/>
    </row>
    <row r="146" spans="18:18" ht="21" customHeight="1">
      <c r="R146" s="313"/>
    </row>
    <row r="147" spans="18:18" ht="21" customHeight="1">
      <c r="R147" s="313"/>
    </row>
    <row r="148" spans="18:18" ht="21" customHeight="1">
      <c r="R148" s="313"/>
    </row>
    <row r="149" spans="18:18" ht="21" customHeight="1">
      <c r="R149" s="313"/>
    </row>
    <row r="150" spans="18:18" ht="21" customHeight="1">
      <c r="R150" s="313"/>
    </row>
    <row r="151" spans="18:18" ht="21" customHeight="1">
      <c r="R151" s="313"/>
    </row>
    <row r="152" spans="18:18" ht="21" customHeight="1">
      <c r="R152" s="313"/>
    </row>
    <row r="153" spans="18:18" ht="21" customHeight="1">
      <c r="R153" s="313"/>
    </row>
    <row r="154" spans="18:18" ht="21" customHeight="1">
      <c r="R154" s="313"/>
    </row>
    <row r="155" spans="18:18" ht="21" customHeight="1">
      <c r="R155" s="313"/>
    </row>
    <row r="156" spans="18:18" ht="21" customHeight="1">
      <c r="R156" s="313"/>
    </row>
    <row r="157" spans="18:18" ht="21" customHeight="1">
      <c r="R157" s="313"/>
    </row>
    <row r="158" spans="18:18" ht="21" customHeight="1">
      <c r="R158" s="313"/>
    </row>
    <row r="159" spans="18:18" ht="21" customHeight="1">
      <c r="R159" s="313"/>
    </row>
    <row r="160" spans="18:18" ht="21" customHeight="1">
      <c r="R160" s="313"/>
    </row>
    <row r="161" spans="18:18" ht="21" customHeight="1">
      <c r="R161" s="313"/>
    </row>
    <row r="162" spans="18:18" ht="21" customHeight="1">
      <c r="R162" s="313"/>
    </row>
    <row r="163" spans="18:18" ht="21" customHeight="1">
      <c r="R163" s="313"/>
    </row>
    <row r="164" spans="18:18" ht="21" customHeight="1">
      <c r="R164" s="313"/>
    </row>
    <row r="165" spans="18:18" ht="21" customHeight="1">
      <c r="R165" s="313"/>
    </row>
    <row r="166" spans="18:18" ht="21" customHeight="1">
      <c r="R166" s="313"/>
    </row>
    <row r="167" spans="18:18" ht="21" customHeight="1">
      <c r="R167" s="313"/>
    </row>
    <row r="168" spans="18:18" ht="21" customHeight="1">
      <c r="R168" s="313"/>
    </row>
    <row r="169" spans="18:18" ht="21" customHeight="1">
      <c r="R169" s="313"/>
    </row>
    <row r="170" spans="18:18" ht="21" customHeight="1">
      <c r="R170" s="313"/>
    </row>
    <row r="171" spans="18:18" ht="21" customHeight="1">
      <c r="R171" s="313"/>
    </row>
    <row r="172" spans="18:18" ht="21" customHeight="1">
      <c r="R172" s="313"/>
    </row>
    <row r="173" spans="18:18" ht="21" customHeight="1">
      <c r="R173" s="313"/>
    </row>
    <row r="174" spans="18:18" ht="21" customHeight="1">
      <c r="R174" s="313"/>
    </row>
    <row r="175" spans="18:18" ht="21" customHeight="1">
      <c r="R175" s="313"/>
    </row>
    <row r="176" spans="18:18" ht="21" customHeight="1">
      <c r="R176" s="313"/>
    </row>
    <row r="177" spans="18:18" ht="21" customHeight="1">
      <c r="R177" s="313"/>
    </row>
    <row r="178" spans="18:18" ht="21" customHeight="1">
      <c r="R178" s="313"/>
    </row>
    <row r="179" spans="18:18" ht="21" customHeight="1">
      <c r="R179" s="313"/>
    </row>
    <row r="180" spans="18:18" ht="21" customHeight="1">
      <c r="R180" s="313"/>
    </row>
    <row r="181" spans="18:18" ht="21" customHeight="1">
      <c r="R181" s="313"/>
    </row>
    <row r="182" spans="18:18" ht="21" customHeight="1">
      <c r="R182" s="313"/>
    </row>
    <row r="183" spans="18:18" ht="21" customHeight="1">
      <c r="R183" s="313"/>
    </row>
    <row r="184" spans="18:18" ht="21" customHeight="1">
      <c r="R184" s="313"/>
    </row>
    <row r="185" spans="18:18" ht="21" customHeight="1">
      <c r="R185" s="313"/>
    </row>
    <row r="186" spans="18:18" ht="21" customHeight="1">
      <c r="R186" s="313"/>
    </row>
    <row r="187" spans="18:18" ht="21" customHeight="1">
      <c r="R187" s="313"/>
    </row>
    <row r="188" spans="18:18" ht="21" customHeight="1">
      <c r="R188" s="313"/>
    </row>
    <row r="189" spans="18:18" ht="21" customHeight="1">
      <c r="R189" s="313"/>
    </row>
    <row r="190" spans="18:18" ht="21" customHeight="1">
      <c r="R190" s="313"/>
    </row>
    <row r="191" spans="18:18" ht="21" customHeight="1">
      <c r="R191" s="313"/>
    </row>
    <row r="192" spans="18:18" ht="21" customHeight="1">
      <c r="R192" s="313"/>
    </row>
    <row r="193" spans="18:18" ht="21" customHeight="1">
      <c r="R193" s="313"/>
    </row>
    <row r="194" spans="18:18" ht="21" customHeight="1">
      <c r="R194" s="313"/>
    </row>
    <row r="195" spans="18:18" ht="21" customHeight="1">
      <c r="R195" s="313"/>
    </row>
    <row r="196" spans="18:18" ht="21" customHeight="1">
      <c r="R196" s="313"/>
    </row>
    <row r="197" spans="18:18" ht="21" customHeight="1">
      <c r="R197" s="313"/>
    </row>
    <row r="198" spans="18:18" ht="21" customHeight="1">
      <c r="R198" s="313"/>
    </row>
    <row r="199" spans="18:18" ht="21" customHeight="1">
      <c r="R199" s="313"/>
    </row>
    <row r="200" spans="18:18" ht="21" customHeight="1">
      <c r="R200" s="313"/>
    </row>
    <row r="201" spans="18:18" ht="21" customHeight="1">
      <c r="R201" s="313"/>
    </row>
    <row r="202" spans="18:18" ht="21" customHeight="1">
      <c r="R202" s="313"/>
    </row>
    <row r="203" spans="18:18" ht="21" customHeight="1">
      <c r="R203" s="313"/>
    </row>
    <row r="204" spans="18:18" ht="21" customHeight="1">
      <c r="R204" s="313"/>
    </row>
    <row r="205" spans="18:18" ht="21" customHeight="1">
      <c r="R205" s="313"/>
    </row>
    <row r="206" spans="18:18" ht="21" customHeight="1">
      <c r="R206" s="313"/>
    </row>
    <row r="207" spans="18:18" ht="21" customHeight="1">
      <c r="R207" s="313"/>
    </row>
    <row r="208" spans="18:18" ht="21" customHeight="1">
      <c r="R208" s="313"/>
    </row>
    <row r="209" spans="18:18" ht="21" customHeight="1">
      <c r="R209" s="313"/>
    </row>
    <row r="210" spans="18:18" ht="21" customHeight="1">
      <c r="R210" s="313"/>
    </row>
    <row r="211" spans="18:18" ht="21" customHeight="1">
      <c r="R211" s="313"/>
    </row>
    <row r="212" spans="18:18" ht="21" customHeight="1">
      <c r="R212" s="313"/>
    </row>
    <row r="213" spans="18:18" ht="21" customHeight="1">
      <c r="R213" s="313"/>
    </row>
    <row r="214" spans="18:18" ht="21" customHeight="1">
      <c r="R214" s="313"/>
    </row>
    <row r="215" spans="18:18" ht="21" customHeight="1">
      <c r="R215" s="313"/>
    </row>
    <row r="216" spans="18:18" ht="21" customHeight="1">
      <c r="R216" s="313"/>
    </row>
    <row r="217" spans="18:18" ht="21" customHeight="1">
      <c r="R217" s="313"/>
    </row>
    <row r="218" spans="18:18" ht="21" customHeight="1">
      <c r="R218" s="313"/>
    </row>
    <row r="219" spans="18:18" ht="21" customHeight="1">
      <c r="R219" s="313"/>
    </row>
    <row r="220" spans="18:18" ht="21" customHeight="1">
      <c r="R220" s="313"/>
    </row>
    <row r="221" spans="18:18" ht="21" customHeight="1">
      <c r="R221" s="313"/>
    </row>
    <row r="222" spans="18:18" ht="21" customHeight="1">
      <c r="R222" s="313"/>
    </row>
    <row r="223" spans="18:18" ht="21" customHeight="1">
      <c r="R223" s="313"/>
    </row>
    <row r="224" spans="18:18" ht="21" customHeight="1">
      <c r="R224" s="313"/>
    </row>
    <row r="225" spans="18:18" ht="21" customHeight="1">
      <c r="R225" s="313"/>
    </row>
    <row r="226" spans="18:18" ht="21" customHeight="1">
      <c r="R226" s="313"/>
    </row>
    <row r="227" spans="18:18" ht="21" customHeight="1">
      <c r="R227" s="313"/>
    </row>
    <row r="228" spans="18:18" ht="21" customHeight="1">
      <c r="R228" s="313"/>
    </row>
    <row r="229" spans="18:18" ht="21" customHeight="1">
      <c r="R229" s="313"/>
    </row>
    <row r="230" spans="18:18" ht="21" customHeight="1">
      <c r="R230" s="313"/>
    </row>
    <row r="231" spans="18:18" ht="21" customHeight="1">
      <c r="R231" s="313"/>
    </row>
    <row r="232" spans="18:18" ht="21" customHeight="1">
      <c r="R232" s="313"/>
    </row>
    <row r="233" spans="18:18" ht="21" customHeight="1">
      <c r="R233" s="313"/>
    </row>
    <row r="234" spans="18:18" ht="21" customHeight="1">
      <c r="R234" s="313"/>
    </row>
    <row r="235" spans="18:18" ht="21" customHeight="1">
      <c r="R235" s="313"/>
    </row>
    <row r="236" spans="18:18" ht="21" customHeight="1">
      <c r="R236" s="313"/>
    </row>
    <row r="237" spans="18:18" ht="21" customHeight="1">
      <c r="R237" s="313"/>
    </row>
    <row r="238" spans="18:18" ht="21" customHeight="1">
      <c r="R238" s="313"/>
    </row>
    <row r="239" spans="18:18" ht="21" customHeight="1">
      <c r="R239" s="313"/>
    </row>
    <row r="240" spans="18:18" ht="21" customHeight="1">
      <c r="R240" s="313"/>
    </row>
    <row r="241" spans="18:18" ht="21" customHeight="1">
      <c r="R241" s="313"/>
    </row>
    <row r="242" spans="18:18" ht="21" customHeight="1">
      <c r="R242" s="313"/>
    </row>
    <row r="243" spans="18:18" ht="21" customHeight="1">
      <c r="R243" s="313"/>
    </row>
    <row r="244" spans="18:18" ht="21" customHeight="1">
      <c r="R244" s="313"/>
    </row>
    <row r="245" spans="18:18" ht="21" customHeight="1">
      <c r="R245" s="313"/>
    </row>
    <row r="246" spans="18:18" ht="21" customHeight="1">
      <c r="R246" s="313"/>
    </row>
    <row r="247" spans="18:18" ht="21" customHeight="1">
      <c r="R247" s="313"/>
    </row>
    <row r="248" spans="18:18" ht="21" customHeight="1">
      <c r="R248" s="313"/>
    </row>
    <row r="249" spans="18:18" ht="21" customHeight="1">
      <c r="R249" s="313"/>
    </row>
    <row r="250" spans="18:18" ht="21" customHeight="1">
      <c r="R250" s="313"/>
    </row>
    <row r="251" spans="18:18" ht="21" customHeight="1">
      <c r="R251" s="313"/>
    </row>
    <row r="252" spans="18:18" ht="21" customHeight="1">
      <c r="R252" s="313"/>
    </row>
    <row r="253" spans="18:18" ht="21" customHeight="1">
      <c r="R253" s="313"/>
    </row>
    <row r="254" spans="18:18" ht="21" customHeight="1">
      <c r="R254" s="313"/>
    </row>
    <row r="255" spans="18:18" ht="21" customHeight="1">
      <c r="R255" s="313"/>
    </row>
    <row r="256" spans="18:18" ht="21" customHeight="1">
      <c r="R256" s="313"/>
    </row>
    <row r="257" spans="18:18" ht="21" customHeight="1">
      <c r="R257" s="313"/>
    </row>
    <row r="258" spans="18:18" ht="21" customHeight="1">
      <c r="R258" s="313"/>
    </row>
    <row r="259" spans="18:18" ht="21" customHeight="1">
      <c r="R259" s="313"/>
    </row>
    <row r="260" spans="18:18" ht="21" customHeight="1">
      <c r="R260" s="313"/>
    </row>
    <row r="261" spans="18:18" ht="21" customHeight="1">
      <c r="R261" s="313"/>
    </row>
    <row r="262" spans="18:18" ht="21" customHeight="1">
      <c r="R262" s="313"/>
    </row>
    <row r="263" spans="18:18" ht="21" customHeight="1">
      <c r="R263" s="313"/>
    </row>
    <row r="264" spans="18:18" ht="21" customHeight="1">
      <c r="R264" s="313"/>
    </row>
    <row r="265" spans="18:18" ht="21" customHeight="1">
      <c r="R265" s="313"/>
    </row>
    <row r="266" spans="18:18" ht="21" customHeight="1">
      <c r="R266" s="313"/>
    </row>
    <row r="267" spans="18:18" ht="21" customHeight="1">
      <c r="R267" s="313"/>
    </row>
    <row r="268" spans="18:18" ht="21" customHeight="1">
      <c r="R268" s="313"/>
    </row>
    <row r="269" spans="18:18" ht="21" customHeight="1">
      <c r="R269" s="313"/>
    </row>
    <row r="270" spans="18:18" ht="21" customHeight="1">
      <c r="R270" s="313"/>
    </row>
    <row r="271" spans="18:18" ht="21" customHeight="1">
      <c r="R271" s="313"/>
    </row>
    <row r="272" spans="18:18" ht="21" customHeight="1">
      <c r="R272" s="313"/>
    </row>
    <row r="273" spans="18:18" ht="21" customHeight="1">
      <c r="R273" s="313"/>
    </row>
    <row r="274" spans="18:18" ht="21" customHeight="1">
      <c r="R274" s="313"/>
    </row>
    <row r="275" spans="18:18" ht="21" customHeight="1">
      <c r="R275" s="313"/>
    </row>
    <row r="276" spans="18:18" ht="21" customHeight="1">
      <c r="R276" s="313"/>
    </row>
    <row r="277" spans="18:18" ht="21" customHeight="1">
      <c r="R277" s="313"/>
    </row>
    <row r="278" spans="18:18" ht="21" customHeight="1">
      <c r="R278" s="313"/>
    </row>
    <row r="279" spans="18:18" ht="21" customHeight="1">
      <c r="R279" s="313"/>
    </row>
    <row r="280" spans="18:18" ht="21" customHeight="1">
      <c r="R280" s="313"/>
    </row>
    <row r="281" spans="18:18" ht="21" customHeight="1">
      <c r="R281" s="313"/>
    </row>
    <row r="282" spans="18:18" ht="21" customHeight="1">
      <c r="R282" s="313"/>
    </row>
    <row r="283" spans="18:18" ht="21" customHeight="1">
      <c r="R283" s="313"/>
    </row>
    <row r="284" spans="18:18" ht="21" customHeight="1">
      <c r="R284" s="313"/>
    </row>
    <row r="285" spans="18:18" ht="21" customHeight="1">
      <c r="R285" s="313"/>
    </row>
    <row r="286" spans="18:18" ht="21" customHeight="1">
      <c r="R286" s="313"/>
    </row>
    <row r="287" spans="18:18" ht="21" customHeight="1">
      <c r="R287" s="313"/>
    </row>
    <row r="288" spans="18:18" ht="21" customHeight="1">
      <c r="R288" s="313"/>
    </row>
    <row r="289" spans="18:18" ht="21" customHeight="1">
      <c r="R289" s="313"/>
    </row>
    <row r="290" spans="18:18" ht="21" customHeight="1">
      <c r="R290" s="313"/>
    </row>
    <row r="291" spans="18:18" ht="21" customHeight="1">
      <c r="R291" s="313"/>
    </row>
    <row r="292" spans="18:18" ht="21" customHeight="1">
      <c r="R292" s="313"/>
    </row>
    <row r="293" spans="18:18" ht="21" customHeight="1">
      <c r="R293" s="313"/>
    </row>
    <row r="294" spans="18:18" ht="21" customHeight="1">
      <c r="R294" s="313"/>
    </row>
    <row r="295" spans="18:18" ht="21" customHeight="1">
      <c r="R295" s="313"/>
    </row>
    <row r="296" spans="18:18" ht="21" customHeight="1">
      <c r="R296" s="313"/>
    </row>
    <row r="297" spans="18:18" ht="21" customHeight="1">
      <c r="R297" s="313"/>
    </row>
    <row r="298" spans="18:18" ht="21" customHeight="1">
      <c r="R298" s="313"/>
    </row>
    <row r="299" spans="18:18" ht="21" customHeight="1">
      <c r="R299" s="313"/>
    </row>
    <row r="300" spans="18:18" ht="21" customHeight="1">
      <c r="R300" s="313"/>
    </row>
    <row r="301" spans="18:18" ht="21" customHeight="1">
      <c r="R301" s="313"/>
    </row>
    <row r="302" spans="18:18" ht="21" customHeight="1">
      <c r="R302" s="313"/>
    </row>
    <row r="303" spans="18:18" ht="21" customHeight="1">
      <c r="R303" s="313"/>
    </row>
    <row r="304" spans="18:18" ht="21" customHeight="1">
      <c r="R304" s="313"/>
    </row>
    <row r="305" spans="18:18" ht="21" customHeight="1">
      <c r="R305" s="313"/>
    </row>
    <row r="306" spans="18:18" ht="21" customHeight="1">
      <c r="R306" s="313"/>
    </row>
    <row r="307" spans="18:18" ht="21" customHeight="1">
      <c r="R307" s="313"/>
    </row>
    <row r="308" spans="18:18" ht="21" customHeight="1">
      <c r="R308" s="313"/>
    </row>
    <row r="309" spans="18:18" ht="21" customHeight="1">
      <c r="R309" s="313"/>
    </row>
    <row r="310" spans="18:18" ht="21" customHeight="1">
      <c r="R310" s="313"/>
    </row>
    <row r="311" spans="18:18" ht="21" customHeight="1">
      <c r="R311" s="313"/>
    </row>
    <row r="312" spans="18:18" ht="21" customHeight="1">
      <c r="R312" s="313"/>
    </row>
    <row r="313" spans="18:18" ht="21" customHeight="1">
      <c r="R313" s="313"/>
    </row>
    <row r="314" spans="18:18" ht="21" customHeight="1">
      <c r="R314" s="313"/>
    </row>
    <row r="315" spans="18:18" ht="21" customHeight="1">
      <c r="R315" s="313"/>
    </row>
    <row r="316" spans="18:18" ht="21" customHeight="1">
      <c r="R316" s="313"/>
    </row>
    <row r="317" spans="18:18" ht="21" customHeight="1">
      <c r="R317" s="313"/>
    </row>
    <row r="318" spans="18:18" ht="21" customHeight="1">
      <c r="R318" s="313"/>
    </row>
    <row r="319" spans="18:18" ht="21" customHeight="1">
      <c r="R319" s="313"/>
    </row>
    <row r="320" spans="18:18" ht="21" customHeight="1">
      <c r="R320" s="313"/>
    </row>
    <row r="321" spans="18:18" ht="21" customHeight="1">
      <c r="R321" s="313"/>
    </row>
    <row r="322" spans="18:18" ht="21" customHeight="1">
      <c r="R322" s="313"/>
    </row>
    <row r="323" spans="18:18" ht="21" customHeight="1">
      <c r="R323" s="313"/>
    </row>
    <row r="324" spans="18:18" ht="21" customHeight="1">
      <c r="R324" s="313"/>
    </row>
    <row r="325" spans="18:18" ht="21" customHeight="1">
      <c r="R325" s="313"/>
    </row>
    <row r="326" spans="18:18" ht="21" customHeight="1">
      <c r="R326" s="313"/>
    </row>
    <row r="327" spans="18:18" ht="21" customHeight="1">
      <c r="R327" s="313"/>
    </row>
    <row r="328" spans="18:18" ht="21" customHeight="1">
      <c r="R328" s="313"/>
    </row>
    <row r="329" spans="18:18" ht="21" customHeight="1">
      <c r="R329" s="313"/>
    </row>
    <row r="330" spans="18:18" ht="21" customHeight="1">
      <c r="R330" s="313"/>
    </row>
    <row r="331" spans="18:18" ht="21" customHeight="1">
      <c r="R331" s="313"/>
    </row>
    <row r="332" spans="18:18" ht="21" customHeight="1">
      <c r="R332" s="313"/>
    </row>
    <row r="333" spans="18:18" ht="21" customHeight="1">
      <c r="R333" s="313"/>
    </row>
    <row r="334" spans="18:18" ht="21" customHeight="1">
      <c r="R334" s="313"/>
    </row>
    <row r="335" spans="18:18" ht="21" customHeight="1">
      <c r="R335" s="313"/>
    </row>
    <row r="336" spans="18:18" ht="21" customHeight="1">
      <c r="R336" s="313"/>
    </row>
    <row r="337" spans="18:18" ht="21" customHeight="1">
      <c r="R337" s="313"/>
    </row>
    <row r="338" spans="18:18" ht="21" customHeight="1">
      <c r="R338" s="313"/>
    </row>
    <row r="339" spans="18:18" ht="21" customHeight="1">
      <c r="R339" s="313"/>
    </row>
    <row r="340" spans="18:18" ht="21" customHeight="1">
      <c r="R340" s="313"/>
    </row>
    <row r="341" spans="18:18" ht="21" customHeight="1">
      <c r="R341" s="313"/>
    </row>
    <row r="342" spans="18:18" ht="21" customHeight="1">
      <c r="R342" s="313"/>
    </row>
    <row r="343" spans="18:18" ht="21" customHeight="1">
      <c r="R343" s="313"/>
    </row>
    <row r="344" spans="18:18" ht="21" customHeight="1">
      <c r="R344" s="313"/>
    </row>
    <row r="345" spans="18:18" ht="21" customHeight="1">
      <c r="R345" s="313"/>
    </row>
    <row r="346" spans="18:18" ht="21" customHeight="1">
      <c r="R346" s="313"/>
    </row>
    <row r="347" spans="18:18" ht="21" customHeight="1">
      <c r="R347" s="313"/>
    </row>
    <row r="348" spans="18:18" ht="21" customHeight="1">
      <c r="R348" s="313"/>
    </row>
    <row r="349" spans="18:18" ht="21" customHeight="1">
      <c r="R349" s="313"/>
    </row>
    <row r="350" spans="18:18" ht="21" customHeight="1">
      <c r="R350" s="313"/>
    </row>
    <row r="351" spans="18:18" ht="21" customHeight="1">
      <c r="R351" s="313"/>
    </row>
    <row r="352" spans="18:18" ht="21" customHeight="1">
      <c r="R352" s="313"/>
    </row>
    <row r="353" spans="18:18" ht="21" customHeight="1">
      <c r="R353" s="313"/>
    </row>
    <row r="354" spans="18:18" ht="21" customHeight="1">
      <c r="R354" s="313"/>
    </row>
    <row r="355" spans="18:18" ht="21" customHeight="1">
      <c r="R355" s="313"/>
    </row>
    <row r="356" spans="18:18" ht="21" customHeight="1">
      <c r="R356" s="313"/>
    </row>
    <row r="357" spans="18:18" ht="21" customHeight="1">
      <c r="R357" s="313"/>
    </row>
    <row r="358" spans="18:18" ht="21" customHeight="1">
      <c r="R358" s="313"/>
    </row>
  </sheetData>
  <phoneticPr fontId="39" type="noConversion"/>
  <hyperlinks>
    <hyperlink ref="R9" location="功能別IS!A1" display="cost structure" xr:uid="{00000000-0004-0000-0500-000000000000}"/>
  </hyperlinks>
  <pageMargins left="0.15748031496062992" right="0.15748031496062992" top="0.74803149606299213" bottom="0.55118110236220474" header="0.26" footer="0.35433070866141736"/>
  <pageSetup paperSize="9" scale="73" orientation="landscape" r:id="rId1"/>
  <headerFooter alignWithMargins="0">
    <oddHeader>&amp;R&amp;F--&amp;A</oddHeader>
    <oddFooter>&amp;RP.5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13"/>
    <pageSetUpPr fitToPage="1"/>
  </sheetPr>
  <dimension ref="A1:AF376"/>
  <sheetViews>
    <sheetView zoomScaleSheetLayoutView="120" workbookViewId="0">
      <pane xSplit="3" ySplit="5" topLeftCell="P6" activePane="bottomRight" state="frozen"/>
      <selection activeCell="C14" sqref="C14"/>
      <selection pane="topRight" activeCell="C14" sqref="C14"/>
      <selection pane="bottomLeft" activeCell="C14" sqref="C14"/>
      <selection pane="bottomRight" activeCell="R1" sqref="R1:R1048576"/>
    </sheetView>
  </sheetViews>
  <sheetFormatPr baseColWidth="10" defaultColWidth="11.3984375" defaultRowHeight="17" outlineLevelCol="1"/>
  <cols>
    <col min="1" max="1" width="4.19921875" style="396" customWidth="1"/>
    <col min="2" max="2" width="42.19921875" style="396" bestFit="1" customWidth="1"/>
    <col min="3" max="3" width="6" style="396" bestFit="1" customWidth="1"/>
    <col min="4" max="4" width="13" style="397" bestFit="1" customWidth="1"/>
    <col min="5" max="5" width="8.796875" style="548" bestFit="1" customWidth="1"/>
    <col min="6" max="6" width="13.796875" style="397" bestFit="1" customWidth="1"/>
    <col min="7" max="7" width="8.796875" style="725" bestFit="1" customWidth="1"/>
    <col min="8" max="8" width="13" style="397" bestFit="1" customWidth="1"/>
    <col min="9" max="9" width="7.19921875" style="401" bestFit="1" customWidth="1"/>
    <col min="10" max="10" width="13" style="397" bestFit="1" customWidth="1"/>
    <col min="11" max="11" width="8.59765625" style="407" customWidth="1"/>
    <col min="12" max="12" width="13" style="397" bestFit="1" customWidth="1"/>
    <col min="13" max="13" width="8.59765625" style="407" customWidth="1"/>
    <col min="14" max="14" width="13.796875" style="398" customWidth="1"/>
    <col min="15" max="15" width="8.796875" style="725" bestFit="1" customWidth="1"/>
    <col min="16" max="16" width="13" style="397" bestFit="1" customWidth="1"/>
    <col min="17" max="17" width="8.796875" style="407" bestFit="1" customWidth="1"/>
    <col min="18" max="18" width="13" style="397" bestFit="1" customWidth="1"/>
    <col min="19" max="19" width="8.796875" style="726" bestFit="1" customWidth="1"/>
    <col min="20" max="20" width="9.19921875" style="397" hidden="1" customWidth="1" outlineLevel="1"/>
    <col min="21" max="21" width="8.59765625" style="727" hidden="1" customWidth="1" outlineLevel="1"/>
    <col min="22" max="22" width="9.19921875" style="397" hidden="1" customWidth="1" outlineLevel="1"/>
    <col min="23" max="23" width="8.59765625" style="728" hidden="1" customWidth="1" outlineLevel="1"/>
    <col min="24" max="24" width="9.19921875" style="397" hidden="1" customWidth="1" outlineLevel="1"/>
    <col min="25" max="25" width="8.59765625" style="436" hidden="1" customWidth="1" outlineLevel="1"/>
    <col min="26" max="26" width="9.19921875" style="401" hidden="1" customWidth="1" outlineLevel="1"/>
    <col min="27" max="27" width="8.59765625" style="729" hidden="1" customWidth="1" outlineLevel="1"/>
    <col min="28" max="28" width="17.59765625" style="397" bestFit="1" customWidth="1" collapsed="1"/>
    <col min="29" max="29" width="8.19921875" style="401" bestFit="1" customWidth="1"/>
    <col min="30" max="30" width="12.59765625" style="730" bestFit="1" customWidth="1"/>
    <col min="31" max="16384" width="11.3984375" style="396"/>
  </cols>
  <sheetData>
    <row r="1" spans="1:30">
      <c r="A1" s="406" t="s">
        <v>444</v>
      </c>
    </row>
    <row r="2" spans="1:30">
      <c r="A2" s="406" t="s">
        <v>1141</v>
      </c>
    </row>
    <row r="3" spans="1:30">
      <c r="A3" s="406"/>
      <c r="B3" s="413"/>
      <c r="AD3" s="731"/>
    </row>
    <row r="4" spans="1:30" s="394" customFormat="1" ht="18" thickBot="1">
      <c r="A4" s="415" t="s">
        <v>445</v>
      </c>
      <c r="B4" s="416"/>
      <c r="C4" s="416"/>
      <c r="D4" s="732" t="s">
        <v>1767</v>
      </c>
      <c r="E4" s="733" t="s">
        <v>1114</v>
      </c>
      <c r="F4" s="732" t="s">
        <v>1768</v>
      </c>
      <c r="G4" s="734" t="s">
        <v>1114</v>
      </c>
      <c r="H4" s="732" t="s">
        <v>1769</v>
      </c>
      <c r="I4" s="418" t="s">
        <v>1114</v>
      </c>
      <c r="J4" s="732" t="s">
        <v>1770</v>
      </c>
      <c r="K4" s="418" t="s">
        <v>1114</v>
      </c>
      <c r="L4" s="732" t="s">
        <v>1771</v>
      </c>
      <c r="M4" s="418" t="s">
        <v>1114</v>
      </c>
      <c r="N4" s="732" t="s">
        <v>1772</v>
      </c>
      <c r="O4" s="734" t="s">
        <v>1114</v>
      </c>
      <c r="P4" s="732" t="s">
        <v>1773</v>
      </c>
      <c r="Q4" s="418" t="s">
        <v>1114</v>
      </c>
      <c r="R4" s="732" t="s">
        <v>1774</v>
      </c>
      <c r="S4" s="735" t="s">
        <v>1114</v>
      </c>
      <c r="T4" s="732" t="s">
        <v>1775</v>
      </c>
      <c r="U4" s="418" t="s">
        <v>1114</v>
      </c>
      <c r="V4" s="732" t="s">
        <v>1776</v>
      </c>
      <c r="W4" s="736" t="s">
        <v>1114</v>
      </c>
      <c r="X4" s="732" t="s">
        <v>1777</v>
      </c>
      <c r="Y4" s="418" t="s">
        <v>1114</v>
      </c>
      <c r="Z4" s="417" t="s">
        <v>1778</v>
      </c>
      <c r="AA4" s="733" t="s">
        <v>1114</v>
      </c>
      <c r="AB4" s="395" t="str">
        <f>'TWN_IS-調整存貨跌價'!P4</f>
        <v>2017/1~2017/12</v>
      </c>
      <c r="AC4" s="399" t="s">
        <v>1114</v>
      </c>
      <c r="AD4" s="737" t="s">
        <v>1142</v>
      </c>
    </row>
    <row r="5" spans="1:30" s="394" customFormat="1" ht="19" thickTop="1" thickBot="1">
      <c r="A5" s="421"/>
      <c r="B5" s="422"/>
      <c r="C5" s="422" t="s">
        <v>1143</v>
      </c>
      <c r="D5" s="423">
        <f>製造費用明細!E2+銷售費用!E2+管理費用!E2+研發費用!E2</f>
        <v>67</v>
      </c>
      <c r="E5" s="738"/>
      <c r="F5" s="423">
        <f>製造費用明細!F2+銷售費用!F2+管理費用!F2+研發費用!F2</f>
        <v>69</v>
      </c>
      <c r="G5" s="739"/>
      <c r="H5" s="423">
        <f>製造費用明細!G2+銷售費用!G2+管理費用!G2+研發費用!G2</f>
        <v>69</v>
      </c>
      <c r="I5" s="426"/>
      <c r="J5" s="423">
        <f>製造費用明細!H2+銷售費用!H2+管理費用!H2+研發費用!H2</f>
        <v>68</v>
      </c>
      <c r="K5" s="424"/>
      <c r="L5" s="423">
        <f>製造費用明細!I2+銷售費用!I2+管理費用!I2+研發費用!I2</f>
        <v>70</v>
      </c>
      <c r="M5" s="424"/>
      <c r="N5" s="423">
        <f>製造費用明細!J2+銷售費用!J2+管理費用!J2+研發費用!J2</f>
        <v>71</v>
      </c>
      <c r="O5" s="739"/>
      <c r="P5" s="423">
        <f>製造費用明細!K2+銷售費用!K2+管理費用!K2+研發費用!K2</f>
        <v>70</v>
      </c>
      <c r="Q5" s="424"/>
      <c r="R5" s="423">
        <f>製造費用明細!L2+銷售費用!L2+管理費用!L2+研發費用!L2</f>
        <v>70</v>
      </c>
      <c r="S5" s="740"/>
      <c r="T5" s="423">
        <f>製造費用明細!M2+銷售費用!M2+管理費用!M2+研發費用!M2</f>
        <v>0</v>
      </c>
      <c r="U5" s="424"/>
      <c r="V5" s="423">
        <f>製造費用明細!N2+銷售費用!N2+管理費用!N2+研發費用!N2</f>
        <v>0</v>
      </c>
      <c r="W5" s="741"/>
      <c r="X5" s="423">
        <f>製造費用明細!O2+銷售費用!O2+管理費用!O2+研發費用!O2</f>
        <v>0</v>
      </c>
      <c r="Y5" s="424"/>
      <c r="Z5" s="423">
        <f>製造費用明細!P2+銷售費用!P2+管理費用!P2+研發費用!P2</f>
        <v>0</v>
      </c>
      <c r="AA5" s="738"/>
      <c r="AB5" s="423"/>
      <c r="AC5" s="426"/>
      <c r="AD5" s="730"/>
    </row>
    <row r="6" spans="1:30" ht="18" thickTop="1">
      <c r="A6" s="431" t="s">
        <v>1501</v>
      </c>
      <c r="B6" s="432"/>
      <c r="D6" s="397">
        <f>IS明細!D21</f>
        <v>60246951</v>
      </c>
      <c r="E6" s="548">
        <f>D6/$D$6</f>
        <v>1</v>
      </c>
      <c r="F6" s="397">
        <f>IS明細!F21</f>
        <v>53071500</v>
      </c>
      <c r="G6" s="725">
        <f>F6/$F$6</f>
        <v>1</v>
      </c>
      <c r="H6" s="397">
        <f>IS明細!H21</f>
        <v>63731970</v>
      </c>
      <c r="I6" s="407">
        <f>H6/$H$6</f>
        <v>1</v>
      </c>
      <c r="J6" s="397">
        <f>IS明細!J21</f>
        <v>67365680</v>
      </c>
      <c r="K6" s="407">
        <f>J6/$J$6</f>
        <v>1</v>
      </c>
      <c r="L6" s="397">
        <f>IS明細!L21</f>
        <v>53281343</v>
      </c>
      <c r="M6" s="407">
        <f>L6/$L$6</f>
        <v>1</v>
      </c>
      <c r="N6" s="397">
        <f>IS明細!N21</f>
        <v>87487966</v>
      </c>
      <c r="O6" s="725">
        <f>N6/$N$6</f>
        <v>1</v>
      </c>
      <c r="P6" s="397">
        <f>IS明細!P21</f>
        <v>98241166</v>
      </c>
      <c r="Q6" s="548">
        <f>P6/$P$6</f>
        <v>1</v>
      </c>
      <c r="R6" s="397">
        <f>IS明細!R21</f>
        <v>82134915</v>
      </c>
      <c r="S6" s="742">
        <f>R6/$R$6</f>
        <v>1</v>
      </c>
      <c r="T6" s="397">
        <f>IS明細!T21</f>
        <v>0</v>
      </c>
      <c r="U6" s="729" t="e">
        <f>T6/$T$6</f>
        <v>#DIV/0!</v>
      </c>
      <c r="V6" s="397">
        <f>IS明細!V21</f>
        <v>0</v>
      </c>
      <c r="W6" s="728" t="e">
        <f>V6/$V$6</f>
        <v>#DIV/0!</v>
      </c>
      <c r="X6" s="397">
        <f>IS明細!X21</f>
        <v>0</v>
      </c>
      <c r="Y6" s="728" t="e">
        <f>X6/$X$6</f>
        <v>#DIV/0!</v>
      </c>
      <c r="Z6" s="397">
        <f>IS明細!Z21</f>
        <v>0</v>
      </c>
      <c r="AA6" s="729" t="e">
        <f>Z6/$Z$6</f>
        <v>#DIV/0!</v>
      </c>
      <c r="AB6" s="397">
        <f>D6+F6+H6+J6+L6+N6+P6+R6+T6+V6+X6+Z6</f>
        <v>565561491</v>
      </c>
      <c r="AC6" s="407">
        <f>AB6/$AB$6</f>
        <v>1</v>
      </c>
      <c r="AD6" s="730">
        <f>AVERAGE(D6,F6,H6,J6,L6,N6,R6,P6,T6,V6,X6,Z6)</f>
        <v>47130124.25</v>
      </c>
    </row>
    <row r="7" spans="1:30">
      <c r="A7" s="431" t="s">
        <v>1517</v>
      </c>
      <c r="B7" s="432"/>
      <c r="D7" s="438"/>
      <c r="G7" s="743"/>
      <c r="L7" s="438"/>
      <c r="M7" s="435"/>
      <c r="N7" s="397"/>
      <c r="O7" s="744"/>
      <c r="Q7" s="548"/>
      <c r="S7" s="742"/>
      <c r="U7" s="729"/>
      <c r="Y7" s="728"/>
      <c r="Z7" s="397"/>
      <c r="AC7" s="407"/>
      <c r="AD7" s="745"/>
    </row>
    <row r="8" spans="1:30">
      <c r="A8" s="432"/>
      <c r="B8" s="432" t="s">
        <v>1520</v>
      </c>
      <c r="D8" s="438"/>
      <c r="E8" s="746"/>
      <c r="G8" s="743"/>
      <c r="L8" s="438"/>
      <c r="M8" s="435"/>
      <c r="N8" s="397"/>
      <c r="O8" s="744"/>
      <c r="Q8" s="548"/>
      <c r="S8" s="742"/>
      <c r="U8" s="729"/>
      <c r="Y8" s="728"/>
      <c r="Z8" s="397"/>
      <c r="AC8" s="407"/>
      <c r="AD8" s="745"/>
    </row>
    <row r="9" spans="1:30">
      <c r="A9" s="432"/>
      <c r="B9" s="747" t="s">
        <v>1144</v>
      </c>
      <c r="C9" s="748"/>
      <c r="D9" s="749">
        <v>45872266</v>
      </c>
      <c r="E9" s="750">
        <f t="shared" ref="E9:E25" si="0">D9/$D$6</f>
        <v>0.76140394225095309</v>
      </c>
      <c r="F9" s="751">
        <v>41710491.140353613</v>
      </c>
      <c r="G9" s="752">
        <f t="shared" ref="G9:G26" si="1">F9/$F$6</f>
        <v>0.78593013463636063</v>
      </c>
      <c r="H9" s="751">
        <v>47705972.14179536</v>
      </c>
      <c r="I9" s="753">
        <f>H9/$H$6</f>
        <v>0.74854067969019877</v>
      </c>
      <c r="J9" s="751">
        <v>52350407.604312912</v>
      </c>
      <c r="K9" s="753">
        <f>J9/$J$6</f>
        <v>0.77710798145751536</v>
      </c>
      <c r="L9" s="751">
        <v>39716012.620624058</v>
      </c>
      <c r="M9" s="754">
        <f t="shared" ref="M9:M26" si="2">L9/$L$6</f>
        <v>0.74540186835425781</v>
      </c>
      <c r="N9" s="751">
        <v>65910724.644789331</v>
      </c>
      <c r="O9" s="755">
        <f t="shared" ref="O9:O26" si="3">N9/$N$6</f>
        <v>0.75336903643169995</v>
      </c>
      <c r="P9" s="751">
        <v>75282252.612537727</v>
      </c>
      <c r="Q9" s="753">
        <f>P9/$P$6</f>
        <v>0.76630047950100399</v>
      </c>
      <c r="R9" s="751">
        <v>61970103.623967804</v>
      </c>
      <c r="S9" s="756">
        <f t="shared" ref="S9:S26" si="4">R9/$R$6</f>
        <v>0.75449160231026968</v>
      </c>
      <c r="T9" s="751">
        <v>0</v>
      </c>
      <c r="U9" s="757" t="e">
        <f>T9/$T$6</f>
        <v>#DIV/0!</v>
      </c>
      <c r="V9" s="751">
        <v>0</v>
      </c>
      <c r="W9" s="758" t="e">
        <f>V9/$V$6</f>
        <v>#DIV/0!</v>
      </c>
      <c r="X9" s="751">
        <v>0</v>
      </c>
      <c r="Y9" s="758" t="e">
        <f t="shared" ref="Y9:Y26" si="5">X9/$X$6</f>
        <v>#DIV/0!</v>
      </c>
      <c r="Z9" s="751">
        <v>0</v>
      </c>
      <c r="AA9" s="757" t="e">
        <f>Z9/$Z$6</f>
        <v>#DIV/0!</v>
      </c>
      <c r="AB9" s="751">
        <f t="shared" ref="AB9:AB15" si="6">D9+F9+H9+J9+L9+N9+P9+R9+T9+V9+X9+Z9</f>
        <v>430518230.38838089</v>
      </c>
      <c r="AC9" s="753">
        <f>AB9/$AB$6</f>
        <v>0.76122267381953146</v>
      </c>
      <c r="AD9" s="730">
        <f t="shared" ref="AD9:AD26" si="7">AVERAGE(D9,F9,H9,J9,L9,N9,R9,P9,T9,V9,X9,Z9)</f>
        <v>35876519.19903174</v>
      </c>
    </row>
    <row r="10" spans="1:30">
      <c r="A10" s="432"/>
      <c r="B10" s="759" t="s">
        <v>1145</v>
      </c>
      <c r="D10" s="438">
        <v>4304203</v>
      </c>
      <c r="E10" s="760">
        <f t="shared" si="0"/>
        <v>7.1442669355997787E-2</v>
      </c>
      <c r="F10" s="397">
        <v>3862158.6551418873</v>
      </c>
      <c r="G10" s="743">
        <f t="shared" si="1"/>
        <v>7.2772743471390247E-2</v>
      </c>
      <c r="H10" s="397">
        <v>4014665.6944538378</v>
      </c>
      <c r="I10" s="548">
        <f t="shared" ref="I10:I37" si="8">H10/$H$6</f>
        <v>6.2992964040713598E-2</v>
      </c>
      <c r="J10" s="397">
        <v>4631032.066099545</v>
      </c>
      <c r="K10" s="761">
        <f>J10/$J$6</f>
        <v>6.8744679280303339E-2</v>
      </c>
      <c r="L10" s="397">
        <v>3315188.9447709271</v>
      </c>
      <c r="M10" s="746">
        <f t="shared" si="2"/>
        <v>6.2220446372211885E-2</v>
      </c>
      <c r="N10" s="397">
        <v>5745423.0027892655</v>
      </c>
      <c r="O10" s="744">
        <f t="shared" si="3"/>
        <v>6.567100900241829E-2</v>
      </c>
      <c r="P10" s="397">
        <v>6523444.671141996</v>
      </c>
      <c r="Q10" s="548">
        <f>P10/$P$6</f>
        <v>6.6402353888409635E-2</v>
      </c>
      <c r="R10" s="397">
        <v>5263438.0990146538</v>
      </c>
      <c r="S10" s="742">
        <f t="shared" si="4"/>
        <v>6.4082833701290781E-2</v>
      </c>
      <c r="T10" s="397">
        <v>0</v>
      </c>
      <c r="U10" s="729" t="e">
        <f>T10/$T$6</f>
        <v>#DIV/0!</v>
      </c>
      <c r="V10" s="397">
        <v>0</v>
      </c>
      <c r="W10" s="728" t="e">
        <f t="shared" ref="W10:W26" si="9">V10/$V$6</f>
        <v>#DIV/0!</v>
      </c>
      <c r="X10" s="397">
        <v>0</v>
      </c>
      <c r="Y10" s="728" t="e">
        <f t="shared" si="5"/>
        <v>#DIV/0!</v>
      </c>
      <c r="Z10" s="397">
        <v>0</v>
      </c>
      <c r="AA10" s="729" t="e">
        <f t="shared" ref="AA10:AA26" si="10">Z10/$Z$6</f>
        <v>#DIV/0!</v>
      </c>
      <c r="AB10" s="397">
        <f t="shared" si="6"/>
        <v>37659554.133412115</v>
      </c>
      <c r="AC10" s="548">
        <f>AB10/$AB$6</f>
        <v>6.6587903760604722E-2</v>
      </c>
      <c r="AD10" s="730">
        <f t="shared" si="7"/>
        <v>3138296.1777843428</v>
      </c>
    </row>
    <row r="11" spans="1:30">
      <c r="A11" s="432"/>
      <c r="B11" s="759" t="s">
        <v>1146</v>
      </c>
      <c r="D11" s="438">
        <v>2561172</v>
      </c>
      <c r="E11" s="760">
        <f t="shared" si="0"/>
        <v>4.2511230153373242E-2</v>
      </c>
      <c r="F11" s="397">
        <v>3484877.5303700003</v>
      </c>
      <c r="G11" s="743">
        <f t="shared" si="1"/>
        <v>6.566382202067024E-2</v>
      </c>
      <c r="H11" s="397">
        <v>3112410.8633496771</v>
      </c>
      <c r="I11" s="548">
        <f t="shared" si="8"/>
        <v>4.8835943143600881E-2</v>
      </c>
      <c r="J11" s="397">
        <v>2865816.3374590678</v>
      </c>
      <c r="K11" s="761">
        <f>J11/$J$6</f>
        <v>4.2541192153913797E-2</v>
      </c>
      <c r="L11" s="397">
        <v>2733238.4111817796</v>
      </c>
      <c r="M11" s="746">
        <f t="shared" si="2"/>
        <v>5.1298226682870582E-2</v>
      </c>
      <c r="N11" s="397">
        <v>3002989.3626523623</v>
      </c>
      <c r="O11" s="744">
        <f t="shared" si="3"/>
        <v>3.4324599141467779E-2</v>
      </c>
      <c r="P11" s="397">
        <v>3124795.7185451472</v>
      </c>
      <c r="Q11" s="548">
        <f>P11/$P$6</f>
        <v>3.1807396489422234E-2</v>
      </c>
      <c r="R11" s="1185">
        <v>3292669.2819877677</v>
      </c>
      <c r="S11" s="742">
        <f t="shared" si="4"/>
        <v>4.0088545559312599E-2</v>
      </c>
      <c r="T11" s="397">
        <v>0</v>
      </c>
      <c r="U11" s="729" t="e">
        <f t="shared" ref="U11:U26" si="11">T11/$T$6</f>
        <v>#DIV/0!</v>
      </c>
      <c r="V11" s="397">
        <v>0</v>
      </c>
      <c r="W11" s="728" t="e">
        <f>V11/$V$6</f>
        <v>#DIV/0!</v>
      </c>
      <c r="X11" s="397">
        <v>0</v>
      </c>
      <c r="Y11" s="728" t="e">
        <f t="shared" si="5"/>
        <v>#DIV/0!</v>
      </c>
      <c r="Z11" s="397">
        <v>0</v>
      </c>
      <c r="AA11" s="729" t="e">
        <f t="shared" si="10"/>
        <v>#DIV/0!</v>
      </c>
      <c r="AB11" s="397">
        <f t="shared" si="6"/>
        <v>24177969.505545802</v>
      </c>
      <c r="AC11" s="548">
        <f>AB11/$AB$6</f>
        <v>4.2750381506342347E-2</v>
      </c>
      <c r="AD11" s="730">
        <f t="shared" si="7"/>
        <v>2014830.7921288169</v>
      </c>
    </row>
    <row r="12" spans="1:30">
      <c r="A12" s="432"/>
      <c r="B12" s="759" t="s">
        <v>1147</v>
      </c>
      <c r="D12" s="438">
        <v>99</v>
      </c>
      <c r="E12" s="760">
        <f t="shared" si="0"/>
        <v>1.6432366842929528E-6</v>
      </c>
      <c r="F12" s="397">
        <v>-552</v>
      </c>
      <c r="G12" s="743">
        <f>F12/$F$6</f>
        <v>-1.0401062717277634E-5</v>
      </c>
      <c r="H12" s="397">
        <v>-514</v>
      </c>
      <c r="I12" s="548">
        <f t="shared" si="8"/>
        <v>-8.0650260771791614E-6</v>
      </c>
      <c r="J12" s="397">
        <f>-130405-3591</f>
        <v>-133996</v>
      </c>
      <c r="K12" s="548">
        <f t="shared" ref="K12:K26" si="12">J12/$J$6</f>
        <v>-1.9890840558575225E-3</v>
      </c>
      <c r="L12" s="397">
        <v>-1</v>
      </c>
      <c r="M12" s="746">
        <f>L12/$L$6</f>
        <v>-1.8768295686540785E-8</v>
      </c>
      <c r="N12" s="397">
        <v>1</v>
      </c>
      <c r="O12" s="744">
        <f t="shared" si="3"/>
        <v>1.143014343252648E-8</v>
      </c>
      <c r="P12" s="397">
        <v>4</v>
      </c>
      <c r="Q12" s="548">
        <f t="shared" ref="Q12:Q37" si="13">P12/$P$6</f>
        <v>4.0716129122490259E-8</v>
      </c>
      <c r="R12" s="397">
        <v>0</v>
      </c>
      <c r="S12" s="742">
        <f t="shared" si="4"/>
        <v>0</v>
      </c>
      <c r="T12" s="397">
        <v>0</v>
      </c>
      <c r="U12" s="729" t="e">
        <f t="shared" si="11"/>
        <v>#DIV/0!</v>
      </c>
      <c r="V12" s="397">
        <v>0</v>
      </c>
      <c r="W12" s="728" t="e">
        <f t="shared" si="9"/>
        <v>#DIV/0!</v>
      </c>
      <c r="X12" s="397">
        <v>0</v>
      </c>
      <c r="Y12" s="728" t="e">
        <f t="shared" si="5"/>
        <v>#DIV/0!</v>
      </c>
      <c r="Z12" s="397">
        <v>0</v>
      </c>
      <c r="AA12" s="729" t="e">
        <f t="shared" si="10"/>
        <v>#DIV/0!</v>
      </c>
      <c r="AB12" s="397">
        <f>D12+F12+H12+J12+L12+N12+P12+R12+T12+V12+X12+Z12</f>
        <v>-134959</v>
      </c>
      <c r="AC12" s="548">
        <f t="shared" ref="AC12:AC28" si="14">AB12/$AB$6</f>
        <v>-2.386283404150655E-4</v>
      </c>
      <c r="AD12" s="730">
        <f t="shared" si="7"/>
        <v>-11246.583333333334</v>
      </c>
    </row>
    <row r="13" spans="1:30">
      <c r="A13" s="432"/>
      <c r="B13" s="759" t="s">
        <v>1148</v>
      </c>
      <c r="D13" s="397">
        <f>SUM(D9:D12)</f>
        <v>52737740</v>
      </c>
      <c r="E13" s="760">
        <f t="shared" si="0"/>
        <v>0.87535948499700844</v>
      </c>
      <c r="F13" s="397">
        <f>SUM(F9:F12)</f>
        <v>49056975.3258655</v>
      </c>
      <c r="G13" s="743">
        <f t="shared" si="1"/>
        <v>0.92435629906570382</v>
      </c>
      <c r="H13" s="397">
        <f>SUM(H9:H12)</f>
        <v>54832534.699598871</v>
      </c>
      <c r="I13" s="548">
        <f t="shared" si="8"/>
        <v>0.86036152184843606</v>
      </c>
      <c r="J13" s="397">
        <f>SUM(J9:J12)</f>
        <v>59713260.007871523</v>
      </c>
      <c r="K13" s="548">
        <f>J13/$J$6</f>
        <v>0.88640476883587493</v>
      </c>
      <c r="L13" s="397">
        <f>SUM(L9:L12)</f>
        <v>45764438.97657676</v>
      </c>
      <c r="M13" s="746">
        <f t="shared" si="2"/>
        <v>0.85892052264104457</v>
      </c>
      <c r="N13" s="397">
        <f>SUM(N9:N12)</f>
        <v>74659138.010230958</v>
      </c>
      <c r="O13" s="744">
        <f t="shared" si="3"/>
        <v>0.85336465600572953</v>
      </c>
      <c r="P13" s="397">
        <f>SUM(P9:P12)</f>
        <v>84930497.002224877</v>
      </c>
      <c r="Q13" s="548">
        <f t="shared" si="13"/>
        <v>0.86451027059496499</v>
      </c>
      <c r="R13" s="397">
        <f>SUM(R9:R12)</f>
        <v>70526211.004970223</v>
      </c>
      <c r="S13" s="742">
        <f t="shared" si="4"/>
        <v>0.85866298157087306</v>
      </c>
      <c r="T13" s="397">
        <f>SUM(T9:T12)</f>
        <v>0</v>
      </c>
      <c r="U13" s="729" t="e">
        <f t="shared" si="11"/>
        <v>#DIV/0!</v>
      </c>
      <c r="V13" s="397">
        <f>SUM(V9:V12)</f>
        <v>0</v>
      </c>
      <c r="W13" s="728" t="e">
        <f t="shared" si="9"/>
        <v>#DIV/0!</v>
      </c>
      <c r="X13" s="397">
        <f>SUM(X9:X12)</f>
        <v>0</v>
      </c>
      <c r="Y13" s="728" t="e">
        <f t="shared" si="5"/>
        <v>#DIV/0!</v>
      </c>
      <c r="Z13" s="397">
        <f>SUM(Z9:Z12)</f>
        <v>0</v>
      </c>
      <c r="AA13" s="729" t="e">
        <f t="shared" si="10"/>
        <v>#DIV/0!</v>
      </c>
      <c r="AB13" s="397">
        <f t="shared" si="6"/>
        <v>492220795.02733874</v>
      </c>
      <c r="AC13" s="548">
        <f t="shared" si="14"/>
        <v>0.87032233074606336</v>
      </c>
      <c r="AD13" s="730">
        <f t="shared" si="7"/>
        <v>41018399.585611559</v>
      </c>
    </row>
    <row r="14" spans="1:30">
      <c r="A14" s="432"/>
      <c r="B14" s="432" t="s">
        <v>1522</v>
      </c>
      <c r="D14" s="397">
        <f>IS明細!D27</f>
        <v>0</v>
      </c>
      <c r="E14" s="746">
        <f t="shared" si="0"/>
        <v>0</v>
      </c>
      <c r="F14" s="397">
        <f>IS明細!F27</f>
        <v>0</v>
      </c>
      <c r="G14" s="743">
        <f t="shared" si="1"/>
        <v>0</v>
      </c>
      <c r="H14" s="397">
        <f>IS明細!H27</f>
        <v>12667</v>
      </c>
      <c r="I14" s="548">
        <f t="shared" si="8"/>
        <v>1.9875425159460785E-4</v>
      </c>
      <c r="J14" s="397">
        <f>IS明細!J27</f>
        <v>0</v>
      </c>
      <c r="K14" s="548">
        <f>J14/$J$6</f>
        <v>0</v>
      </c>
      <c r="L14" s="397">
        <f>IS明細!L27</f>
        <v>0</v>
      </c>
      <c r="M14" s="746">
        <f t="shared" si="2"/>
        <v>0</v>
      </c>
      <c r="N14" s="397">
        <f>IS明細!N27</f>
        <v>0</v>
      </c>
      <c r="O14" s="744">
        <f t="shared" si="3"/>
        <v>0</v>
      </c>
      <c r="P14" s="397">
        <f>IS明細!P27</f>
        <v>0</v>
      </c>
      <c r="Q14" s="548">
        <f t="shared" si="13"/>
        <v>0</v>
      </c>
      <c r="R14" s="397">
        <f>IS明細!R27</f>
        <v>0</v>
      </c>
      <c r="S14" s="742">
        <f t="shared" si="4"/>
        <v>0</v>
      </c>
      <c r="T14" s="397">
        <f>IS明細!T27</f>
        <v>0</v>
      </c>
      <c r="U14" s="729" t="e">
        <f t="shared" si="11"/>
        <v>#DIV/0!</v>
      </c>
      <c r="V14" s="397">
        <f>IS明細!V27</f>
        <v>0</v>
      </c>
      <c r="W14" s="728" t="e">
        <f t="shared" si="9"/>
        <v>#DIV/0!</v>
      </c>
      <c r="X14" s="397">
        <f>IS明細!X27</f>
        <v>0</v>
      </c>
      <c r="Y14" s="728" t="e">
        <f t="shared" si="5"/>
        <v>#DIV/0!</v>
      </c>
      <c r="Z14" s="397">
        <f>IS明細!Z27</f>
        <v>0</v>
      </c>
      <c r="AA14" s="729" t="e">
        <f t="shared" si="10"/>
        <v>#DIV/0!</v>
      </c>
      <c r="AB14" s="397">
        <f t="shared" si="6"/>
        <v>12667</v>
      </c>
      <c r="AC14" s="548">
        <f t="shared" si="14"/>
        <v>2.2397210916186655E-5</v>
      </c>
      <c r="AD14" s="730">
        <f t="shared" si="7"/>
        <v>1055.5833333333333</v>
      </c>
    </row>
    <row r="15" spans="1:30">
      <c r="A15" s="432"/>
      <c r="B15" s="432" t="s">
        <v>1746</v>
      </c>
      <c r="D15" s="397">
        <f>IS明細!D39</f>
        <v>-132345</v>
      </c>
      <c r="E15" s="746">
        <f t="shared" si="0"/>
        <v>-2.1967086765934431E-3</v>
      </c>
      <c r="F15" s="397">
        <f>IS明細!F39</f>
        <v>131813</v>
      </c>
      <c r="G15" s="762">
        <f t="shared" si="1"/>
        <v>2.4836871013632551E-3</v>
      </c>
      <c r="H15" s="397">
        <f>IS明細!H39</f>
        <v>548</v>
      </c>
      <c r="I15" s="548">
        <f t="shared" si="8"/>
        <v>8.5985102924011298E-6</v>
      </c>
      <c r="J15" s="397">
        <f>IS明細!J39</f>
        <v>-16</v>
      </c>
      <c r="K15" s="548">
        <f>J15/$J$6</f>
        <v>-2.3750966367444076E-7</v>
      </c>
      <c r="L15" s="397">
        <f>IS明細!L39</f>
        <v>0</v>
      </c>
      <c r="M15" s="746">
        <f t="shared" si="2"/>
        <v>0</v>
      </c>
      <c r="N15" s="397">
        <f>IS明細!N39</f>
        <v>0</v>
      </c>
      <c r="O15" s="763">
        <f t="shared" si="3"/>
        <v>0</v>
      </c>
      <c r="P15" s="397">
        <f>IS明細!P39</f>
        <v>0</v>
      </c>
      <c r="Q15" s="548">
        <f t="shared" si="13"/>
        <v>0</v>
      </c>
      <c r="R15" s="397">
        <f>IS明細!R39</f>
        <v>0</v>
      </c>
      <c r="S15" s="764">
        <f t="shared" si="4"/>
        <v>0</v>
      </c>
      <c r="T15" s="397">
        <f>IS明細!T39</f>
        <v>0</v>
      </c>
      <c r="U15" s="765" t="e">
        <f t="shared" si="11"/>
        <v>#DIV/0!</v>
      </c>
      <c r="V15" s="397">
        <f>IS明細!V39</f>
        <v>0</v>
      </c>
      <c r="W15" s="728" t="e">
        <f t="shared" si="9"/>
        <v>#DIV/0!</v>
      </c>
      <c r="X15" s="397">
        <f>IS明細!X39</f>
        <v>0</v>
      </c>
      <c r="Y15" s="728" t="e">
        <f t="shared" si="5"/>
        <v>#DIV/0!</v>
      </c>
      <c r="Z15" s="397">
        <f>IS明細!Z39</f>
        <v>0</v>
      </c>
      <c r="AA15" s="729" t="e">
        <f t="shared" si="10"/>
        <v>#DIV/0!</v>
      </c>
      <c r="AB15" s="397">
        <f t="shared" si="6"/>
        <v>0</v>
      </c>
      <c r="AC15" s="548">
        <f t="shared" si="14"/>
        <v>0</v>
      </c>
      <c r="AD15" s="730">
        <f t="shared" si="7"/>
        <v>0</v>
      </c>
    </row>
    <row r="16" spans="1:30">
      <c r="A16" s="432"/>
      <c r="B16" s="766" t="s">
        <v>1747</v>
      </c>
      <c r="C16" s="748"/>
      <c r="D16" s="749">
        <f>IS明細!D24</f>
        <v>0</v>
      </c>
      <c r="E16" s="754">
        <f t="shared" si="0"/>
        <v>0</v>
      </c>
      <c r="F16" s="749">
        <f>IS明細!F24</f>
        <v>0</v>
      </c>
      <c r="G16" s="752">
        <f t="shared" si="1"/>
        <v>0</v>
      </c>
      <c r="H16" s="749">
        <f>IS明細!H24</f>
        <v>205528</v>
      </c>
      <c r="I16" s="753">
        <f t="shared" si="8"/>
        <v>3.2248806995923709E-3</v>
      </c>
      <c r="J16" s="749">
        <f>IS明細!J24</f>
        <v>24730</v>
      </c>
      <c r="K16" s="753">
        <f>J16/$J$6</f>
        <v>3.671008739168075E-4</v>
      </c>
      <c r="L16" s="749">
        <f>IS明細!L24</f>
        <v>-13892</v>
      </c>
      <c r="M16" s="754">
        <f t="shared" si="2"/>
        <v>-2.6072916367742455E-4</v>
      </c>
      <c r="N16" s="749">
        <f>IS明細!N24</f>
        <v>21297</v>
      </c>
      <c r="O16" s="755">
        <f t="shared" si="3"/>
        <v>2.4342776468251644E-4</v>
      </c>
      <c r="P16" s="749">
        <f>IS明細!P24</f>
        <v>21992</v>
      </c>
      <c r="Q16" s="753">
        <f t="shared" si="13"/>
        <v>2.2385727791545144E-4</v>
      </c>
      <c r="R16" s="749">
        <f>IS明細!R24</f>
        <v>0</v>
      </c>
      <c r="S16" s="756">
        <f t="shared" si="4"/>
        <v>0</v>
      </c>
      <c r="T16" s="749">
        <f>IS明細!T24</f>
        <v>0</v>
      </c>
      <c r="U16" s="757" t="e">
        <f t="shared" si="11"/>
        <v>#DIV/0!</v>
      </c>
      <c r="V16" s="749">
        <f>IS明細!V24</f>
        <v>0</v>
      </c>
      <c r="W16" s="758" t="e">
        <f t="shared" si="9"/>
        <v>#DIV/0!</v>
      </c>
      <c r="X16" s="749">
        <f>IS明細!X24</f>
        <v>0</v>
      </c>
      <c r="Y16" s="758" t="e">
        <f t="shared" si="5"/>
        <v>#DIV/0!</v>
      </c>
      <c r="Z16" s="749">
        <f>IS明細!Z24</f>
        <v>0</v>
      </c>
      <c r="AA16" s="757" t="e">
        <f t="shared" si="10"/>
        <v>#DIV/0!</v>
      </c>
      <c r="AB16" s="751">
        <f t="shared" ref="AB16:AB26" si="15">D16+F16+H16+J16+L16+N16+P16+R16+T16+V16+X16+Z16</f>
        <v>259655</v>
      </c>
      <c r="AC16" s="753">
        <f t="shared" si="14"/>
        <v>4.59110112926695E-4</v>
      </c>
      <c r="AD16" s="730">
        <f t="shared" si="7"/>
        <v>21637.916666666668</v>
      </c>
    </row>
    <row r="17" spans="1:32">
      <c r="A17" s="432"/>
      <c r="B17" s="766" t="s">
        <v>1531</v>
      </c>
      <c r="C17" s="748"/>
      <c r="D17" s="749">
        <f>IS明細!D74</f>
        <v>136175</v>
      </c>
      <c r="E17" s="754">
        <f t="shared" si="0"/>
        <v>2.2602803584201299E-3</v>
      </c>
      <c r="F17" s="749">
        <f>IS明細!F74</f>
        <v>334294</v>
      </c>
      <c r="G17" s="752">
        <f t="shared" si="1"/>
        <v>6.2989363405971189E-3</v>
      </c>
      <c r="H17" s="749">
        <f>IS明細!H74</f>
        <v>5828747</v>
      </c>
      <c r="I17" s="753">
        <f t="shared" si="8"/>
        <v>9.1457191735952931E-2</v>
      </c>
      <c r="J17" s="749">
        <f>IS明細!J74</f>
        <v>683423</v>
      </c>
      <c r="K17" s="753">
        <f>J17/$J$6</f>
        <v>1.0144972929836083E-2</v>
      </c>
      <c r="L17" s="749">
        <f>IS明細!L74</f>
        <v>90781</v>
      </c>
      <c r="M17" s="754">
        <f t="shared" si="2"/>
        <v>1.703804650719859E-3</v>
      </c>
      <c r="N17" s="749">
        <f>IS明細!N74</f>
        <v>3316275</v>
      </c>
      <c r="O17" s="755">
        <f t="shared" si="3"/>
        <v>3.7905498911701752E-2</v>
      </c>
      <c r="P17" s="749">
        <f>IS明細!P74</f>
        <v>4251307</v>
      </c>
      <c r="Q17" s="753">
        <f t="shared" si="13"/>
        <v>4.3274191187836673E-2</v>
      </c>
      <c r="R17" s="749">
        <f>IS明細!R74</f>
        <v>339132</v>
      </c>
      <c r="S17" s="756">
        <f t="shared" si="4"/>
        <v>4.12896269509745E-3</v>
      </c>
      <c r="T17" s="749">
        <f>IS明細!T74</f>
        <v>0</v>
      </c>
      <c r="U17" s="757" t="e">
        <f t="shared" si="11"/>
        <v>#DIV/0!</v>
      </c>
      <c r="V17" s="749">
        <f>IS明細!V74</f>
        <v>0</v>
      </c>
      <c r="W17" s="758" t="e">
        <f t="shared" si="9"/>
        <v>#DIV/0!</v>
      </c>
      <c r="X17" s="749">
        <f>IS明細!X74</f>
        <v>0</v>
      </c>
      <c r="Y17" s="758" t="e">
        <f t="shared" si="5"/>
        <v>#DIV/0!</v>
      </c>
      <c r="Z17" s="749">
        <f>IS明細!Z74</f>
        <v>0</v>
      </c>
      <c r="AA17" s="757" t="e">
        <f t="shared" si="10"/>
        <v>#DIV/0!</v>
      </c>
      <c r="AB17" s="751">
        <f t="shared" si="15"/>
        <v>14980134</v>
      </c>
      <c r="AC17" s="753">
        <f t="shared" si="14"/>
        <v>2.6487188817457871E-2</v>
      </c>
      <c r="AD17" s="730">
        <f t="shared" si="7"/>
        <v>1248344.5</v>
      </c>
    </row>
    <row r="18" spans="1:32">
      <c r="A18" s="432"/>
      <c r="B18" s="766" t="s">
        <v>1532</v>
      </c>
      <c r="C18" s="748"/>
      <c r="D18" s="751">
        <f>IS明細!D75</f>
        <v>29313</v>
      </c>
      <c r="E18" s="754">
        <f t="shared" si="0"/>
        <v>4.8654744370383159E-4</v>
      </c>
      <c r="F18" s="751">
        <f>IS明細!F75</f>
        <v>33618</v>
      </c>
      <c r="G18" s="752">
        <f t="shared" si="1"/>
        <v>6.3344733048811505E-4</v>
      </c>
      <c r="H18" s="751">
        <f>IS明細!H75</f>
        <v>48932</v>
      </c>
      <c r="I18" s="753">
        <f t="shared" si="8"/>
        <v>7.677779299776862E-4</v>
      </c>
      <c r="J18" s="751">
        <f>IS明細!J75</f>
        <v>114245</v>
      </c>
      <c r="K18" s="753">
        <f t="shared" si="12"/>
        <v>1.6958932204054053E-3</v>
      </c>
      <c r="L18" s="751">
        <f>IS明細!L75</f>
        <v>43113</v>
      </c>
      <c r="M18" s="754">
        <f t="shared" si="2"/>
        <v>8.0915753193383283E-4</v>
      </c>
      <c r="N18" s="751">
        <f>IS明細!N75</f>
        <v>30492</v>
      </c>
      <c r="O18" s="755">
        <f t="shared" si="3"/>
        <v>3.4852793354459743E-4</v>
      </c>
      <c r="P18" s="751">
        <f>IS明細!P75</f>
        <v>19416</v>
      </c>
      <c r="Q18" s="753">
        <f t="shared" si="13"/>
        <v>1.9763609076056771E-4</v>
      </c>
      <c r="R18" s="751">
        <f>IS明細!R75</f>
        <v>61317</v>
      </c>
      <c r="S18" s="756">
        <f t="shared" si="4"/>
        <v>7.4654000676813268E-4</v>
      </c>
      <c r="T18" s="751">
        <f>IS明細!T75</f>
        <v>0</v>
      </c>
      <c r="U18" s="757" t="e">
        <f t="shared" si="11"/>
        <v>#DIV/0!</v>
      </c>
      <c r="V18" s="751">
        <f>IS明細!V75</f>
        <v>0</v>
      </c>
      <c r="W18" s="758" t="e">
        <f t="shared" si="9"/>
        <v>#DIV/0!</v>
      </c>
      <c r="X18" s="751">
        <f>IS明細!X75</f>
        <v>0</v>
      </c>
      <c r="Y18" s="758" t="e">
        <f t="shared" si="5"/>
        <v>#DIV/0!</v>
      </c>
      <c r="Z18" s="751">
        <f>IS明細!Z75</f>
        <v>0</v>
      </c>
      <c r="AA18" s="757" t="e">
        <f t="shared" si="10"/>
        <v>#DIV/0!</v>
      </c>
      <c r="AB18" s="751">
        <f t="shared" si="15"/>
        <v>380446</v>
      </c>
      <c r="AC18" s="753">
        <f t="shared" si="14"/>
        <v>6.7268724277410187E-4</v>
      </c>
      <c r="AD18" s="730">
        <f t="shared" si="7"/>
        <v>31703.833333333332</v>
      </c>
    </row>
    <row r="19" spans="1:32">
      <c r="A19" s="432"/>
      <c r="B19" s="432" t="s">
        <v>1533</v>
      </c>
      <c r="D19" s="397">
        <f>IS明細!D76</f>
        <v>0</v>
      </c>
      <c r="E19" s="746">
        <f t="shared" si="0"/>
        <v>0</v>
      </c>
      <c r="F19" s="397">
        <f>IS明細!F76</f>
        <v>0</v>
      </c>
      <c r="G19" s="762">
        <f t="shared" si="1"/>
        <v>0</v>
      </c>
      <c r="H19" s="397">
        <f>IS明細!H76</f>
        <v>0</v>
      </c>
      <c r="I19" s="407">
        <f t="shared" si="8"/>
        <v>0</v>
      </c>
      <c r="J19" s="397">
        <f>IS明細!J76</f>
        <v>0</v>
      </c>
      <c r="K19" s="407">
        <f>J19/$J$6</f>
        <v>0</v>
      </c>
      <c r="L19" s="397">
        <f>IS明細!L76</f>
        <v>0</v>
      </c>
      <c r="M19" s="435">
        <f t="shared" si="2"/>
        <v>0</v>
      </c>
      <c r="N19" s="397">
        <f>IS明細!N76</f>
        <v>0</v>
      </c>
      <c r="O19" s="763">
        <f t="shared" si="3"/>
        <v>0</v>
      </c>
      <c r="P19" s="397">
        <f>IS明細!P76</f>
        <v>0</v>
      </c>
      <c r="Q19" s="548">
        <f t="shared" si="13"/>
        <v>0</v>
      </c>
      <c r="R19" s="397">
        <f>IS明細!R76</f>
        <v>0</v>
      </c>
      <c r="S19" s="764">
        <f t="shared" si="4"/>
        <v>0</v>
      </c>
      <c r="T19" s="397">
        <f>IS明細!T76</f>
        <v>0</v>
      </c>
      <c r="U19" s="729" t="e">
        <f t="shared" si="11"/>
        <v>#DIV/0!</v>
      </c>
      <c r="V19" s="397">
        <f>IS明細!V76</f>
        <v>0</v>
      </c>
      <c r="W19" s="728" t="e">
        <f t="shared" si="9"/>
        <v>#DIV/0!</v>
      </c>
      <c r="X19" s="397">
        <f>IS明細!X76</f>
        <v>0</v>
      </c>
      <c r="Y19" s="767" t="e">
        <f t="shared" si="5"/>
        <v>#DIV/0!</v>
      </c>
      <c r="Z19" s="397">
        <f>IS明細!Z76</f>
        <v>0</v>
      </c>
      <c r="AA19" s="729" t="e">
        <f t="shared" si="10"/>
        <v>#DIV/0!</v>
      </c>
      <c r="AB19" s="397">
        <f t="shared" si="15"/>
        <v>0</v>
      </c>
      <c r="AC19" s="548">
        <f t="shared" si="14"/>
        <v>0</v>
      </c>
      <c r="AD19" s="730">
        <f t="shared" si="7"/>
        <v>0</v>
      </c>
    </row>
    <row r="20" spans="1:32">
      <c r="A20" s="432"/>
      <c r="B20" s="432" t="s">
        <v>1748</v>
      </c>
      <c r="D20" s="397">
        <f>IS明細!D77</f>
        <v>2874749</v>
      </c>
      <c r="E20" s="746">
        <f t="shared" si="0"/>
        <v>4.771609105994426E-2</v>
      </c>
      <c r="F20" s="397">
        <f>IS明細!F77</f>
        <v>2763471</v>
      </c>
      <c r="G20" s="762">
        <f t="shared" si="1"/>
        <v>5.2070715920974536E-2</v>
      </c>
      <c r="H20" s="397">
        <f>IS明細!H77</f>
        <v>-7456555</v>
      </c>
      <c r="I20" s="407">
        <f t="shared" si="8"/>
        <v>-0.11699865860101297</v>
      </c>
      <c r="J20" s="397">
        <f>IS明細!J77</f>
        <v>-591918</v>
      </c>
      <c r="K20" s="407">
        <f t="shared" si="12"/>
        <v>-8.7866403189279761E-3</v>
      </c>
      <c r="L20" s="397">
        <f>IS明細!L77</f>
        <v>1054460</v>
      </c>
      <c r="M20" s="435">
        <f t="shared" si="2"/>
        <v>1.9790417069629796E-2</v>
      </c>
      <c r="N20" s="397">
        <f>IS明細!N77</f>
        <v>-1470722</v>
      </c>
      <c r="O20" s="763">
        <f t="shared" si="3"/>
        <v>-1.681056340937221E-2</v>
      </c>
      <c r="P20" s="397">
        <f>IS明細!P77</f>
        <v>-2031582</v>
      </c>
      <c r="Q20" s="548">
        <f t="shared" si="13"/>
        <v>-2.0679538758731752E-2</v>
      </c>
      <c r="R20" s="397">
        <f>IS明細!R77</f>
        <v>23984</v>
      </c>
      <c r="S20" s="764">
        <f t="shared" si="4"/>
        <v>2.9200736373806435E-4</v>
      </c>
      <c r="T20" s="397">
        <f>IS明細!T77</f>
        <v>0</v>
      </c>
      <c r="U20" s="819" t="e">
        <f t="shared" si="11"/>
        <v>#DIV/0!</v>
      </c>
      <c r="V20" s="397">
        <f>IS明細!V77</f>
        <v>0</v>
      </c>
      <c r="W20" s="728" t="e">
        <f t="shared" si="9"/>
        <v>#DIV/0!</v>
      </c>
      <c r="X20" s="397">
        <f>IS明細!X77</f>
        <v>0</v>
      </c>
      <c r="Y20" s="728" t="e">
        <f t="shared" si="5"/>
        <v>#DIV/0!</v>
      </c>
      <c r="Z20" s="397">
        <f>IS明細!Z77</f>
        <v>0</v>
      </c>
      <c r="AA20" s="729" t="e">
        <f t="shared" si="10"/>
        <v>#DIV/0!</v>
      </c>
      <c r="AB20" s="397">
        <f t="shared" si="15"/>
        <v>-4834113</v>
      </c>
      <c r="AC20" s="820">
        <f t="shared" si="14"/>
        <v>-8.5474578395578916E-3</v>
      </c>
      <c r="AD20" s="730">
        <f t="shared" si="7"/>
        <v>-402842.75</v>
      </c>
    </row>
    <row r="21" spans="1:32">
      <c r="A21" s="432"/>
      <c r="B21" s="432" t="s">
        <v>1535</v>
      </c>
      <c r="D21" s="397">
        <f>IS明細!D78</f>
        <v>0</v>
      </c>
      <c r="E21" s="746">
        <f t="shared" si="0"/>
        <v>0</v>
      </c>
      <c r="F21" s="397">
        <f>IS明細!F78</f>
        <v>0</v>
      </c>
      <c r="G21" s="762">
        <f t="shared" si="1"/>
        <v>0</v>
      </c>
      <c r="H21" s="397">
        <f>IS明細!H78</f>
        <v>0</v>
      </c>
      <c r="I21" s="407">
        <f t="shared" si="8"/>
        <v>0</v>
      </c>
      <c r="J21" s="397">
        <f>IS明細!J78</f>
        <v>0</v>
      </c>
      <c r="K21" s="407">
        <f t="shared" si="12"/>
        <v>0</v>
      </c>
      <c r="L21" s="397">
        <f>IS明細!L78</f>
        <v>0</v>
      </c>
      <c r="M21" s="435">
        <f t="shared" si="2"/>
        <v>0</v>
      </c>
      <c r="N21" s="397">
        <f>IS明細!N78</f>
        <v>0</v>
      </c>
      <c r="O21" s="763">
        <f t="shared" si="3"/>
        <v>0</v>
      </c>
      <c r="P21" s="397">
        <f>IS明細!P78</f>
        <v>0</v>
      </c>
      <c r="Q21" s="548">
        <f t="shared" si="13"/>
        <v>0</v>
      </c>
      <c r="R21" s="397">
        <f>IS明細!R78</f>
        <v>0</v>
      </c>
      <c r="S21" s="764">
        <f t="shared" si="4"/>
        <v>0</v>
      </c>
      <c r="T21" s="397">
        <f>IS明細!T78</f>
        <v>0</v>
      </c>
      <c r="U21" s="729" t="e">
        <f t="shared" si="11"/>
        <v>#DIV/0!</v>
      </c>
      <c r="V21" s="397">
        <f>IS明細!V78</f>
        <v>0</v>
      </c>
      <c r="W21" s="728" t="e">
        <f t="shared" si="9"/>
        <v>#DIV/0!</v>
      </c>
      <c r="X21" s="397">
        <f>IS明細!X78</f>
        <v>0</v>
      </c>
      <c r="Y21" s="728" t="e">
        <f t="shared" si="5"/>
        <v>#DIV/0!</v>
      </c>
      <c r="Z21" s="397">
        <f>IS明細!Z78</f>
        <v>0</v>
      </c>
      <c r="AA21" s="729" t="e">
        <f t="shared" si="10"/>
        <v>#DIV/0!</v>
      </c>
      <c r="AB21" s="397">
        <f t="shared" si="15"/>
        <v>0</v>
      </c>
      <c r="AC21" s="548">
        <f t="shared" si="14"/>
        <v>0</v>
      </c>
      <c r="AD21" s="730">
        <f t="shared" si="7"/>
        <v>0</v>
      </c>
    </row>
    <row r="22" spans="1:32">
      <c r="A22" s="432"/>
      <c r="B22" s="431" t="s">
        <v>1541</v>
      </c>
      <c r="D22" s="397">
        <f>SUM(D13:D21)</f>
        <v>55645632</v>
      </c>
      <c r="E22" s="746">
        <f t="shared" si="0"/>
        <v>0.92362569518248316</v>
      </c>
      <c r="F22" s="397">
        <f>SUM(F13:F21)</f>
        <v>52320171.3258655</v>
      </c>
      <c r="G22" s="743">
        <f t="shared" si="1"/>
        <v>0.98584308575912682</v>
      </c>
      <c r="H22" s="397">
        <f>SUM(H13:H21)</f>
        <v>53472401.699598871</v>
      </c>
      <c r="I22" s="407">
        <f t="shared" si="8"/>
        <v>0.83902006637483306</v>
      </c>
      <c r="J22" s="397">
        <f>SUM(J13:J21)</f>
        <v>59943724.007871523</v>
      </c>
      <c r="K22" s="407">
        <f t="shared" si="12"/>
        <v>0.88982585803144154</v>
      </c>
      <c r="L22" s="397">
        <f>SUM(L13:L21)</f>
        <v>46938900.97657676</v>
      </c>
      <c r="M22" s="435">
        <f t="shared" si="2"/>
        <v>0.88096317272965063</v>
      </c>
      <c r="N22" s="397">
        <f>SUM(N13:N21)</f>
        <v>76556480.010230958</v>
      </c>
      <c r="O22" s="744">
        <f t="shared" si="3"/>
        <v>0.8750515472062862</v>
      </c>
      <c r="P22" s="397">
        <f>SUM(P13:P21)</f>
        <v>87191630.002224877</v>
      </c>
      <c r="Q22" s="548">
        <f t="shared" si="13"/>
        <v>0.88752641639274599</v>
      </c>
      <c r="R22" s="397">
        <f>SUM(R13:R21)</f>
        <v>70950644.004970223</v>
      </c>
      <c r="S22" s="742">
        <f t="shared" si="4"/>
        <v>0.86383049163647663</v>
      </c>
      <c r="T22" s="397">
        <f>SUM(T13:T21)</f>
        <v>0</v>
      </c>
      <c r="U22" s="729" t="e">
        <f t="shared" si="11"/>
        <v>#DIV/0!</v>
      </c>
      <c r="V22" s="397">
        <f>SUM(V13:V21)</f>
        <v>0</v>
      </c>
      <c r="W22" s="728" t="e">
        <f t="shared" si="9"/>
        <v>#DIV/0!</v>
      </c>
      <c r="X22" s="397">
        <f>SUM(X13:X21)</f>
        <v>0</v>
      </c>
      <c r="Y22" s="728" t="e">
        <f t="shared" si="5"/>
        <v>#DIV/0!</v>
      </c>
      <c r="Z22" s="397">
        <f>SUM(Z13:Z21)</f>
        <v>0</v>
      </c>
      <c r="AA22" s="729" t="e">
        <f t="shared" si="10"/>
        <v>#DIV/0!</v>
      </c>
      <c r="AB22" s="397">
        <f>D22+F22+H22+J22+L22+N22+P22+R22+T22+V22+X22+Z22</f>
        <v>503019584.02733874</v>
      </c>
      <c r="AC22" s="548">
        <f t="shared" si="14"/>
        <v>0.8894162562905803</v>
      </c>
      <c r="AD22" s="730">
        <f t="shared" si="7"/>
        <v>41918298.668944888</v>
      </c>
    </row>
    <row r="23" spans="1:32">
      <c r="A23" s="432"/>
      <c r="B23" s="432" t="s">
        <v>1543</v>
      </c>
      <c r="D23" s="438">
        <f>IS明細!D86</f>
        <v>1237</v>
      </c>
      <c r="E23" s="746">
        <f>IS明細!E86</f>
        <v>2.0532159378488715E-5</v>
      </c>
      <c r="F23" s="438">
        <f>IS明細!F88</f>
        <v>0</v>
      </c>
      <c r="G23" s="744">
        <f>IS明細!G86</f>
        <v>0</v>
      </c>
      <c r="H23" s="438">
        <f>IS明細!H86</f>
        <v>0</v>
      </c>
      <c r="I23" s="407">
        <f t="shared" si="8"/>
        <v>0</v>
      </c>
      <c r="J23" s="438">
        <f>IS明細!J86</f>
        <v>3591</v>
      </c>
      <c r="K23" s="407">
        <f t="shared" si="12"/>
        <v>5.3306075140932296E-5</v>
      </c>
      <c r="L23" s="438">
        <f>IS明細!L86</f>
        <v>0</v>
      </c>
      <c r="M23" s="435">
        <f t="shared" si="2"/>
        <v>0</v>
      </c>
      <c r="N23" s="438">
        <f>IS明細!N86</f>
        <v>0</v>
      </c>
      <c r="O23" s="744">
        <f t="shared" si="3"/>
        <v>0</v>
      </c>
      <c r="P23" s="438">
        <f>IS明細!P86</f>
        <v>0</v>
      </c>
      <c r="Q23" s="548">
        <f t="shared" si="13"/>
        <v>0</v>
      </c>
      <c r="R23" s="438">
        <f>IS明細!R86</f>
        <v>0</v>
      </c>
      <c r="S23" s="742">
        <f t="shared" si="4"/>
        <v>0</v>
      </c>
      <c r="T23" s="438">
        <f>IS明細!T86</f>
        <v>0</v>
      </c>
      <c r="U23" s="729" t="e">
        <f t="shared" si="11"/>
        <v>#DIV/0!</v>
      </c>
      <c r="V23" s="438">
        <f>IS明細!V86</f>
        <v>0</v>
      </c>
      <c r="W23" s="728" t="e">
        <f t="shared" si="9"/>
        <v>#DIV/0!</v>
      </c>
      <c r="X23" s="438">
        <f>IS明細!X86</f>
        <v>0</v>
      </c>
      <c r="Y23" s="728" t="e">
        <f t="shared" si="5"/>
        <v>#DIV/0!</v>
      </c>
      <c r="Z23" s="438">
        <f>IS明細!Z86</f>
        <v>0</v>
      </c>
      <c r="AA23" s="729" t="e">
        <f t="shared" si="10"/>
        <v>#DIV/0!</v>
      </c>
      <c r="AB23" s="397">
        <f t="shared" si="15"/>
        <v>4828</v>
      </c>
      <c r="AC23" s="548">
        <f t="shared" si="14"/>
        <v>8.5366491121298773E-6</v>
      </c>
      <c r="AD23" s="730">
        <f t="shared" si="7"/>
        <v>402.33333333333331</v>
      </c>
    </row>
    <row r="24" spans="1:32">
      <c r="A24" s="431" t="s">
        <v>1546</v>
      </c>
      <c r="B24" s="432"/>
      <c r="D24" s="438">
        <f>D22+D23</f>
        <v>55646869</v>
      </c>
      <c r="E24" s="746">
        <f t="shared" si="0"/>
        <v>0.92364622734186164</v>
      </c>
      <c r="F24" s="438">
        <f>F22+F23</f>
        <v>52320171.3258655</v>
      </c>
      <c r="G24" s="762">
        <f t="shared" si="1"/>
        <v>0.98584308575912682</v>
      </c>
      <c r="H24" s="438">
        <f>H22+H23</f>
        <v>53472401.699598871</v>
      </c>
      <c r="I24" s="407">
        <f t="shared" si="8"/>
        <v>0.83902006637483306</v>
      </c>
      <c r="J24" s="438">
        <f>J22+J23</f>
        <v>59947315.007871523</v>
      </c>
      <c r="K24" s="407">
        <f t="shared" si="12"/>
        <v>0.88987916410658252</v>
      </c>
      <c r="L24" s="438">
        <f>L22+L23</f>
        <v>46938900.97657676</v>
      </c>
      <c r="M24" s="435">
        <f t="shared" si="2"/>
        <v>0.88096317272965063</v>
      </c>
      <c r="N24" s="438">
        <f>N22+N23</f>
        <v>76556480.010230958</v>
      </c>
      <c r="O24" s="763">
        <f t="shared" si="3"/>
        <v>0.8750515472062862</v>
      </c>
      <c r="P24" s="438">
        <f>P22+P23</f>
        <v>87191630.002224877</v>
      </c>
      <c r="Q24" s="548">
        <f t="shared" si="13"/>
        <v>0.88752641639274599</v>
      </c>
      <c r="R24" s="438">
        <f>R22+R23</f>
        <v>70950644.004970223</v>
      </c>
      <c r="S24" s="764">
        <f t="shared" si="4"/>
        <v>0.86383049163647663</v>
      </c>
      <c r="T24" s="438">
        <f>T22+T23</f>
        <v>0</v>
      </c>
      <c r="U24" s="729" t="e">
        <f t="shared" si="11"/>
        <v>#DIV/0!</v>
      </c>
      <c r="V24" s="438">
        <f>V22+V23</f>
        <v>0</v>
      </c>
      <c r="W24" s="728" t="e">
        <f t="shared" si="9"/>
        <v>#DIV/0!</v>
      </c>
      <c r="X24" s="438">
        <f>X22+X23</f>
        <v>0</v>
      </c>
      <c r="Y24" s="728" t="e">
        <f t="shared" si="5"/>
        <v>#DIV/0!</v>
      </c>
      <c r="Z24" s="438">
        <f>Z22+Z23</f>
        <v>0</v>
      </c>
      <c r="AA24" s="729" t="e">
        <f t="shared" si="10"/>
        <v>#DIV/0!</v>
      </c>
      <c r="AB24" s="397">
        <f t="shared" si="15"/>
        <v>503024412.02733874</v>
      </c>
      <c r="AC24" s="548">
        <f t="shared" si="14"/>
        <v>0.88942479293969245</v>
      </c>
      <c r="AD24" s="730">
        <f t="shared" si="7"/>
        <v>41918701.002278224</v>
      </c>
    </row>
    <row r="25" spans="1:32">
      <c r="A25" s="768" t="s">
        <v>1547</v>
      </c>
      <c r="B25" s="768"/>
      <c r="C25" s="769"/>
      <c r="D25" s="770">
        <f>D6-D24</f>
        <v>4600082</v>
      </c>
      <c r="E25" s="771">
        <f t="shared" si="0"/>
        <v>7.6353772658138336E-2</v>
      </c>
      <c r="F25" s="770">
        <f>F6-F24</f>
        <v>751328.67413450032</v>
      </c>
      <c r="G25" s="772">
        <f t="shared" si="1"/>
        <v>1.4156914240873168E-2</v>
      </c>
      <c r="H25" s="770">
        <f>H6-H24</f>
        <v>10259568.300401129</v>
      </c>
      <c r="I25" s="773">
        <f t="shared" si="8"/>
        <v>0.16097993362516691</v>
      </c>
      <c r="J25" s="770">
        <f>J6-J24</f>
        <v>7418364.9921284765</v>
      </c>
      <c r="K25" s="774">
        <f t="shared" si="12"/>
        <v>0.11012083589341749</v>
      </c>
      <c r="L25" s="770">
        <f>L6-L24</f>
        <v>6342442.0234232396</v>
      </c>
      <c r="M25" s="773">
        <f t="shared" si="2"/>
        <v>0.11903682727034939</v>
      </c>
      <c r="N25" s="770">
        <f>N6-N24</f>
        <v>10931485.989769042</v>
      </c>
      <c r="O25" s="775">
        <f t="shared" si="3"/>
        <v>0.12494845279371385</v>
      </c>
      <c r="P25" s="770">
        <f>P6-P24</f>
        <v>11049535.997775123</v>
      </c>
      <c r="Q25" s="776">
        <f t="shared" si="13"/>
        <v>0.11247358360725404</v>
      </c>
      <c r="R25" s="770">
        <f>R6-R24</f>
        <v>11184270.995029777</v>
      </c>
      <c r="S25" s="777">
        <f t="shared" si="4"/>
        <v>0.13616950836352332</v>
      </c>
      <c r="T25" s="770">
        <f>T6-T24</f>
        <v>0</v>
      </c>
      <c r="U25" s="817" t="e">
        <f t="shared" si="11"/>
        <v>#DIV/0!</v>
      </c>
      <c r="V25" s="770">
        <f>V6-V24</f>
        <v>0</v>
      </c>
      <c r="W25" s="778" t="e">
        <f t="shared" si="9"/>
        <v>#DIV/0!</v>
      </c>
      <c r="X25" s="770">
        <f>X6-X24</f>
        <v>0</v>
      </c>
      <c r="Y25" s="778" t="e">
        <f t="shared" si="5"/>
        <v>#DIV/0!</v>
      </c>
      <c r="Z25" s="770">
        <f>Z6-Z24</f>
        <v>0</v>
      </c>
      <c r="AA25" s="779" t="e">
        <f t="shared" si="10"/>
        <v>#DIV/0!</v>
      </c>
      <c r="AB25" s="770">
        <f t="shared" si="15"/>
        <v>62537078.972661287</v>
      </c>
      <c r="AC25" s="776">
        <f t="shared" si="14"/>
        <v>0.11057520706030759</v>
      </c>
      <c r="AD25" s="730">
        <f t="shared" si="7"/>
        <v>5211423.2477217736</v>
      </c>
      <c r="AE25" s="397"/>
    </row>
    <row r="26" spans="1:32">
      <c r="A26" s="780" t="s">
        <v>1548</v>
      </c>
      <c r="B26" s="780" t="s">
        <v>1749</v>
      </c>
      <c r="C26" s="781"/>
      <c r="D26" s="782">
        <f>D25+D21+D20</f>
        <v>7474831</v>
      </c>
      <c r="E26" s="783">
        <f>D26/$D$6</f>
        <v>0.1240698637180826</v>
      </c>
      <c r="F26" s="782">
        <f>F25+F21+F20</f>
        <v>3514799.6741345003</v>
      </c>
      <c r="G26" s="784">
        <f t="shared" si="1"/>
        <v>6.6227630161847698E-2</v>
      </c>
      <c r="H26" s="782">
        <f>H25+H21+H20</f>
        <v>2803013.3004011288</v>
      </c>
      <c r="I26" s="785">
        <f t="shared" si="8"/>
        <v>4.398127502415395E-2</v>
      </c>
      <c r="J26" s="782">
        <f>J25+J21+J20</f>
        <v>6826446.9921284765</v>
      </c>
      <c r="K26" s="786">
        <f t="shared" si="12"/>
        <v>0.10133419557448951</v>
      </c>
      <c r="L26" s="782">
        <f>L25+L21+L20</f>
        <v>7396902.0234232396</v>
      </c>
      <c r="M26" s="785">
        <f t="shared" si="2"/>
        <v>0.13882724433997917</v>
      </c>
      <c r="N26" s="782">
        <f>N25+N21+N20</f>
        <v>9460763.9897690415</v>
      </c>
      <c r="O26" s="784">
        <f t="shared" si="3"/>
        <v>0.10813788938434163</v>
      </c>
      <c r="P26" s="782">
        <f>P25+P21+P20</f>
        <v>9017953.9977751225</v>
      </c>
      <c r="Q26" s="787">
        <f t="shared" si="13"/>
        <v>9.1794044848522285E-2</v>
      </c>
      <c r="R26" s="782">
        <f>R25+R21+R20</f>
        <v>11208254.995029777</v>
      </c>
      <c r="S26" s="788">
        <f t="shared" si="4"/>
        <v>0.1364615157272614</v>
      </c>
      <c r="T26" s="782">
        <f>T25+T21+T20</f>
        <v>0</v>
      </c>
      <c r="U26" s="789" t="e">
        <f t="shared" si="11"/>
        <v>#DIV/0!</v>
      </c>
      <c r="V26" s="782">
        <f>V25+V21+V20</f>
        <v>0</v>
      </c>
      <c r="W26" s="790" t="e">
        <f t="shared" si="9"/>
        <v>#DIV/0!</v>
      </c>
      <c r="X26" s="782">
        <f>X25+X21+X20</f>
        <v>0</v>
      </c>
      <c r="Y26" s="790" t="e">
        <f t="shared" si="5"/>
        <v>#DIV/0!</v>
      </c>
      <c r="Z26" s="782">
        <f>Z25+Z21+Z20</f>
        <v>0</v>
      </c>
      <c r="AA26" s="789" t="e">
        <f t="shared" si="10"/>
        <v>#DIV/0!</v>
      </c>
      <c r="AB26" s="791">
        <f t="shared" si="15"/>
        <v>57702965.972661287</v>
      </c>
      <c r="AC26" s="787">
        <f t="shared" si="14"/>
        <v>0.1020277492207497</v>
      </c>
      <c r="AD26" s="730">
        <f t="shared" si="7"/>
        <v>4808580.4977217736</v>
      </c>
      <c r="AF26" s="401"/>
    </row>
    <row r="27" spans="1:32">
      <c r="A27" s="431" t="s">
        <v>1551</v>
      </c>
      <c r="B27" s="432"/>
      <c r="D27" s="438"/>
      <c r="E27" s="746"/>
      <c r="F27" s="438"/>
      <c r="G27" s="762"/>
      <c r="H27" s="438"/>
      <c r="I27" s="407"/>
      <c r="J27" s="438"/>
      <c r="L27" s="438"/>
      <c r="M27" s="435"/>
      <c r="N27" s="438"/>
      <c r="O27" s="763"/>
      <c r="P27" s="438"/>
      <c r="Q27" s="548"/>
      <c r="R27" s="438"/>
      <c r="S27" s="764"/>
      <c r="T27" s="438"/>
      <c r="U27" s="729"/>
      <c r="V27" s="438"/>
      <c r="X27" s="438"/>
      <c r="Y27" s="728"/>
      <c r="Z27" s="438"/>
      <c r="AC27" s="548"/>
    </row>
    <row r="28" spans="1:32">
      <c r="A28" s="432"/>
      <c r="B28" s="431" t="s">
        <v>1553</v>
      </c>
      <c r="D28" s="438">
        <f>IS明細!D134</f>
        <v>2682181</v>
      </c>
      <c r="E28" s="746">
        <f>D28/$D$6</f>
        <v>4.4519779930439964E-2</v>
      </c>
      <c r="F28" s="438">
        <f>IS明細!F134</f>
        <v>3034578</v>
      </c>
      <c r="G28" s="762">
        <f>F28/$F$6</f>
        <v>5.7179050903027051E-2</v>
      </c>
      <c r="H28" s="438">
        <f>IS明細!H134</f>
        <v>2064980</v>
      </c>
      <c r="I28" s="407">
        <f t="shared" si="8"/>
        <v>3.2401006904384091E-2</v>
      </c>
      <c r="J28" s="438">
        <f>IS明細!J134</f>
        <v>2828716</v>
      </c>
      <c r="K28" s="407">
        <f t="shared" ref="K28:K37" si="16">J28/$J$6</f>
        <v>4.1990461611906837E-2</v>
      </c>
      <c r="L28" s="438">
        <f>IS明細!L134</f>
        <v>2899107</v>
      </c>
      <c r="M28" s="435">
        <f>L28/$L$6</f>
        <v>5.4411297402920195E-2</v>
      </c>
      <c r="N28" s="438">
        <f>IS明細!N134</f>
        <v>3746561</v>
      </c>
      <c r="O28" s="763">
        <f t="shared" ref="O28:O37" si="17">N28/$N$6</f>
        <v>4.2823729608709844E-2</v>
      </c>
      <c r="P28" s="438">
        <f>IS明細!P134</f>
        <v>3694714</v>
      </c>
      <c r="Q28" s="548">
        <f t="shared" si="13"/>
        <v>3.7608613073668119E-2</v>
      </c>
      <c r="R28" s="438">
        <f>IS明細!R134</f>
        <v>3586817</v>
      </c>
      <c r="S28" s="764">
        <f>R28/$R$6</f>
        <v>4.3669820562911646E-2</v>
      </c>
      <c r="T28" s="438">
        <f>IS明細!T134</f>
        <v>0</v>
      </c>
      <c r="U28" s="729" t="e">
        <f>T28/$T$6</f>
        <v>#DIV/0!</v>
      </c>
      <c r="V28" s="438">
        <f>IS明細!V134</f>
        <v>0</v>
      </c>
      <c r="W28" s="728" t="e">
        <f>V28/$V$6</f>
        <v>#DIV/0!</v>
      </c>
      <c r="X28" s="438">
        <f>IS明細!X134</f>
        <v>0</v>
      </c>
      <c r="Y28" s="728" t="e">
        <f>X28/$X$6</f>
        <v>#DIV/0!</v>
      </c>
      <c r="Z28" s="438">
        <f>IS明細!Z134</f>
        <v>0</v>
      </c>
      <c r="AA28" s="729" t="e">
        <f>Z28/$Z$6</f>
        <v>#DIV/0!</v>
      </c>
      <c r="AB28" s="397">
        <f>D28+F28+H28+J28+L28+N28+P28+R28+T28+V28+X28+Z28</f>
        <v>24537654</v>
      </c>
      <c r="AC28" s="548">
        <f t="shared" si="14"/>
        <v>4.3386359203158691E-2</v>
      </c>
      <c r="AD28" s="730">
        <f>AVERAGE(D28,F28,H28,J28,L28,N28,R28,P28,T28,V28,X28,Z28)</f>
        <v>2044804.5</v>
      </c>
    </row>
    <row r="29" spans="1:32">
      <c r="A29" s="432"/>
      <c r="B29" s="431" t="s">
        <v>1555</v>
      </c>
      <c r="D29" s="438">
        <f>IS明細!D172</f>
        <v>1755765</v>
      </c>
      <c r="E29" s="746">
        <f>D29/$D$6</f>
        <v>2.9142802595935519E-2</v>
      </c>
      <c r="F29" s="438">
        <f>IS明細!F172</f>
        <v>2075875</v>
      </c>
      <c r="G29" s="762">
        <f>F29/$F$6</f>
        <v>3.9114684906211429E-2</v>
      </c>
      <c r="H29" s="438">
        <f>IS明細!H172</f>
        <v>1882646</v>
      </c>
      <c r="I29" s="407">
        <f t="shared" si="8"/>
        <v>2.954005658384638E-2</v>
      </c>
      <c r="J29" s="438">
        <f>IS明細!J172</f>
        <v>1770950</v>
      </c>
      <c r="K29" s="407">
        <f t="shared" si="16"/>
        <v>2.6288608680265679E-2</v>
      </c>
      <c r="L29" s="438">
        <f>IS明細!L172</f>
        <v>1871563</v>
      </c>
      <c r="M29" s="435">
        <f>L29/$L$6</f>
        <v>3.5126047779989331E-2</v>
      </c>
      <c r="N29" s="438">
        <f>IS明細!N172</f>
        <v>1797661</v>
      </c>
      <c r="O29" s="763">
        <f t="shared" si="17"/>
        <v>2.0547523073058984E-2</v>
      </c>
      <c r="P29" s="438">
        <f>IS明細!P172</f>
        <v>3498119</v>
      </c>
      <c r="Q29" s="548">
        <f t="shared" si="13"/>
        <v>3.5607466222459125E-2</v>
      </c>
      <c r="R29" s="438">
        <f>IS明細!R172</f>
        <v>1755224</v>
      </c>
      <c r="S29" s="764">
        <f>R29/$R$6</f>
        <v>2.1370010549106918E-2</v>
      </c>
      <c r="T29" s="438">
        <f>IS明細!T172</f>
        <v>0</v>
      </c>
      <c r="U29" s="729" t="e">
        <f>T29/$T$6</f>
        <v>#DIV/0!</v>
      </c>
      <c r="V29" s="438">
        <f>IS明細!V172</f>
        <v>0</v>
      </c>
      <c r="W29" s="728" t="e">
        <f>V29/$V$6</f>
        <v>#DIV/0!</v>
      </c>
      <c r="X29" s="438">
        <f>IS明細!X172</f>
        <v>0</v>
      </c>
      <c r="Y29" s="728" t="e">
        <f>X29/$X$6</f>
        <v>#DIV/0!</v>
      </c>
      <c r="Z29" s="438">
        <f>IS明細!Z172</f>
        <v>0</v>
      </c>
      <c r="AA29" s="729" t="e">
        <f>Z29/$Z$6</f>
        <v>#DIV/0!</v>
      </c>
      <c r="AB29" s="397">
        <f>D29+F29+H29+J29+L29+N29+P29+R29+T29+V29+X29+Z29</f>
        <v>16407803</v>
      </c>
      <c r="AC29" s="548">
        <f>AB29/$AB$6</f>
        <v>2.901152794365202E-2</v>
      </c>
      <c r="AD29" s="730">
        <f>AVERAGE(D29,F29,H29,J29,L29,N29,R29,P29,T29,V29,X29,Z29)</f>
        <v>1367316.9166666667</v>
      </c>
    </row>
    <row r="30" spans="1:32">
      <c r="A30" s="432"/>
      <c r="B30" s="431" t="s">
        <v>1557</v>
      </c>
      <c r="D30" s="438">
        <f>IS明細!D209</f>
        <v>2937856</v>
      </c>
      <c r="E30" s="746">
        <f>D30/$D$6</f>
        <v>4.8763563155254111E-2</v>
      </c>
      <c r="F30" s="438">
        <f>IS明細!F209</f>
        <v>2632242</v>
      </c>
      <c r="G30" s="762">
        <f>F30/$F$6</f>
        <v>4.9598032842486081E-2</v>
      </c>
      <c r="H30" s="438">
        <f>IS明細!H209</f>
        <v>3208223</v>
      </c>
      <c r="I30" s="435">
        <f t="shared" si="8"/>
        <v>5.033930380623728E-2</v>
      </c>
      <c r="J30" s="438">
        <f>IS明細!J209</f>
        <v>3367941</v>
      </c>
      <c r="K30" s="407">
        <f t="shared" si="16"/>
        <v>4.9994908386584977E-2</v>
      </c>
      <c r="L30" s="438">
        <f>IS明細!L209</f>
        <v>2995265</v>
      </c>
      <c r="M30" s="435">
        <f>L30/$L$6</f>
        <v>5.6216019179546585E-2</v>
      </c>
      <c r="N30" s="438">
        <f>IS明細!N209</f>
        <v>3153532</v>
      </c>
      <c r="O30" s="763">
        <f t="shared" si="17"/>
        <v>3.6045323079062094E-2</v>
      </c>
      <c r="P30" s="438">
        <f>IS明細!P209</f>
        <v>3165352</v>
      </c>
      <c r="Q30" s="548">
        <f t="shared" si="13"/>
        <v>3.2220220187533198E-2</v>
      </c>
      <c r="R30" s="438">
        <f>IS明細!R209</f>
        <v>3319491</v>
      </c>
      <c r="S30" s="764">
        <f>R30/$R$6</f>
        <v>4.0415102395856863E-2</v>
      </c>
      <c r="T30" s="438">
        <f>IS明細!T209</f>
        <v>0</v>
      </c>
      <c r="U30" s="729" t="e">
        <f>T30/$T$6</f>
        <v>#DIV/0!</v>
      </c>
      <c r="V30" s="438">
        <f>IS明細!V209</f>
        <v>0</v>
      </c>
      <c r="W30" s="728" t="e">
        <f>V30/$V$6</f>
        <v>#DIV/0!</v>
      </c>
      <c r="X30" s="438">
        <f>IS明細!X209</f>
        <v>0</v>
      </c>
      <c r="Y30" s="728" t="e">
        <f>X30/$X$6</f>
        <v>#DIV/0!</v>
      </c>
      <c r="Z30" s="438">
        <f>IS明細!Z209</f>
        <v>0</v>
      </c>
      <c r="AA30" s="729" t="e">
        <f>Z30/$Z$6</f>
        <v>#DIV/0!</v>
      </c>
      <c r="AB30" s="397">
        <f>D30+F30+H30+J30+L30+N30+P30+R30+T30+V30+X30+Z30</f>
        <v>24779902</v>
      </c>
      <c r="AC30" s="548">
        <f>AB30/$AB$6</f>
        <v>4.3814691053638236E-2</v>
      </c>
      <c r="AD30" s="730">
        <f>AVERAGE(D30,F30,H30,J30,L30,N30,R30,P30,T30,V30,X30,Z30)</f>
        <v>2064991.8333333333</v>
      </c>
    </row>
    <row r="31" spans="1:32">
      <c r="A31" s="431" t="s">
        <v>1558</v>
      </c>
      <c r="B31" s="432"/>
      <c r="D31" s="438">
        <f>SUM(D28:D30)</f>
        <v>7375802</v>
      </c>
      <c r="E31" s="746">
        <f>D31/$D$6</f>
        <v>0.1224261456816296</v>
      </c>
      <c r="F31" s="438">
        <f>SUM(F28:F30)</f>
        <v>7742695</v>
      </c>
      <c r="G31" s="762">
        <f>F31/$F$6</f>
        <v>0.14589176865172457</v>
      </c>
      <c r="H31" s="438">
        <f>SUM(H28:H30)</f>
        <v>7155849</v>
      </c>
      <c r="I31" s="407">
        <f t="shared" si="8"/>
        <v>0.11228036729446775</v>
      </c>
      <c r="J31" s="438">
        <f>SUM(J28:J30)</f>
        <v>7967607</v>
      </c>
      <c r="K31" s="407">
        <f t="shared" si="16"/>
        <v>0.1182739786787575</v>
      </c>
      <c r="L31" s="438">
        <f>SUM(L28:L30)</f>
        <v>7765935</v>
      </c>
      <c r="M31" s="435">
        <f>L31/$L$6</f>
        <v>0.14575336436245612</v>
      </c>
      <c r="N31" s="438">
        <f>SUM(N28:N30)</f>
        <v>8697754</v>
      </c>
      <c r="O31" s="763">
        <f t="shared" si="17"/>
        <v>9.9416575760830919E-2</v>
      </c>
      <c r="P31" s="438">
        <f>SUM(P28:P30)</f>
        <v>10358185</v>
      </c>
      <c r="Q31" s="548">
        <f t="shared" si="13"/>
        <v>0.10543629948366044</v>
      </c>
      <c r="R31" s="438">
        <f>SUM(R28:R30)</f>
        <v>8661532</v>
      </c>
      <c r="S31" s="764">
        <f>R31/$R$6</f>
        <v>0.10545493350787542</v>
      </c>
      <c r="T31" s="438">
        <f>SUM(T28:T30)</f>
        <v>0</v>
      </c>
      <c r="U31" s="729" t="e">
        <f>T31/$T$6</f>
        <v>#DIV/0!</v>
      </c>
      <c r="V31" s="438">
        <f>SUM(V28:V30)</f>
        <v>0</v>
      </c>
      <c r="W31" s="728" t="e">
        <f>V31/$V$6</f>
        <v>#DIV/0!</v>
      </c>
      <c r="X31" s="438">
        <f>SUM(X28:X30)</f>
        <v>0</v>
      </c>
      <c r="Y31" s="728" t="e">
        <f>X31/$X$6</f>
        <v>#DIV/0!</v>
      </c>
      <c r="Z31" s="438">
        <f>SUM(Z28:Z30)</f>
        <v>0</v>
      </c>
      <c r="AA31" s="729" t="e">
        <f>Z31/$Z$6</f>
        <v>#DIV/0!</v>
      </c>
      <c r="AB31" s="397">
        <f>D31+F31+H31+J31+L31+N31+P31+R31+T31+V31+X31+Z31</f>
        <v>65725359</v>
      </c>
      <c r="AC31" s="548">
        <f>AB31/$AB$6</f>
        <v>0.11621257820044895</v>
      </c>
      <c r="AD31" s="730">
        <f>AVERAGE(D31,F31,H31,J31,L31,N31,R31,P31,T31,V31,X31,Z31)</f>
        <v>5477113.25</v>
      </c>
    </row>
    <row r="32" spans="1:32">
      <c r="A32" s="792" t="s">
        <v>1559</v>
      </c>
      <c r="B32" s="768"/>
      <c r="C32" s="769"/>
      <c r="D32" s="793">
        <f>D25-D31</f>
        <v>-2775720</v>
      </c>
      <c r="E32" s="794">
        <f>D32/$D$6*100</f>
        <v>-4.6072373023491267</v>
      </c>
      <c r="F32" s="793">
        <f>F25-F31</f>
        <v>-6991366.3258654997</v>
      </c>
      <c r="G32" s="795">
        <f>F32/$F$6*100</f>
        <v>-13.173485441085139</v>
      </c>
      <c r="H32" s="793">
        <f>H25-H31</f>
        <v>3103719.3004011288</v>
      </c>
      <c r="I32" s="774">
        <f t="shared" si="8"/>
        <v>4.8699566330699155E-2</v>
      </c>
      <c r="J32" s="793">
        <f>J25-J31</f>
        <v>-549242.0078715235</v>
      </c>
      <c r="K32" s="774">
        <f t="shared" si="16"/>
        <v>-8.1531427853400052E-3</v>
      </c>
      <c r="L32" s="793">
        <f>L25-L31</f>
        <v>-1423492.9765767604</v>
      </c>
      <c r="M32" s="773"/>
      <c r="N32" s="793">
        <f>N25-N31</f>
        <v>2233731.9897690415</v>
      </c>
      <c r="O32" s="775">
        <f t="shared" si="17"/>
        <v>2.5531877032882917E-2</v>
      </c>
      <c r="P32" s="793">
        <f>P25-P31</f>
        <v>691350.99777512252</v>
      </c>
      <c r="Q32" s="776">
        <f t="shared" si="13"/>
        <v>7.0372841235935915E-3</v>
      </c>
      <c r="R32" s="793">
        <f>R25-R31</f>
        <v>2522738.9950297773</v>
      </c>
      <c r="S32" s="777">
        <f>R32/$R$6</f>
        <v>3.0714574855647898E-2</v>
      </c>
      <c r="T32" s="793">
        <f>T25-T31</f>
        <v>0</v>
      </c>
      <c r="U32" s="779" t="e">
        <f>T32/$T$6</f>
        <v>#DIV/0!</v>
      </c>
      <c r="V32" s="793">
        <f>V25-V31</f>
        <v>0</v>
      </c>
      <c r="W32" s="814" t="e">
        <f>V32/$V$6</f>
        <v>#DIV/0!</v>
      </c>
      <c r="X32" s="793">
        <f>X25-X31</f>
        <v>0</v>
      </c>
      <c r="Y32" s="778" t="e">
        <f>X32/$X$6</f>
        <v>#DIV/0!</v>
      </c>
      <c r="Z32" s="793">
        <f>Z25-Z31</f>
        <v>0</v>
      </c>
      <c r="AA32" s="779" t="e">
        <f>Z32/$Z$6</f>
        <v>#DIV/0!</v>
      </c>
      <c r="AB32" s="770">
        <f>D32+F32+H32+J32+L32+N32+P32+R32+T32+V32+X32+Z32</f>
        <v>-3188280.0273387134</v>
      </c>
      <c r="AC32" s="956">
        <f>AB32/$AB$6*100</f>
        <v>-0.56373711401413529</v>
      </c>
      <c r="AD32" s="730">
        <f>AVERAGE(D32,F32,H32,J32,L32,N32,R32,P32,T32,V32,X32,Z32)</f>
        <v>-265690.00227822614</v>
      </c>
    </row>
    <row r="33" spans="1:30">
      <c r="A33" s="431" t="s">
        <v>1560</v>
      </c>
      <c r="B33" s="432"/>
      <c r="D33" s="438"/>
      <c r="E33" s="746"/>
      <c r="F33" s="438"/>
      <c r="G33" s="762"/>
      <c r="H33" s="438"/>
      <c r="I33" s="407"/>
      <c r="J33" s="438"/>
      <c r="L33" s="438"/>
      <c r="M33" s="435"/>
      <c r="N33" s="438"/>
      <c r="O33" s="763"/>
      <c r="P33" s="438"/>
      <c r="Q33" s="548"/>
      <c r="R33" s="438"/>
      <c r="S33" s="764"/>
      <c r="T33" s="438"/>
      <c r="U33" s="729"/>
      <c r="V33" s="438"/>
      <c r="X33" s="438"/>
      <c r="Y33" s="728"/>
      <c r="Z33" s="438"/>
      <c r="AC33" s="548"/>
      <c r="AD33" s="745"/>
    </row>
    <row r="34" spans="1:30">
      <c r="A34" s="432"/>
      <c r="B34" s="431" t="s">
        <v>1587</v>
      </c>
      <c r="D34" s="438">
        <f>IS明細!D239</f>
        <v>1013492</v>
      </c>
      <c r="E34" s="746">
        <f>D34/$D$6</f>
        <v>1.6822295289267004E-2</v>
      </c>
      <c r="F34" s="438">
        <f>IS明細!F239</f>
        <v>990830</v>
      </c>
      <c r="G34" s="762">
        <f>F34/$F$6</f>
        <v>1.8669719152464129E-2</v>
      </c>
      <c r="H34" s="438">
        <f>IS明細!H239</f>
        <v>3001909</v>
      </c>
      <c r="I34" s="407">
        <f t="shared" si="8"/>
        <v>4.7102090206845949E-2</v>
      </c>
      <c r="J34" s="438">
        <f>IS明細!J239</f>
        <v>3891621</v>
      </c>
      <c r="K34" s="407">
        <f t="shared" si="16"/>
        <v>5.7768599678649425E-2</v>
      </c>
      <c r="L34" s="438">
        <f>IS明細!L239</f>
        <v>2211387</v>
      </c>
      <c r="M34" s="435">
        <f>L34/$L$6</f>
        <v>4.1503965093372362E-2</v>
      </c>
      <c r="N34" s="438">
        <f>IS明細!N239</f>
        <v>3924023</v>
      </c>
      <c r="O34" s="763">
        <f t="shared" si="17"/>
        <v>4.4852145722532856E-2</v>
      </c>
      <c r="P34" s="438">
        <f>IS明細!P239</f>
        <v>1198088</v>
      </c>
      <c r="Q34" s="548">
        <f t="shared" si="13"/>
        <v>1.2195376427026528E-2</v>
      </c>
      <c r="R34" s="438">
        <f>IS明細!R239</f>
        <v>1005421</v>
      </c>
      <c r="S34" s="764">
        <f>R34/$R$6</f>
        <v>1.2241091379956989E-2</v>
      </c>
      <c r="T34" s="438">
        <f>IS明細!T239</f>
        <v>0</v>
      </c>
      <c r="U34" s="729" t="e">
        <f>T34/$T$6</f>
        <v>#DIV/0!</v>
      </c>
      <c r="V34" s="438">
        <f>IS明細!V239</f>
        <v>0</v>
      </c>
      <c r="W34" s="728" t="e">
        <f>V34/$V$6</f>
        <v>#DIV/0!</v>
      </c>
      <c r="X34" s="438">
        <f>IS明細!X239</f>
        <v>0</v>
      </c>
      <c r="Y34" s="728" t="e">
        <f>X34/$X$6</f>
        <v>#DIV/0!</v>
      </c>
      <c r="Z34" s="438">
        <f>IS明細!Z239</f>
        <v>0</v>
      </c>
      <c r="AA34" s="729" t="e">
        <f>Z34/$Z$6</f>
        <v>#DIV/0!</v>
      </c>
      <c r="AB34" s="397">
        <f>D34+F34+H34+J34+L34+N34+P34+R34+T34+V34+X34+Z34</f>
        <v>17236771</v>
      </c>
      <c r="AC34" s="548">
        <f>AB34/$AB$6</f>
        <v>3.0477271303466454E-2</v>
      </c>
      <c r="AD34" s="730">
        <f>AVERAGE(D34,F34,H34,J34,L34,N34,R34,P34,T34,V34,X34,Z34)</f>
        <v>1436397.5833333333</v>
      </c>
    </row>
    <row r="35" spans="1:30">
      <c r="A35" s="432"/>
      <c r="B35" s="431" t="s">
        <v>1612</v>
      </c>
      <c r="D35" s="438">
        <f>IS明細!D264</f>
        <v>5993945</v>
      </c>
      <c r="E35" s="746">
        <f>D35/$D$6</f>
        <v>9.9489599067013365E-2</v>
      </c>
      <c r="F35" s="438">
        <f>IS明細!F264</f>
        <v>4971920</v>
      </c>
      <c r="G35" s="743">
        <f>F35/$F$6</f>
        <v>9.3683427074795322E-2</v>
      </c>
      <c r="H35" s="438">
        <f>IS明細!H264</f>
        <v>4047156</v>
      </c>
      <c r="I35" s="407">
        <f t="shared" si="8"/>
        <v>6.3502760074731726E-2</v>
      </c>
      <c r="J35" s="438">
        <f>IS明細!J264</f>
        <v>4242709</v>
      </c>
      <c r="K35" s="407">
        <f t="shared" si="16"/>
        <v>6.2980274228657679E-2</v>
      </c>
      <c r="L35" s="438">
        <f>IS明細!L264</f>
        <v>2487538</v>
      </c>
      <c r="M35" s="435">
        <f>L35/$L$6</f>
        <v>4.6686848715506289E-2</v>
      </c>
      <c r="N35" s="438">
        <f>IS明細!N264</f>
        <v>2145488</v>
      </c>
      <c r="O35" s="744">
        <f t="shared" si="17"/>
        <v>2.4523235572764372E-2</v>
      </c>
      <c r="P35" s="438">
        <f>IS明細!P264</f>
        <v>2535267</v>
      </c>
      <c r="Q35" s="548">
        <f t="shared" si="13"/>
        <v>2.5806564632997128E-2</v>
      </c>
      <c r="R35" s="438">
        <f>IS明細!R264</f>
        <v>1238320</v>
      </c>
      <c r="S35" s="742">
        <f>R35/$R$6</f>
        <v>1.5076657716149095E-2</v>
      </c>
      <c r="T35" s="438">
        <f>IS明細!T264</f>
        <v>0</v>
      </c>
      <c r="U35" s="729" t="e">
        <f>T35/$T$6</f>
        <v>#DIV/0!</v>
      </c>
      <c r="V35" s="438">
        <f>IS明細!V264</f>
        <v>0</v>
      </c>
      <c r="W35" s="728" t="e">
        <f>V35/$V$6</f>
        <v>#DIV/0!</v>
      </c>
      <c r="X35" s="438">
        <f>IS明細!X264</f>
        <v>0</v>
      </c>
      <c r="Y35" s="728" t="e">
        <f>X35/$X$6</f>
        <v>#DIV/0!</v>
      </c>
      <c r="Z35" s="438">
        <f>IS明細!Z264</f>
        <v>0</v>
      </c>
      <c r="AA35" s="729" t="e">
        <f>Z35/$Z$6</f>
        <v>#DIV/0!</v>
      </c>
      <c r="AB35" s="397">
        <f>D35+F35+H35+J35+L35+N35+P35+R35+T35+V35+X35+Z35</f>
        <v>27662343</v>
      </c>
      <c r="AC35" s="548">
        <f>AB35/$AB$6</f>
        <v>4.8911291592871199E-2</v>
      </c>
      <c r="AD35" s="730">
        <f>AVERAGE(D35,F35,H35,J35,L35,N35,R35,P35,T35,V35,X35,Z35)</f>
        <v>2305195.25</v>
      </c>
    </row>
    <row r="36" spans="1:30">
      <c r="A36" s="431" t="s">
        <v>1750</v>
      </c>
      <c r="B36" s="432"/>
      <c r="D36" s="438">
        <f>IS明細!D265</f>
        <v>-4980453</v>
      </c>
      <c r="E36" s="953">
        <f>D36/$D$6*100</f>
        <v>-8.2667303777746373</v>
      </c>
      <c r="F36" s="438">
        <f>F34-F35</f>
        <v>-3981090</v>
      </c>
      <c r="G36" s="796">
        <f>F36/$F$6*100</f>
        <v>-7.5013707922331196</v>
      </c>
      <c r="H36" s="438">
        <f>H34-H35</f>
        <v>-1045247</v>
      </c>
      <c r="I36" s="797">
        <f>H36/$H$6*100</f>
        <v>-1.6400669867885773</v>
      </c>
      <c r="J36" s="438">
        <f>J34-J35</f>
        <v>-351088</v>
      </c>
      <c r="K36" s="407">
        <f t="shared" si="16"/>
        <v>-5.2116745500082537E-3</v>
      </c>
      <c r="L36" s="438">
        <f>L34-L35</f>
        <v>-276151</v>
      </c>
      <c r="M36" s="435">
        <f>L36/$L$6</f>
        <v>-5.1828836221339243E-3</v>
      </c>
      <c r="N36" s="438">
        <f>N34-N35</f>
        <v>1778535</v>
      </c>
      <c r="O36" s="744">
        <f t="shared" si="17"/>
        <v>2.0328910149768484E-2</v>
      </c>
      <c r="P36" s="438">
        <f>P34-P35</f>
        <v>-1337179</v>
      </c>
      <c r="Q36" s="548">
        <f t="shared" si="13"/>
        <v>-1.3611188205970601E-2</v>
      </c>
      <c r="R36" s="438">
        <f>R34-R35</f>
        <v>-232899</v>
      </c>
      <c r="S36" s="742">
        <f>R36/$R$6</f>
        <v>-2.8355663361921053E-3</v>
      </c>
      <c r="T36" s="438">
        <f>T34-T35</f>
        <v>0</v>
      </c>
      <c r="U36" s="818" t="e">
        <f>T36/$T$6</f>
        <v>#DIV/0!</v>
      </c>
      <c r="V36" s="438">
        <f>V34-V35</f>
        <v>0</v>
      </c>
      <c r="W36" s="728" t="e">
        <f>V36/$V$6</f>
        <v>#DIV/0!</v>
      </c>
      <c r="X36" s="438">
        <f>X34-X35</f>
        <v>0</v>
      </c>
      <c r="Y36" s="728" t="e">
        <f>X36/$X$6</f>
        <v>#DIV/0!</v>
      </c>
      <c r="Z36" s="438">
        <f>Z34-Z35</f>
        <v>0</v>
      </c>
      <c r="AA36" s="729" t="e">
        <f>Z36/$Z$6</f>
        <v>#DIV/0!</v>
      </c>
      <c r="AB36" s="397">
        <f>D36+F36+H36+J36+L36+N36+P36+R36+T36+V36+X36+Z36</f>
        <v>-10425572</v>
      </c>
      <c r="AC36" s="816">
        <f>AB36/$AB$6*100</f>
        <v>-1.8434020289404747</v>
      </c>
      <c r="AD36" s="730">
        <f>AVERAGE(D36,F36,H36,J36,L36,N36,R36,P36,T36,V36,X36,Z36)</f>
        <v>-868797.66666666663</v>
      </c>
    </row>
    <row r="37" spans="1:30">
      <c r="A37" s="488" t="s">
        <v>1614</v>
      </c>
      <c r="B37" s="489"/>
      <c r="C37" s="490"/>
      <c r="D37" s="491">
        <f>D32+D36</f>
        <v>-7756173</v>
      </c>
      <c r="E37" s="954">
        <f>D37/$D$6*100</f>
        <v>-12.873967680123762</v>
      </c>
      <c r="F37" s="491">
        <f>F32+F36</f>
        <v>-10972456.3258655</v>
      </c>
      <c r="G37" s="798">
        <f>F37/$F$6*100</f>
        <v>-20.674856233318259</v>
      </c>
      <c r="H37" s="491">
        <f>H32+H36</f>
        <v>2058472.3004011288</v>
      </c>
      <c r="I37" s="493">
        <f t="shared" si="8"/>
        <v>3.2298896462813385E-2</v>
      </c>
      <c r="J37" s="491">
        <f>J32+J36</f>
        <v>-900330.0078715235</v>
      </c>
      <c r="K37" s="493">
        <f t="shared" si="16"/>
        <v>-1.3364817335348259E-2</v>
      </c>
      <c r="L37" s="491">
        <f>L32+L36</f>
        <v>-1699643.9765767604</v>
      </c>
      <c r="M37" s="492">
        <f>L37/$L$6</f>
        <v>-3.1899420714240637E-2</v>
      </c>
      <c r="N37" s="491">
        <f>N32+N36</f>
        <v>4012266.9897690415</v>
      </c>
      <c r="O37" s="799">
        <f t="shared" si="17"/>
        <v>4.5860787182651401E-2</v>
      </c>
      <c r="P37" s="491">
        <f>P32+P36</f>
        <v>-645828.00222487748</v>
      </c>
      <c r="Q37" s="800">
        <f t="shared" si="13"/>
        <v>-6.5739040823770099E-3</v>
      </c>
      <c r="R37" s="491">
        <f>R32+R36</f>
        <v>2289839.9950297773</v>
      </c>
      <c r="S37" s="801">
        <f>R37/$R$6</f>
        <v>2.7879008519455791E-2</v>
      </c>
      <c r="T37" s="491">
        <f>T32+T36</f>
        <v>0</v>
      </c>
      <c r="U37" s="802" t="e">
        <f>T37/$T$6</f>
        <v>#DIV/0!</v>
      </c>
      <c r="V37" s="491">
        <f>V32+V36</f>
        <v>0</v>
      </c>
      <c r="W37" s="815" t="e">
        <f>V37/$V$6</f>
        <v>#DIV/0!</v>
      </c>
      <c r="X37" s="491">
        <f>X32+X36</f>
        <v>0</v>
      </c>
      <c r="Y37" s="803" t="e">
        <f>X37/$X$6</f>
        <v>#DIV/0!</v>
      </c>
      <c r="Z37" s="491">
        <f>Z32+Z36</f>
        <v>0</v>
      </c>
      <c r="AA37" s="802" t="e">
        <f>Z37/$Z$6</f>
        <v>#DIV/0!</v>
      </c>
      <c r="AB37" s="804">
        <f>D37+F37+H37+J37+L37+N37+P37+R37+T37+V37+X37+Z37</f>
        <v>-13613852.027338713</v>
      </c>
      <c r="AC37" s="957">
        <f>AB37/$AB$6*100</f>
        <v>-2.4071391429546103</v>
      </c>
      <c r="AD37" s="805">
        <f>AVERAGE(D37,F37,H37,J37,L37,N37,R37,P37,T37,V37,X37,Z37)</f>
        <v>-1134487.6689448927</v>
      </c>
    </row>
    <row r="38" spans="1:30">
      <c r="A38" s="431" t="s">
        <v>1615</v>
      </c>
      <c r="B38" s="432"/>
      <c r="D38" s="438"/>
      <c r="E38" s="746"/>
      <c r="G38" s="743"/>
      <c r="L38" s="438"/>
      <c r="M38" s="435"/>
      <c r="N38" s="397"/>
      <c r="O38" s="744"/>
      <c r="Q38" s="548"/>
      <c r="S38" s="742"/>
      <c r="U38" s="436"/>
      <c r="Y38" s="728"/>
      <c r="Z38" s="397"/>
      <c r="AC38" s="407"/>
      <c r="AD38" s="730">
        <f t="shared" ref="AD38:AD43" si="18">AB38/2</f>
        <v>0</v>
      </c>
    </row>
    <row r="39" spans="1:30" hidden="1">
      <c r="A39" s="432"/>
      <c r="B39" s="431" t="s">
        <v>1616</v>
      </c>
      <c r="D39" s="438"/>
      <c r="E39" s="746"/>
      <c r="G39" s="743"/>
      <c r="L39" s="438"/>
      <c r="M39" s="435"/>
      <c r="N39" s="397"/>
      <c r="O39" s="744"/>
      <c r="Q39" s="548"/>
      <c r="S39" s="742"/>
      <c r="U39" s="436"/>
      <c r="Y39" s="728"/>
      <c r="Z39" s="397"/>
      <c r="AC39" s="407"/>
      <c r="AD39" s="730">
        <f t="shared" si="18"/>
        <v>0</v>
      </c>
    </row>
    <row r="40" spans="1:30" hidden="1">
      <c r="A40" s="432"/>
      <c r="B40" s="432" t="s">
        <v>1617</v>
      </c>
      <c r="D40" s="438">
        <f>IS明細!D269</f>
        <v>0</v>
      </c>
      <c r="E40" s="746">
        <f t="shared" ref="E40:E43" si="19">D40/$D$6</f>
        <v>0</v>
      </c>
      <c r="F40" s="397">
        <f>IS明細!F269</f>
        <v>0</v>
      </c>
      <c r="G40" s="743">
        <f t="shared" ref="G40:G44" si="20">F40/$F$6*100</f>
        <v>0</v>
      </c>
      <c r="H40" s="397">
        <f>IS明細!H269</f>
        <v>0</v>
      </c>
      <c r="I40" s="401">
        <f t="shared" ref="I40:I44" si="21">H40/$H$6*100</f>
        <v>0</v>
      </c>
      <c r="J40" s="397">
        <f>IS明細!J269</f>
        <v>0</v>
      </c>
      <c r="K40" s="407">
        <f t="shared" ref="K40:K44" si="22">J40/$J$6</f>
        <v>0</v>
      </c>
      <c r="L40" s="397">
        <f>IS明細!L269</f>
        <v>0</v>
      </c>
      <c r="M40" s="435">
        <f t="shared" ref="M40:M44" si="23">L40/$L$6</f>
        <v>0</v>
      </c>
      <c r="N40" s="397">
        <f>IS明細!N269</f>
        <v>0</v>
      </c>
      <c r="O40" s="744">
        <f t="shared" ref="O40:O44" si="24">N40/$N$6</f>
        <v>0</v>
      </c>
      <c r="P40" s="397">
        <f>IS明細!P269</f>
        <v>0</v>
      </c>
      <c r="Q40" s="548">
        <f t="shared" ref="Q40:Q44" si="25">P40/$P$6</f>
        <v>0</v>
      </c>
      <c r="R40" s="397">
        <f>IS明細!R269</f>
        <v>0</v>
      </c>
      <c r="S40" s="742">
        <f t="shared" ref="S40:S44" si="26">R40/$R$6</f>
        <v>0</v>
      </c>
      <c r="T40" s="397">
        <f>IS明細!T269</f>
        <v>0</v>
      </c>
      <c r="U40" s="436" t="e">
        <f t="shared" ref="U40:U44" si="27">T40/$T$6</f>
        <v>#DIV/0!</v>
      </c>
      <c r="V40" s="397">
        <f>IS明細!V269</f>
        <v>0</v>
      </c>
      <c r="W40" s="728" t="e">
        <f t="shared" ref="W40:W44" si="28">V40/$V$6</f>
        <v>#DIV/0!</v>
      </c>
      <c r="X40" s="397">
        <f>IS明細!X269</f>
        <v>0</v>
      </c>
      <c r="Y40" s="728" t="e">
        <f t="shared" ref="Y40:Y44" si="29">X40/$X$6</f>
        <v>#DIV/0!</v>
      </c>
      <c r="Z40" s="397">
        <f>IS明細!Z269</f>
        <v>0</v>
      </c>
      <c r="AA40" s="729" t="e">
        <f t="shared" ref="AA40:AA44" si="30">Z40/$Z$6</f>
        <v>#DIV/0!</v>
      </c>
      <c r="AB40" s="397">
        <f t="shared" ref="AB40:AB44" si="31">D40+F40+H40+J40+L40+N40+P40+R40+T40+V40+X40+Z40</f>
        <v>0</v>
      </c>
      <c r="AC40" s="407">
        <f t="shared" ref="AC40:AC43" si="32">AB40/$AB$6</f>
        <v>0</v>
      </c>
      <c r="AD40" s="730">
        <f t="shared" si="18"/>
        <v>0</v>
      </c>
    </row>
    <row r="41" spans="1:30" hidden="1">
      <c r="A41" s="432"/>
      <c r="B41" s="432" t="s">
        <v>1618</v>
      </c>
      <c r="D41" s="438">
        <f>IS明細!D270</f>
        <v>0</v>
      </c>
      <c r="E41" s="746">
        <f t="shared" si="19"/>
        <v>0</v>
      </c>
      <c r="F41" s="397">
        <f>IS明細!F270</f>
        <v>0</v>
      </c>
      <c r="G41" s="743">
        <f t="shared" si="20"/>
        <v>0</v>
      </c>
      <c r="H41" s="397">
        <f>IS明細!H270</f>
        <v>0</v>
      </c>
      <c r="I41" s="401">
        <f t="shared" si="21"/>
        <v>0</v>
      </c>
      <c r="J41" s="397">
        <f>IS明細!J270</f>
        <v>0</v>
      </c>
      <c r="K41" s="407">
        <f t="shared" si="22"/>
        <v>0</v>
      </c>
      <c r="L41" s="397">
        <f>IS明細!L270</f>
        <v>0</v>
      </c>
      <c r="M41" s="435">
        <f t="shared" si="23"/>
        <v>0</v>
      </c>
      <c r="N41" s="397">
        <f>IS明細!N270</f>
        <v>0</v>
      </c>
      <c r="O41" s="744">
        <f t="shared" si="24"/>
        <v>0</v>
      </c>
      <c r="P41" s="397">
        <f>IS明細!P270</f>
        <v>0</v>
      </c>
      <c r="Q41" s="548">
        <f t="shared" si="25"/>
        <v>0</v>
      </c>
      <c r="R41" s="397">
        <f>IS明細!R270</f>
        <v>0</v>
      </c>
      <c r="S41" s="742">
        <f t="shared" si="26"/>
        <v>0</v>
      </c>
      <c r="T41" s="397">
        <f>IS明細!T270</f>
        <v>0</v>
      </c>
      <c r="U41" s="436" t="e">
        <f t="shared" si="27"/>
        <v>#DIV/0!</v>
      </c>
      <c r="V41" s="397">
        <f>IS明細!V270</f>
        <v>0</v>
      </c>
      <c r="W41" s="728" t="e">
        <f t="shared" si="28"/>
        <v>#DIV/0!</v>
      </c>
      <c r="X41" s="397">
        <f>IS明細!X270</f>
        <v>0</v>
      </c>
      <c r="Y41" s="728" t="e">
        <f t="shared" si="29"/>
        <v>#DIV/0!</v>
      </c>
      <c r="Z41" s="397">
        <f>IS明細!Z270</f>
        <v>0</v>
      </c>
      <c r="AA41" s="729" t="e">
        <f t="shared" si="30"/>
        <v>#DIV/0!</v>
      </c>
      <c r="AB41" s="397">
        <f t="shared" si="31"/>
        <v>0</v>
      </c>
      <c r="AC41" s="407">
        <f t="shared" si="32"/>
        <v>0</v>
      </c>
      <c r="AD41" s="730">
        <f t="shared" si="18"/>
        <v>0</v>
      </c>
    </row>
    <row r="42" spans="1:30" s="397" customFormat="1" hidden="1">
      <c r="A42" s="432"/>
      <c r="B42" s="431" t="s">
        <v>1619</v>
      </c>
      <c r="D42" s="438">
        <f>IS明細!D271</f>
        <v>0</v>
      </c>
      <c r="E42" s="746">
        <f t="shared" si="19"/>
        <v>0</v>
      </c>
      <c r="F42" s="397">
        <f>IS明細!F271</f>
        <v>0</v>
      </c>
      <c r="G42" s="743">
        <f t="shared" si="20"/>
        <v>0</v>
      </c>
      <c r="H42" s="397">
        <f>IS明細!H271</f>
        <v>0</v>
      </c>
      <c r="I42" s="401">
        <f t="shared" si="21"/>
        <v>0</v>
      </c>
      <c r="J42" s="397">
        <f>IS明細!J271</f>
        <v>0</v>
      </c>
      <c r="K42" s="407">
        <f t="shared" si="22"/>
        <v>0</v>
      </c>
      <c r="L42" s="397">
        <f>IS明細!L271</f>
        <v>0</v>
      </c>
      <c r="M42" s="435">
        <f t="shared" si="23"/>
        <v>0</v>
      </c>
      <c r="N42" s="397">
        <f>IS明細!N271</f>
        <v>0</v>
      </c>
      <c r="O42" s="744">
        <f t="shared" si="24"/>
        <v>0</v>
      </c>
      <c r="P42" s="397">
        <f>IS明細!P271</f>
        <v>0</v>
      </c>
      <c r="Q42" s="548">
        <f t="shared" si="25"/>
        <v>0</v>
      </c>
      <c r="R42" s="397">
        <f>IS明細!R271</f>
        <v>0</v>
      </c>
      <c r="S42" s="742">
        <f t="shared" si="26"/>
        <v>0</v>
      </c>
      <c r="T42" s="397">
        <f>IS明細!T271</f>
        <v>0</v>
      </c>
      <c r="U42" s="436" t="e">
        <f t="shared" si="27"/>
        <v>#DIV/0!</v>
      </c>
      <c r="V42" s="397">
        <f>IS明細!V271</f>
        <v>0</v>
      </c>
      <c r="W42" s="728" t="e">
        <f t="shared" si="28"/>
        <v>#DIV/0!</v>
      </c>
      <c r="X42" s="397">
        <f>IS明細!X271</f>
        <v>0</v>
      </c>
      <c r="Y42" s="728" t="e">
        <f t="shared" si="29"/>
        <v>#DIV/0!</v>
      </c>
      <c r="Z42" s="397">
        <f>IS明細!Z271</f>
        <v>0</v>
      </c>
      <c r="AA42" s="729" t="e">
        <f t="shared" si="30"/>
        <v>#DIV/0!</v>
      </c>
      <c r="AB42" s="397">
        <f t="shared" si="31"/>
        <v>0</v>
      </c>
      <c r="AC42" s="407">
        <f t="shared" si="32"/>
        <v>0</v>
      </c>
      <c r="AD42" s="730">
        <f t="shared" si="18"/>
        <v>0</v>
      </c>
    </row>
    <row r="43" spans="1:30" hidden="1">
      <c r="A43" s="431" t="s">
        <v>1620</v>
      </c>
      <c r="B43" s="432"/>
      <c r="D43" s="438">
        <f>IS明細!D272</f>
        <v>0</v>
      </c>
      <c r="E43" s="746">
        <f t="shared" si="19"/>
        <v>0</v>
      </c>
      <c r="F43" s="397">
        <f>IS明細!F272</f>
        <v>0</v>
      </c>
      <c r="G43" s="743">
        <f t="shared" si="20"/>
        <v>0</v>
      </c>
      <c r="H43" s="397">
        <f>IS明細!H272</f>
        <v>0</v>
      </c>
      <c r="I43" s="401">
        <f t="shared" si="21"/>
        <v>0</v>
      </c>
      <c r="J43" s="397">
        <f>IS明細!J272</f>
        <v>0</v>
      </c>
      <c r="K43" s="407">
        <f t="shared" si="22"/>
        <v>0</v>
      </c>
      <c r="L43" s="397">
        <f>IS明細!L272</f>
        <v>0</v>
      </c>
      <c r="M43" s="435">
        <f t="shared" si="23"/>
        <v>0</v>
      </c>
      <c r="N43" s="397">
        <f>IS明細!N272</f>
        <v>0</v>
      </c>
      <c r="O43" s="744">
        <f t="shared" si="24"/>
        <v>0</v>
      </c>
      <c r="P43" s="397">
        <f>IS明細!P272</f>
        <v>0</v>
      </c>
      <c r="Q43" s="548">
        <f t="shared" si="25"/>
        <v>0</v>
      </c>
      <c r="R43" s="397">
        <f>IS明細!R272</f>
        <v>0</v>
      </c>
      <c r="S43" s="742">
        <f t="shared" si="26"/>
        <v>0</v>
      </c>
      <c r="T43" s="397">
        <f>IS明細!T272</f>
        <v>0</v>
      </c>
      <c r="U43" s="436" t="e">
        <f t="shared" si="27"/>
        <v>#DIV/0!</v>
      </c>
      <c r="V43" s="397">
        <f>IS明細!V272</f>
        <v>0</v>
      </c>
      <c r="W43" s="728" t="e">
        <f t="shared" si="28"/>
        <v>#DIV/0!</v>
      </c>
      <c r="X43" s="397">
        <f>IS明細!X272</f>
        <v>0</v>
      </c>
      <c r="Y43" s="728" t="e">
        <f t="shared" si="29"/>
        <v>#DIV/0!</v>
      </c>
      <c r="Z43" s="397">
        <f>IS明細!Z272</f>
        <v>0</v>
      </c>
      <c r="AA43" s="729" t="e">
        <f t="shared" si="30"/>
        <v>#DIV/0!</v>
      </c>
      <c r="AB43" s="397">
        <f t="shared" si="31"/>
        <v>0</v>
      </c>
      <c r="AC43" s="407">
        <f t="shared" si="32"/>
        <v>0</v>
      </c>
      <c r="AD43" s="730">
        <f t="shared" si="18"/>
        <v>0</v>
      </c>
    </row>
    <row r="44" spans="1:30" ht="18" thickBot="1">
      <c r="A44" s="900" t="s">
        <v>1621</v>
      </c>
      <c r="B44" s="901"/>
      <c r="C44" s="902"/>
      <c r="D44" s="903">
        <f>IS明細!D273</f>
        <v>-7756173</v>
      </c>
      <c r="E44" s="955">
        <f>D44/$D$6*100</f>
        <v>-12.873967680123762</v>
      </c>
      <c r="F44" s="904">
        <f>IS明細!F273</f>
        <v>-10972456</v>
      </c>
      <c r="G44" s="1041">
        <f t="shared" si="20"/>
        <v>-20.674855619306033</v>
      </c>
      <c r="H44" s="904">
        <f>IS明細!H273</f>
        <v>2058472</v>
      </c>
      <c r="I44" s="904">
        <f t="shared" si="21"/>
        <v>3.2298891749305723</v>
      </c>
      <c r="J44" s="904">
        <f>IS明細!J273</f>
        <v>-900330</v>
      </c>
      <c r="K44" s="905">
        <f t="shared" si="22"/>
        <v>-1.3364817218500578E-2</v>
      </c>
      <c r="L44" s="904">
        <f>IS明細!L273</f>
        <v>-1699644</v>
      </c>
      <c r="M44" s="906">
        <f t="shared" si="23"/>
        <v>-3.1899421153854926E-2</v>
      </c>
      <c r="N44" s="904">
        <f>IS明細!N273</f>
        <v>4012267</v>
      </c>
      <c r="O44" s="907">
        <f t="shared" si="24"/>
        <v>4.5860787299592726E-2</v>
      </c>
      <c r="P44" s="904">
        <f>IS明細!P273</f>
        <v>-645828</v>
      </c>
      <c r="Q44" s="908">
        <f t="shared" si="25"/>
        <v>-6.5739040597299096E-3</v>
      </c>
      <c r="R44" s="904">
        <f>IS明細!R273</f>
        <v>2289840</v>
      </c>
      <c r="S44" s="909">
        <f t="shared" si="26"/>
        <v>2.7879008579968702E-2</v>
      </c>
      <c r="T44" s="904">
        <f>IS明細!T273</f>
        <v>0</v>
      </c>
      <c r="U44" s="910" t="e">
        <f t="shared" si="27"/>
        <v>#DIV/0!</v>
      </c>
      <c r="V44" s="904">
        <f>IS明細!V273</f>
        <v>0</v>
      </c>
      <c r="W44" s="911" t="e">
        <f t="shared" si="28"/>
        <v>#DIV/0!</v>
      </c>
      <c r="X44" s="904">
        <f>IS明細!X273</f>
        <v>0</v>
      </c>
      <c r="Y44" s="911" t="e">
        <f t="shared" si="29"/>
        <v>#DIV/0!</v>
      </c>
      <c r="Z44" s="904">
        <f>IS明細!Z273</f>
        <v>0</v>
      </c>
      <c r="AA44" s="912" t="e">
        <f t="shared" si="30"/>
        <v>#DIV/0!</v>
      </c>
      <c r="AB44" s="904">
        <f t="shared" si="31"/>
        <v>-13613852</v>
      </c>
      <c r="AC44" s="958">
        <f>AB44/$AB$6*100</f>
        <v>-2.4071391381207037</v>
      </c>
      <c r="AD44" s="913">
        <f>AB44/12</f>
        <v>-1134487.6666666667</v>
      </c>
    </row>
    <row r="45" spans="1:30" ht="18" thickTop="1">
      <c r="G45" s="743"/>
      <c r="N45" s="397"/>
      <c r="Q45" s="548"/>
      <c r="S45" s="742"/>
      <c r="U45" s="436"/>
      <c r="Y45" s="728"/>
      <c r="Z45" s="397"/>
    </row>
    <row r="46" spans="1:30" s="511" customFormat="1">
      <c r="D46" s="806"/>
      <c r="E46" s="807"/>
      <c r="F46" s="806"/>
      <c r="G46" s="808"/>
      <c r="H46" s="806"/>
      <c r="I46" s="512"/>
      <c r="J46" s="806"/>
      <c r="K46" s="513"/>
      <c r="L46" s="806"/>
      <c r="M46" s="513"/>
      <c r="N46" s="515"/>
      <c r="O46" s="809"/>
      <c r="P46" s="806"/>
      <c r="Q46" s="807"/>
      <c r="R46" s="806"/>
      <c r="S46" s="742"/>
      <c r="T46" s="806"/>
      <c r="U46" s="514"/>
      <c r="V46" s="806"/>
      <c r="W46" s="810"/>
      <c r="X46" s="806"/>
      <c r="Y46" s="810"/>
      <c r="Z46" s="512"/>
      <c r="AA46" s="811"/>
      <c r="AB46" s="806">
        <f>AB6-AB24-AB31+AB36</f>
        <v>-13613852.027338743</v>
      </c>
      <c r="AC46" s="512"/>
      <c r="AD46" s="812"/>
    </row>
    <row r="47" spans="1:30" s="511" customFormat="1">
      <c r="D47" s="806"/>
      <c r="E47" s="807"/>
      <c r="F47" s="806"/>
      <c r="G47" s="808"/>
      <c r="H47" s="806"/>
      <c r="I47" s="512"/>
      <c r="J47" s="806"/>
      <c r="K47" s="513"/>
      <c r="L47" s="806"/>
      <c r="M47" s="513"/>
      <c r="N47" s="515"/>
      <c r="O47" s="809"/>
      <c r="P47" s="806"/>
      <c r="Q47" s="807"/>
      <c r="R47" s="806"/>
      <c r="S47" s="742"/>
      <c r="T47" s="806"/>
      <c r="U47" s="514"/>
      <c r="V47" s="806"/>
      <c r="W47" s="810"/>
      <c r="X47" s="806"/>
      <c r="Y47" s="810"/>
      <c r="Z47" s="512"/>
      <c r="AA47" s="811"/>
      <c r="AB47" s="806"/>
      <c r="AC47" s="512"/>
      <c r="AD47" s="812"/>
    </row>
    <row r="48" spans="1:30" s="511" customFormat="1">
      <c r="D48" s="806"/>
      <c r="E48" s="807"/>
      <c r="F48" s="806"/>
      <c r="G48" s="808"/>
      <c r="H48" s="806"/>
      <c r="I48" s="512"/>
      <c r="J48" s="806"/>
      <c r="K48" s="513"/>
      <c r="L48" s="806"/>
      <c r="M48" s="513"/>
      <c r="N48" s="515"/>
      <c r="O48" s="809"/>
      <c r="P48" s="806"/>
      <c r="Q48" s="807"/>
      <c r="R48" s="806"/>
      <c r="S48" s="742"/>
      <c r="T48" s="806"/>
      <c r="U48" s="514"/>
      <c r="V48" s="806"/>
      <c r="W48" s="810"/>
      <c r="X48" s="806"/>
      <c r="Y48" s="810"/>
      <c r="Z48" s="512"/>
      <c r="AA48" s="811"/>
      <c r="AB48" s="806"/>
      <c r="AC48" s="512"/>
      <c r="AD48" s="812"/>
    </row>
    <row r="49" spans="4:30" s="511" customFormat="1">
      <c r="D49" s="806"/>
      <c r="E49" s="807"/>
      <c r="F49" s="806"/>
      <c r="G49" s="808"/>
      <c r="H49" s="806"/>
      <c r="I49" s="512"/>
      <c r="J49" s="806"/>
      <c r="K49" s="513"/>
      <c r="L49" s="806"/>
      <c r="M49" s="513"/>
      <c r="N49" s="515"/>
      <c r="O49" s="809"/>
      <c r="P49" s="806"/>
      <c r="Q49" s="807"/>
      <c r="R49" s="806"/>
      <c r="S49" s="742"/>
      <c r="T49" s="806"/>
      <c r="U49" s="514"/>
      <c r="V49" s="806"/>
      <c r="W49" s="810"/>
      <c r="X49" s="806"/>
      <c r="Y49" s="810"/>
      <c r="Z49" s="512"/>
      <c r="AA49" s="811"/>
      <c r="AB49" s="806"/>
      <c r="AC49" s="512"/>
      <c r="AD49" s="812"/>
    </row>
    <row r="50" spans="4:30" s="511" customFormat="1">
      <c r="D50" s="806"/>
      <c r="E50" s="807"/>
      <c r="F50" s="806"/>
      <c r="G50" s="808"/>
      <c r="H50" s="806"/>
      <c r="I50" s="512"/>
      <c r="J50" s="806"/>
      <c r="K50" s="513"/>
      <c r="L50" s="806"/>
      <c r="M50" s="513"/>
      <c r="N50" s="515"/>
      <c r="O50" s="809"/>
      <c r="P50" s="806"/>
      <c r="Q50" s="807"/>
      <c r="R50" s="806"/>
      <c r="S50" s="742"/>
      <c r="T50" s="806"/>
      <c r="U50" s="514"/>
      <c r="V50" s="806"/>
      <c r="W50" s="810"/>
      <c r="X50" s="806"/>
      <c r="Y50" s="810"/>
      <c r="Z50" s="512"/>
      <c r="AA50" s="811"/>
      <c r="AB50" s="806"/>
      <c r="AC50" s="512"/>
      <c r="AD50" s="812"/>
    </row>
    <row r="51" spans="4:30" s="511" customFormat="1">
      <c r="D51" s="806"/>
      <c r="E51" s="807"/>
      <c r="F51" s="806"/>
      <c r="G51" s="808"/>
      <c r="H51" s="806"/>
      <c r="I51" s="512"/>
      <c r="J51" s="806"/>
      <c r="K51" s="513"/>
      <c r="L51" s="806"/>
      <c r="M51" s="513"/>
      <c r="N51" s="515"/>
      <c r="O51" s="809"/>
      <c r="P51" s="806"/>
      <c r="Q51" s="807"/>
      <c r="R51" s="806"/>
      <c r="S51" s="742"/>
      <c r="T51" s="806"/>
      <c r="U51" s="813"/>
      <c r="V51" s="806"/>
      <c r="W51" s="810"/>
      <c r="X51" s="806"/>
      <c r="Y51" s="810"/>
      <c r="Z51" s="512"/>
      <c r="AA51" s="811"/>
      <c r="AB51" s="806"/>
      <c r="AC51" s="512"/>
      <c r="AD51" s="812"/>
    </row>
    <row r="52" spans="4:30" s="511" customFormat="1">
      <c r="D52" s="806"/>
      <c r="E52" s="807"/>
      <c r="F52" s="806"/>
      <c r="G52" s="808"/>
      <c r="H52" s="806"/>
      <c r="I52" s="512"/>
      <c r="J52" s="806"/>
      <c r="K52" s="513"/>
      <c r="L52" s="806"/>
      <c r="M52" s="513"/>
      <c r="N52" s="515"/>
      <c r="O52" s="809"/>
      <c r="P52" s="806"/>
      <c r="Q52" s="807"/>
      <c r="R52" s="806"/>
      <c r="S52" s="742"/>
      <c r="T52" s="806"/>
      <c r="U52" s="813"/>
      <c r="V52" s="806"/>
      <c r="W52" s="810"/>
      <c r="X52" s="806"/>
      <c r="Y52" s="810"/>
      <c r="Z52" s="512"/>
      <c r="AA52" s="811"/>
      <c r="AB52" s="806"/>
      <c r="AC52" s="512"/>
      <c r="AD52" s="812"/>
    </row>
    <row r="53" spans="4:30">
      <c r="G53" s="743"/>
      <c r="Q53" s="548"/>
      <c r="S53" s="742"/>
      <c r="Y53" s="728"/>
      <c r="AD53" s="745"/>
    </row>
    <row r="54" spans="4:30">
      <c r="G54" s="743"/>
      <c r="Q54" s="548"/>
      <c r="S54" s="742"/>
      <c r="Y54" s="728"/>
      <c r="AD54" s="745"/>
    </row>
    <row r="55" spans="4:30">
      <c r="G55" s="743"/>
      <c r="Q55" s="548"/>
      <c r="S55" s="742"/>
      <c r="Y55" s="728"/>
      <c r="AD55" s="745"/>
    </row>
    <row r="56" spans="4:30">
      <c r="G56" s="743"/>
      <c r="Q56" s="548"/>
      <c r="S56" s="742"/>
      <c r="Y56" s="728"/>
      <c r="AD56" s="745"/>
    </row>
    <row r="57" spans="4:30">
      <c r="G57" s="743"/>
      <c r="Q57" s="548"/>
      <c r="S57" s="742"/>
      <c r="Y57" s="728"/>
      <c r="AD57" s="745"/>
    </row>
    <row r="58" spans="4:30">
      <c r="G58" s="743"/>
      <c r="Q58" s="548"/>
      <c r="S58" s="742"/>
      <c r="Y58" s="728"/>
      <c r="AD58" s="745"/>
    </row>
    <row r="59" spans="4:30">
      <c r="G59" s="743"/>
      <c r="Q59" s="548"/>
      <c r="Y59" s="728"/>
      <c r="AD59" s="745"/>
    </row>
    <row r="60" spans="4:30">
      <c r="G60" s="743"/>
      <c r="Q60" s="548"/>
      <c r="Y60" s="728"/>
      <c r="AD60" s="745"/>
    </row>
    <row r="61" spans="4:30">
      <c r="G61" s="743"/>
      <c r="Q61" s="548"/>
      <c r="Y61" s="728"/>
      <c r="AD61" s="745"/>
    </row>
    <row r="62" spans="4:30">
      <c r="G62" s="743"/>
      <c r="Q62" s="548"/>
      <c r="Y62" s="728"/>
      <c r="AD62" s="745"/>
    </row>
    <row r="63" spans="4:30">
      <c r="G63" s="743"/>
      <c r="Q63" s="548"/>
      <c r="Y63" s="728"/>
      <c r="AD63" s="745"/>
    </row>
    <row r="64" spans="4:30">
      <c r="G64" s="743"/>
      <c r="Q64" s="548"/>
      <c r="Y64" s="728"/>
      <c r="AD64" s="745"/>
    </row>
    <row r="65" spans="7:30">
      <c r="G65" s="743"/>
      <c r="Q65" s="548"/>
      <c r="Y65" s="728"/>
      <c r="AD65" s="745"/>
    </row>
    <row r="66" spans="7:30">
      <c r="G66" s="743"/>
      <c r="Q66" s="548"/>
      <c r="Y66" s="728"/>
      <c r="AD66" s="745"/>
    </row>
    <row r="67" spans="7:30">
      <c r="G67" s="743"/>
      <c r="Q67" s="548"/>
      <c r="Y67" s="728"/>
      <c r="AD67" s="745"/>
    </row>
    <row r="68" spans="7:30">
      <c r="G68" s="743"/>
      <c r="Q68" s="548"/>
      <c r="Y68" s="728"/>
      <c r="AD68" s="745"/>
    </row>
    <row r="69" spans="7:30">
      <c r="G69" s="743"/>
      <c r="Q69" s="548"/>
      <c r="Y69" s="728"/>
      <c r="AD69" s="745"/>
    </row>
    <row r="70" spans="7:30">
      <c r="G70" s="743"/>
      <c r="Q70" s="548"/>
      <c r="Y70" s="728"/>
      <c r="AD70" s="745"/>
    </row>
    <row r="71" spans="7:30">
      <c r="G71" s="743"/>
      <c r="Q71" s="548"/>
      <c r="Y71" s="728"/>
      <c r="AD71" s="745"/>
    </row>
    <row r="72" spans="7:30">
      <c r="G72" s="743"/>
      <c r="Q72" s="548"/>
      <c r="Y72" s="728"/>
      <c r="AD72" s="745"/>
    </row>
    <row r="73" spans="7:30">
      <c r="G73" s="743"/>
      <c r="Q73" s="548"/>
      <c r="Y73" s="728"/>
      <c r="AD73" s="745"/>
    </row>
    <row r="74" spans="7:30">
      <c r="G74" s="743"/>
      <c r="Q74" s="548"/>
      <c r="Y74" s="728"/>
      <c r="AD74" s="745"/>
    </row>
    <row r="75" spans="7:30">
      <c r="G75" s="743"/>
      <c r="Q75" s="548"/>
      <c r="Y75" s="728"/>
      <c r="AD75" s="745"/>
    </row>
    <row r="76" spans="7:30">
      <c r="G76" s="743"/>
      <c r="Q76" s="548"/>
      <c r="Y76" s="728"/>
      <c r="AD76" s="745"/>
    </row>
    <row r="77" spans="7:30">
      <c r="G77" s="743"/>
      <c r="Q77" s="548"/>
      <c r="Y77" s="728"/>
      <c r="AD77" s="745"/>
    </row>
    <row r="78" spans="7:30">
      <c r="G78" s="743"/>
      <c r="Q78" s="548"/>
      <c r="Y78" s="728"/>
      <c r="AD78" s="745"/>
    </row>
    <row r="79" spans="7:30">
      <c r="G79" s="743"/>
      <c r="Q79" s="548"/>
      <c r="Y79" s="728"/>
      <c r="AD79" s="745"/>
    </row>
    <row r="80" spans="7:30">
      <c r="G80" s="743"/>
      <c r="Q80" s="548"/>
      <c r="Y80" s="728"/>
      <c r="AD80" s="745"/>
    </row>
    <row r="81" spans="7:30">
      <c r="G81" s="743"/>
      <c r="Q81" s="548"/>
      <c r="Y81" s="728"/>
      <c r="AD81" s="745"/>
    </row>
    <row r="82" spans="7:30">
      <c r="G82" s="743"/>
      <c r="Q82" s="548"/>
      <c r="Y82" s="728"/>
      <c r="AD82" s="745"/>
    </row>
    <row r="83" spans="7:30">
      <c r="G83" s="743"/>
      <c r="Q83" s="548"/>
      <c r="Y83" s="728"/>
      <c r="AD83" s="745"/>
    </row>
    <row r="84" spans="7:30">
      <c r="G84" s="743"/>
      <c r="Q84" s="548"/>
      <c r="Y84" s="728"/>
      <c r="AD84" s="745"/>
    </row>
    <row r="85" spans="7:30">
      <c r="G85" s="743"/>
      <c r="Y85" s="728"/>
      <c r="AD85" s="745"/>
    </row>
    <row r="86" spans="7:30">
      <c r="G86" s="743"/>
      <c r="Y86" s="728"/>
      <c r="AD86" s="745"/>
    </row>
    <row r="87" spans="7:30">
      <c r="G87" s="743"/>
      <c r="Y87" s="728"/>
      <c r="AD87" s="745"/>
    </row>
    <row r="88" spans="7:30">
      <c r="G88" s="743"/>
      <c r="Y88" s="728"/>
      <c r="AD88" s="745"/>
    </row>
    <row r="89" spans="7:30">
      <c r="G89" s="743"/>
      <c r="Y89" s="728"/>
      <c r="AD89" s="745"/>
    </row>
    <row r="90" spans="7:30">
      <c r="G90" s="743"/>
      <c r="Y90" s="728"/>
      <c r="AD90" s="745"/>
    </row>
    <row r="91" spans="7:30">
      <c r="G91" s="743"/>
      <c r="Y91" s="728"/>
      <c r="AD91" s="745"/>
    </row>
    <row r="92" spans="7:30">
      <c r="G92" s="743"/>
      <c r="Y92" s="728"/>
      <c r="AD92" s="745"/>
    </row>
    <row r="93" spans="7:30">
      <c r="G93" s="743"/>
      <c r="Y93" s="728"/>
      <c r="AD93" s="745"/>
    </row>
    <row r="94" spans="7:30">
      <c r="G94" s="743"/>
      <c r="Y94" s="728"/>
      <c r="AD94" s="745"/>
    </row>
    <row r="95" spans="7:30">
      <c r="G95" s="743"/>
      <c r="Y95" s="728"/>
      <c r="AD95" s="745"/>
    </row>
    <row r="96" spans="7:30">
      <c r="G96" s="743"/>
      <c r="Y96" s="728"/>
      <c r="AD96" s="745"/>
    </row>
    <row r="97" spans="7:30">
      <c r="G97" s="743"/>
      <c r="Y97" s="728"/>
      <c r="AD97" s="745"/>
    </row>
    <row r="98" spans="7:30">
      <c r="G98" s="743"/>
      <c r="Y98" s="728"/>
      <c r="AD98" s="745"/>
    </row>
    <row r="99" spans="7:30">
      <c r="G99" s="743"/>
      <c r="Y99" s="728"/>
      <c r="AD99" s="745"/>
    </row>
    <row r="100" spans="7:30">
      <c r="G100" s="743"/>
      <c r="Y100" s="728"/>
      <c r="AD100" s="745"/>
    </row>
    <row r="101" spans="7:30">
      <c r="G101" s="743"/>
      <c r="Y101" s="728"/>
      <c r="AD101" s="745"/>
    </row>
    <row r="102" spans="7:30">
      <c r="G102" s="743"/>
      <c r="Y102" s="728"/>
      <c r="AD102" s="745"/>
    </row>
    <row r="103" spans="7:30">
      <c r="G103" s="743"/>
      <c r="Y103" s="728"/>
      <c r="AD103" s="745"/>
    </row>
    <row r="104" spans="7:30">
      <c r="G104" s="743"/>
      <c r="Y104" s="728"/>
      <c r="AD104" s="745"/>
    </row>
    <row r="105" spans="7:30">
      <c r="G105" s="743"/>
      <c r="Y105" s="728"/>
      <c r="AD105" s="745"/>
    </row>
    <row r="106" spans="7:30">
      <c r="G106" s="743"/>
      <c r="Y106" s="728"/>
      <c r="AD106" s="745"/>
    </row>
    <row r="107" spans="7:30">
      <c r="G107" s="743"/>
      <c r="Y107" s="728"/>
      <c r="AD107" s="745"/>
    </row>
    <row r="108" spans="7:30">
      <c r="G108" s="743"/>
      <c r="Y108" s="728"/>
      <c r="AD108" s="745"/>
    </row>
    <row r="109" spans="7:30">
      <c r="G109" s="743"/>
      <c r="Y109" s="728"/>
      <c r="AD109" s="745"/>
    </row>
    <row r="110" spans="7:30">
      <c r="G110" s="743"/>
      <c r="Y110" s="728"/>
      <c r="AD110" s="745"/>
    </row>
    <row r="111" spans="7:30">
      <c r="G111" s="743"/>
      <c r="Y111" s="728"/>
      <c r="AD111" s="745"/>
    </row>
    <row r="112" spans="7:30">
      <c r="G112" s="743"/>
      <c r="Y112" s="728"/>
      <c r="AD112" s="745"/>
    </row>
    <row r="113" spans="7:30">
      <c r="G113" s="743"/>
      <c r="Y113" s="728"/>
      <c r="AD113" s="745"/>
    </row>
    <row r="114" spans="7:30">
      <c r="G114" s="743"/>
      <c r="Y114" s="728"/>
      <c r="AD114" s="745"/>
    </row>
    <row r="115" spans="7:30">
      <c r="G115" s="743"/>
      <c r="Y115" s="728"/>
      <c r="AD115" s="745"/>
    </row>
    <row r="116" spans="7:30">
      <c r="G116" s="743"/>
      <c r="AD116" s="745"/>
    </row>
    <row r="117" spans="7:30">
      <c r="G117" s="743"/>
      <c r="AD117" s="745"/>
    </row>
    <row r="118" spans="7:30">
      <c r="G118" s="743"/>
      <c r="AD118" s="745"/>
    </row>
    <row r="119" spans="7:30">
      <c r="G119" s="743"/>
      <c r="AD119" s="745"/>
    </row>
    <row r="120" spans="7:30">
      <c r="G120" s="743"/>
      <c r="AD120" s="745"/>
    </row>
    <row r="121" spans="7:30">
      <c r="G121" s="743"/>
      <c r="AD121" s="745"/>
    </row>
    <row r="122" spans="7:30">
      <c r="G122" s="743"/>
      <c r="AD122" s="745"/>
    </row>
    <row r="123" spans="7:30">
      <c r="G123" s="743"/>
      <c r="AD123" s="745"/>
    </row>
    <row r="124" spans="7:30">
      <c r="G124" s="743"/>
      <c r="AD124" s="745"/>
    </row>
    <row r="125" spans="7:30">
      <c r="G125" s="743"/>
      <c r="AD125" s="745"/>
    </row>
    <row r="126" spans="7:30">
      <c r="G126" s="743"/>
      <c r="AD126" s="745"/>
    </row>
    <row r="127" spans="7:30">
      <c r="G127" s="743"/>
      <c r="AD127" s="745"/>
    </row>
    <row r="128" spans="7:30">
      <c r="G128" s="743"/>
      <c r="AD128" s="745"/>
    </row>
    <row r="129" spans="7:30">
      <c r="G129" s="743"/>
      <c r="AD129" s="745"/>
    </row>
    <row r="130" spans="7:30">
      <c r="G130" s="743"/>
      <c r="AD130" s="745"/>
    </row>
    <row r="131" spans="7:30">
      <c r="G131" s="743"/>
      <c r="AD131" s="745"/>
    </row>
    <row r="132" spans="7:30">
      <c r="G132" s="743"/>
      <c r="AD132" s="745"/>
    </row>
    <row r="133" spans="7:30">
      <c r="G133" s="743"/>
      <c r="AD133" s="745"/>
    </row>
    <row r="134" spans="7:30">
      <c r="G134" s="743"/>
      <c r="AD134" s="745"/>
    </row>
    <row r="135" spans="7:30">
      <c r="G135" s="743"/>
      <c r="AD135" s="745"/>
    </row>
    <row r="136" spans="7:30">
      <c r="G136" s="743"/>
      <c r="AD136" s="745"/>
    </row>
    <row r="137" spans="7:30">
      <c r="G137" s="743"/>
      <c r="AD137" s="745"/>
    </row>
    <row r="138" spans="7:30">
      <c r="G138" s="743"/>
      <c r="AD138" s="745"/>
    </row>
    <row r="139" spans="7:30">
      <c r="G139" s="743"/>
      <c r="AD139" s="745"/>
    </row>
    <row r="140" spans="7:30">
      <c r="G140" s="743"/>
      <c r="AD140" s="745"/>
    </row>
    <row r="141" spans="7:30">
      <c r="G141" s="743"/>
      <c r="AD141" s="745"/>
    </row>
    <row r="142" spans="7:30">
      <c r="G142" s="743"/>
      <c r="AD142" s="745"/>
    </row>
    <row r="143" spans="7:30">
      <c r="G143" s="743"/>
      <c r="AD143" s="745"/>
    </row>
    <row r="144" spans="7:30">
      <c r="G144" s="743"/>
      <c r="AD144" s="745"/>
    </row>
    <row r="145" spans="7:30">
      <c r="G145" s="743"/>
      <c r="AD145" s="745"/>
    </row>
    <row r="146" spans="7:30">
      <c r="G146" s="743"/>
      <c r="AD146" s="745"/>
    </row>
    <row r="147" spans="7:30">
      <c r="G147" s="743"/>
      <c r="AD147" s="745"/>
    </row>
    <row r="148" spans="7:30">
      <c r="G148" s="743"/>
      <c r="AD148" s="745"/>
    </row>
    <row r="149" spans="7:30">
      <c r="G149" s="743"/>
      <c r="AD149" s="745"/>
    </row>
    <row r="150" spans="7:30">
      <c r="G150" s="743"/>
      <c r="AD150" s="745"/>
    </row>
    <row r="151" spans="7:30">
      <c r="G151" s="743"/>
      <c r="AD151" s="745"/>
    </row>
    <row r="152" spans="7:30">
      <c r="G152" s="743"/>
      <c r="AD152" s="745"/>
    </row>
    <row r="153" spans="7:30">
      <c r="G153" s="743"/>
      <c r="AD153" s="745"/>
    </row>
    <row r="154" spans="7:30">
      <c r="G154" s="743"/>
      <c r="AD154" s="745"/>
    </row>
    <row r="155" spans="7:30">
      <c r="G155" s="743"/>
      <c r="AD155" s="745"/>
    </row>
    <row r="156" spans="7:30">
      <c r="G156" s="743"/>
      <c r="AD156" s="745"/>
    </row>
    <row r="157" spans="7:30">
      <c r="G157" s="743"/>
      <c r="AD157" s="745"/>
    </row>
    <row r="158" spans="7:30">
      <c r="G158" s="743"/>
      <c r="AD158" s="745"/>
    </row>
    <row r="159" spans="7:30">
      <c r="G159" s="743"/>
      <c r="AD159" s="745"/>
    </row>
    <row r="160" spans="7:30">
      <c r="G160" s="743"/>
      <c r="AD160" s="745"/>
    </row>
    <row r="161" spans="7:30">
      <c r="G161" s="743"/>
      <c r="AD161" s="745"/>
    </row>
    <row r="162" spans="7:30">
      <c r="G162" s="743"/>
      <c r="AD162" s="745"/>
    </row>
    <row r="163" spans="7:30">
      <c r="G163" s="743"/>
      <c r="AD163" s="745"/>
    </row>
    <row r="164" spans="7:30">
      <c r="G164" s="743"/>
      <c r="AD164" s="745"/>
    </row>
    <row r="165" spans="7:30">
      <c r="G165" s="743"/>
      <c r="AD165" s="745"/>
    </row>
    <row r="166" spans="7:30">
      <c r="G166" s="743"/>
      <c r="AD166" s="745"/>
    </row>
    <row r="167" spans="7:30">
      <c r="G167" s="743"/>
      <c r="AD167" s="745"/>
    </row>
    <row r="168" spans="7:30">
      <c r="G168" s="743"/>
      <c r="AD168" s="745"/>
    </row>
    <row r="169" spans="7:30">
      <c r="G169" s="743"/>
      <c r="AD169" s="745"/>
    </row>
    <row r="170" spans="7:30">
      <c r="G170" s="743"/>
      <c r="AD170" s="745"/>
    </row>
    <row r="171" spans="7:30">
      <c r="G171" s="743"/>
      <c r="AD171" s="745"/>
    </row>
    <row r="172" spans="7:30">
      <c r="G172" s="743"/>
      <c r="AD172" s="745"/>
    </row>
    <row r="173" spans="7:30">
      <c r="G173" s="743"/>
      <c r="AD173" s="745"/>
    </row>
    <row r="174" spans="7:30">
      <c r="G174" s="743"/>
      <c r="AD174" s="745"/>
    </row>
    <row r="175" spans="7:30">
      <c r="G175" s="743"/>
      <c r="AD175" s="745"/>
    </row>
    <row r="176" spans="7:30">
      <c r="G176" s="743"/>
      <c r="AD176" s="745"/>
    </row>
    <row r="177" spans="7:30">
      <c r="G177" s="743"/>
      <c r="AD177" s="745"/>
    </row>
    <row r="178" spans="7:30">
      <c r="G178" s="743"/>
      <c r="AD178" s="745"/>
    </row>
    <row r="179" spans="7:30">
      <c r="G179" s="743"/>
      <c r="AD179" s="745"/>
    </row>
    <row r="180" spans="7:30">
      <c r="G180" s="743"/>
      <c r="AD180" s="745"/>
    </row>
    <row r="181" spans="7:30">
      <c r="G181" s="743"/>
      <c r="AD181" s="745"/>
    </row>
    <row r="182" spans="7:30">
      <c r="G182" s="743"/>
      <c r="AD182" s="745"/>
    </row>
    <row r="183" spans="7:30">
      <c r="G183" s="743"/>
      <c r="AD183" s="745"/>
    </row>
    <row r="184" spans="7:30">
      <c r="G184" s="743"/>
      <c r="AD184" s="745"/>
    </row>
    <row r="185" spans="7:30">
      <c r="G185" s="743"/>
      <c r="AD185" s="745"/>
    </row>
    <row r="186" spans="7:30">
      <c r="G186" s="743"/>
      <c r="AD186" s="745"/>
    </row>
    <row r="187" spans="7:30">
      <c r="G187" s="743"/>
      <c r="AD187" s="745"/>
    </row>
    <row r="188" spans="7:30">
      <c r="G188" s="743"/>
      <c r="AD188" s="745"/>
    </row>
    <row r="189" spans="7:30">
      <c r="G189" s="743"/>
      <c r="AD189" s="745"/>
    </row>
    <row r="190" spans="7:30">
      <c r="G190" s="743"/>
      <c r="AD190" s="745"/>
    </row>
    <row r="191" spans="7:30">
      <c r="G191" s="743"/>
      <c r="AD191" s="745"/>
    </row>
    <row r="192" spans="7:30">
      <c r="G192" s="743"/>
      <c r="AD192" s="745"/>
    </row>
    <row r="193" spans="7:30">
      <c r="G193" s="743"/>
      <c r="AD193" s="745"/>
    </row>
    <row r="194" spans="7:30">
      <c r="G194" s="743"/>
      <c r="AD194" s="745"/>
    </row>
    <row r="195" spans="7:30">
      <c r="G195" s="743"/>
      <c r="AD195" s="745"/>
    </row>
    <row r="196" spans="7:30">
      <c r="G196" s="743"/>
      <c r="AD196" s="745"/>
    </row>
    <row r="197" spans="7:30">
      <c r="G197" s="743"/>
      <c r="AD197" s="745"/>
    </row>
    <row r="198" spans="7:30">
      <c r="G198" s="743"/>
      <c r="AD198" s="745"/>
    </row>
    <row r="199" spans="7:30">
      <c r="G199" s="743"/>
      <c r="AD199" s="745"/>
    </row>
    <row r="200" spans="7:30">
      <c r="G200" s="743"/>
      <c r="AD200" s="745"/>
    </row>
    <row r="201" spans="7:30">
      <c r="G201" s="743"/>
      <c r="AD201" s="745"/>
    </row>
    <row r="202" spans="7:30">
      <c r="G202" s="743"/>
      <c r="AD202" s="745"/>
    </row>
    <row r="203" spans="7:30">
      <c r="G203" s="743"/>
      <c r="AD203" s="745"/>
    </row>
    <row r="204" spans="7:30">
      <c r="G204" s="743"/>
      <c r="AD204" s="745"/>
    </row>
    <row r="205" spans="7:30">
      <c r="G205" s="743"/>
      <c r="AD205" s="745"/>
    </row>
    <row r="206" spans="7:30">
      <c r="G206" s="743"/>
      <c r="AD206" s="745"/>
    </row>
    <row r="207" spans="7:30">
      <c r="G207" s="743"/>
      <c r="AD207" s="745"/>
    </row>
    <row r="208" spans="7:30">
      <c r="G208" s="743"/>
      <c r="AD208" s="745"/>
    </row>
    <row r="209" spans="7:30">
      <c r="G209" s="743"/>
      <c r="AD209" s="745"/>
    </row>
    <row r="210" spans="7:30">
      <c r="G210" s="743"/>
      <c r="AD210" s="745"/>
    </row>
    <row r="211" spans="7:30">
      <c r="G211" s="743"/>
      <c r="AD211" s="745"/>
    </row>
    <row r="212" spans="7:30">
      <c r="G212" s="743"/>
      <c r="AD212" s="745"/>
    </row>
    <row r="213" spans="7:30">
      <c r="G213" s="743"/>
      <c r="AD213" s="745"/>
    </row>
    <row r="214" spans="7:30">
      <c r="G214" s="743"/>
      <c r="AD214" s="745"/>
    </row>
    <row r="215" spans="7:30">
      <c r="G215" s="743"/>
      <c r="AD215" s="745"/>
    </row>
    <row r="216" spans="7:30">
      <c r="G216" s="743"/>
      <c r="AD216" s="745"/>
    </row>
    <row r="217" spans="7:30">
      <c r="G217" s="743"/>
      <c r="AD217" s="745"/>
    </row>
    <row r="218" spans="7:30">
      <c r="G218" s="743"/>
      <c r="AD218" s="745"/>
    </row>
    <row r="219" spans="7:30">
      <c r="G219" s="743"/>
      <c r="AD219" s="745"/>
    </row>
    <row r="220" spans="7:30">
      <c r="G220" s="743"/>
      <c r="AD220" s="745"/>
    </row>
    <row r="221" spans="7:30">
      <c r="G221" s="743"/>
      <c r="AD221" s="745"/>
    </row>
    <row r="222" spans="7:30">
      <c r="G222" s="743"/>
      <c r="AD222" s="745"/>
    </row>
    <row r="223" spans="7:30">
      <c r="G223" s="743"/>
      <c r="AD223" s="745"/>
    </row>
    <row r="224" spans="7:30">
      <c r="G224" s="743"/>
      <c r="AD224" s="745"/>
    </row>
    <row r="225" spans="7:30">
      <c r="G225" s="743"/>
      <c r="AD225" s="745"/>
    </row>
    <row r="226" spans="7:30">
      <c r="G226" s="743"/>
      <c r="AD226" s="745"/>
    </row>
    <row r="227" spans="7:30">
      <c r="G227" s="743"/>
      <c r="AD227" s="745"/>
    </row>
    <row r="228" spans="7:30">
      <c r="G228" s="743"/>
      <c r="AD228" s="745"/>
    </row>
    <row r="229" spans="7:30">
      <c r="G229" s="743"/>
      <c r="AD229" s="745"/>
    </row>
    <row r="230" spans="7:30">
      <c r="G230" s="743"/>
      <c r="AD230" s="745"/>
    </row>
    <row r="231" spans="7:30">
      <c r="G231" s="743"/>
      <c r="AD231" s="745"/>
    </row>
    <row r="232" spans="7:30">
      <c r="G232" s="743"/>
      <c r="AD232" s="745"/>
    </row>
    <row r="233" spans="7:30">
      <c r="G233" s="743"/>
      <c r="AD233" s="745"/>
    </row>
    <row r="234" spans="7:30">
      <c r="G234" s="743"/>
      <c r="AD234" s="745"/>
    </row>
    <row r="235" spans="7:30">
      <c r="G235" s="743"/>
      <c r="AD235" s="745"/>
    </row>
    <row r="236" spans="7:30">
      <c r="G236" s="743"/>
      <c r="AD236" s="745"/>
    </row>
    <row r="237" spans="7:30">
      <c r="G237" s="743"/>
      <c r="AD237" s="745"/>
    </row>
    <row r="238" spans="7:30">
      <c r="G238" s="743"/>
      <c r="AD238" s="745"/>
    </row>
    <row r="239" spans="7:30">
      <c r="G239" s="743"/>
      <c r="AD239" s="745"/>
    </row>
    <row r="240" spans="7:30">
      <c r="G240" s="743"/>
      <c r="AD240" s="745"/>
    </row>
    <row r="241" spans="7:30">
      <c r="G241" s="743"/>
      <c r="AD241" s="745"/>
    </row>
    <row r="242" spans="7:30">
      <c r="G242" s="743"/>
      <c r="AD242" s="745"/>
    </row>
    <row r="243" spans="7:30">
      <c r="G243" s="743"/>
      <c r="AD243" s="745"/>
    </row>
    <row r="244" spans="7:30">
      <c r="G244" s="743"/>
      <c r="AD244" s="745"/>
    </row>
    <row r="245" spans="7:30">
      <c r="G245" s="743"/>
      <c r="AD245" s="745"/>
    </row>
    <row r="246" spans="7:30">
      <c r="G246" s="743"/>
      <c r="AD246" s="745"/>
    </row>
    <row r="247" spans="7:30">
      <c r="G247" s="743"/>
      <c r="AD247" s="745"/>
    </row>
    <row r="248" spans="7:30">
      <c r="G248" s="743"/>
      <c r="AD248" s="745"/>
    </row>
    <row r="249" spans="7:30">
      <c r="G249" s="743"/>
      <c r="AD249" s="745"/>
    </row>
    <row r="250" spans="7:30">
      <c r="G250" s="743"/>
      <c r="AD250" s="745"/>
    </row>
    <row r="251" spans="7:30">
      <c r="G251" s="743"/>
      <c r="AD251" s="745"/>
    </row>
    <row r="252" spans="7:30">
      <c r="G252" s="743"/>
      <c r="AD252" s="745"/>
    </row>
    <row r="253" spans="7:30">
      <c r="G253" s="743"/>
      <c r="AD253" s="745"/>
    </row>
    <row r="254" spans="7:30">
      <c r="G254" s="743"/>
      <c r="AD254" s="745"/>
    </row>
    <row r="255" spans="7:30">
      <c r="G255" s="743"/>
      <c r="AD255" s="745"/>
    </row>
    <row r="256" spans="7:30">
      <c r="G256" s="743"/>
      <c r="AD256" s="745"/>
    </row>
    <row r="257" spans="7:30">
      <c r="G257" s="743"/>
      <c r="AD257" s="745"/>
    </row>
    <row r="258" spans="7:30">
      <c r="G258" s="743"/>
      <c r="AD258" s="745"/>
    </row>
    <row r="259" spans="7:30">
      <c r="G259" s="743"/>
      <c r="AD259" s="745"/>
    </row>
    <row r="260" spans="7:30">
      <c r="G260" s="743"/>
      <c r="AD260" s="745"/>
    </row>
    <row r="261" spans="7:30">
      <c r="G261" s="743"/>
      <c r="AD261" s="745"/>
    </row>
    <row r="262" spans="7:30">
      <c r="G262" s="743"/>
      <c r="AD262" s="745"/>
    </row>
    <row r="263" spans="7:30">
      <c r="G263" s="743"/>
      <c r="AD263" s="745"/>
    </row>
    <row r="264" spans="7:30">
      <c r="G264" s="743"/>
      <c r="AD264" s="745"/>
    </row>
    <row r="265" spans="7:30">
      <c r="G265" s="743"/>
      <c r="AD265" s="745"/>
    </row>
    <row r="266" spans="7:30">
      <c r="G266" s="743"/>
      <c r="AD266" s="745"/>
    </row>
    <row r="267" spans="7:30">
      <c r="G267" s="743"/>
      <c r="AD267" s="745"/>
    </row>
    <row r="268" spans="7:30">
      <c r="G268" s="743"/>
      <c r="AD268" s="745"/>
    </row>
    <row r="269" spans="7:30">
      <c r="G269" s="743"/>
      <c r="AD269" s="745"/>
    </row>
    <row r="270" spans="7:30">
      <c r="G270" s="743"/>
      <c r="AD270" s="745"/>
    </row>
    <row r="271" spans="7:30">
      <c r="G271" s="743"/>
      <c r="AD271" s="745"/>
    </row>
    <row r="272" spans="7:30">
      <c r="G272" s="743"/>
      <c r="AD272" s="745"/>
    </row>
    <row r="273" spans="7:30">
      <c r="G273" s="743"/>
      <c r="AD273" s="745"/>
    </row>
    <row r="274" spans="7:30">
      <c r="G274" s="743"/>
      <c r="AD274" s="745"/>
    </row>
    <row r="275" spans="7:30">
      <c r="G275" s="743"/>
      <c r="AD275" s="745"/>
    </row>
    <row r="276" spans="7:30">
      <c r="G276" s="743"/>
      <c r="AD276" s="745"/>
    </row>
    <row r="277" spans="7:30">
      <c r="G277" s="743"/>
      <c r="AD277" s="745"/>
    </row>
    <row r="278" spans="7:30">
      <c r="G278" s="743"/>
      <c r="AD278" s="745"/>
    </row>
    <row r="279" spans="7:30">
      <c r="G279" s="743"/>
      <c r="AD279" s="745"/>
    </row>
    <row r="280" spans="7:30">
      <c r="G280" s="743"/>
      <c r="AD280" s="745"/>
    </row>
    <row r="281" spans="7:30">
      <c r="G281" s="743"/>
      <c r="AD281" s="745"/>
    </row>
    <row r="282" spans="7:30">
      <c r="G282" s="743"/>
      <c r="AD282" s="745"/>
    </row>
    <row r="283" spans="7:30">
      <c r="G283" s="743"/>
      <c r="AD283" s="745"/>
    </row>
    <row r="284" spans="7:30">
      <c r="G284" s="743"/>
      <c r="AD284" s="745"/>
    </row>
    <row r="285" spans="7:30">
      <c r="G285" s="743"/>
      <c r="AD285" s="745"/>
    </row>
    <row r="286" spans="7:30">
      <c r="G286" s="743"/>
      <c r="AD286" s="745"/>
    </row>
    <row r="287" spans="7:30">
      <c r="G287" s="743"/>
      <c r="AD287" s="745"/>
    </row>
    <row r="288" spans="7:30">
      <c r="G288" s="743"/>
      <c r="AD288" s="745"/>
    </row>
    <row r="289" spans="7:30">
      <c r="G289" s="743"/>
      <c r="AD289" s="745"/>
    </row>
    <row r="290" spans="7:30">
      <c r="G290" s="743"/>
      <c r="AD290" s="745"/>
    </row>
    <row r="291" spans="7:30">
      <c r="G291" s="743"/>
      <c r="AD291" s="745"/>
    </row>
    <row r="292" spans="7:30">
      <c r="G292" s="743"/>
      <c r="AD292" s="745"/>
    </row>
    <row r="293" spans="7:30">
      <c r="G293" s="743"/>
      <c r="AD293" s="745"/>
    </row>
    <row r="294" spans="7:30">
      <c r="G294" s="743"/>
      <c r="AD294" s="745"/>
    </row>
    <row r="295" spans="7:30">
      <c r="G295" s="743"/>
      <c r="AD295" s="745"/>
    </row>
    <row r="296" spans="7:30">
      <c r="G296" s="743"/>
      <c r="AD296" s="745"/>
    </row>
    <row r="297" spans="7:30">
      <c r="G297" s="743"/>
      <c r="AD297" s="745"/>
    </row>
    <row r="298" spans="7:30">
      <c r="G298" s="743"/>
      <c r="AD298" s="745"/>
    </row>
    <row r="299" spans="7:30">
      <c r="G299" s="743"/>
      <c r="AD299" s="745"/>
    </row>
    <row r="300" spans="7:30">
      <c r="G300" s="743"/>
      <c r="AD300" s="745"/>
    </row>
    <row r="301" spans="7:30">
      <c r="G301" s="743"/>
      <c r="AD301" s="745"/>
    </row>
    <row r="302" spans="7:30">
      <c r="G302" s="743"/>
      <c r="AD302" s="745"/>
    </row>
    <row r="303" spans="7:30">
      <c r="G303" s="743"/>
      <c r="AD303" s="745"/>
    </row>
    <row r="304" spans="7:30">
      <c r="G304" s="743"/>
      <c r="AD304" s="745"/>
    </row>
    <row r="305" spans="7:30">
      <c r="G305" s="743"/>
      <c r="AD305" s="745"/>
    </row>
    <row r="306" spans="7:30">
      <c r="G306" s="743"/>
      <c r="AD306" s="745"/>
    </row>
    <row r="307" spans="7:30">
      <c r="G307" s="743"/>
      <c r="AD307" s="745"/>
    </row>
    <row r="308" spans="7:30">
      <c r="G308" s="743"/>
      <c r="AD308" s="745"/>
    </row>
    <row r="309" spans="7:30">
      <c r="G309" s="743"/>
      <c r="AD309" s="745"/>
    </row>
    <row r="310" spans="7:30">
      <c r="G310" s="743"/>
      <c r="AD310" s="745"/>
    </row>
    <row r="311" spans="7:30">
      <c r="G311" s="743"/>
      <c r="AD311" s="745"/>
    </row>
    <row r="312" spans="7:30">
      <c r="G312" s="743"/>
      <c r="AD312" s="745"/>
    </row>
    <row r="313" spans="7:30">
      <c r="G313" s="743"/>
      <c r="AD313" s="745"/>
    </row>
    <row r="314" spans="7:30">
      <c r="G314" s="743"/>
      <c r="AD314" s="745"/>
    </row>
    <row r="315" spans="7:30">
      <c r="G315" s="743"/>
      <c r="AD315" s="745"/>
    </row>
    <row r="316" spans="7:30">
      <c r="G316" s="743"/>
      <c r="AD316" s="745"/>
    </row>
    <row r="317" spans="7:30">
      <c r="G317" s="743"/>
      <c r="AD317" s="745"/>
    </row>
    <row r="318" spans="7:30">
      <c r="G318" s="743"/>
      <c r="AD318" s="745"/>
    </row>
    <row r="319" spans="7:30">
      <c r="G319" s="743"/>
      <c r="AD319" s="745"/>
    </row>
    <row r="320" spans="7:30">
      <c r="G320" s="743"/>
      <c r="AD320" s="745"/>
    </row>
    <row r="321" spans="7:30">
      <c r="G321" s="743"/>
      <c r="AD321" s="745"/>
    </row>
    <row r="322" spans="7:30">
      <c r="G322" s="743"/>
      <c r="AD322" s="745"/>
    </row>
    <row r="323" spans="7:30">
      <c r="G323" s="743"/>
      <c r="AD323" s="745"/>
    </row>
    <row r="324" spans="7:30">
      <c r="G324" s="743"/>
      <c r="AD324" s="745"/>
    </row>
    <row r="325" spans="7:30">
      <c r="G325" s="743"/>
      <c r="AD325" s="745"/>
    </row>
    <row r="326" spans="7:30">
      <c r="G326" s="743"/>
      <c r="AD326" s="745"/>
    </row>
    <row r="327" spans="7:30">
      <c r="G327" s="743"/>
      <c r="AD327" s="745"/>
    </row>
    <row r="328" spans="7:30">
      <c r="G328" s="743"/>
      <c r="AD328" s="745"/>
    </row>
    <row r="329" spans="7:30">
      <c r="G329" s="743"/>
      <c r="AD329" s="745"/>
    </row>
    <row r="330" spans="7:30">
      <c r="G330" s="743"/>
      <c r="AD330" s="745"/>
    </row>
    <row r="331" spans="7:30">
      <c r="G331" s="743"/>
      <c r="AD331" s="745"/>
    </row>
    <row r="332" spans="7:30">
      <c r="G332" s="743"/>
      <c r="AD332" s="745"/>
    </row>
    <row r="333" spans="7:30">
      <c r="G333" s="743"/>
      <c r="AD333" s="745"/>
    </row>
    <row r="334" spans="7:30">
      <c r="G334" s="743"/>
      <c r="AD334" s="745"/>
    </row>
    <row r="335" spans="7:30">
      <c r="G335" s="743"/>
      <c r="AD335" s="745"/>
    </row>
    <row r="336" spans="7:30">
      <c r="G336" s="743"/>
      <c r="AD336" s="745"/>
    </row>
    <row r="337" spans="7:30">
      <c r="G337" s="743"/>
      <c r="AD337" s="745"/>
    </row>
    <row r="338" spans="7:30">
      <c r="G338" s="743"/>
      <c r="AD338" s="745"/>
    </row>
    <row r="339" spans="7:30">
      <c r="G339" s="743"/>
      <c r="AD339" s="745"/>
    </row>
    <row r="340" spans="7:30">
      <c r="G340" s="743"/>
      <c r="AD340" s="745"/>
    </row>
    <row r="341" spans="7:30">
      <c r="G341" s="743"/>
      <c r="AD341" s="745"/>
    </row>
    <row r="342" spans="7:30">
      <c r="G342" s="743"/>
      <c r="AD342" s="745"/>
    </row>
    <row r="343" spans="7:30">
      <c r="G343" s="743"/>
      <c r="AD343" s="745"/>
    </row>
    <row r="344" spans="7:30">
      <c r="G344" s="743"/>
      <c r="AD344" s="745"/>
    </row>
    <row r="345" spans="7:30">
      <c r="G345" s="743"/>
      <c r="AD345" s="745"/>
    </row>
    <row r="346" spans="7:30">
      <c r="G346" s="743"/>
      <c r="AD346" s="745"/>
    </row>
    <row r="347" spans="7:30">
      <c r="G347" s="743"/>
      <c r="AD347" s="745"/>
    </row>
    <row r="348" spans="7:30">
      <c r="G348" s="743"/>
      <c r="AD348" s="745"/>
    </row>
    <row r="349" spans="7:30">
      <c r="G349" s="743"/>
      <c r="AD349" s="745"/>
    </row>
    <row r="350" spans="7:30">
      <c r="G350" s="743"/>
      <c r="AD350" s="745"/>
    </row>
    <row r="351" spans="7:30">
      <c r="G351" s="743"/>
      <c r="AD351" s="745"/>
    </row>
    <row r="352" spans="7:30">
      <c r="G352" s="743"/>
      <c r="AD352" s="745"/>
    </row>
    <row r="353" spans="7:30">
      <c r="G353" s="743"/>
      <c r="AD353" s="745"/>
    </row>
    <row r="354" spans="7:30">
      <c r="G354" s="743"/>
      <c r="AD354" s="745"/>
    </row>
    <row r="355" spans="7:30">
      <c r="G355" s="743"/>
      <c r="AD355" s="745"/>
    </row>
    <row r="356" spans="7:30">
      <c r="G356" s="743"/>
      <c r="AD356" s="745"/>
    </row>
    <row r="357" spans="7:30">
      <c r="G357" s="743"/>
      <c r="AD357" s="745"/>
    </row>
    <row r="358" spans="7:30">
      <c r="G358" s="743"/>
      <c r="AD358" s="745"/>
    </row>
    <row r="359" spans="7:30">
      <c r="G359" s="743"/>
      <c r="AD359" s="745"/>
    </row>
    <row r="360" spans="7:30">
      <c r="G360" s="743"/>
      <c r="AD360" s="745"/>
    </row>
    <row r="361" spans="7:30">
      <c r="G361" s="743"/>
      <c r="AD361" s="745"/>
    </row>
    <row r="362" spans="7:30">
      <c r="G362" s="743"/>
      <c r="AD362" s="745"/>
    </row>
    <row r="363" spans="7:30">
      <c r="G363" s="743"/>
      <c r="AD363" s="745"/>
    </row>
    <row r="364" spans="7:30">
      <c r="G364" s="743"/>
      <c r="AD364" s="745"/>
    </row>
    <row r="365" spans="7:30">
      <c r="G365" s="743"/>
      <c r="AD365" s="745"/>
    </row>
    <row r="366" spans="7:30">
      <c r="G366" s="743"/>
      <c r="AD366" s="745"/>
    </row>
    <row r="367" spans="7:30">
      <c r="G367" s="743"/>
      <c r="AD367" s="745"/>
    </row>
    <row r="368" spans="7:30">
      <c r="G368" s="743"/>
      <c r="AD368" s="745"/>
    </row>
    <row r="369" spans="7:30">
      <c r="G369" s="743"/>
      <c r="AD369" s="745"/>
    </row>
    <row r="370" spans="7:30">
      <c r="G370" s="743"/>
      <c r="AD370" s="745"/>
    </row>
    <row r="371" spans="7:30">
      <c r="G371" s="743"/>
      <c r="AD371" s="745"/>
    </row>
    <row r="372" spans="7:30">
      <c r="G372" s="743"/>
      <c r="AD372" s="745"/>
    </row>
    <row r="373" spans="7:30">
      <c r="G373" s="743"/>
      <c r="AD373" s="745"/>
    </row>
    <row r="374" spans="7:30">
      <c r="G374" s="743"/>
      <c r="AD374" s="745"/>
    </row>
    <row r="375" spans="7:30">
      <c r="G375" s="743"/>
      <c r="AD375" s="745"/>
    </row>
    <row r="376" spans="7:30">
      <c r="G376" s="743"/>
      <c r="AD376" s="745"/>
    </row>
  </sheetData>
  <phoneticPr fontId="39" type="noConversion"/>
  <printOptions gridLines="1"/>
  <pageMargins left="0" right="0" top="7.874015748031496E-2" bottom="0.15748031496062992" header="0" footer="0"/>
  <pageSetup paperSize="9" scale="44" fitToHeight="4" orientation="landscape" blackAndWhite="1" errors="NA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indexed="13"/>
    <pageSetUpPr fitToPage="1"/>
  </sheetPr>
  <dimension ref="A2:CQ227"/>
  <sheetViews>
    <sheetView topLeftCell="A2" workbookViewId="0">
      <pane xSplit="1" ySplit="13" topLeftCell="I27" activePane="bottomRight" state="frozen"/>
      <selection activeCell="A2" sqref="A2"/>
      <selection pane="topRight" activeCell="B2" sqref="B2"/>
      <selection pane="bottomLeft" activeCell="A15" sqref="A15"/>
      <selection pane="bottomRight" activeCell="BV28" sqref="BV28"/>
    </sheetView>
  </sheetViews>
  <sheetFormatPr baseColWidth="10" defaultColWidth="9.19921875" defaultRowHeight="16" outlineLevelCol="1"/>
  <cols>
    <col min="1" max="1" width="20.796875" style="404" bestFit="1" customWidth="1"/>
    <col min="2" max="2" width="9.796875" style="404" hidden="1" customWidth="1" outlineLevel="1"/>
    <col min="3" max="3" width="11.19921875" style="404" hidden="1" customWidth="1" outlineLevel="1"/>
    <col min="4" max="7" width="10.3984375" style="404" hidden="1" customWidth="1" outlineLevel="1"/>
    <col min="8" max="8" width="9.796875" style="404" hidden="1" customWidth="1" outlineLevel="1"/>
    <col min="9" max="9" width="10.3984375" style="404" customWidth="1" collapsed="1"/>
    <col min="10" max="12" width="9.796875" style="404" hidden="1" customWidth="1" outlineLevel="1"/>
    <col min="13" max="13" width="11.3984375" style="404" hidden="1" customWidth="1" outlineLevel="1"/>
    <col min="14" max="14" width="7.19921875" style="404" customWidth="1" collapsed="1"/>
    <col min="15" max="15" width="9.796875" style="404" hidden="1" customWidth="1" outlineLevel="1"/>
    <col min="16" max="16" width="11.19921875" style="404" hidden="1" customWidth="1" outlineLevel="1"/>
    <col min="17" max="19" width="9.796875" style="404" hidden="1" customWidth="1" outlineLevel="1"/>
    <col min="20" max="20" width="10.3984375" style="404" hidden="1" customWidth="1" outlineLevel="1"/>
    <col min="21" max="21" width="9.796875" style="404" hidden="1" customWidth="1" outlineLevel="1"/>
    <col min="22" max="22" width="10.3984375" style="404" customWidth="1" collapsed="1"/>
    <col min="23" max="26" width="9.796875" style="404" hidden="1" customWidth="1" outlineLevel="1"/>
    <col min="27" max="27" width="7" style="404" bestFit="1" customWidth="1" collapsed="1"/>
    <col min="28" max="34" width="10.3984375" style="404" hidden="1" customWidth="1" outlineLevel="1"/>
    <col min="35" max="35" width="10.3984375" style="404" customWidth="1" collapsed="1"/>
    <col min="36" max="39" width="10.3984375" style="404" hidden="1" customWidth="1" outlineLevel="1"/>
    <col min="40" max="40" width="7.3984375" style="404" bestFit="1" customWidth="1" collapsed="1"/>
    <col min="41" max="47" width="10.3984375" style="404" hidden="1" customWidth="1" outlineLevel="1"/>
    <col min="48" max="48" width="10.3984375" style="404" customWidth="1" collapsed="1"/>
    <col min="49" max="51" width="10.3984375" style="404" hidden="1" customWidth="1" outlineLevel="1"/>
    <col min="52" max="52" width="11.19921875" style="404" hidden="1" customWidth="1" outlineLevel="1"/>
    <col min="53" max="53" width="7.3984375" style="404" bestFit="1" customWidth="1" collapsed="1"/>
    <col min="54" max="60" width="9.796875" style="404" hidden="1" customWidth="1" outlineLevel="1"/>
    <col min="61" max="61" width="10.3984375" style="404" customWidth="1" collapsed="1"/>
    <col min="62" max="62" width="9.796875" style="404" hidden="1" customWidth="1" outlineLevel="1"/>
    <col min="63" max="63" width="10.3984375" style="404" hidden="1" customWidth="1" outlineLevel="1"/>
    <col min="64" max="65" width="9.796875" style="404" hidden="1" customWidth="1" outlineLevel="1"/>
    <col min="66" max="66" width="7" style="404" bestFit="1" customWidth="1" collapsed="1"/>
    <col min="67" max="70" width="11" style="404" hidden="1" customWidth="1" outlineLevel="1"/>
    <col min="71" max="71" width="11.59765625" style="404" hidden="1" customWidth="1" outlineLevel="1"/>
    <col min="72" max="73" width="11" style="404" hidden="1" customWidth="1" outlineLevel="1"/>
    <col min="74" max="74" width="11" style="404" customWidth="1" collapsed="1"/>
    <col min="75" max="75" width="10.3984375" style="404" hidden="1" customWidth="1" outlineLevel="1"/>
    <col min="76" max="77" width="11" style="404" hidden="1" customWidth="1" outlineLevel="1"/>
    <col min="78" max="78" width="11.19921875" style="404" hidden="1" customWidth="1" outlineLevel="1"/>
    <col min="79" max="79" width="7" style="404" bestFit="1" customWidth="1" collapsed="1"/>
    <col min="80" max="80" width="12.3984375" style="711" bestFit="1" customWidth="1"/>
    <col min="81" max="81" width="7.3984375" style="404" bestFit="1" customWidth="1"/>
    <col min="82" max="92" width="9.19921875" style="404" customWidth="1"/>
    <col min="93" max="16384" width="9.19921875" style="404"/>
  </cols>
  <sheetData>
    <row r="2" spans="1:82" ht="15" customHeight="1">
      <c r="A2" s="710" t="s">
        <v>1727</v>
      </c>
    </row>
    <row r="3" spans="1:82" ht="15" customHeight="1">
      <c r="A3" s="710" t="s">
        <v>1792</v>
      </c>
      <c r="T3" s="712"/>
      <c r="U3" s="712"/>
      <c r="V3" s="712"/>
      <c r="W3" s="712"/>
      <c r="X3" s="712"/>
      <c r="Y3" s="712"/>
      <c r="Z3" s="712"/>
      <c r="AA3" s="712"/>
      <c r="AB3" s="712"/>
      <c r="AC3" s="712"/>
      <c r="AD3" s="712"/>
      <c r="AE3" s="712"/>
      <c r="AF3" s="712"/>
    </row>
    <row r="4" spans="1:82" ht="55.5" customHeight="1">
      <c r="A4" s="713" t="s">
        <v>1728</v>
      </c>
      <c r="B4" s="1203" t="s">
        <v>1729</v>
      </c>
      <c r="C4" s="1203"/>
      <c r="D4" s="1203"/>
      <c r="E4" s="1203"/>
      <c r="F4" s="1203"/>
      <c r="G4" s="1203"/>
      <c r="H4" s="1203"/>
      <c r="I4" s="1203"/>
      <c r="J4" s="1203"/>
      <c r="K4" s="1203"/>
      <c r="L4" s="1203"/>
      <c r="M4" s="1203"/>
      <c r="N4" s="713" t="s">
        <v>1730</v>
      </c>
      <c r="O4" s="1204" t="s">
        <v>1731</v>
      </c>
      <c r="P4" s="1204"/>
      <c r="Q4" s="1204"/>
      <c r="R4" s="1204"/>
      <c r="S4" s="1204"/>
      <c r="T4" s="1204"/>
      <c r="U4" s="1204"/>
      <c r="V4" s="1204"/>
      <c r="W4" s="1204"/>
      <c r="X4" s="1204"/>
      <c r="Y4" s="1204"/>
      <c r="Z4" s="1204"/>
      <c r="AA4" s="713" t="s">
        <v>1730</v>
      </c>
      <c r="AB4" s="1203" t="s">
        <v>1732</v>
      </c>
      <c r="AC4" s="1203"/>
      <c r="AD4" s="1203"/>
      <c r="AE4" s="1203"/>
      <c r="AF4" s="1203"/>
      <c r="AG4" s="1203"/>
      <c r="AH4" s="1203"/>
      <c r="AI4" s="1203"/>
      <c r="AJ4" s="1203"/>
      <c r="AK4" s="1203"/>
      <c r="AL4" s="1203"/>
      <c r="AM4" s="1203"/>
      <c r="AN4" s="713" t="s">
        <v>1730</v>
      </c>
      <c r="AO4" s="1202" t="s">
        <v>1733</v>
      </c>
      <c r="AP4" s="1203"/>
      <c r="AQ4" s="1203"/>
      <c r="AR4" s="1203"/>
      <c r="AS4" s="1203"/>
      <c r="AT4" s="1203"/>
      <c r="AU4" s="1203"/>
      <c r="AV4" s="1203"/>
      <c r="AW4" s="1203"/>
      <c r="AX4" s="1203"/>
      <c r="AY4" s="1203"/>
      <c r="AZ4" s="1203"/>
      <c r="BA4" s="713" t="s">
        <v>1730</v>
      </c>
      <c r="BB4" s="1202" t="s">
        <v>1734</v>
      </c>
      <c r="BC4" s="1203"/>
      <c r="BD4" s="1203"/>
      <c r="BE4" s="1203"/>
      <c r="BF4" s="1203"/>
      <c r="BG4" s="1203"/>
      <c r="BH4" s="1203"/>
      <c r="BI4" s="1203"/>
      <c r="BJ4" s="1203"/>
      <c r="BK4" s="1203"/>
      <c r="BL4" s="1203"/>
      <c r="BM4" s="1203"/>
      <c r="BN4" s="713" t="s">
        <v>1730</v>
      </c>
      <c r="BO4" s="1202" t="s">
        <v>1735</v>
      </c>
      <c r="BP4" s="1202"/>
      <c r="BQ4" s="1202"/>
      <c r="BR4" s="1202"/>
      <c r="BS4" s="1202"/>
      <c r="BT4" s="1202"/>
      <c r="BU4" s="1202"/>
      <c r="BV4" s="1202"/>
      <c r="BW4" s="1202"/>
      <c r="BX4" s="1202"/>
      <c r="BY4" s="1202"/>
      <c r="BZ4" s="1202"/>
      <c r="CA4" s="714" t="s">
        <v>1730</v>
      </c>
      <c r="CB4" s="715" t="s">
        <v>1736</v>
      </c>
      <c r="CC4" s="716" t="s">
        <v>1730</v>
      </c>
      <c r="CD4" s="524"/>
    </row>
    <row r="5" spans="1:82" s="524" customFormat="1" ht="16.5" customHeight="1">
      <c r="A5" s="404"/>
      <c r="B5" s="717" t="s">
        <v>1719</v>
      </c>
      <c r="C5" s="524" t="s">
        <v>1650</v>
      </c>
      <c r="D5" s="718" t="s">
        <v>1651</v>
      </c>
      <c r="E5" s="524" t="s">
        <v>1652</v>
      </c>
      <c r="F5" s="717" t="s">
        <v>1737</v>
      </c>
      <c r="G5" s="524" t="s">
        <v>1738</v>
      </c>
      <c r="H5" s="524" t="s">
        <v>1655</v>
      </c>
      <c r="I5" s="524" t="s">
        <v>1656</v>
      </c>
      <c r="J5" s="524" t="s">
        <v>1657</v>
      </c>
      <c r="K5" s="524" t="s">
        <v>1658</v>
      </c>
      <c r="L5" s="524" t="s">
        <v>1659</v>
      </c>
      <c r="M5" s="524" t="s">
        <v>1660</v>
      </c>
      <c r="O5" s="719" t="str">
        <f>B5</f>
        <v>1月</v>
      </c>
      <c r="P5" s="719" t="str">
        <f>C5</f>
        <v>2月</v>
      </c>
      <c r="Q5" s="719" t="str">
        <f>D5</f>
        <v>3月</v>
      </c>
      <c r="R5" s="717" t="str">
        <f>E5</f>
        <v>4月</v>
      </c>
      <c r="S5" s="719" t="str">
        <f t="shared" ref="S5:Z5" si="0">F5</f>
        <v>5月</v>
      </c>
      <c r="T5" s="719" t="str">
        <f t="shared" si="0"/>
        <v>6月</v>
      </c>
      <c r="U5" s="719" t="str">
        <f t="shared" si="0"/>
        <v>7月</v>
      </c>
      <c r="V5" s="719" t="str">
        <f t="shared" si="0"/>
        <v>8月</v>
      </c>
      <c r="W5" s="719" t="str">
        <f t="shared" si="0"/>
        <v>9月</v>
      </c>
      <c r="X5" s="719" t="str">
        <f t="shared" si="0"/>
        <v>10月</v>
      </c>
      <c r="Y5" s="719" t="str">
        <f t="shared" si="0"/>
        <v>11月</v>
      </c>
      <c r="Z5" s="719" t="str">
        <f t="shared" si="0"/>
        <v>12月</v>
      </c>
      <c r="AA5" s="717"/>
      <c r="AB5" s="719" t="str">
        <f>O5</f>
        <v>1月</v>
      </c>
      <c r="AC5" s="717" t="str">
        <f>P5</f>
        <v>2月</v>
      </c>
      <c r="AD5" s="719" t="str">
        <f>Q5</f>
        <v>3月</v>
      </c>
      <c r="AE5" s="717" t="str">
        <f>R5</f>
        <v>4月</v>
      </c>
      <c r="AF5" s="717" t="str">
        <f t="shared" ref="AF5:AM5" si="1">S5</f>
        <v>5月</v>
      </c>
      <c r="AG5" s="717" t="str">
        <f t="shared" si="1"/>
        <v>6月</v>
      </c>
      <c r="AH5" s="717" t="str">
        <f t="shared" si="1"/>
        <v>7月</v>
      </c>
      <c r="AI5" s="717" t="str">
        <f t="shared" si="1"/>
        <v>8月</v>
      </c>
      <c r="AJ5" s="717" t="str">
        <f t="shared" si="1"/>
        <v>9月</v>
      </c>
      <c r="AK5" s="717" t="str">
        <f t="shared" si="1"/>
        <v>10月</v>
      </c>
      <c r="AL5" s="717" t="str">
        <f t="shared" si="1"/>
        <v>11月</v>
      </c>
      <c r="AM5" s="717" t="str">
        <f t="shared" si="1"/>
        <v>12月</v>
      </c>
      <c r="AN5" s="717"/>
      <c r="AO5" s="717" t="str">
        <f>AB5</f>
        <v>1月</v>
      </c>
      <c r="AP5" s="717" t="str">
        <f>AC5</f>
        <v>2月</v>
      </c>
      <c r="AQ5" s="717" t="str">
        <f>AD5</f>
        <v>3月</v>
      </c>
      <c r="AR5" s="717" t="str">
        <f>AE5</f>
        <v>4月</v>
      </c>
      <c r="AS5" s="717" t="str">
        <f>AF5</f>
        <v>5月</v>
      </c>
      <c r="AT5" s="717" t="str">
        <f t="shared" ref="AT5:AZ5" si="2">AG5</f>
        <v>6月</v>
      </c>
      <c r="AU5" s="717" t="str">
        <f t="shared" si="2"/>
        <v>7月</v>
      </c>
      <c r="AV5" s="717" t="str">
        <f t="shared" si="2"/>
        <v>8月</v>
      </c>
      <c r="AW5" s="717" t="str">
        <f t="shared" si="2"/>
        <v>9月</v>
      </c>
      <c r="AX5" s="717" t="str">
        <f t="shared" si="2"/>
        <v>10月</v>
      </c>
      <c r="AY5" s="717" t="str">
        <f t="shared" si="2"/>
        <v>11月</v>
      </c>
      <c r="AZ5" s="717" t="str">
        <f t="shared" si="2"/>
        <v>12月</v>
      </c>
      <c r="BA5" s="717"/>
      <c r="BB5" s="717" t="s">
        <v>1720</v>
      </c>
      <c r="BC5" s="717" t="s">
        <v>1721</v>
      </c>
      <c r="BD5" s="717" t="s">
        <v>1722</v>
      </c>
      <c r="BE5" s="717" t="s">
        <v>1723</v>
      </c>
      <c r="BF5" s="717" t="s">
        <v>1724</v>
      </c>
      <c r="BG5" s="717" t="s">
        <v>1671</v>
      </c>
      <c r="BH5" s="717" t="s">
        <v>1672</v>
      </c>
      <c r="BI5" s="717" t="s">
        <v>1673</v>
      </c>
      <c r="BJ5" s="717" t="s">
        <v>1674</v>
      </c>
      <c r="BK5" s="717" t="s">
        <v>1262</v>
      </c>
      <c r="BL5" s="717" t="s">
        <v>1675</v>
      </c>
      <c r="BM5" s="717" t="s">
        <v>1676</v>
      </c>
      <c r="BN5" s="719"/>
      <c r="BO5" s="719" t="s">
        <v>1720</v>
      </c>
      <c r="BP5" s="719" t="s">
        <v>1721</v>
      </c>
      <c r="BQ5" s="719" t="s">
        <v>1722</v>
      </c>
      <c r="BR5" s="719" t="s">
        <v>1723</v>
      </c>
      <c r="BS5" s="719" t="s">
        <v>1724</v>
      </c>
      <c r="BT5" s="719" t="s">
        <v>1671</v>
      </c>
      <c r="BU5" s="719" t="s">
        <v>1672</v>
      </c>
      <c r="BV5" s="719" t="s">
        <v>1673</v>
      </c>
      <c r="BW5" s="719" t="s">
        <v>1674</v>
      </c>
      <c r="BX5" s="719" t="s">
        <v>1262</v>
      </c>
      <c r="BY5" s="719" t="s">
        <v>1675</v>
      </c>
      <c r="BZ5" s="719" t="s">
        <v>1676</v>
      </c>
      <c r="CB5" s="719" t="s">
        <v>1672</v>
      </c>
    </row>
    <row r="6" spans="1:82" s="524" customFormat="1" ht="12.75" hidden="1" customHeight="1">
      <c r="A6" s="404" t="s">
        <v>1439</v>
      </c>
      <c r="B6" s="717"/>
      <c r="D6" s="602"/>
      <c r="F6" s="717"/>
      <c r="N6" s="544">
        <f>B6/$B$53</f>
        <v>0</v>
      </c>
      <c r="O6" s="719"/>
      <c r="P6" s="719"/>
      <c r="Q6" s="719"/>
      <c r="R6" s="719"/>
      <c r="S6" s="719"/>
      <c r="T6" s="719"/>
      <c r="U6" s="719"/>
      <c r="V6" s="719"/>
      <c r="W6" s="719"/>
      <c r="X6" s="719"/>
      <c r="Y6" s="719"/>
      <c r="Z6" s="719"/>
      <c r="AA6" s="544">
        <f>O6/$O$53</f>
        <v>0</v>
      </c>
      <c r="AB6" s="719"/>
      <c r="AC6" s="717"/>
      <c r="AD6" s="719"/>
      <c r="AE6" s="717"/>
      <c r="AF6" s="719"/>
      <c r="AG6" s="717"/>
      <c r="AH6" s="717"/>
      <c r="AI6" s="717"/>
      <c r="AJ6" s="717"/>
      <c r="AK6" s="717"/>
      <c r="AL6" s="717"/>
      <c r="AM6" s="717"/>
      <c r="AN6" s="544">
        <f t="shared" ref="AN6:AN14" si="3">AB6/$AB$53</f>
        <v>0</v>
      </c>
      <c r="AO6" s="717"/>
      <c r="AP6" s="717"/>
      <c r="AQ6" s="717"/>
      <c r="AR6" s="719"/>
      <c r="AS6" s="717"/>
      <c r="AT6" s="717"/>
      <c r="AU6" s="717"/>
      <c r="AV6" s="717"/>
      <c r="AW6" s="717"/>
      <c r="AX6" s="717"/>
      <c r="AY6" s="717"/>
      <c r="AZ6" s="717"/>
      <c r="BA6" s="544">
        <f t="shared" ref="BA6:BA14" si="4">AO6/$AO$53</f>
        <v>0</v>
      </c>
      <c r="BB6" s="720">
        <f>製造費用明細!E4</f>
        <v>0</v>
      </c>
      <c r="BC6" s="720">
        <f>製造費用明細!F4</f>
        <v>0</v>
      </c>
      <c r="BD6" s="720">
        <f>製造費用明細!G4</f>
        <v>0</v>
      </c>
      <c r="BE6" s="720">
        <f>製造費用明細!H4</f>
        <v>0</v>
      </c>
      <c r="BF6" s="720">
        <f>製造費用明細!I4</f>
        <v>0</v>
      </c>
      <c r="BG6" s="720">
        <f>製造費用明細!J4</f>
        <v>0</v>
      </c>
      <c r="BH6" s="720">
        <f>製造費用明細!K4</f>
        <v>0</v>
      </c>
      <c r="BI6" s="720">
        <f>製造費用明細!L4</f>
        <v>0</v>
      </c>
      <c r="BJ6" s="720">
        <f>製造費用明細!M4</f>
        <v>0</v>
      </c>
      <c r="BK6" s="720">
        <f>製造費用明細!N4</f>
        <v>0</v>
      </c>
      <c r="BL6" s="720">
        <f>製造費用明細!O4</f>
        <v>0</v>
      </c>
      <c r="BM6" s="720">
        <f>製造費用明細!P4</f>
        <v>0</v>
      </c>
      <c r="BN6" s="721">
        <f t="shared" ref="BN6:BN14" si="5">BB6/$BB$53</f>
        <v>0</v>
      </c>
      <c r="BO6" s="600">
        <f>AO6+BB6</f>
        <v>0</v>
      </c>
      <c r="BP6" s="600">
        <f t="shared" ref="BP6:BZ21" si="6">AP6+BC6</f>
        <v>0</v>
      </c>
      <c r="BQ6" s="600">
        <f t="shared" si="6"/>
        <v>0</v>
      </c>
      <c r="BR6" s="600">
        <f t="shared" si="6"/>
        <v>0</v>
      </c>
      <c r="BS6" s="600">
        <f t="shared" si="6"/>
        <v>0</v>
      </c>
      <c r="BT6" s="600">
        <f t="shared" si="6"/>
        <v>0</v>
      </c>
      <c r="BU6" s="600">
        <f t="shared" si="6"/>
        <v>0</v>
      </c>
      <c r="BV6" s="600">
        <f t="shared" si="6"/>
        <v>0</v>
      </c>
      <c r="BW6" s="600">
        <f t="shared" si="6"/>
        <v>0</v>
      </c>
      <c r="BX6" s="600">
        <f t="shared" si="6"/>
        <v>0</v>
      </c>
      <c r="BY6" s="600">
        <f t="shared" si="6"/>
        <v>0</v>
      </c>
      <c r="BZ6" s="600">
        <f t="shared" si="6"/>
        <v>0</v>
      </c>
      <c r="CA6" s="544">
        <f t="shared" ref="CA6:CA14" si="7">BO6/$BO$53</f>
        <v>0</v>
      </c>
      <c r="CB6" s="543">
        <v>0</v>
      </c>
    </row>
    <row r="7" spans="1:82" ht="12.75" hidden="1" customHeight="1">
      <c r="A7" s="404" t="s">
        <v>1441</v>
      </c>
      <c r="B7" s="712"/>
      <c r="C7" s="712"/>
      <c r="D7" s="602"/>
      <c r="E7" s="712"/>
      <c r="F7" s="712"/>
      <c r="G7" s="712"/>
      <c r="H7" s="712"/>
      <c r="I7" s="712"/>
      <c r="J7" s="712"/>
      <c r="K7" s="712"/>
      <c r="L7" s="712"/>
      <c r="M7" s="712"/>
      <c r="N7" s="544">
        <f t="shared" ref="N7:N14" si="8">B7/$B$53</f>
        <v>0</v>
      </c>
      <c r="O7" s="602"/>
      <c r="P7" s="602"/>
      <c r="Q7" s="602"/>
      <c r="R7" s="602"/>
      <c r="S7" s="602"/>
      <c r="T7" s="602"/>
      <c r="U7" s="602"/>
      <c r="V7" s="602"/>
      <c r="W7" s="602"/>
      <c r="X7" s="602"/>
      <c r="Y7" s="602"/>
      <c r="Z7" s="602"/>
      <c r="AA7" s="544">
        <f t="shared" ref="AA7:AA14" si="9">O7/$O$53</f>
        <v>0</v>
      </c>
      <c r="AB7" s="602"/>
      <c r="AC7" s="602"/>
      <c r="AD7" s="602"/>
      <c r="AE7" s="602"/>
      <c r="AF7" s="602"/>
      <c r="AG7" s="602"/>
      <c r="AH7" s="602"/>
      <c r="AI7" s="602"/>
      <c r="AJ7" s="602"/>
      <c r="AK7" s="602"/>
      <c r="AL7" s="602"/>
      <c r="AM7" s="602"/>
      <c r="AN7" s="544">
        <f t="shared" si="3"/>
        <v>0</v>
      </c>
      <c r="AO7" s="602"/>
      <c r="AP7" s="602"/>
      <c r="AQ7" s="602"/>
      <c r="AR7" s="602"/>
      <c r="AS7" s="602"/>
      <c r="AT7" s="602"/>
      <c r="AU7" s="602"/>
      <c r="AV7" s="602"/>
      <c r="AW7" s="602"/>
      <c r="AX7" s="602"/>
      <c r="AY7" s="602"/>
      <c r="AZ7" s="602"/>
      <c r="BA7" s="544">
        <f t="shared" si="4"/>
        <v>0</v>
      </c>
      <c r="BB7" s="720">
        <f>製造費用明細!E5</f>
        <v>0</v>
      </c>
      <c r="BC7" s="720">
        <f>製造費用明細!F5</f>
        <v>0</v>
      </c>
      <c r="BD7" s="720">
        <f>製造費用明細!G5</f>
        <v>0</v>
      </c>
      <c r="BE7" s="720">
        <f>製造費用明細!H5</f>
        <v>0</v>
      </c>
      <c r="BF7" s="720">
        <f>製造費用明細!I5</f>
        <v>0</v>
      </c>
      <c r="BG7" s="720">
        <f>製造費用明細!J5</f>
        <v>0</v>
      </c>
      <c r="BH7" s="720">
        <f>製造費用明細!K5</f>
        <v>0</v>
      </c>
      <c r="BI7" s="720">
        <f>製造費用明細!L5</f>
        <v>0</v>
      </c>
      <c r="BJ7" s="720">
        <f>製造費用明細!M5</f>
        <v>0</v>
      </c>
      <c r="BK7" s="720">
        <f>製造費用明細!N5</f>
        <v>0</v>
      </c>
      <c r="BL7" s="720">
        <f>製造費用明細!O5</f>
        <v>0</v>
      </c>
      <c r="BM7" s="720">
        <f>製造費用明細!P5</f>
        <v>0</v>
      </c>
      <c r="BN7" s="721">
        <f t="shared" si="5"/>
        <v>0</v>
      </c>
      <c r="BO7" s="600">
        <f t="shared" ref="BO7:BO52" si="10">AO7+BB7</f>
        <v>0</v>
      </c>
      <c r="BP7" s="600">
        <f t="shared" si="6"/>
        <v>0</v>
      </c>
      <c r="BQ7" s="600">
        <f t="shared" si="6"/>
        <v>0</v>
      </c>
      <c r="BR7" s="600">
        <f t="shared" si="6"/>
        <v>0</v>
      </c>
      <c r="BS7" s="600">
        <f t="shared" si="6"/>
        <v>0</v>
      </c>
      <c r="BT7" s="600">
        <f t="shared" si="6"/>
        <v>0</v>
      </c>
      <c r="BU7" s="600">
        <f t="shared" si="6"/>
        <v>0</v>
      </c>
      <c r="BV7" s="600">
        <f t="shared" si="6"/>
        <v>0</v>
      </c>
      <c r="BW7" s="600">
        <f t="shared" si="6"/>
        <v>0</v>
      </c>
      <c r="BX7" s="600">
        <f t="shared" si="6"/>
        <v>0</v>
      </c>
      <c r="BY7" s="600">
        <f t="shared" si="6"/>
        <v>0</v>
      </c>
      <c r="BZ7" s="600">
        <f t="shared" si="6"/>
        <v>0</v>
      </c>
      <c r="CA7" s="544">
        <f t="shared" si="7"/>
        <v>0</v>
      </c>
      <c r="CB7" s="711">
        <v>0</v>
      </c>
    </row>
    <row r="8" spans="1:82" ht="12.75" hidden="1" customHeight="1">
      <c r="A8" s="404" t="s">
        <v>1443</v>
      </c>
      <c r="D8" s="602"/>
      <c r="F8" s="712"/>
      <c r="G8" s="712"/>
      <c r="H8" s="712"/>
      <c r="I8" s="712"/>
      <c r="J8" s="712"/>
      <c r="K8" s="712"/>
      <c r="L8" s="712"/>
      <c r="M8" s="712"/>
      <c r="N8" s="544">
        <f t="shared" si="8"/>
        <v>0</v>
      </c>
      <c r="O8" s="721"/>
      <c r="P8" s="721"/>
      <c r="Q8" s="721"/>
      <c r="R8" s="721"/>
      <c r="S8" s="721"/>
      <c r="T8" s="721"/>
      <c r="U8" s="721"/>
      <c r="V8" s="721"/>
      <c r="W8" s="721"/>
      <c r="X8" s="721"/>
      <c r="Y8" s="721"/>
      <c r="Z8" s="721"/>
      <c r="AA8" s="544">
        <f t="shared" si="9"/>
        <v>0</v>
      </c>
      <c r="AB8" s="721"/>
      <c r="AC8" s="602"/>
      <c r="AD8" s="721"/>
      <c r="AE8" s="721"/>
      <c r="AF8" s="721"/>
      <c r="AG8" s="721"/>
      <c r="AH8" s="721"/>
      <c r="AI8" s="721"/>
      <c r="AJ8" s="721"/>
      <c r="AK8" s="721"/>
      <c r="AL8" s="721"/>
      <c r="AM8" s="721"/>
      <c r="AN8" s="544">
        <f t="shared" si="3"/>
        <v>0</v>
      </c>
      <c r="AO8" s="602"/>
      <c r="AP8" s="602"/>
      <c r="AQ8" s="602"/>
      <c r="AR8" s="602"/>
      <c r="AS8" s="602"/>
      <c r="AT8" s="602"/>
      <c r="AU8" s="602"/>
      <c r="AV8" s="602"/>
      <c r="AW8" s="602"/>
      <c r="AX8" s="602"/>
      <c r="AY8" s="602"/>
      <c r="AZ8" s="602"/>
      <c r="BA8" s="544">
        <f t="shared" si="4"/>
        <v>0</v>
      </c>
      <c r="BB8" s="720"/>
      <c r="BC8" s="720"/>
      <c r="BD8" s="720"/>
      <c r="BE8" s="720"/>
      <c r="BF8" s="720"/>
      <c r="BG8" s="720"/>
      <c r="BH8" s="720"/>
      <c r="BI8" s="720"/>
      <c r="BJ8" s="720"/>
      <c r="BK8" s="720"/>
      <c r="BL8" s="720"/>
      <c r="BM8" s="720"/>
      <c r="BN8" s="721">
        <f t="shared" si="5"/>
        <v>0</v>
      </c>
      <c r="BO8" s="600">
        <f t="shared" si="10"/>
        <v>0</v>
      </c>
      <c r="BP8" s="600">
        <f t="shared" si="6"/>
        <v>0</v>
      </c>
      <c r="BQ8" s="600">
        <f t="shared" si="6"/>
        <v>0</v>
      </c>
      <c r="BR8" s="600">
        <f t="shared" si="6"/>
        <v>0</v>
      </c>
      <c r="BS8" s="600">
        <f t="shared" si="6"/>
        <v>0</v>
      </c>
      <c r="BT8" s="600">
        <f t="shared" si="6"/>
        <v>0</v>
      </c>
      <c r="BU8" s="600">
        <f t="shared" si="6"/>
        <v>0</v>
      </c>
      <c r="BV8" s="600">
        <f t="shared" si="6"/>
        <v>0</v>
      </c>
      <c r="BW8" s="600">
        <f t="shared" si="6"/>
        <v>0</v>
      </c>
      <c r="BX8" s="600">
        <f t="shared" si="6"/>
        <v>0</v>
      </c>
      <c r="BY8" s="600">
        <f t="shared" si="6"/>
        <v>0</v>
      </c>
      <c r="BZ8" s="600">
        <f t="shared" si="6"/>
        <v>0</v>
      </c>
      <c r="CA8" s="544">
        <f t="shared" si="7"/>
        <v>0</v>
      </c>
      <c r="CB8" s="711">
        <v>0</v>
      </c>
    </row>
    <row r="9" spans="1:82" ht="12.75" hidden="1" customHeight="1">
      <c r="A9" s="404" t="s">
        <v>1445</v>
      </c>
      <c r="D9" s="602"/>
      <c r="F9" s="712"/>
      <c r="G9" s="712"/>
      <c r="H9" s="712"/>
      <c r="I9" s="712"/>
      <c r="J9" s="712"/>
      <c r="K9" s="712"/>
      <c r="L9" s="712"/>
      <c r="M9" s="712"/>
      <c r="N9" s="544">
        <f t="shared" si="8"/>
        <v>0</v>
      </c>
      <c r="O9" s="721"/>
      <c r="P9" s="721"/>
      <c r="Q9" s="721"/>
      <c r="R9" s="721"/>
      <c r="S9" s="721"/>
      <c r="T9" s="721"/>
      <c r="U9" s="721"/>
      <c r="V9" s="721"/>
      <c r="W9" s="721"/>
      <c r="X9" s="721"/>
      <c r="Y9" s="721"/>
      <c r="Z9" s="721"/>
      <c r="AA9" s="544">
        <f t="shared" si="9"/>
        <v>0</v>
      </c>
      <c r="AB9" s="721"/>
      <c r="AC9" s="602"/>
      <c r="AD9" s="721"/>
      <c r="AE9" s="721"/>
      <c r="AF9" s="721"/>
      <c r="AG9" s="721"/>
      <c r="AH9" s="721"/>
      <c r="AI9" s="721"/>
      <c r="AJ9" s="721"/>
      <c r="AK9" s="721"/>
      <c r="AL9" s="721"/>
      <c r="AM9" s="721"/>
      <c r="AN9" s="544">
        <f t="shared" si="3"/>
        <v>0</v>
      </c>
      <c r="AO9" s="602"/>
      <c r="AP9" s="602"/>
      <c r="AQ9" s="602"/>
      <c r="AR9" s="602"/>
      <c r="AS9" s="602"/>
      <c r="AT9" s="602"/>
      <c r="AU9" s="602"/>
      <c r="AV9" s="602"/>
      <c r="AW9" s="602"/>
      <c r="AX9" s="602"/>
      <c r="AY9" s="602"/>
      <c r="AZ9" s="602"/>
      <c r="BA9" s="544">
        <f t="shared" si="4"/>
        <v>0</v>
      </c>
      <c r="BB9" s="720"/>
      <c r="BC9" s="720"/>
      <c r="BD9" s="720"/>
      <c r="BE9" s="720"/>
      <c r="BF9" s="720"/>
      <c r="BG9" s="720"/>
      <c r="BH9" s="720"/>
      <c r="BI9" s="720"/>
      <c r="BJ9" s="720"/>
      <c r="BK9" s="720"/>
      <c r="BL9" s="720"/>
      <c r="BM9" s="720"/>
      <c r="BN9" s="721">
        <f t="shared" si="5"/>
        <v>0</v>
      </c>
      <c r="BO9" s="600">
        <f t="shared" si="10"/>
        <v>0</v>
      </c>
      <c r="BP9" s="600">
        <f t="shared" si="6"/>
        <v>0</v>
      </c>
      <c r="BQ9" s="600">
        <f t="shared" si="6"/>
        <v>0</v>
      </c>
      <c r="BR9" s="600">
        <f t="shared" si="6"/>
        <v>0</v>
      </c>
      <c r="BS9" s="600">
        <f t="shared" si="6"/>
        <v>0</v>
      </c>
      <c r="BT9" s="600">
        <f t="shared" si="6"/>
        <v>0</v>
      </c>
      <c r="BU9" s="600">
        <f t="shared" si="6"/>
        <v>0</v>
      </c>
      <c r="BV9" s="600">
        <f t="shared" si="6"/>
        <v>0</v>
      </c>
      <c r="BW9" s="600">
        <f t="shared" si="6"/>
        <v>0</v>
      </c>
      <c r="BX9" s="600">
        <f t="shared" si="6"/>
        <v>0</v>
      </c>
      <c r="BY9" s="600">
        <f t="shared" si="6"/>
        <v>0</v>
      </c>
      <c r="BZ9" s="600">
        <f t="shared" si="6"/>
        <v>0</v>
      </c>
      <c r="CA9" s="544">
        <f t="shared" si="7"/>
        <v>0</v>
      </c>
      <c r="CB9" s="711">
        <v>0</v>
      </c>
    </row>
    <row r="10" spans="1:82" ht="12.75" hidden="1" customHeight="1">
      <c r="A10" s="404" t="s">
        <v>1447</v>
      </c>
      <c r="D10" s="602"/>
      <c r="F10" s="712"/>
      <c r="G10" s="712"/>
      <c r="H10" s="712"/>
      <c r="I10" s="712"/>
      <c r="J10" s="712"/>
      <c r="K10" s="712"/>
      <c r="L10" s="712"/>
      <c r="M10" s="712"/>
      <c r="N10" s="544">
        <f t="shared" si="8"/>
        <v>0</v>
      </c>
      <c r="O10" s="721"/>
      <c r="P10" s="721"/>
      <c r="Q10" s="721"/>
      <c r="R10" s="721"/>
      <c r="S10" s="721"/>
      <c r="T10" s="721"/>
      <c r="U10" s="721"/>
      <c r="V10" s="721"/>
      <c r="W10" s="721"/>
      <c r="X10" s="721"/>
      <c r="Y10" s="721"/>
      <c r="Z10" s="721"/>
      <c r="AA10" s="544">
        <f t="shared" si="9"/>
        <v>0</v>
      </c>
      <c r="AB10" s="721"/>
      <c r="AC10" s="602"/>
      <c r="AD10" s="721"/>
      <c r="AE10" s="721"/>
      <c r="AF10" s="721"/>
      <c r="AG10" s="721"/>
      <c r="AH10" s="721"/>
      <c r="AI10" s="721"/>
      <c r="AJ10" s="721"/>
      <c r="AK10" s="721"/>
      <c r="AL10" s="721"/>
      <c r="AM10" s="721"/>
      <c r="AN10" s="544">
        <f t="shared" si="3"/>
        <v>0</v>
      </c>
      <c r="AO10" s="602"/>
      <c r="AP10" s="602"/>
      <c r="AQ10" s="602"/>
      <c r="AR10" s="602"/>
      <c r="AS10" s="602"/>
      <c r="AT10" s="602"/>
      <c r="AU10" s="602"/>
      <c r="AV10" s="602"/>
      <c r="AW10" s="602"/>
      <c r="AX10" s="602"/>
      <c r="AY10" s="602"/>
      <c r="AZ10" s="602"/>
      <c r="BA10" s="544">
        <f t="shared" si="4"/>
        <v>0</v>
      </c>
      <c r="BB10" s="720">
        <f>製造費用明細!E8</f>
        <v>0</v>
      </c>
      <c r="BC10" s="720">
        <f>製造費用明細!F8</f>
        <v>0</v>
      </c>
      <c r="BD10" s="720">
        <f>製造費用明細!G8</f>
        <v>0</v>
      </c>
      <c r="BE10" s="720">
        <f>製造費用明細!H8</f>
        <v>0</v>
      </c>
      <c r="BF10" s="720">
        <f>製造費用明細!I8</f>
        <v>0</v>
      </c>
      <c r="BG10" s="720">
        <f>製造費用明細!J8</f>
        <v>0</v>
      </c>
      <c r="BH10" s="720">
        <f>製造費用明細!K8</f>
        <v>0</v>
      </c>
      <c r="BI10" s="720">
        <f>製造費用明細!L8</f>
        <v>0</v>
      </c>
      <c r="BJ10" s="720">
        <f>製造費用明細!M8</f>
        <v>0</v>
      </c>
      <c r="BK10" s="720">
        <f>製造費用明細!N8</f>
        <v>0</v>
      </c>
      <c r="BL10" s="720">
        <f>製造費用明細!O8</f>
        <v>0</v>
      </c>
      <c r="BM10" s="720">
        <f>製造費用明細!P8</f>
        <v>0</v>
      </c>
      <c r="BN10" s="721">
        <f t="shared" si="5"/>
        <v>0</v>
      </c>
      <c r="BO10" s="600">
        <f t="shared" si="10"/>
        <v>0</v>
      </c>
      <c r="BP10" s="600">
        <f t="shared" si="6"/>
        <v>0</v>
      </c>
      <c r="BQ10" s="600">
        <f t="shared" si="6"/>
        <v>0</v>
      </c>
      <c r="BR10" s="600">
        <f t="shared" si="6"/>
        <v>0</v>
      </c>
      <c r="BS10" s="600">
        <f t="shared" si="6"/>
        <v>0</v>
      </c>
      <c r="BT10" s="600">
        <f t="shared" si="6"/>
        <v>0</v>
      </c>
      <c r="BU10" s="600">
        <f t="shared" si="6"/>
        <v>0</v>
      </c>
      <c r="BV10" s="600">
        <f t="shared" si="6"/>
        <v>0</v>
      </c>
      <c r="BW10" s="600">
        <f t="shared" si="6"/>
        <v>0</v>
      </c>
      <c r="BX10" s="600">
        <f t="shared" si="6"/>
        <v>0</v>
      </c>
      <c r="BY10" s="600">
        <f t="shared" si="6"/>
        <v>0</v>
      </c>
      <c r="BZ10" s="600">
        <f t="shared" si="6"/>
        <v>0</v>
      </c>
      <c r="CA10" s="544">
        <f t="shared" si="7"/>
        <v>0</v>
      </c>
      <c r="CB10" s="711">
        <v>0</v>
      </c>
    </row>
    <row r="11" spans="1:82" ht="12.75" hidden="1" customHeight="1">
      <c r="A11" s="404" t="s">
        <v>1449</v>
      </c>
      <c r="D11" s="602"/>
      <c r="F11" s="712"/>
      <c r="G11" s="712"/>
      <c r="H11" s="712"/>
      <c r="I11" s="712"/>
      <c r="J11" s="712"/>
      <c r="K11" s="712"/>
      <c r="L11" s="712"/>
      <c r="M11" s="712"/>
      <c r="N11" s="544">
        <f t="shared" si="8"/>
        <v>0</v>
      </c>
      <c r="O11" s="721"/>
      <c r="P11" s="721"/>
      <c r="Q11" s="721"/>
      <c r="R11" s="721"/>
      <c r="S11" s="721"/>
      <c r="T11" s="721"/>
      <c r="U11" s="721"/>
      <c r="V11" s="721"/>
      <c r="W11" s="721"/>
      <c r="X11" s="721"/>
      <c r="Y11" s="721"/>
      <c r="Z11" s="721"/>
      <c r="AA11" s="544">
        <f t="shared" si="9"/>
        <v>0</v>
      </c>
      <c r="AB11" s="721"/>
      <c r="AC11" s="602"/>
      <c r="AD11" s="721"/>
      <c r="AE11" s="721"/>
      <c r="AF11" s="721"/>
      <c r="AG11" s="721"/>
      <c r="AH11" s="721"/>
      <c r="AI11" s="721"/>
      <c r="AJ11" s="721"/>
      <c r="AK11" s="721"/>
      <c r="AL11" s="721"/>
      <c r="AM11" s="721"/>
      <c r="AN11" s="544">
        <f t="shared" si="3"/>
        <v>0</v>
      </c>
      <c r="AO11" s="602"/>
      <c r="AP11" s="602"/>
      <c r="AQ11" s="602"/>
      <c r="AR11" s="602"/>
      <c r="AS11" s="602"/>
      <c r="AT11" s="602"/>
      <c r="AU11" s="602"/>
      <c r="AV11" s="602"/>
      <c r="AW11" s="602"/>
      <c r="AX11" s="602"/>
      <c r="AY11" s="602"/>
      <c r="AZ11" s="602"/>
      <c r="BA11" s="544">
        <f t="shared" si="4"/>
        <v>0</v>
      </c>
      <c r="BB11" s="720">
        <f>製造費用明細!E9</f>
        <v>0</v>
      </c>
      <c r="BC11" s="720">
        <f>製造費用明細!F9</f>
        <v>0</v>
      </c>
      <c r="BD11" s="720">
        <f>製造費用明細!G9</f>
        <v>0</v>
      </c>
      <c r="BE11" s="720">
        <f>製造費用明細!H9</f>
        <v>0</v>
      </c>
      <c r="BF11" s="720">
        <f>製造費用明細!I9</f>
        <v>0</v>
      </c>
      <c r="BG11" s="720">
        <f>製造費用明細!J9</f>
        <v>0</v>
      </c>
      <c r="BH11" s="720">
        <f>製造費用明細!K9</f>
        <v>0</v>
      </c>
      <c r="BI11" s="720">
        <f>製造費用明細!L9</f>
        <v>0</v>
      </c>
      <c r="BJ11" s="720">
        <f>製造費用明細!M9</f>
        <v>0</v>
      </c>
      <c r="BK11" s="720">
        <f>製造費用明細!N9</f>
        <v>0</v>
      </c>
      <c r="BL11" s="720">
        <f>製造費用明細!O9</f>
        <v>0</v>
      </c>
      <c r="BM11" s="720">
        <f>製造費用明細!P9</f>
        <v>0</v>
      </c>
      <c r="BN11" s="721">
        <f t="shared" si="5"/>
        <v>0</v>
      </c>
      <c r="BO11" s="600">
        <f t="shared" si="10"/>
        <v>0</v>
      </c>
      <c r="BP11" s="600">
        <f t="shared" si="6"/>
        <v>0</v>
      </c>
      <c r="BQ11" s="600">
        <f t="shared" si="6"/>
        <v>0</v>
      </c>
      <c r="BR11" s="600">
        <f t="shared" si="6"/>
        <v>0</v>
      </c>
      <c r="BS11" s="600">
        <f t="shared" si="6"/>
        <v>0</v>
      </c>
      <c r="BT11" s="600">
        <f t="shared" si="6"/>
        <v>0</v>
      </c>
      <c r="BU11" s="600">
        <f t="shared" si="6"/>
        <v>0</v>
      </c>
      <c r="BV11" s="600">
        <f t="shared" si="6"/>
        <v>0</v>
      </c>
      <c r="BW11" s="600">
        <f t="shared" si="6"/>
        <v>0</v>
      </c>
      <c r="BX11" s="600">
        <f t="shared" si="6"/>
        <v>0</v>
      </c>
      <c r="BY11" s="600">
        <f t="shared" si="6"/>
        <v>0</v>
      </c>
      <c r="BZ11" s="600">
        <f t="shared" si="6"/>
        <v>0</v>
      </c>
      <c r="CA11" s="544">
        <f t="shared" si="7"/>
        <v>0</v>
      </c>
      <c r="CB11" s="711">
        <v>0</v>
      </c>
    </row>
    <row r="12" spans="1:82" ht="12.75" hidden="1" customHeight="1">
      <c r="A12" s="404" t="s">
        <v>1451</v>
      </c>
      <c r="D12" s="602"/>
      <c r="F12" s="712"/>
      <c r="G12" s="712"/>
      <c r="H12" s="712"/>
      <c r="I12" s="712"/>
      <c r="J12" s="712"/>
      <c r="K12" s="712"/>
      <c r="L12" s="712"/>
      <c r="M12" s="712"/>
      <c r="N12" s="544">
        <f t="shared" si="8"/>
        <v>0</v>
      </c>
      <c r="O12" s="721"/>
      <c r="P12" s="721"/>
      <c r="Q12" s="721"/>
      <c r="R12" s="721"/>
      <c r="S12" s="721"/>
      <c r="T12" s="721"/>
      <c r="U12" s="721"/>
      <c r="V12" s="721"/>
      <c r="W12" s="721"/>
      <c r="X12" s="721"/>
      <c r="Y12" s="721"/>
      <c r="Z12" s="721"/>
      <c r="AA12" s="544">
        <f t="shared" si="9"/>
        <v>0</v>
      </c>
      <c r="AB12" s="721"/>
      <c r="AC12" s="602"/>
      <c r="AD12" s="721"/>
      <c r="AE12" s="721"/>
      <c r="AF12" s="721"/>
      <c r="AG12" s="721"/>
      <c r="AH12" s="721"/>
      <c r="AI12" s="721"/>
      <c r="AJ12" s="721"/>
      <c r="AK12" s="721"/>
      <c r="AL12" s="721"/>
      <c r="AM12" s="721"/>
      <c r="AN12" s="544">
        <f t="shared" si="3"/>
        <v>0</v>
      </c>
      <c r="AO12" s="602"/>
      <c r="AP12" s="602"/>
      <c r="AQ12" s="602"/>
      <c r="AR12" s="602"/>
      <c r="AS12" s="602"/>
      <c r="AT12" s="602"/>
      <c r="AU12" s="602"/>
      <c r="AV12" s="602"/>
      <c r="AW12" s="602"/>
      <c r="AX12" s="602"/>
      <c r="AY12" s="602"/>
      <c r="AZ12" s="602"/>
      <c r="BA12" s="544">
        <f t="shared" si="4"/>
        <v>0</v>
      </c>
      <c r="BB12" s="720">
        <f>製造費用明細!E10</f>
        <v>0</v>
      </c>
      <c r="BC12" s="720">
        <f>製造費用明細!F10</f>
        <v>0</v>
      </c>
      <c r="BD12" s="720">
        <f>製造費用明細!G10</f>
        <v>0</v>
      </c>
      <c r="BE12" s="720">
        <f>製造費用明細!H10</f>
        <v>0</v>
      </c>
      <c r="BF12" s="720">
        <f>製造費用明細!I10</f>
        <v>0</v>
      </c>
      <c r="BG12" s="720">
        <f>製造費用明細!J10</f>
        <v>0</v>
      </c>
      <c r="BH12" s="720">
        <f>製造費用明細!K10</f>
        <v>0</v>
      </c>
      <c r="BI12" s="720">
        <f>製造費用明細!L10</f>
        <v>0</v>
      </c>
      <c r="BJ12" s="720">
        <f>製造費用明細!M10</f>
        <v>0</v>
      </c>
      <c r="BK12" s="720">
        <f>製造費用明細!N10</f>
        <v>0</v>
      </c>
      <c r="BL12" s="720">
        <f>製造費用明細!O10</f>
        <v>0</v>
      </c>
      <c r="BM12" s="720">
        <f>製造費用明細!P10</f>
        <v>0</v>
      </c>
      <c r="BN12" s="721">
        <f t="shared" si="5"/>
        <v>0</v>
      </c>
      <c r="BO12" s="600">
        <f t="shared" si="10"/>
        <v>0</v>
      </c>
      <c r="BP12" s="600">
        <f t="shared" si="6"/>
        <v>0</v>
      </c>
      <c r="BQ12" s="600">
        <f t="shared" si="6"/>
        <v>0</v>
      </c>
      <c r="BR12" s="600">
        <f t="shared" si="6"/>
        <v>0</v>
      </c>
      <c r="BS12" s="600">
        <f t="shared" si="6"/>
        <v>0</v>
      </c>
      <c r="BT12" s="600">
        <f t="shared" si="6"/>
        <v>0</v>
      </c>
      <c r="BU12" s="600">
        <f t="shared" si="6"/>
        <v>0</v>
      </c>
      <c r="BV12" s="600">
        <f t="shared" si="6"/>
        <v>0</v>
      </c>
      <c r="BW12" s="600">
        <f t="shared" si="6"/>
        <v>0</v>
      </c>
      <c r="BX12" s="600">
        <f t="shared" si="6"/>
        <v>0</v>
      </c>
      <c r="BY12" s="600">
        <f t="shared" si="6"/>
        <v>0</v>
      </c>
      <c r="BZ12" s="600">
        <f t="shared" si="6"/>
        <v>0</v>
      </c>
      <c r="CA12" s="544">
        <f t="shared" si="7"/>
        <v>0</v>
      </c>
      <c r="CB12" s="711">
        <v>0</v>
      </c>
    </row>
    <row r="13" spans="1:82" ht="12.75" hidden="1" customHeight="1">
      <c r="A13" s="404" t="s">
        <v>1453</v>
      </c>
      <c r="D13" s="602"/>
      <c r="F13" s="712"/>
      <c r="G13" s="712"/>
      <c r="H13" s="712"/>
      <c r="I13" s="712"/>
      <c r="J13" s="712"/>
      <c r="K13" s="712"/>
      <c r="L13" s="712"/>
      <c r="M13" s="712"/>
      <c r="N13" s="544">
        <f t="shared" si="8"/>
        <v>0</v>
      </c>
      <c r="O13" s="721"/>
      <c r="P13" s="721"/>
      <c r="Q13" s="721"/>
      <c r="R13" s="721"/>
      <c r="S13" s="721"/>
      <c r="T13" s="721"/>
      <c r="U13" s="721"/>
      <c r="V13" s="721"/>
      <c r="W13" s="721"/>
      <c r="X13" s="721"/>
      <c r="Y13" s="721"/>
      <c r="Z13" s="721"/>
      <c r="AA13" s="544">
        <f t="shared" si="9"/>
        <v>0</v>
      </c>
      <c r="AB13" s="721"/>
      <c r="AC13" s="602"/>
      <c r="AD13" s="721"/>
      <c r="AE13" s="721"/>
      <c r="AF13" s="721"/>
      <c r="AG13" s="721"/>
      <c r="AH13" s="721"/>
      <c r="AI13" s="721"/>
      <c r="AJ13" s="721"/>
      <c r="AK13" s="721"/>
      <c r="AL13" s="721"/>
      <c r="AM13" s="721"/>
      <c r="AN13" s="544">
        <f t="shared" si="3"/>
        <v>0</v>
      </c>
      <c r="AO13" s="602"/>
      <c r="AP13" s="602"/>
      <c r="AQ13" s="602"/>
      <c r="AR13" s="602"/>
      <c r="AS13" s="602"/>
      <c r="AT13" s="602"/>
      <c r="AU13" s="602"/>
      <c r="AV13" s="602"/>
      <c r="AW13" s="602"/>
      <c r="AX13" s="602"/>
      <c r="AY13" s="602"/>
      <c r="AZ13" s="602"/>
      <c r="BA13" s="544">
        <f t="shared" si="4"/>
        <v>0</v>
      </c>
      <c r="BB13" s="720">
        <f>製造費用明細!E11</f>
        <v>0</v>
      </c>
      <c r="BC13" s="720">
        <f>製造費用明細!F11</f>
        <v>0</v>
      </c>
      <c r="BD13" s="720">
        <f>製造費用明細!G11</f>
        <v>0</v>
      </c>
      <c r="BE13" s="720">
        <f>製造費用明細!H11</f>
        <v>0</v>
      </c>
      <c r="BF13" s="720">
        <f>製造費用明細!I11</f>
        <v>0</v>
      </c>
      <c r="BG13" s="720">
        <f>製造費用明細!J11</f>
        <v>0</v>
      </c>
      <c r="BH13" s="720">
        <f>製造費用明細!K11</f>
        <v>0</v>
      </c>
      <c r="BI13" s="720">
        <f>製造費用明細!L11</f>
        <v>0</v>
      </c>
      <c r="BJ13" s="720">
        <f>製造費用明細!M11</f>
        <v>0</v>
      </c>
      <c r="BK13" s="720">
        <f>製造費用明細!N11</f>
        <v>0</v>
      </c>
      <c r="BL13" s="720">
        <f>製造費用明細!O11</f>
        <v>0</v>
      </c>
      <c r="BM13" s="720">
        <f>製造費用明細!P11</f>
        <v>0</v>
      </c>
      <c r="BN13" s="721">
        <f t="shared" si="5"/>
        <v>0</v>
      </c>
      <c r="BO13" s="600">
        <f t="shared" si="10"/>
        <v>0</v>
      </c>
      <c r="BP13" s="600">
        <f t="shared" si="6"/>
        <v>0</v>
      </c>
      <c r="BQ13" s="600">
        <f t="shared" si="6"/>
        <v>0</v>
      </c>
      <c r="BR13" s="600">
        <f t="shared" si="6"/>
        <v>0</v>
      </c>
      <c r="BS13" s="600">
        <f t="shared" si="6"/>
        <v>0</v>
      </c>
      <c r="BT13" s="600">
        <f t="shared" si="6"/>
        <v>0</v>
      </c>
      <c r="BU13" s="600">
        <f t="shared" si="6"/>
        <v>0</v>
      </c>
      <c r="BV13" s="600">
        <f t="shared" si="6"/>
        <v>0</v>
      </c>
      <c r="BW13" s="600">
        <f t="shared" si="6"/>
        <v>0</v>
      </c>
      <c r="BX13" s="600">
        <f t="shared" si="6"/>
        <v>0</v>
      </c>
      <c r="BY13" s="600">
        <f t="shared" si="6"/>
        <v>0</v>
      </c>
      <c r="BZ13" s="600">
        <f t="shared" si="6"/>
        <v>0</v>
      </c>
      <c r="CA13" s="544">
        <f t="shared" si="7"/>
        <v>0</v>
      </c>
      <c r="CB13" s="711">
        <v>0</v>
      </c>
    </row>
    <row r="14" spans="1:82" ht="12.75" hidden="1" customHeight="1">
      <c r="A14" s="404" t="s">
        <v>1455</v>
      </c>
      <c r="B14" s="712"/>
      <c r="C14" s="712"/>
      <c r="D14" s="602"/>
      <c r="E14" s="712"/>
      <c r="F14" s="712"/>
      <c r="G14" s="712"/>
      <c r="H14" s="712"/>
      <c r="I14" s="712"/>
      <c r="J14" s="712"/>
      <c r="K14" s="712"/>
      <c r="L14" s="712"/>
      <c r="M14" s="712"/>
      <c r="N14" s="544">
        <f t="shared" si="8"/>
        <v>0</v>
      </c>
      <c r="O14" s="602"/>
      <c r="P14" s="602"/>
      <c r="Q14" s="602"/>
      <c r="R14" s="602"/>
      <c r="S14" s="602"/>
      <c r="T14" s="602"/>
      <c r="U14" s="602"/>
      <c r="V14" s="602"/>
      <c r="W14" s="602"/>
      <c r="X14" s="602"/>
      <c r="Y14" s="602"/>
      <c r="Z14" s="602"/>
      <c r="AA14" s="544">
        <f t="shared" si="9"/>
        <v>0</v>
      </c>
      <c r="AB14" s="602"/>
      <c r="AC14" s="602"/>
      <c r="AD14" s="602"/>
      <c r="AE14" s="602"/>
      <c r="AF14" s="602"/>
      <c r="AG14" s="602"/>
      <c r="AH14" s="602"/>
      <c r="AI14" s="602"/>
      <c r="AJ14" s="602"/>
      <c r="AK14" s="602"/>
      <c r="AL14" s="602"/>
      <c r="AM14" s="602"/>
      <c r="AN14" s="544">
        <f t="shared" si="3"/>
        <v>0</v>
      </c>
      <c r="AO14" s="602"/>
      <c r="AP14" s="602"/>
      <c r="AQ14" s="602"/>
      <c r="AR14" s="602"/>
      <c r="AS14" s="602"/>
      <c r="AT14" s="602"/>
      <c r="AU14" s="602"/>
      <c r="AV14" s="602"/>
      <c r="AW14" s="602"/>
      <c r="AX14" s="602"/>
      <c r="AY14" s="602"/>
      <c r="AZ14" s="602"/>
      <c r="BA14" s="544">
        <f t="shared" si="4"/>
        <v>0</v>
      </c>
      <c r="BB14" s="720"/>
      <c r="BC14" s="720"/>
      <c r="BD14" s="720"/>
      <c r="BE14" s="720"/>
      <c r="BF14" s="720"/>
      <c r="BG14" s="720"/>
      <c r="BH14" s="720"/>
      <c r="BI14" s="720"/>
      <c r="BJ14" s="720"/>
      <c r="BK14" s="720"/>
      <c r="BL14" s="720"/>
      <c r="BM14" s="720"/>
      <c r="BN14" s="721">
        <f t="shared" si="5"/>
        <v>0</v>
      </c>
      <c r="BO14" s="600">
        <f t="shared" si="10"/>
        <v>0</v>
      </c>
      <c r="BP14" s="600">
        <f t="shared" si="6"/>
        <v>0</v>
      </c>
      <c r="BQ14" s="600">
        <f t="shared" si="6"/>
        <v>0</v>
      </c>
      <c r="BR14" s="600">
        <f t="shared" si="6"/>
        <v>0</v>
      </c>
      <c r="BS14" s="600">
        <f t="shared" si="6"/>
        <v>0</v>
      </c>
      <c r="BT14" s="600">
        <f t="shared" si="6"/>
        <v>0</v>
      </c>
      <c r="BU14" s="600">
        <f t="shared" si="6"/>
        <v>0</v>
      </c>
      <c r="BV14" s="600">
        <f t="shared" si="6"/>
        <v>0</v>
      </c>
      <c r="BW14" s="600">
        <f t="shared" si="6"/>
        <v>0</v>
      </c>
      <c r="BX14" s="600">
        <f t="shared" si="6"/>
        <v>0</v>
      </c>
      <c r="BY14" s="600">
        <f t="shared" si="6"/>
        <v>0</v>
      </c>
      <c r="BZ14" s="600">
        <f t="shared" si="6"/>
        <v>0</v>
      </c>
      <c r="CA14" s="544">
        <f t="shared" si="7"/>
        <v>0</v>
      </c>
      <c r="CB14" s="711">
        <v>0</v>
      </c>
    </row>
    <row r="15" spans="1:82" ht="15" customHeight="1">
      <c r="A15" s="404" t="s">
        <v>1457</v>
      </c>
      <c r="B15" s="600">
        <f>銷售費用!E4</f>
        <v>986000</v>
      </c>
      <c r="C15" s="600">
        <f>銷售費用!F4</f>
        <v>1193611</v>
      </c>
      <c r="D15" s="600">
        <f>銷售費用!G4</f>
        <v>1159419</v>
      </c>
      <c r="E15" s="600">
        <f>銷售費用!H4</f>
        <v>1183297</v>
      </c>
      <c r="F15" s="600">
        <f>銷售費用!I4</f>
        <v>1122853</v>
      </c>
      <c r="G15" s="600">
        <f>銷售費用!J4</f>
        <v>1122449</v>
      </c>
      <c r="H15" s="600">
        <f>銷售費用!K4</f>
        <v>1176565</v>
      </c>
      <c r="I15" s="600">
        <f>銷售費用!L4</f>
        <v>1275463</v>
      </c>
      <c r="J15" s="600">
        <f>銷售費用!M4</f>
        <v>0</v>
      </c>
      <c r="K15" s="600">
        <f>銷售費用!N4</f>
        <v>0</v>
      </c>
      <c r="L15" s="600">
        <f>銷售費用!O4</f>
        <v>0</v>
      </c>
      <c r="M15" s="600">
        <f>銷售費用!P4</f>
        <v>0</v>
      </c>
      <c r="N15" s="961">
        <f>H15/$H$53*100</f>
        <v>31.844548725557647</v>
      </c>
      <c r="O15" s="600">
        <f>管理費用!E4</f>
        <v>965400</v>
      </c>
      <c r="P15" s="600">
        <f>管理費用!F4</f>
        <v>996534</v>
      </c>
      <c r="Q15" s="600">
        <f>管理費用!G4</f>
        <v>997200</v>
      </c>
      <c r="R15" s="600">
        <f>管理費用!H4</f>
        <v>993898</v>
      </c>
      <c r="S15" s="600">
        <f>管理費用!I4</f>
        <v>997200</v>
      </c>
      <c r="T15" s="600">
        <f>管理費用!J4</f>
        <v>1016483</v>
      </c>
      <c r="U15" s="600">
        <f>管理費用!K4</f>
        <v>996534</v>
      </c>
      <c r="V15" s="600">
        <f>管理費用!L4</f>
        <v>1000904</v>
      </c>
      <c r="W15" s="600">
        <f>管理費用!M4</f>
        <v>0</v>
      </c>
      <c r="X15" s="600">
        <f>管理費用!N4</f>
        <v>0</v>
      </c>
      <c r="Y15" s="600">
        <f>管理費用!O4</f>
        <v>0</v>
      </c>
      <c r="Z15" s="600">
        <f>管理費用!P4</f>
        <v>0</v>
      </c>
      <c r="AA15" s="961">
        <f>U15/$U$53*100</f>
        <v>28.487710109347336</v>
      </c>
      <c r="AB15" s="600">
        <f>研發費用!E4</f>
        <v>1499800</v>
      </c>
      <c r="AC15" s="600">
        <f>研發費用!F4</f>
        <v>1460057</v>
      </c>
      <c r="AD15" s="600">
        <f>研發費用!G4</f>
        <v>1445212</v>
      </c>
      <c r="AE15" s="600">
        <f>研發費用!H4</f>
        <v>1430173</v>
      </c>
      <c r="AF15" s="600">
        <f>研發費用!I4</f>
        <v>1517600</v>
      </c>
      <c r="AG15" s="600">
        <f>研發費用!J4</f>
        <v>1487560</v>
      </c>
      <c r="AH15" s="600">
        <f>研發費用!K4</f>
        <v>1536930</v>
      </c>
      <c r="AI15" s="600">
        <f>研發費用!L4</f>
        <v>1531827</v>
      </c>
      <c r="AJ15" s="600">
        <f>研發費用!M4</f>
        <v>0</v>
      </c>
      <c r="AK15" s="600">
        <f>研發費用!N4</f>
        <v>0</v>
      </c>
      <c r="AL15" s="600">
        <f>研發費用!O4</f>
        <v>0</v>
      </c>
      <c r="AM15" s="600">
        <f>研發費用!P4</f>
        <v>0</v>
      </c>
      <c r="AN15" s="959">
        <f t="shared" ref="AN15:AN51" si="11">AH15/$AH$53*100</f>
        <v>48.554789483128573</v>
      </c>
      <c r="AO15" s="600">
        <f>B15+O15+AB15</f>
        <v>3451200</v>
      </c>
      <c r="AP15" s="600">
        <f t="shared" ref="AP15:AZ30" si="12">C15+P15+AC15</f>
        <v>3650202</v>
      </c>
      <c r="AQ15" s="600">
        <f t="shared" si="12"/>
        <v>3601831</v>
      </c>
      <c r="AR15" s="600">
        <f t="shared" si="12"/>
        <v>3607368</v>
      </c>
      <c r="AS15" s="600">
        <f>F15+S15+AF15</f>
        <v>3637653</v>
      </c>
      <c r="AT15" s="600">
        <f>G15+T15+AG15</f>
        <v>3626492</v>
      </c>
      <c r="AU15" s="600">
        <f t="shared" si="12"/>
        <v>3710029</v>
      </c>
      <c r="AV15" s="600">
        <f t="shared" si="12"/>
        <v>3808194</v>
      </c>
      <c r="AW15" s="600">
        <f>J15+W15+AJ15</f>
        <v>0</v>
      </c>
      <c r="AX15" s="600">
        <f t="shared" si="12"/>
        <v>0</v>
      </c>
      <c r="AY15" s="600">
        <f t="shared" si="12"/>
        <v>0</v>
      </c>
      <c r="AZ15" s="600">
        <f>M15+Z15+AM15</f>
        <v>0</v>
      </c>
      <c r="BA15" s="959">
        <f>AU15/$AU$53*100</f>
        <v>35.817365687135343</v>
      </c>
      <c r="BB15" s="543">
        <f>製造費用明細!E13</f>
        <v>726247</v>
      </c>
      <c r="BC15" s="543">
        <f>製造費用明細!F13</f>
        <v>741039</v>
      </c>
      <c r="BD15" s="543">
        <f>製造費用明細!G13</f>
        <v>734100</v>
      </c>
      <c r="BE15" s="543">
        <f>製造費用明細!H13</f>
        <v>771882</v>
      </c>
      <c r="BF15" s="543">
        <f>製造費用明細!I13</f>
        <v>771217</v>
      </c>
      <c r="BG15" s="543">
        <f>製造費用明細!J13</f>
        <v>770641</v>
      </c>
      <c r="BH15" s="543">
        <f>製造費用明細!K13</f>
        <v>792332</v>
      </c>
      <c r="BI15" s="543">
        <f>製造費用明細!L13</f>
        <v>796776</v>
      </c>
      <c r="BJ15" s="543">
        <f>製造費用明細!M13</f>
        <v>0</v>
      </c>
      <c r="BK15" s="543">
        <f>製造費用明細!N13</f>
        <v>0</v>
      </c>
      <c r="BL15" s="543">
        <f>製造費用明細!O13</f>
        <v>0</v>
      </c>
      <c r="BM15" s="543">
        <f>製造費用明細!P13</f>
        <v>0</v>
      </c>
      <c r="BN15" s="961">
        <f>BH15/$BH$53*100</f>
        <v>25.961619116521444</v>
      </c>
      <c r="BO15" s="600">
        <f>AO15+BB15</f>
        <v>4177447</v>
      </c>
      <c r="BP15" s="600">
        <f t="shared" si="6"/>
        <v>4391241</v>
      </c>
      <c r="BQ15" s="600">
        <f t="shared" si="6"/>
        <v>4335931</v>
      </c>
      <c r="BR15" s="600">
        <f t="shared" si="6"/>
        <v>4379250</v>
      </c>
      <c r="BS15" s="600">
        <f t="shared" si="6"/>
        <v>4408870</v>
      </c>
      <c r="BT15" s="600">
        <f>AT15+BG15</f>
        <v>4397133</v>
      </c>
      <c r="BU15" s="600">
        <f>AU15+BH15</f>
        <v>4502361</v>
      </c>
      <c r="BV15" s="600">
        <f t="shared" si="6"/>
        <v>4604970</v>
      </c>
      <c r="BW15" s="600">
        <f t="shared" si="6"/>
        <v>0</v>
      </c>
      <c r="BX15" s="600">
        <f t="shared" si="6"/>
        <v>0</v>
      </c>
      <c r="BY15" s="600">
        <f>AY15+BL15</f>
        <v>0</v>
      </c>
      <c r="BZ15" s="600">
        <f t="shared" si="6"/>
        <v>0</v>
      </c>
      <c r="CA15" s="961">
        <f>BU15/$BU$53*100</f>
        <v>33.57435029855435</v>
      </c>
      <c r="CB15" s="600">
        <v>4502361</v>
      </c>
      <c r="CC15" s="964">
        <f>CB15/$CB$53*100</f>
        <v>33.57435029855435</v>
      </c>
      <c r="CD15" s="600"/>
    </row>
    <row r="16" spans="1:82" ht="15" customHeight="1">
      <c r="A16" s="404" t="s">
        <v>1725</v>
      </c>
      <c r="B16" s="600">
        <f>銷售費用!E5</f>
        <v>0</v>
      </c>
      <c r="C16" s="600">
        <f>銷售費用!F5</f>
        <v>18700</v>
      </c>
      <c r="D16" s="600">
        <f>銷售費用!G5</f>
        <v>52614</v>
      </c>
      <c r="E16" s="600">
        <f>銷售費用!H5</f>
        <v>0</v>
      </c>
      <c r="F16" s="600">
        <f>銷售費用!I5</f>
        <v>15669</v>
      </c>
      <c r="G16" s="600">
        <f>銷售費用!J5</f>
        <v>0</v>
      </c>
      <c r="H16" s="600">
        <f>銷售費用!K5</f>
        <v>0</v>
      </c>
      <c r="I16" s="600">
        <f>銷售費用!L5</f>
        <v>0</v>
      </c>
      <c r="J16" s="600">
        <f>銷售費用!M5</f>
        <v>0</v>
      </c>
      <c r="K16" s="600">
        <f>銷售費用!N5</f>
        <v>0</v>
      </c>
      <c r="L16" s="600">
        <f>銷售費用!O5</f>
        <v>0</v>
      </c>
      <c r="M16" s="600">
        <f>銷售費用!P5</f>
        <v>0</v>
      </c>
      <c r="N16" s="961">
        <f t="shared" ref="N16:N52" si="13">H16/$H$53*100</f>
        <v>0</v>
      </c>
      <c r="O16" s="600">
        <f>管理費用!E5</f>
        <v>0</v>
      </c>
      <c r="P16" s="600">
        <f>管理費用!F5</f>
        <v>0</v>
      </c>
      <c r="Q16" s="600">
        <f>管理費用!G5</f>
        <v>1433</v>
      </c>
      <c r="R16" s="600">
        <f>管理費用!H5</f>
        <v>0</v>
      </c>
      <c r="S16" s="600">
        <f>管理費用!I5</f>
        <v>2219</v>
      </c>
      <c r="T16" s="600">
        <f>管理費用!J5</f>
        <v>0</v>
      </c>
      <c r="U16" s="600">
        <f>管理費用!K5</f>
        <v>1925</v>
      </c>
      <c r="V16" s="600">
        <f>管理費用!L5</f>
        <v>16553</v>
      </c>
      <c r="W16" s="600">
        <f>管理費用!M5</f>
        <v>0</v>
      </c>
      <c r="X16" s="600">
        <f>管理費用!N5</f>
        <v>0</v>
      </c>
      <c r="Y16" s="600">
        <f>管理費用!O5</f>
        <v>0</v>
      </c>
      <c r="Z16" s="600">
        <f>管理費用!P5</f>
        <v>0</v>
      </c>
      <c r="AA16" s="961">
        <f t="shared" ref="AA16:AA52" si="14">U16/$U$53*100</f>
        <v>5.5029574465591369E-2</v>
      </c>
      <c r="AB16" s="600">
        <f>研發費用!E5</f>
        <v>0</v>
      </c>
      <c r="AC16" s="600">
        <f>研發費用!F5</f>
        <v>3300</v>
      </c>
      <c r="AD16" s="600">
        <f>研發費用!G5</f>
        <v>41250</v>
      </c>
      <c r="AE16" s="600">
        <f>研發費用!H5</f>
        <v>50310</v>
      </c>
      <c r="AF16" s="600">
        <f>研發費用!I5</f>
        <v>0</v>
      </c>
      <c r="AG16" s="600">
        <f>研發費用!J5</f>
        <v>12135</v>
      </c>
      <c r="AH16" s="600">
        <f>研發費用!K5</f>
        <v>0</v>
      </c>
      <c r="AI16" s="600">
        <f>研發費用!L5</f>
        <v>7132</v>
      </c>
      <c r="AJ16" s="600">
        <f>研發費用!M5</f>
        <v>0</v>
      </c>
      <c r="AK16" s="600">
        <f>研發費用!N5</f>
        <v>0</v>
      </c>
      <c r="AL16" s="600">
        <f>研發費用!O5</f>
        <v>0</v>
      </c>
      <c r="AM16" s="600">
        <f>研發費用!P5</f>
        <v>0</v>
      </c>
      <c r="AN16" s="960">
        <f t="shared" si="11"/>
        <v>0</v>
      </c>
      <c r="AO16" s="600">
        <f t="shared" ref="AO16:AO51" si="15">B16+O16+AB16</f>
        <v>0</v>
      </c>
      <c r="AP16" s="600">
        <f t="shared" si="12"/>
        <v>22000</v>
      </c>
      <c r="AQ16" s="600">
        <f t="shared" si="12"/>
        <v>95297</v>
      </c>
      <c r="AR16" s="600">
        <f t="shared" si="12"/>
        <v>50310</v>
      </c>
      <c r="AS16" s="600">
        <f t="shared" si="12"/>
        <v>17888</v>
      </c>
      <c r="AT16" s="600">
        <f t="shared" si="12"/>
        <v>12135</v>
      </c>
      <c r="AU16" s="600">
        <f t="shared" si="12"/>
        <v>1925</v>
      </c>
      <c r="AV16" s="600">
        <f t="shared" si="12"/>
        <v>23685</v>
      </c>
      <c r="AW16" s="600">
        <f t="shared" si="12"/>
        <v>0</v>
      </c>
      <c r="AX16" s="600">
        <f t="shared" si="12"/>
        <v>0</v>
      </c>
      <c r="AY16" s="600">
        <f t="shared" si="12"/>
        <v>0</v>
      </c>
      <c r="AZ16" s="600">
        <f t="shared" si="12"/>
        <v>0</v>
      </c>
      <c r="BA16" s="960">
        <f t="shared" ref="BA16:BA52" si="16">AU16/$AU$53*100</f>
        <v>1.858433692775327E-2</v>
      </c>
      <c r="BB16" s="543">
        <f>製造費用明細!E14</f>
        <v>0</v>
      </c>
      <c r="BC16" s="543">
        <f>製造費用明細!F14+製造費用明細!F15</f>
        <v>14913</v>
      </c>
      <c r="BD16" s="543">
        <f>製造費用明細!G14+製造費用明細!G15</f>
        <v>19383</v>
      </c>
      <c r="BE16" s="543">
        <f>製造費用明細!H14+製造費用明細!H15</f>
        <v>21000</v>
      </c>
      <c r="BF16" s="543">
        <f>製造費用明細!I14+製造費用明細!I15</f>
        <v>12994</v>
      </c>
      <c r="BG16" s="543">
        <f>製造費用明細!J14+製造費用明細!J15</f>
        <v>8283</v>
      </c>
      <c r="BH16" s="543">
        <f>製造費用明細!K14+製造費用明細!K15</f>
        <v>0</v>
      </c>
      <c r="BI16" s="543">
        <f>製造費用明細!L14+製造費用明細!L15</f>
        <v>17567</v>
      </c>
      <c r="BJ16" s="543">
        <f>製造費用明細!M14+製造費用明細!M15</f>
        <v>0</v>
      </c>
      <c r="BK16" s="543">
        <f>製造費用明細!N14+製造費用明細!N15</f>
        <v>0</v>
      </c>
      <c r="BL16" s="543">
        <f>製造費用明細!O14+製造費用明細!O15</f>
        <v>0</v>
      </c>
      <c r="BM16" s="543">
        <f>製造費用明細!P14+製造費用明細!P15</f>
        <v>0</v>
      </c>
      <c r="BN16" s="963">
        <f t="shared" ref="BN16:BN52" si="17">BH16/$BH$53*100</f>
        <v>0</v>
      </c>
      <c r="BO16" s="600">
        <f t="shared" si="10"/>
        <v>0</v>
      </c>
      <c r="BP16" s="600">
        <f t="shared" si="6"/>
        <v>36913</v>
      </c>
      <c r="BQ16" s="600">
        <f t="shared" si="6"/>
        <v>114680</v>
      </c>
      <c r="BR16" s="600">
        <f t="shared" si="6"/>
        <v>71310</v>
      </c>
      <c r="BS16" s="600">
        <f t="shared" si="6"/>
        <v>30882</v>
      </c>
      <c r="BT16" s="600">
        <f t="shared" si="6"/>
        <v>20418</v>
      </c>
      <c r="BU16" s="600">
        <f t="shared" si="6"/>
        <v>1925</v>
      </c>
      <c r="BV16" s="600">
        <f t="shared" si="6"/>
        <v>41252</v>
      </c>
      <c r="BW16" s="600">
        <f t="shared" si="6"/>
        <v>0</v>
      </c>
      <c r="BX16" s="600">
        <f t="shared" si="6"/>
        <v>0</v>
      </c>
      <c r="BY16" s="600">
        <f t="shared" si="6"/>
        <v>0</v>
      </c>
      <c r="BZ16" s="600">
        <f t="shared" si="6"/>
        <v>0</v>
      </c>
      <c r="CA16" s="961">
        <f t="shared" ref="CA16:CA52" si="18">BU16/$BU$53*100</f>
        <v>1.435482946052463E-2</v>
      </c>
      <c r="CB16" s="600">
        <v>1925</v>
      </c>
      <c r="CC16" s="561">
        <f t="shared" ref="CC16:CC52" si="19">CB16/$CB$53*100</f>
        <v>1.435482946052463E-2</v>
      </c>
      <c r="CD16" s="600"/>
    </row>
    <row r="17" spans="1:95" ht="15" customHeight="1">
      <c r="A17" s="404" t="s">
        <v>1461</v>
      </c>
      <c r="B17" s="600">
        <f>銷售費用!E9</f>
        <v>60949</v>
      </c>
      <c r="C17" s="600">
        <f>銷售費用!F9</f>
        <v>72162</v>
      </c>
      <c r="D17" s="600">
        <f>銷售費用!G9</f>
        <v>69894</v>
      </c>
      <c r="E17" s="600">
        <f>銷售費用!H9</f>
        <v>71197</v>
      </c>
      <c r="F17" s="600">
        <f>銷售費用!I9</f>
        <v>67498</v>
      </c>
      <c r="G17" s="600">
        <f>銷售費用!J9</f>
        <v>72546</v>
      </c>
      <c r="H17" s="600">
        <f>銷售費用!K9</f>
        <v>75213</v>
      </c>
      <c r="I17" s="600">
        <f>銷售費用!L9</f>
        <v>78885</v>
      </c>
      <c r="J17" s="600">
        <f>銷售費用!M9</f>
        <v>0</v>
      </c>
      <c r="K17" s="600">
        <f>銷售費用!N9</f>
        <v>0</v>
      </c>
      <c r="L17" s="600">
        <f>銷售費用!O9</f>
        <v>0</v>
      </c>
      <c r="M17" s="600">
        <f>銷售費用!P9</f>
        <v>0</v>
      </c>
      <c r="N17" s="961">
        <f t="shared" si="13"/>
        <v>2.0356920725122429</v>
      </c>
      <c r="O17" s="600">
        <f>管理費用!E9</f>
        <v>52110</v>
      </c>
      <c r="P17" s="600">
        <f>管理費用!F9</f>
        <v>52224</v>
      </c>
      <c r="Q17" s="600">
        <f>管理費用!G9</f>
        <v>52224</v>
      </c>
      <c r="R17" s="600">
        <f>管理費用!H9</f>
        <v>52224</v>
      </c>
      <c r="S17" s="600">
        <f>管理費用!I9</f>
        <v>52110</v>
      </c>
      <c r="T17" s="600">
        <f>管理費用!J9</f>
        <v>52224</v>
      </c>
      <c r="U17" s="600">
        <f>管理費用!K9</f>
        <v>52224</v>
      </c>
      <c r="V17" s="600">
        <f>管理費用!L9</f>
        <v>52674</v>
      </c>
      <c r="W17" s="600">
        <f>管理費用!M9</f>
        <v>0</v>
      </c>
      <c r="X17" s="600">
        <f>管理費用!N9</f>
        <v>0</v>
      </c>
      <c r="Y17" s="600">
        <f>管理費用!O9</f>
        <v>0</v>
      </c>
      <c r="Z17" s="600">
        <f>管理費用!P9</f>
        <v>0</v>
      </c>
      <c r="AA17" s="961">
        <f t="shared" si="14"/>
        <v>1.492916621761581</v>
      </c>
      <c r="AB17" s="600">
        <f>研發費用!E9</f>
        <v>94141</v>
      </c>
      <c r="AC17" s="600">
        <f>研發費用!F9</f>
        <v>92984</v>
      </c>
      <c r="AD17" s="600">
        <f>研發費用!G9</f>
        <v>94024</v>
      </c>
      <c r="AE17" s="600">
        <f>研發費用!H9</f>
        <v>91518</v>
      </c>
      <c r="AF17" s="600">
        <f>研發費用!I9</f>
        <v>95468</v>
      </c>
      <c r="AG17" s="600">
        <f>研發費用!J9</f>
        <v>95211</v>
      </c>
      <c r="AH17" s="600">
        <f>研發費用!K9</f>
        <v>97356</v>
      </c>
      <c r="AI17" s="600">
        <f>研發費用!L9</f>
        <v>97614</v>
      </c>
      <c r="AJ17" s="600">
        <f>研發費用!M9</f>
        <v>0</v>
      </c>
      <c r="AK17" s="600">
        <f>研發費用!N9</f>
        <v>0</v>
      </c>
      <c r="AL17" s="600">
        <f>研發費用!O9</f>
        <v>0</v>
      </c>
      <c r="AM17" s="600">
        <f>研發費用!P9</f>
        <v>0</v>
      </c>
      <c r="AN17" s="960">
        <f t="shared" si="11"/>
        <v>3.0756768915431838</v>
      </c>
      <c r="AO17" s="600">
        <f t="shared" si="15"/>
        <v>207200</v>
      </c>
      <c r="AP17" s="600">
        <f t="shared" si="12"/>
        <v>217370</v>
      </c>
      <c r="AQ17" s="600">
        <f t="shared" si="12"/>
        <v>216142</v>
      </c>
      <c r="AR17" s="600">
        <f t="shared" si="12"/>
        <v>214939</v>
      </c>
      <c r="AS17" s="600">
        <f t="shared" si="12"/>
        <v>215076</v>
      </c>
      <c r="AT17" s="600">
        <f t="shared" si="12"/>
        <v>219981</v>
      </c>
      <c r="AU17" s="600">
        <f t="shared" si="12"/>
        <v>224793</v>
      </c>
      <c r="AV17" s="600">
        <f t="shared" si="12"/>
        <v>229173</v>
      </c>
      <c r="AW17" s="600">
        <f t="shared" si="12"/>
        <v>0</v>
      </c>
      <c r="AX17" s="600">
        <f t="shared" si="12"/>
        <v>0</v>
      </c>
      <c r="AY17" s="600">
        <f t="shared" si="12"/>
        <v>0</v>
      </c>
      <c r="AZ17" s="600">
        <f t="shared" si="12"/>
        <v>0</v>
      </c>
      <c r="BA17" s="960">
        <f t="shared" si="16"/>
        <v>2.1701968057145149</v>
      </c>
      <c r="BB17" s="543">
        <f>製造費用明細!E16</f>
        <v>46704</v>
      </c>
      <c r="BC17" s="543">
        <f>製造費用明細!F16</f>
        <v>47368</v>
      </c>
      <c r="BD17" s="543">
        <f>製造費用明細!G16</f>
        <v>47328</v>
      </c>
      <c r="BE17" s="543">
        <f>製造費用明細!H16</f>
        <v>49573</v>
      </c>
      <c r="BF17" s="543">
        <f>製造費用明細!I16</f>
        <v>49867</v>
      </c>
      <c r="BG17" s="543">
        <f>製造費用明細!J16</f>
        <v>50137</v>
      </c>
      <c r="BH17" s="543">
        <f>製造費用明細!K16</f>
        <v>50317</v>
      </c>
      <c r="BI17" s="543">
        <f>製造費用明細!L16</f>
        <v>50539</v>
      </c>
      <c r="BJ17" s="543">
        <f>製造費用明細!M16</f>
        <v>0</v>
      </c>
      <c r="BK17" s="543">
        <f>製造費用明細!N16</f>
        <v>0</v>
      </c>
      <c r="BL17" s="543">
        <f>製造費用明細!O16</f>
        <v>0</v>
      </c>
      <c r="BM17" s="543">
        <f>製造費用明細!P16</f>
        <v>0</v>
      </c>
      <c r="BN17" s="963">
        <f t="shared" si="17"/>
        <v>1.6486911914273432</v>
      </c>
      <c r="BO17" s="600">
        <f t="shared" si="10"/>
        <v>253904</v>
      </c>
      <c r="BP17" s="600">
        <f t="shared" si="6"/>
        <v>264738</v>
      </c>
      <c r="BQ17" s="600">
        <f t="shared" si="6"/>
        <v>263470</v>
      </c>
      <c r="BR17" s="600">
        <f t="shared" si="6"/>
        <v>264512</v>
      </c>
      <c r="BS17" s="600">
        <f t="shared" si="6"/>
        <v>264943</v>
      </c>
      <c r="BT17" s="600">
        <f t="shared" si="6"/>
        <v>270118</v>
      </c>
      <c r="BU17" s="600">
        <f t="shared" si="6"/>
        <v>275110</v>
      </c>
      <c r="BV17" s="600">
        <f t="shared" si="6"/>
        <v>279712</v>
      </c>
      <c r="BW17" s="600">
        <f t="shared" si="6"/>
        <v>0</v>
      </c>
      <c r="BX17" s="600">
        <f t="shared" si="6"/>
        <v>0</v>
      </c>
      <c r="BY17" s="600">
        <f t="shared" si="6"/>
        <v>0</v>
      </c>
      <c r="BZ17" s="600">
        <f t="shared" si="6"/>
        <v>0</v>
      </c>
      <c r="CA17" s="961">
        <f t="shared" si="18"/>
        <v>2.0515101989012625</v>
      </c>
      <c r="CB17" s="600">
        <v>275110</v>
      </c>
      <c r="CC17" s="561">
        <f t="shared" si="19"/>
        <v>2.0515101989012625</v>
      </c>
      <c r="CD17" s="600"/>
    </row>
    <row r="18" spans="1:95" ht="15" customHeight="1">
      <c r="A18" s="404" t="s">
        <v>1463</v>
      </c>
      <c r="B18" s="600">
        <f>銷售費用!E8</f>
        <v>353500</v>
      </c>
      <c r="C18" s="600">
        <f>銷售費用!F8</f>
        <v>447100</v>
      </c>
      <c r="D18" s="600">
        <f>銷售費用!G8</f>
        <v>335840</v>
      </c>
      <c r="E18" s="600">
        <f>銷售費用!H8</f>
        <v>340900</v>
      </c>
      <c r="F18" s="600">
        <f>銷售費用!I8</f>
        <v>342100</v>
      </c>
      <c r="G18" s="600">
        <f>銷售費用!J8</f>
        <v>324800</v>
      </c>
      <c r="H18" s="600">
        <f>銷售費用!K8</f>
        <v>364300</v>
      </c>
      <c r="I18" s="600">
        <f>銷售費用!L8</f>
        <v>364300</v>
      </c>
      <c r="J18" s="600">
        <f>銷售費用!M8</f>
        <v>0</v>
      </c>
      <c r="K18" s="600">
        <f>銷售費用!N8</f>
        <v>0</v>
      </c>
      <c r="L18" s="600">
        <f>銷售費用!O8</f>
        <v>0</v>
      </c>
      <c r="M18" s="600">
        <f>銷售費用!P8</f>
        <v>0</v>
      </c>
      <c r="N18" s="961">
        <f t="shared" si="13"/>
        <v>9.8600324680069953</v>
      </c>
      <c r="O18" s="600">
        <f>管理費用!E8</f>
        <v>330500</v>
      </c>
      <c r="P18" s="600">
        <f>管理費用!F8</f>
        <v>338500</v>
      </c>
      <c r="Q18" s="600">
        <f>管理費用!G8</f>
        <v>287700</v>
      </c>
      <c r="R18" s="600">
        <f>管理費用!H8</f>
        <v>284500</v>
      </c>
      <c r="S18" s="600">
        <f>管理費用!I8</f>
        <v>284500</v>
      </c>
      <c r="T18" s="600">
        <f>管理費用!J8</f>
        <v>284500</v>
      </c>
      <c r="U18" s="600">
        <f>管理費用!K8</f>
        <v>1963868</v>
      </c>
      <c r="V18" s="600">
        <f>管理費用!L8</f>
        <v>285500</v>
      </c>
      <c r="W18" s="600">
        <f>管理費用!M8</f>
        <v>0</v>
      </c>
      <c r="X18" s="600">
        <f>管理費用!N8</f>
        <v>0</v>
      </c>
      <c r="Y18" s="600">
        <f>管理費用!O8</f>
        <v>0</v>
      </c>
      <c r="Z18" s="600">
        <f>管理費用!P8</f>
        <v>0</v>
      </c>
      <c r="AA18" s="961">
        <f t="shared" si="14"/>
        <v>56.140685894333501</v>
      </c>
      <c r="AB18" s="600">
        <f>研發費用!E8</f>
        <v>398000</v>
      </c>
      <c r="AC18" s="600">
        <f>研發費用!F8</f>
        <v>435000</v>
      </c>
      <c r="AD18" s="600">
        <f>研發費用!G8</f>
        <v>445580</v>
      </c>
      <c r="AE18" s="600">
        <f>研發費用!H8</f>
        <v>416500</v>
      </c>
      <c r="AF18" s="600">
        <f>研發費用!I8</f>
        <v>436300</v>
      </c>
      <c r="AG18" s="600">
        <f>研發費用!J8</f>
        <v>466600</v>
      </c>
      <c r="AH18" s="600">
        <f>研發費用!K8</f>
        <v>441800</v>
      </c>
      <c r="AI18" s="600">
        <f>研發費用!L8</f>
        <v>443000</v>
      </c>
      <c r="AJ18" s="600">
        <f>研發費用!M8</f>
        <v>0</v>
      </c>
      <c r="AK18" s="600">
        <f>研發費用!N8</f>
        <v>0</v>
      </c>
      <c r="AL18" s="600">
        <f>研發費用!O8</f>
        <v>0</v>
      </c>
      <c r="AM18" s="600">
        <f>研發費用!P8</f>
        <v>0</v>
      </c>
      <c r="AN18" s="960">
        <f t="shared" si="11"/>
        <v>13.957373461150608</v>
      </c>
      <c r="AO18" s="600">
        <f t="shared" si="15"/>
        <v>1082000</v>
      </c>
      <c r="AP18" s="600">
        <f t="shared" si="12"/>
        <v>1220600</v>
      </c>
      <c r="AQ18" s="600">
        <f t="shared" si="12"/>
        <v>1069120</v>
      </c>
      <c r="AR18" s="600">
        <f t="shared" si="12"/>
        <v>1041900</v>
      </c>
      <c r="AS18" s="600">
        <f t="shared" si="12"/>
        <v>1062900</v>
      </c>
      <c r="AT18" s="600">
        <f t="shared" si="12"/>
        <v>1075900</v>
      </c>
      <c r="AU18" s="600">
        <f t="shared" si="12"/>
        <v>2769968</v>
      </c>
      <c r="AV18" s="600">
        <f t="shared" si="12"/>
        <v>1092800</v>
      </c>
      <c r="AW18" s="600">
        <f t="shared" si="12"/>
        <v>0</v>
      </c>
      <c r="AX18" s="600">
        <f t="shared" si="12"/>
        <v>0</v>
      </c>
      <c r="AY18" s="600">
        <f t="shared" si="12"/>
        <v>0</v>
      </c>
      <c r="AZ18" s="600">
        <f t="shared" si="12"/>
        <v>0</v>
      </c>
      <c r="BA18" s="960">
        <f t="shared" si="16"/>
        <v>26.741827839529801</v>
      </c>
      <c r="BB18" s="543">
        <f>製造費用明細!E17</f>
        <v>250500</v>
      </c>
      <c r="BC18" s="543">
        <f>製造費用明細!F17</f>
        <v>202900</v>
      </c>
      <c r="BD18" s="543">
        <f>製造費用明細!G17</f>
        <v>219920</v>
      </c>
      <c r="BE18" s="543">
        <f>製造費用明細!H17</f>
        <v>219700</v>
      </c>
      <c r="BF18" s="543">
        <f>製造費用明細!I17</f>
        <v>221700</v>
      </c>
      <c r="BG18" s="543">
        <f>製造費用明細!J17</f>
        <v>222500</v>
      </c>
      <c r="BH18" s="543">
        <f>製造費用明細!K17</f>
        <v>222500</v>
      </c>
      <c r="BI18" s="543">
        <f>製造費用明細!L17</f>
        <v>223200</v>
      </c>
      <c r="BJ18" s="543">
        <f>製造費用明細!M17</f>
        <v>0</v>
      </c>
      <c r="BK18" s="543">
        <f>製造費用明細!N17</f>
        <v>0</v>
      </c>
      <c r="BL18" s="543">
        <f>製造費用明細!O17</f>
        <v>0</v>
      </c>
      <c r="BM18" s="543">
        <f>製造費用明細!P17</f>
        <v>0</v>
      </c>
      <c r="BN18" s="963">
        <f t="shared" si="17"/>
        <v>7.2904543214536615</v>
      </c>
      <c r="BO18" s="600">
        <f t="shared" si="10"/>
        <v>1332500</v>
      </c>
      <c r="BP18" s="600">
        <f t="shared" si="6"/>
        <v>1423500</v>
      </c>
      <c r="BQ18" s="600">
        <f t="shared" si="6"/>
        <v>1289040</v>
      </c>
      <c r="BR18" s="600">
        <f t="shared" si="6"/>
        <v>1261600</v>
      </c>
      <c r="BS18" s="600">
        <f t="shared" si="6"/>
        <v>1284600</v>
      </c>
      <c r="BT18" s="600">
        <f t="shared" si="6"/>
        <v>1298400</v>
      </c>
      <c r="BU18" s="600">
        <f t="shared" si="6"/>
        <v>2992468</v>
      </c>
      <c r="BV18" s="600">
        <f t="shared" si="6"/>
        <v>1316000</v>
      </c>
      <c r="BW18" s="600">
        <f t="shared" si="6"/>
        <v>0</v>
      </c>
      <c r="BX18" s="600">
        <f t="shared" si="6"/>
        <v>0</v>
      </c>
      <c r="BY18" s="600">
        <f t="shared" si="6"/>
        <v>0</v>
      </c>
      <c r="BZ18" s="600">
        <f t="shared" si="6"/>
        <v>0</v>
      </c>
      <c r="CA18" s="961">
        <f t="shared" si="18"/>
        <v>22.314996262897253</v>
      </c>
      <c r="CB18" s="600">
        <v>2992468</v>
      </c>
      <c r="CC18" s="561">
        <f t="shared" si="19"/>
        <v>22.314996262897253</v>
      </c>
      <c r="CD18" s="600"/>
    </row>
    <row r="19" spans="1:95" ht="15" customHeight="1">
      <c r="A19" s="404" t="s">
        <v>1465</v>
      </c>
      <c r="B19" s="600">
        <f>銷售費用!E10</f>
        <v>0</v>
      </c>
      <c r="C19" s="600">
        <f>銷售費用!F10</f>
        <v>0</v>
      </c>
      <c r="D19" s="600">
        <f>銷售費用!G10</f>
        <v>0</v>
      </c>
      <c r="E19" s="600">
        <f>銷售費用!H10</f>
        <v>0</v>
      </c>
      <c r="F19" s="600">
        <f>銷售費用!I10</f>
        <v>0</v>
      </c>
      <c r="G19" s="600">
        <f>銷售費用!J10</f>
        <v>0</v>
      </c>
      <c r="H19" s="600">
        <f>銷售費用!K10</f>
        <v>0</v>
      </c>
      <c r="I19" s="600">
        <f>銷售費用!L10</f>
        <v>0</v>
      </c>
      <c r="J19" s="600">
        <f>銷售費用!M10</f>
        <v>0</v>
      </c>
      <c r="K19" s="600">
        <f>銷售費用!N10</f>
        <v>0</v>
      </c>
      <c r="L19" s="600">
        <f>銷售費用!O10</f>
        <v>0</v>
      </c>
      <c r="M19" s="600">
        <f>銷售費用!P10</f>
        <v>0</v>
      </c>
      <c r="N19" s="961">
        <f t="shared" si="13"/>
        <v>0</v>
      </c>
      <c r="O19" s="600">
        <f>管理費用!E10</f>
        <v>0</v>
      </c>
      <c r="P19" s="600">
        <f>管理費用!F10</f>
        <v>0</v>
      </c>
      <c r="Q19" s="600">
        <f>管理費用!G10</f>
        <v>0</v>
      </c>
      <c r="R19" s="600">
        <f>管理費用!H10</f>
        <v>0</v>
      </c>
      <c r="S19" s="600">
        <f>管理費用!I10</f>
        <v>0</v>
      </c>
      <c r="T19" s="600">
        <f>管理費用!J10</f>
        <v>0</v>
      </c>
      <c r="U19" s="600">
        <f>管理費用!K10</f>
        <v>0</v>
      </c>
      <c r="V19" s="600">
        <f>管理費用!L10</f>
        <v>0</v>
      </c>
      <c r="W19" s="600">
        <f>管理費用!M10</f>
        <v>0</v>
      </c>
      <c r="X19" s="600">
        <f>管理費用!N10</f>
        <v>0</v>
      </c>
      <c r="Y19" s="600">
        <f>管理費用!O10</f>
        <v>0</v>
      </c>
      <c r="Z19" s="600">
        <f>管理費用!P10</f>
        <v>0</v>
      </c>
      <c r="AA19" s="961">
        <f t="shared" si="14"/>
        <v>0</v>
      </c>
      <c r="AB19" s="600">
        <f>研發費用!E10</f>
        <v>0</v>
      </c>
      <c r="AC19" s="600">
        <f>研發費用!F10</f>
        <v>0</v>
      </c>
      <c r="AD19" s="600">
        <f>研發費用!G10</f>
        <v>95345</v>
      </c>
      <c r="AE19" s="600">
        <f>研發費用!H10</f>
        <v>0</v>
      </c>
      <c r="AF19" s="600">
        <f>研發費用!I10</f>
        <v>0</v>
      </c>
      <c r="AG19" s="600">
        <f>研發費用!J10</f>
        <v>0</v>
      </c>
      <c r="AH19" s="600">
        <f>研發費用!K10</f>
        <v>0</v>
      </c>
      <c r="AI19" s="600">
        <f>研發費用!L10</f>
        <v>0</v>
      </c>
      <c r="AJ19" s="600">
        <f>研發費用!M10</f>
        <v>0</v>
      </c>
      <c r="AK19" s="600">
        <f>研發費用!N10</f>
        <v>0</v>
      </c>
      <c r="AL19" s="600">
        <f>研發費用!O10</f>
        <v>0</v>
      </c>
      <c r="AM19" s="600">
        <f>研發費用!P10</f>
        <v>0</v>
      </c>
      <c r="AN19" s="960">
        <f t="shared" si="11"/>
        <v>0</v>
      </c>
      <c r="AO19" s="600">
        <f t="shared" si="15"/>
        <v>0</v>
      </c>
      <c r="AP19" s="600">
        <f t="shared" si="12"/>
        <v>0</v>
      </c>
      <c r="AQ19" s="600">
        <f t="shared" si="12"/>
        <v>95345</v>
      </c>
      <c r="AR19" s="600">
        <f t="shared" si="12"/>
        <v>0</v>
      </c>
      <c r="AS19" s="600">
        <f t="shared" si="12"/>
        <v>0</v>
      </c>
      <c r="AT19" s="600">
        <f t="shared" si="12"/>
        <v>0</v>
      </c>
      <c r="AU19" s="600">
        <f t="shared" si="12"/>
        <v>0</v>
      </c>
      <c r="AV19" s="600">
        <f t="shared" si="12"/>
        <v>0</v>
      </c>
      <c r="AW19" s="600">
        <f t="shared" si="12"/>
        <v>0</v>
      </c>
      <c r="AX19" s="600">
        <f t="shared" si="12"/>
        <v>0</v>
      </c>
      <c r="AY19" s="600">
        <f t="shared" si="12"/>
        <v>0</v>
      </c>
      <c r="AZ19" s="600">
        <f t="shared" si="12"/>
        <v>0</v>
      </c>
      <c r="BA19" s="960">
        <f t="shared" si="16"/>
        <v>0</v>
      </c>
      <c r="BB19" s="543">
        <f>製造費用明細!E18</f>
        <v>0</v>
      </c>
      <c r="BC19" s="543">
        <f>製造費用明細!F18</f>
        <v>0</v>
      </c>
      <c r="BD19" s="543">
        <f>製造費用明細!G18</f>
        <v>0</v>
      </c>
      <c r="BE19" s="543">
        <f>製造費用明細!H18</f>
        <v>0</v>
      </c>
      <c r="BF19" s="543">
        <f>製造費用明細!I18</f>
        <v>0</v>
      </c>
      <c r="BG19" s="543">
        <f>製造費用明細!J18</f>
        <v>0</v>
      </c>
      <c r="BH19" s="543">
        <f>製造費用明細!K18</f>
        <v>0</v>
      </c>
      <c r="BI19" s="543">
        <f>製造費用明細!L18</f>
        <v>0</v>
      </c>
      <c r="BJ19" s="543">
        <f>製造費用明細!M18</f>
        <v>0</v>
      </c>
      <c r="BK19" s="543">
        <f>製造費用明細!N18</f>
        <v>0</v>
      </c>
      <c r="BL19" s="543">
        <f>製造費用明細!O18</f>
        <v>0</v>
      </c>
      <c r="BM19" s="543">
        <f>製造費用明細!P18</f>
        <v>0</v>
      </c>
      <c r="BN19" s="963">
        <f t="shared" si="17"/>
        <v>0</v>
      </c>
      <c r="BO19" s="600">
        <f t="shared" si="10"/>
        <v>0</v>
      </c>
      <c r="BP19" s="600">
        <f t="shared" si="6"/>
        <v>0</v>
      </c>
      <c r="BQ19" s="600">
        <f t="shared" si="6"/>
        <v>95345</v>
      </c>
      <c r="BR19" s="600">
        <f t="shared" si="6"/>
        <v>0</v>
      </c>
      <c r="BS19" s="600">
        <f t="shared" si="6"/>
        <v>0</v>
      </c>
      <c r="BT19" s="600">
        <f t="shared" si="6"/>
        <v>0</v>
      </c>
      <c r="BU19" s="600">
        <f t="shared" si="6"/>
        <v>0</v>
      </c>
      <c r="BV19" s="600">
        <f t="shared" si="6"/>
        <v>0</v>
      </c>
      <c r="BW19" s="600">
        <f t="shared" si="6"/>
        <v>0</v>
      </c>
      <c r="BX19" s="600">
        <f t="shared" si="6"/>
        <v>0</v>
      </c>
      <c r="BY19" s="600">
        <f t="shared" si="6"/>
        <v>0</v>
      </c>
      <c r="BZ19" s="600">
        <f t="shared" si="6"/>
        <v>0</v>
      </c>
      <c r="CA19" s="961">
        <f t="shared" si="18"/>
        <v>0</v>
      </c>
      <c r="CB19" s="600">
        <v>0</v>
      </c>
      <c r="CC19" s="561">
        <f t="shared" si="19"/>
        <v>0</v>
      </c>
      <c r="CD19" s="600"/>
    </row>
    <row r="20" spans="1:95" ht="15" customHeight="1">
      <c r="A20" s="404" t="s">
        <v>1300</v>
      </c>
      <c r="B20" s="600">
        <f>銷售費用!E11</f>
        <v>0</v>
      </c>
      <c r="C20" s="600">
        <f>銷售費用!F11</f>
        <v>0</v>
      </c>
      <c r="D20" s="600">
        <f>銷售費用!G11</f>
        <v>0</v>
      </c>
      <c r="E20" s="600">
        <f>銷售費用!H11</f>
        <v>0</v>
      </c>
      <c r="F20" s="600">
        <f>銷售費用!I11</f>
        <v>0</v>
      </c>
      <c r="G20" s="600">
        <f>銷售費用!J11</f>
        <v>0</v>
      </c>
      <c r="H20" s="600">
        <f>銷售費用!K11</f>
        <v>0</v>
      </c>
      <c r="I20" s="600">
        <f>銷售費用!L11</f>
        <v>0</v>
      </c>
      <c r="J20" s="600">
        <f>銷售費用!M11</f>
        <v>0</v>
      </c>
      <c r="K20" s="600">
        <f>銷售費用!N11</f>
        <v>0</v>
      </c>
      <c r="L20" s="600">
        <f>銷售費用!O11</f>
        <v>0</v>
      </c>
      <c r="M20" s="600">
        <f>銷售費用!P11</f>
        <v>0</v>
      </c>
      <c r="N20" s="961">
        <f t="shared" si="13"/>
        <v>0</v>
      </c>
      <c r="O20" s="600">
        <f>管理費用!E11</f>
        <v>9214</v>
      </c>
      <c r="P20" s="600">
        <f>管理費用!F11</f>
        <v>9214</v>
      </c>
      <c r="Q20" s="600">
        <f>管理費用!G11</f>
        <v>9215</v>
      </c>
      <c r="R20" s="600">
        <f>管理費用!H11</f>
        <v>9214</v>
      </c>
      <c r="S20" s="600">
        <f>管理費用!I11</f>
        <v>9214</v>
      </c>
      <c r="T20" s="600">
        <f>管理費用!J11</f>
        <v>15691</v>
      </c>
      <c r="U20" s="600">
        <f>管理費用!K11</f>
        <v>9214</v>
      </c>
      <c r="V20" s="600">
        <f>管理費用!L11</f>
        <v>9214</v>
      </c>
      <c r="W20" s="600">
        <f>管理費用!M11</f>
        <v>0</v>
      </c>
      <c r="X20" s="600">
        <f>管理費用!N11</f>
        <v>0</v>
      </c>
      <c r="Y20" s="600">
        <f>管理費用!O11</f>
        <v>0</v>
      </c>
      <c r="Z20" s="600">
        <f>管理費用!P11</f>
        <v>0</v>
      </c>
      <c r="AA20" s="961">
        <f t="shared" si="14"/>
        <v>0.26339870084465394</v>
      </c>
      <c r="AB20" s="600">
        <f>研發費用!E11</f>
        <v>0</v>
      </c>
      <c r="AC20" s="600">
        <f>研發費用!F11</f>
        <v>0</v>
      </c>
      <c r="AD20" s="600">
        <f>研發費用!G11</f>
        <v>0</v>
      </c>
      <c r="AE20" s="600">
        <f>研發費用!H11</f>
        <v>0</v>
      </c>
      <c r="AF20" s="600">
        <f>研發費用!I11</f>
        <v>0</v>
      </c>
      <c r="AG20" s="600">
        <f>研發費用!J11</f>
        <v>0</v>
      </c>
      <c r="AH20" s="600">
        <f>研發費用!K11</f>
        <v>0</v>
      </c>
      <c r="AI20" s="600">
        <f>研發費用!L11</f>
        <v>0</v>
      </c>
      <c r="AJ20" s="600">
        <f>研發費用!M11</f>
        <v>0</v>
      </c>
      <c r="AK20" s="600">
        <f>研發費用!N11</f>
        <v>0</v>
      </c>
      <c r="AL20" s="600">
        <f>研發費用!O11</f>
        <v>0</v>
      </c>
      <c r="AM20" s="600">
        <f>研發費用!P11</f>
        <v>0</v>
      </c>
      <c r="AN20" s="960">
        <f t="shared" si="11"/>
        <v>0</v>
      </c>
      <c r="AO20" s="600">
        <f t="shared" si="15"/>
        <v>9214</v>
      </c>
      <c r="AP20" s="600">
        <f t="shared" si="12"/>
        <v>9214</v>
      </c>
      <c r="AQ20" s="600">
        <f t="shared" si="12"/>
        <v>9215</v>
      </c>
      <c r="AR20" s="600">
        <f t="shared" si="12"/>
        <v>9214</v>
      </c>
      <c r="AS20" s="600">
        <f t="shared" si="12"/>
        <v>9214</v>
      </c>
      <c r="AT20" s="600">
        <f t="shared" si="12"/>
        <v>15691</v>
      </c>
      <c r="AU20" s="600">
        <f t="shared" si="12"/>
        <v>9214</v>
      </c>
      <c r="AV20" s="600">
        <f t="shared" si="12"/>
        <v>9214</v>
      </c>
      <c r="AW20" s="600">
        <f t="shared" si="12"/>
        <v>0</v>
      </c>
      <c r="AX20" s="600">
        <f t="shared" si="12"/>
        <v>0</v>
      </c>
      <c r="AY20" s="600">
        <f t="shared" si="12"/>
        <v>0</v>
      </c>
      <c r="AZ20" s="600">
        <f t="shared" si="12"/>
        <v>0</v>
      </c>
      <c r="BA20" s="960">
        <f t="shared" si="16"/>
        <v>8.8953808027178505E-2</v>
      </c>
      <c r="BB20" s="543">
        <f>製造費用明細!E19</f>
        <v>194800</v>
      </c>
      <c r="BC20" s="543">
        <f>製造費用明細!F19</f>
        <v>194800</v>
      </c>
      <c r="BD20" s="543">
        <f>製造費用明細!G19</f>
        <v>194800</v>
      </c>
      <c r="BE20" s="543">
        <f>製造費用明細!H19</f>
        <v>194800</v>
      </c>
      <c r="BF20" s="543">
        <f>製造費用明細!I19</f>
        <v>194800</v>
      </c>
      <c r="BG20" s="543">
        <f>製造費用明細!J19</f>
        <v>194800</v>
      </c>
      <c r="BH20" s="543">
        <f>製造費用明細!K19</f>
        <v>194800</v>
      </c>
      <c r="BI20" s="543">
        <f>製造費用明細!L19</f>
        <v>194800</v>
      </c>
      <c r="BJ20" s="543">
        <f>製造費用明細!M19</f>
        <v>0</v>
      </c>
      <c r="BK20" s="543">
        <f>製造費用明細!N19</f>
        <v>0</v>
      </c>
      <c r="BL20" s="543">
        <f>製造費用明細!O19</f>
        <v>0</v>
      </c>
      <c r="BM20" s="543">
        <f>製造費用明細!P19</f>
        <v>0</v>
      </c>
      <c r="BN20" s="963">
        <f t="shared" si="17"/>
        <v>6.3828337160412278</v>
      </c>
      <c r="BO20" s="600">
        <f t="shared" si="10"/>
        <v>204014</v>
      </c>
      <c r="BP20" s="600">
        <f t="shared" si="6"/>
        <v>204014</v>
      </c>
      <c r="BQ20" s="600">
        <f t="shared" si="6"/>
        <v>204015</v>
      </c>
      <c r="BR20" s="600">
        <f t="shared" si="6"/>
        <v>204014</v>
      </c>
      <c r="BS20" s="600">
        <f t="shared" si="6"/>
        <v>204014</v>
      </c>
      <c r="BT20" s="600">
        <f t="shared" si="6"/>
        <v>210491</v>
      </c>
      <c r="BU20" s="600">
        <f t="shared" si="6"/>
        <v>204014</v>
      </c>
      <c r="BV20" s="600">
        <f t="shared" si="6"/>
        <v>204014</v>
      </c>
      <c r="BW20" s="600">
        <f t="shared" si="6"/>
        <v>0</v>
      </c>
      <c r="BX20" s="600">
        <f t="shared" si="6"/>
        <v>0</v>
      </c>
      <c r="BY20" s="600">
        <f t="shared" si="6"/>
        <v>0</v>
      </c>
      <c r="BZ20" s="600">
        <f t="shared" si="6"/>
        <v>0</v>
      </c>
      <c r="CA20" s="961">
        <f t="shared" si="18"/>
        <v>1.5213434688620633</v>
      </c>
      <c r="CB20" s="600">
        <v>204014</v>
      </c>
      <c r="CC20" s="561">
        <f t="shared" si="19"/>
        <v>1.5213434688620633</v>
      </c>
      <c r="CD20" s="600"/>
    </row>
    <row r="21" spans="1:95" ht="15" customHeight="1">
      <c r="A21" s="404" t="s">
        <v>1302</v>
      </c>
      <c r="B21" s="600">
        <f>銷售費用!E12</f>
        <v>0</v>
      </c>
      <c r="C21" s="600">
        <f>銷售費用!F12</f>
        <v>0</v>
      </c>
      <c r="D21" s="600">
        <f>銷售費用!G12</f>
        <v>492</v>
      </c>
      <c r="E21" s="600">
        <f>銷售費用!H12</f>
        <v>600</v>
      </c>
      <c r="F21" s="600">
        <f>銷售費用!I12</f>
        <v>0</v>
      </c>
      <c r="G21" s="600">
        <f>銷售費用!J12</f>
        <v>1491</v>
      </c>
      <c r="H21" s="600">
        <f>銷售費用!K12</f>
        <v>2766</v>
      </c>
      <c r="I21" s="600">
        <f>銷售費用!L12</f>
        <v>510</v>
      </c>
      <c r="J21" s="600">
        <f>銷售費用!M12</f>
        <v>0</v>
      </c>
      <c r="K21" s="600">
        <f>銷售費用!N12</f>
        <v>0</v>
      </c>
      <c r="L21" s="600">
        <f>銷售費用!O12</f>
        <v>0</v>
      </c>
      <c r="M21" s="600">
        <f>銷售費用!P12</f>
        <v>0</v>
      </c>
      <c r="N21" s="961">
        <f t="shared" si="13"/>
        <v>7.4863710695875246E-2</v>
      </c>
      <c r="O21" s="600">
        <f>管理費用!E12</f>
        <v>660</v>
      </c>
      <c r="P21" s="600">
        <f>管理費用!F12</f>
        <v>3660</v>
      </c>
      <c r="Q21" s="600">
        <f>管理費用!G12</f>
        <v>5268</v>
      </c>
      <c r="R21" s="600">
        <f>管理費用!H12</f>
        <v>2612</v>
      </c>
      <c r="S21" s="600">
        <f>管理費用!I12</f>
        <v>6500</v>
      </c>
      <c r="T21" s="600">
        <f>管理費用!J12</f>
        <v>2269</v>
      </c>
      <c r="U21" s="600">
        <f>管理費用!K12</f>
        <v>16972</v>
      </c>
      <c r="V21" s="600">
        <f>管理費用!L12</f>
        <v>1610</v>
      </c>
      <c r="W21" s="600">
        <f>管理費用!M12</f>
        <v>0</v>
      </c>
      <c r="X21" s="600">
        <f>管理費用!N12</f>
        <v>0</v>
      </c>
      <c r="Y21" s="600">
        <f>管理費用!O12</f>
        <v>0</v>
      </c>
      <c r="Z21" s="600">
        <f>管理費用!P12</f>
        <v>0</v>
      </c>
      <c r="AA21" s="961">
        <f t="shared" si="14"/>
        <v>0.48517503263896966</v>
      </c>
      <c r="AB21" s="600">
        <f>研發費用!E12</f>
        <v>0</v>
      </c>
      <c r="AC21" s="600">
        <f>研發費用!F12</f>
        <v>600</v>
      </c>
      <c r="AD21" s="600">
        <f>研發費用!G12</f>
        <v>0</v>
      </c>
      <c r="AE21" s="600">
        <f>研發費用!H12</f>
        <v>300</v>
      </c>
      <c r="AF21" s="600">
        <f>研發費用!I12</f>
        <v>0</v>
      </c>
      <c r="AG21" s="600">
        <f>研發費用!J12</f>
        <v>600</v>
      </c>
      <c r="AH21" s="600">
        <f>研發費用!K12</f>
        <v>0</v>
      </c>
      <c r="AI21" s="600">
        <f>研發費用!L12</f>
        <v>0</v>
      </c>
      <c r="AJ21" s="600">
        <f>研發費用!M12</f>
        <v>0</v>
      </c>
      <c r="AK21" s="600">
        <f>研發費用!N12</f>
        <v>0</v>
      </c>
      <c r="AL21" s="600">
        <f>研發費用!O12</f>
        <v>0</v>
      </c>
      <c r="AM21" s="600">
        <f>研發費用!P12</f>
        <v>0</v>
      </c>
      <c r="AN21" s="960">
        <f t="shared" si="11"/>
        <v>0</v>
      </c>
      <c r="AO21" s="600">
        <f t="shared" si="15"/>
        <v>660</v>
      </c>
      <c r="AP21" s="600">
        <f t="shared" si="12"/>
        <v>4260</v>
      </c>
      <c r="AQ21" s="600">
        <f t="shared" si="12"/>
        <v>5760</v>
      </c>
      <c r="AR21" s="600">
        <f t="shared" si="12"/>
        <v>3512</v>
      </c>
      <c r="AS21" s="600">
        <f t="shared" si="12"/>
        <v>6500</v>
      </c>
      <c r="AT21" s="600">
        <f t="shared" si="12"/>
        <v>4360</v>
      </c>
      <c r="AU21" s="600">
        <f t="shared" si="12"/>
        <v>19738</v>
      </c>
      <c r="AV21" s="600">
        <f t="shared" si="12"/>
        <v>2120</v>
      </c>
      <c r="AW21" s="600">
        <f t="shared" si="12"/>
        <v>0</v>
      </c>
      <c r="AX21" s="600">
        <f t="shared" si="12"/>
        <v>0</v>
      </c>
      <c r="AY21" s="600">
        <f t="shared" si="12"/>
        <v>0</v>
      </c>
      <c r="AZ21" s="600">
        <f t="shared" si="12"/>
        <v>0</v>
      </c>
      <c r="BA21" s="960">
        <f t="shared" si="16"/>
        <v>0.19055461936623067</v>
      </c>
      <c r="BB21" s="543">
        <f>製造費用明細!E20</f>
        <v>0</v>
      </c>
      <c r="BC21" s="543">
        <f>製造費用明細!F20</f>
        <v>0</v>
      </c>
      <c r="BD21" s="543">
        <f>製造費用明細!G20</f>
        <v>0</v>
      </c>
      <c r="BE21" s="543">
        <f>製造費用明細!H20</f>
        <v>2106</v>
      </c>
      <c r="BF21" s="543">
        <f>製造費用明細!I20</f>
        <v>0</v>
      </c>
      <c r="BG21" s="543">
        <f>製造費用明細!J20</f>
        <v>300</v>
      </c>
      <c r="BH21" s="543">
        <f>製造費用明細!K20</f>
        <v>3250</v>
      </c>
      <c r="BI21" s="543">
        <f>製造費用明細!L20</f>
        <v>0</v>
      </c>
      <c r="BJ21" s="543">
        <f>製造費用明細!M20</f>
        <v>0</v>
      </c>
      <c r="BK21" s="543">
        <f>製造費用明細!N20</f>
        <v>0</v>
      </c>
      <c r="BL21" s="543">
        <f>製造費用明細!O20</f>
        <v>0</v>
      </c>
      <c r="BM21" s="543">
        <f>製造費用明細!P20</f>
        <v>0</v>
      </c>
      <c r="BN21" s="963">
        <f t="shared" si="17"/>
        <v>0.10648978222348043</v>
      </c>
      <c r="BO21" s="600">
        <f t="shared" si="10"/>
        <v>660</v>
      </c>
      <c r="BP21" s="600">
        <f t="shared" si="6"/>
        <v>4260</v>
      </c>
      <c r="BQ21" s="600">
        <f t="shared" si="6"/>
        <v>5760</v>
      </c>
      <c r="BR21" s="600">
        <f t="shared" si="6"/>
        <v>5618</v>
      </c>
      <c r="BS21" s="600">
        <f t="shared" si="6"/>
        <v>6500</v>
      </c>
      <c r="BT21" s="600">
        <f t="shared" si="6"/>
        <v>4660</v>
      </c>
      <c r="BU21" s="600">
        <f t="shared" si="6"/>
        <v>22988</v>
      </c>
      <c r="BV21" s="600">
        <f t="shared" si="6"/>
        <v>2120</v>
      </c>
      <c r="BW21" s="600">
        <f t="shared" si="6"/>
        <v>0</v>
      </c>
      <c r="BX21" s="600">
        <f t="shared" si="6"/>
        <v>0</v>
      </c>
      <c r="BY21" s="600">
        <f t="shared" si="6"/>
        <v>0</v>
      </c>
      <c r="BZ21" s="600">
        <f t="shared" si="6"/>
        <v>0</v>
      </c>
      <c r="CA21" s="961">
        <f t="shared" si="18"/>
        <v>0.17142276344859231</v>
      </c>
      <c r="CB21" s="600">
        <v>22988</v>
      </c>
      <c r="CC21" s="561">
        <f t="shared" si="19"/>
        <v>0.17142276344859231</v>
      </c>
      <c r="CD21" s="600"/>
      <c r="CE21" s="602"/>
      <c r="CF21" s="602"/>
      <c r="CG21" s="602"/>
      <c r="CH21" s="602"/>
      <c r="CI21" s="602"/>
      <c r="CJ21" s="602"/>
      <c r="CK21" s="602"/>
      <c r="CL21" s="602"/>
      <c r="CM21" s="602"/>
      <c r="CN21" s="602"/>
      <c r="CO21" s="602"/>
      <c r="CP21" s="602"/>
      <c r="CQ21" s="602"/>
    </row>
    <row r="22" spans="1:95" ht="15" customHeight="1">
      <c r="A22" s="404" t="s">
        <v>1305</v>
      </c>
      <c r="B22" s="600">
        <f>銷售費用!E13</f>
        <v>14500</v>
      </c>
      <c r="C22" s="600">
        <f>銷售費用!F13</f>
        <v>70700</v>
      </c>
      <c r="D22" s="600">
        <f>銷售費用!G13</f>
        <v>98827</v>
      </c>
      <c r="E22" s="600">
        <f>銷售費用!H13</f>
        <v>36419</v>
      </c>
      <c r="F22" s="600">
        <f>銷售費用!I13</f>
        <v>160433</v>
      </c>
      <c r="G22" s="600">
        <f>銷售費用!J13</f>
        <v>94864</v>
      </c>
      <c r="H22" s="600">
        <f>銷售費用!K13</f>
        <v>83134</v>
      </c>
      <c r="I22" s="600">
        <f>銷售費用!L13</f>
        <v>34846</v>
      </c>
      <c r="J22" s="600">
        <f>銷售費用!M13</f>
        <v>0</v>
      </c>
      <c r="K22" s="600">
        <f>銷售費用!N13</f>
        <v>0</v>
      </c>
      <c r="L22" s="600">
        <f>銷售費用!O13</f>
        <v>0</v>
      </c>
      <c r="M22" s="600">
        <f>銷售費用!P13</f>
        <v>0</v>
      </c>
      <c r="N22" s="961">
        <f t="shared" si="13"/>
        <v>2.2500794378130484</v>
      </c>
      <c r="O22" s="600">
        <f>管理費用!E13</f>
        <v>47200</v>
      </c>
      <c r="P22" s="600">
        <f>管理費用!F13</f>
        <v>233684</v>
      </c>
      <c r="Q22" s="600">
        <f>管理費用!G13</f>
        <v>135742</v>
      </c>
      <c r="R22" s="600">
        <f>管理費用!H13</f>
        <v>33500</v>
      </c>
      <c r="S22" s="600">
        <f>管理費用!I13</f>
        <v>24228</v>
      </c>
      <c r="T22" s="600">
        <f>管理費用!J13</f>
        <v>21228</v>
      </c>
      <c r="U22" s="600">
        <f>管理費用!K13</f>
        <v>78205</v>
      </c>
      <c r="V22" s="600">
        <f>管理費用!L13</f>
        <v>33973</v>
      </c>
      <c r="W22" s="600">
        <f>管理費用!M13</f>
        <v>0</v>
      </c>
      <c r="X22" s="600">
        <f>管理費用!N13</f>
        <v>0</v>
      </c>
      <c r="Y22" s="600">
        <f>管理費用!O13</f>
        <v>0</v>
      </c>
      <c r="Z22" s="600">
        <f>管理費用!P13</f>
        <v>0</v>
      </c>
      <c r="AA22" s="961">
        <f t="shared" si="14"/>
        <v>2.235630062899518</v>
      </c>
      <c r="AB22" s="600">
        <f>研發費用!E13</f>
        <v>0</v>
      </c>
      <c r="AC22" s="600">
        <f>研發費用!F13</f>
        <v>27700</v>
      </c>
      <c r="AD22" s="600">
        <f>研發費用!G13</f>
        <v>2100</v>
      </c>
      <c r="AE22" s="600">
        <f>研發費用!H13</f>
        <v>0</v>
      </c>
      <c r="AF22" s="600">
        <f>研發費用!I13</f>
        <v>78118</v>
      </c>
      <c r="AG22" s="600">
        <f>研發費用!J13</f>
        <v>3900</v>
      </c>
      <c r="AH22" s="600">
        <f>研發費用!K13</f>
        <v>0</v>
      </c>
      <c r="AI22" s="600">
        <f>研發費用!L13</f>
        <v>0</v>
      </c>
      <c r="AJ22" s="600">
        <f>研發費用!M13</f>
        <v>0</v>
      </c>
      <c r="AK22" s="600">
        <f>研發費用!N13</f>
        <v>0</v>
      </c>
      <c r="AL22" s="600">
        <f>研發費用!O13</f>
        <v>0</v>
      </c>
      <c r="AM22" s="600">
        <f>研發費用!P13</f>
        <v>0</v>
      </c>
      <c r="AN22" s="960">
        <f t="shared" si="11"/>
        <v>0</v>
      </c>
      <c r="AO22" s="600">
        <f t="shared" si="15"/>
        <v>61700</v>
      </c>
      <c r="AP22" s="600">
        <f t="shared" si="12"/>
        <v>332084</v>
      </c>
      <c r="AQ22" s="600">
        <f t="shared" si="12"/>
        <v>236669</v>
      </c>
      <c r="AR22" s="600">
        <f t="shared" si="12"/>
        <v>69919</v>
      </c>
      <c r="AS22" s="600">
        <f t="shared" si="12"/>
        <v>262779</v>
      </c>
      <c r="AT22" s="600">
        <f t="shared" si="12"/>
        <v>119992</v>
      </c>
      <c r="AU22" s="600">
        <f t="shared" si="12"/>
        <v>161339</v>
      </c>
      <c r="AV22" s="600">
        <f t="shared" si="12"/>
        <v>68819</v>
      </c>
      <c r="AW22" s="600">
        <f t="shared" si="12"/>
        <v>0</v>
      </c>
      <c r="AX22" s="600">
        <f t="shared" si="12"/>
        <v>0</v>
      </c>
      <c r="AY22" s="600">
        <f t="shared" si="12"/>
        <v>0</v>
      </c>
      <c r="AZ22" s="600">
        <f t="shared" si="12"/>
        <v>0</v>
      </c>
      <c r="BA22" s="960">
        <f t="shared" si="16"/>
        <v>1.5575991353697582</v>
      </c>
      <c r="BB22" s="543">
        <f>製造費用明細!E21</f>
        <v>1000</v>
      </c>
      <c r="BC22" s="543">
        <f>製造費用明細!F21</f>
        <v>39000</v>
      </c>
      <c r="BD22" s="543">
        <f>製造費用明細!G21</f>
        <v>65426</v>
      </c>
      <c r="BE22" s="543">
        <f>製造費用明細!H21</f>
        <v>36619</v>
      </c>
      <c r="BF22" s="543">
        <f>製造費用明細!I21</f>
        <v>37680</v>
      </c>
      <c r="BG22" s="543">
        <f>製造費用明細!J21</f>
        <v>3600</v>
      </c>
      <c r="BH22" s="543">
        <f>製造費用明細!K21</f>
        <v>14900</v>
      </c>
      <c r="BI22" s="543">
        <f>製造費用明細!L21</f>
        <v>43302</v>
      </c>
      <c r="BJ22" s="543">
        <f>製造費用明細!M21</f>
        <v>0</v>
      </c>
      <c r="BK22" s="543">
        <f>製造費用明細!N21</f>
        <v>0</v>
      </c>
      <c r="BL22" s="543">
        <f>製造費用明細!O21</f>
        <v>0</v>
      </c>
      <c r="BM22" s="543">
        <f>製造費用明細!P21</f>
        <v>0</v>
      </c>
      <c r="BN22" s="963">
        <f t="shared" si="17"/>
        <v>0.48821469388611027</v>
      </c>
      <c r="BO22" s="600">
        <f t="shared" si="10"/>
        <v>62700</v>
      </c>
      <c r="BP22" s="600">
        <f t="shared" ref="BP22:BP52" si="20">AP22+BC22</f>
        <v>371084</v>
      </c>
      <c r="BQ22" s="600">
        <f t="shared" ref="BQ22:BQ52" si="21">AQ22+BD22</f>
        <v>302095</v>
      </c>
      <c r="BR22" s="600">
        <f t="shared" ref="BR22:BS52" si="22">AR22+BE22</f>
        <v>106538</v>
      </c>
      <c r="BS22" s="600">
        <f t="shared" si="22"/>
        <v>300459</v>
      </c>
      <c r="BT22" s="600">
        <f t="shared" ref="BT22:BT52" si="23">AT22+BG22</f>
        <v>123592</v>
      </c>
      <c r="BU22" s="600">
        <f t="shared" ref="BU22:BU52" si="24">AU22+BH22</f>
        <v>176239</v>
      </c>
      <c r="BV22" s="600">
        <f t="shared" ref="BV22:BV52" si="25">AV22+BI22</f>
        <v>112121</v>
      </c>
      <c r="BW22" s="600">
        <f t="shared" ref="BW22:BW52" si="26">AW22+BJ22</f>
        <v>0</v>
      </c>
      <c r="BX22" s="600">
        <f t="shared" ref="BX22:BX52" si="27">AX22+BK22</f>
        <v>0</v>
      </c>
      <c r="BY22" s="600">
        <f t="shared" ref="BY22:BY52" si="28">AY22+BL22</f>
        <v>0</v>
      </c>
      <c r="BZ22" s="600">
        <f t="shared" ref="BZ22:BZ52" si="29">AZ22+BM22</f>
        <v>0</v>
      </c>
      <c r="CA22" s="961">
        <f t="shared" si="18"/>
        <v>1.3142237866459221</v>
      </c>
      <c r="CB22" s="600">
        <v>176239</v>
      </c>
      <c r="CC22" s="561">
        <f t="shared" si="19"/>
        <v>1.3142237866459221</v>
      </c>
      <c r="CD22" s="600"/>
    </row>
    <row r="23" spans="1:95" ht="15" customHeight="1">
      <c r="A23" s="404" t="s">
        <v>1307</v>
      </c>
      <c r="B23" s="600">
        <f>銷售費用!E14</f>
        <v>51044</v>
      </c>
      <c r="C23" s="600">
        <f>銷售費用!F14</f>
        <v>18828</v>
      </c>
      <c r="D23" s="600">
        <f>銷售費用!G14</f>
        <v>191659</v>
      </c>
      <c r="E23" s="600">
        <f>銷售費用!H14</f>
        <v>-175991</v>
      </c>
      <c r="F23" s="600">
        <f>銷售費用!I14</f>
        <v>15619</v>
      </c>
      <c r="G23" s="600">
        <f>銷售費用!J14</f>
        <v>15194</v>
      </c>
      <c r="H23" s="600">
        <f>銷售費用!K14</f>
        <v>10051</v>
      </c>
      <c r="I23" s="600">
        <f>銷售費用!L14</f>
        <v>60530</v>
      </c>
      <c r="J23" s="600">
        <f>銷售費用!M14</f>
        <v>0</v>
      </c>
      <c r="K23" s="600">
        <f>銷售費用!N14</f>
        <v>0</v>
      </c>
      <c r="L23" s="600">
        <f>銷售費用!O14</f>
        <v>0</v>
      </c>
      <c r="M23" s="600">
        <f>銷售費用!P14</f>
        <v>0</v>
      </c>
      <c r="N23" s="961">
        <f t="shared" si="13"/>
        <v>0.27203729436162044</v>
      </c>
      <c r="O23" s="600">
        <f>管理費用!E14</f>
        <v>3250</v>
      </c>
      <c r="P23" s="600">
        <f>管理費用!F14</f>
        <v>2710</v>
      </c>
      <c r="Q23" s="600">
        <f>管理費用!G14</f>
        <v>2710</v>
      </c>
      <c r="R23" s="600">
        <f>管理費用!H14</f>
        <v>2600</v>
      </c>
      <c r="S23" s="600">
        <f>管理費用!I14</f>
        <v>2800</v>
      </c>
      <c r="T23" s="600">
        <f>管理費用!J14</f>
        <v>2350</v>
      </c>
      <c r="U23" s="600">
        <f>管理費用!K14</f>
        <v>2250</v>
      </c>
      <c r="V23" s="600">
        <f>管理費用!L14</f>
        <v>2900</v>
      </c>
      <c r="W23" s="600">
        <f>管理費用!M14</f>
        <v>0</v>
      </c>
      <c r="X23" s="600">
        <f>管理費用!N14</f>
        <v>0</v>
      </c>
      <c r="Y23" s="600">
        <f>管理費用!O14</f>
        <v>0</v>
      </c>
      <c r="Z23" s="600">
        <f>管理費用!P14</f>
        <v>0</v>
      </c>
      <c r="AA23" s="961">
        <f t="shared" si="14"/>
        <v>6.4320281842898994E-2</v>
      </c>
      <c r="AB23" s="600">
        <f>研發費用!E14</f>
        <v>546</v>
      </c>
      <c r="AC23" s="600">
        <f>研發費用!F14</f>
        <v>750</v>
      </c>
      <c r="AD23" s="600">
        <f>研發費用!G14</f>
        <v>960</v>
      </c>
      <c r="AE23" s="600">
        <f>研發費用!H14</f>
        <v>2734</v>
      </c>
      <c r="AF23" s="600">
        <f>研發費用!I14</f>
        <v>3530</v>
      </c>
      <c r="AG23" s="600">
        <f>研發費用!J14</f>
        <v>200</v>
      </c>
      <c r="AH23" s="600">
        <f>研發費用!K14</f>
        <v>948</v>
      </c>
      <c r="AI23" s="600">
        <f>研發費用!L14</f>
        <v>290</v>
      </c>
      <c r="AJ23" s="600">
        <f>研發費用!M14</f>
        <v>0</v>
      </c>
      <c r="AK23" s="600">
        <f>研發費用!N14</f>
        <v>0</v>
      </c>
      <c r="AL23" s="600">
        <f>研發費用!O14</f>
        <v>0</v>
      </c>
      <c r="AM23" s="600">
        <f>研發費用!P14</f>
        <v>0</v>
      </c>
      <c r="AN23" s="960">
        <f t="shared" si="11"/>
        <v>2.994927578354635E-2</v>
      </c>
      <c r="AO23" s="600">
        <f t="shared" si="15"/>
        <v>54840</v>
      </c>
      <c r="AP23" s="600">
        <f t="shared" si="12"/>
        <v>22288</v>
      </c>
      <c r="AQ23" s="600">
        <f t="shared" si="12"/>
        <v>195329</v>
      </c>
      <c r="AR23" s="600">
        <f t="shared" si="12"/>
        <v>-170657</v>
      </c>
      <c r="AS23" s="600">
        <f t="shared" si="12"/>
        <v>21949</v>
      </c>
      <c r="AT23" s="600">
        <f t="shared" si="12"/>
        <v>17744</v>
      </c>
      <c r="AU23" s="600">
        <f t="shared" si="12"/>
        <v>13249</v>
      </c>
      <c r="AV23" s="600">
        <f t="shared" si="12"/>
        <v>63720</v>
      </c>
      <c r="AW23" s="600">
        <f t="shared" si="12"/>
        <v>0</v>
      </c>
      <c r="AX23" s="600">
        <f t="shared" si="12"/>
        <v>0</v>
      </c>
      <c r="AY23" s="600">
        <f t="shared" si="12"/>
        <v>0</v>
      </c>
      <c r="AZ23" s="600">
        <f t="shared" si="12"/>
        <v>0</v>
      </c>
      <c r="BA23" s="960">
        <f t="shared" si="16"/>
        <v>0.12790850906794965</v>
      </c>
      <c r="BB23" s="543">
        <f>製造費用明細!E22</f>
        <v>218647</v>
      </c>
      <c r="BC23" s="543">
        <f>製造費用明細!F22</f>
        <v>281290</v>
      </c>
      <c r="BD23" s="543">
        <f>製造費用明細!G22</f>
        <v>85115</v>
      </c>
      <c r="BE23" s="543">
        <f>製造費用明細!H22</f>
        <v>209308</v>
      </c>
      <c r="BF23" s="543">
        <f>製造費用明細!I22</f>
        <v>98647</v>
      </c>
      <c r="BG23" s="543">
        <f>製造費用明細!J22</f>
        <v>154436</v>
      </c>
      <c r="BH23" s="543">
        <f>製造費用明細!K22</f>
        <v>226398</v>
      </c>
      <c r="BI23" s="543">
        <f>製造費用明細!L22</f>
        <v>179376</v>
      </c>
      <c r="BJ23" s="543">
        <f>製造費用明細!M22</f>
        <v>0</v>
      </c>
      <c r="BK23" s="543">
        <f>製造費用明細!N22</f>
        <v>0</v>
      </c>
      <c r="BL23" s="543">
        <f>製造費用明細!O22</f>
        <v>0</v>
      </c>
      <c r="BM23" s="543">
        <f>製造費用明細!P22</f>
        <v>0</v>
      </c>
      <c r="BN23" s="963">
        <f t="shared" si="17"/>
        <v>7.4181765279481615</v>
      </c>
      <c r="BO23" s="600">
        <f t="shared" si="10"/>
        <v>273487</v>
      </c>
      <c r="BP23" s="600">
        <f t="shared" si="20"/>
        <v>303578</v>
      </c>
      <c r="BQ23" s="600">
        <f t="shared" si="21"/>
        <v>280444</v>
      </c>
      <c r="BR23" s="600">
        <f t="shared" si="22"/>
        <v>38651</v>
      </c>
      <c r="BS23" s="600">
        <f t="shared" si="22"/>
        <v>120596</v>
      </c>
      <c r="BT23" s="600">
        <f t="shared" si="23"/>
        <v>172180</v>
      </c>
      <c r="BU23" s="600">
        <f t="shared" si="24"/>
        <v>239647</v>
      </c>
      <c r="BV23" s="600">
        <f t="shared" si="25"/>
        <v>243096</v>
      </c>
      <c r="BW23" s="600">
        <f t="shared" si="26"/>
        <v>0</v>
      </c>
      <c r="BX23" s="600">
        <f t="shared" si="27"/>
        <v>0</v>
      </c>
      <c r="BY23" s="600">
        <f t="shared" si="28"/>
        <v>0</v>
      </c>
      <c r="BZ23" s="600">
        <f t="shared" si="29"/>
        <v>0</v>
      </c>
      <c r="CA23" s="961">
        <f t="shared" si="18"/>
        <v>1.7870606834942058</v>
      </c>
      <c r="CB23" s="600">
        <v>239647</v>
      </c>
      <c r="CC23" s="561">
        <f t="shared" si="19"/>
        <v>1.7870606834942058</v>
      </c>
      <c r="CD23" s="600"/>
    </row>
    <row r="24" spans="1:95" ht="15" customHeight="1">
      <c r="A24" s="404" t="s">
        <v>1309</v>
      </c>
      <c r="B24" s="600">
        <f>銷售費用!E15</f>
        <v>12943</v>
      </c>
      <c r="C24" s="600">
        <f>銷售費用!F15</f>
        <v>0</v>
      </c>
      <c r="D24" s="600">
        <f>銷售費用!G15</f>
        <v>19883</v>
      </c>
      <c r="E24" s="600">
        <f>銷售費用!H15</f>
        <v>11820</v>
      </c>
      <c r="F24" s="600">
        <f>銷售費用!I15</f>
        <v>12903</v>
      </c>
      <c r="G24" s="600">
        <f>銷售費用!J15</f>
        <v>10150</v>
      </c>
      <c r="H24" s="600">
        <f>銷售費用!K15</f>
        <v>10853</v>
      </c>
      <c r="I24" s="600">
        <f>銷售費用!L15</f>
        <v>12045</v>
      </c>
      <c r="J24" s="600">
        <f>銷售費用!M15</f>
        <v>0</v>
      </c>
      <c r="K24" s="600">
        <f>銷售費用!N15</f>
        <v>0</v>
      </c>
      <c r="L24" s="600">
        <f>銷售費用!O15</f>
        <v>0</v>
      </c>
      <c r="M24" s="600">
        <f>銷售費用!P15</f>
        <v>0</v>
      </c>
      <c r="N24" s="961">
        <f t="shared" si="13"/>
        <v>0.29374398126620893</v>
      </c>
      <c r="O24" s="600">
        <f>管理費用!E15</f>
        <v>7080</v>
      </c>
      <c r="P24" s="600">
        <f>管理費用!F15</f>
        <v>2784</v>
      </c>
      <c r="Q24" s="600">
        <f>管理費用!G15</f>
        <v>21856</v>
      </c>
      <c r="R24" s="600">
        <f>管理費用!H15</f>
        <v>8719</v>
      </c>
      <c r="S24" s="600">
        <f>管理費用!I15</f>
        <v>11839</v>
      </c>
      <c r="T24" s="600">
        <f>管理費用!J15</f>
        <v>12912</v>
      </c>
      <c r="U24" s="600">
        <f>管理費用!K15</f>
        <v>11469</v>
      </c>
      <c r="V24" s="600">
        <f>管理費用!L15</f>
        <v>8914</v>
      </c>
      <c r="W24" s="600">
        <f>管理費用!M15</f>
        <v>0</v>
      </c>
      <c r="X24" s="600">
        <f>管理費用!N15</f>
        <v>0</v>
      </c>
      <c r="Y24" s="600">
        <f>管理費用!O15</f>
        <v>0</v>
      </c>
      <c r="Z24" s="600">
        <f>管理費用!P15</f>
        <v>0</v>
      </c>
      <c r="AA24" s="961">
        <f t="shared" si="14"/>
        <v>0.32786191664720382</v>
      </c>
      <c r="AB24" s="600">
        <f>研發費用!E15</f>
        <v>16772</v>
      </c>
      <c r="AC24" s="600">
        <f>研發費用!F15</f>
        <v>0</v>
      </c>
      <c r="AD24" s="600">
        <f>研發費用!G15</f>
        <v>34445</v>
      </c>
      <c r="AE24" s="600">
        <f>研發費用!H15</f>
        <v>19186</v>
      </c>
      <c r="AF24" s="600">
        <f>研發費用!I15</f>
        <v>18651</v>
      </c>
      <c r="AG24" s="600">
        <f>研發費用!J15</f>
        <v>15128</v>
      </c>
      <c r="AH24" s="600">
        <f>研發費用!K15</f>
        <v>16240</v>
      </c>
      <c r="AI24" s="600">
        <f>研發費用!L15</f>
        <v>15686</v>
      </c>
      <c r="AJ24" s="600">
        <f>研發費用!M15</f>
        <v>0</v>
      </c>
      <c r="AK24" s="600">
        <f>研發費用!N15</f>
        <v>0</v>
      </c>
      <c r="AL24" s="600">
        <f>研發費用!O15</f>
        <v>0</v>
      </c>
      <c r="AM24" s="600">
        <f>研發費用!P15</f>
        <v>0</v>
      </c>
      <c r="AN24" s="960">
        <f t="shared" si="11"/>
        <v>0.51305510414007671</v>
      </c>
      <c r="AO24" s="600">
        <f t="shared" si="15"/>
        <v>36795</v>
      </c>
      <c r="AP24" s="600">
        <f t="shared" si="12"/>
        <v>2784</v>
      </c>
      <c r="AQ24" s="600">
        <f t="shared" si="12"/>
        <v>76184</v>
      </c>
      <c r="AR24" s="600">
        <f t="shared" si="12"/>
        <v>39725</v>
      </c>
      <c r="AS24" s="600">
        <f t="shared" si="12"/>
        <v>43393</v>
      </c>
      <c r="AT24" s="600">
        <f t="shared" si="12"/>
        <v>38190</v>
      </c>
      <c r="AU24" s="600">
        <f t="shared" si="12"/>
        <v>38562</v>
      </c>
      <c r="AV24" s="600">
        <f t="shared" si="12"/>
        <v>36645</v>
      </c>
      <c r="AW24" s="600">
        <f t="shared" si="12"/>
        <v>0</v>
      </c>
      <c r="AX24" s="600">
        <f t="shared" si="12"/>
        <v>0</v>
      </c>
      <c r="AY24" s="600">
        <f t="shared" si="12"/>
        <v>0</v>
      </c>
      <c r="AZ24" s="600">
        <f t="shared" si="12"/>
        <v>0</v>
      </c>
      <c r="BA24" s="960">
        <f t="shared" si="16"/>
        <v>0.37228529901715407</v>
      </c>
      <c r="BB24" s="543">
        <f>製造費用明細!E23</f>
        <v>7122</v>
      </c>
      <c r="BC24" s="543">
        <f>製造費用明細!F23</f>
        <v>0</v>
      </c>
      <c r="BD24" s="543">
        <f>製造費用明細!G23</f>
        <v>18222</v>
      </c>
      <c r="BE24" s="543">
        <f>製造費用明細!H23</f>
        <v>8520</v>
      </c>
      <c r="BF24" s="543">
        <f>製造費用明細!I23</f>
        <v>7759</v>
      </c>
      <c r="BG24" s="543">
        <f>製造費用明細!J23</f>
        <v>11388</v>
      </c>
      <c r="BH24" s="543">
        <f>製造費用明細!K23</f>
        <v>7485</v>
      </c>
      <c r="BI24" s="543">
        <f>製造費用明細!L23</f>
        <v>7021</v>
      </c>
      <c r="BJ24" s="543">
        <f>製造費用明細!M23</f>
        <v>0</v>
      </c>
      <c r="BK24" s="543">
        <f>製造費用明細!N23</f>
        <v>0</v>
      </c>
      <c r="BL24" s="543">
        <f>製造費用明細!O23</f>
        <v>0</v>
      </c>
      <c r="BM24" s="543">
        <f>製造費用明細!P23</f>
        <v>0</v>
      </c>
      <c r="BN24" s="963">
        <f t="shared" si="17"/>
        <v>0.24525415998238492</v>
      </c>
      <c r="BO24" s="600">
        <f t="shared" si="10"/>
        <v>43917</v>
      </c>
      <c r="BP24" s="600">
        <f t="shared" si="20"/>
        <v>2784</v>
      </c>
      <c r="BQ24" s="600">
        <f t="shared" si="21"/>
        <v>94406</v>
      </c>
      <c r="BR24" s="600">
        <f t="shared" si="22"/>
        <v>48245</v>
      </c>
      <c r="BS24" s="600">
        <f t="shared" si="22"/>
        <v>51152</v>
      </c>
      <c r="BT24" s="600">
        <f t="shared" si="23"/>
        <v>49578</v>
      </c>
      <c r="BU24" s="600">
        <f t="shared" si="24"/>
        <v>46047</v>
      </c>
      <c r="BV24" s="600">
        <f t="shared" si="25"/>
        <v>43666</v>
      </c>
      <c r="BW24" s="600">
        <f t="shared" si="26"/>
        <v>0</v>
      </c>
      <c r="BX24" s="600">
        <f t="shared" si="27"/>
        <v>0</v>
      </c>
      <c r="BY24" s="600">
        <f t="shared" si="28"/>
        <v>0</v>
      </c>
      <c r="BZ24" s="600">
        <f t="shared" si="29"/>
        <v>0</v>
      </c>
      <c r="CA24" s="961">
        <f t="shared" si="18"/>
        <v>0.34337497775001435</v>
      </c>
      <c r="CB24" s="600">
        <v>46047</v>
      </c>
      <c r="CC24" s="561">
        <f t="shared" si="19"/>
        <v>0.34337497775001435</v>
      </c>
      <c r="CD24" s="600"/>
    </row>
    <row r="25" spans="1:95" ht="15" customHeight="1">
      <c r="A25" s="404" t="s">
        <v>1311</v>
      </c>
      <c r="B25" s="600">
        <f>銷售費用!E16</f>
        <v>0</v>
      </c>
      <c r="C25" s="600">
        <f>銷售費用!F16</f>
        <v>0</v>
      </c>
      <c r="D25" s="600">
        <f>銷售費用!G16</f>
        <v>0</v>
      </c>
      <c r="E25" s="600">
        <f>銷售費用!H16</f>
        <v>0</v>
      </c>
      <c r="F25" s="600">
        <f>銷售費用!I16</f>
        <v>0</v>
      </c>
      <c r="G25" s="600">
        <f>銷售費用!J16</f>
        <v>0</v>
      </c>
      <c r="H25" s="600">
        <f>銷售費用!K16</f>
        <v>0</v>
      </c>
      <c r="I25" s="600">
        <f>銷售費用!L16</f>
        <v>0</v>
      </c>
      <c r="J25" s="600">
        <f>銷售費用!M16</f>
        <v>0</v>
      </c>
      <c r="K25" s="600">
        <f>銷售費用!N16</f>
        <v>0</v>
      </c>
      <c r="L25" s="600">
        <f>銷售費用!O16</f>
        <v>0</v>
      </c>
      <c r="M25" s="600">
        <f>銷售費用!P16</f>
        <v>0</v>
      </c>
      <c r="N25" s="961">
        <f t="shared" si="13"/>
        <v>0</v>
      </c>
      <c r="O25" s="600">
        <f>管理費用!E16</f>
        <v>952</v>
      </c>
      <c r="P25" s="600">
        <f>管理費用!F16</f>
        <v>2000</v>
      </c>
      <c r="Q25" s="600">
        <f>管理費用!G16</f>
        <v>0</v>
      </c>
      <c r="R25" s="600">
        <f>管理費用!H16</f>
        <v>51434</v>
      </c>
      <c r="S25" s="600">
        <f>管理費用!I16</f>
        <v>0</v>
      </c>
      <c r="T25" s="600">
        <f>管理費用!J16</f>
        <v>3143</v>
      </c>
      <c r="U25" s="600">
        <f>管理費用!K16</f>
        <v>2000</v>
      </c>
      <c r="V25" s="600">
        <f>管理費用!L16</f>
        <v>25843</v>
      </c>
      <c r="W25" s="600">
        <f>管理費用!M16</f>
        <v>0</v>
      </c>
      <c r="X25" s="600">
        <f>管理費用!N16</f>
        <v>0</v>
      </c>
      <c r="Y25" s="600">
        <f>管理費用!O16</f>
        <v>0</v>
      </c>
      <c r="Z25" s="600">
        <f>管理費用!P16</f>
        <v>0</v>
      </c>
      <c r="AA25" s="961">
        <f t="shared" si="14"/>
        <v>5.7173583860354663E-2</v>
      </c>
      <c r="AB25" s="600">
        <f>研發費用!E16</f>
        <v>0</v>
      </c>
      <c r="AC25" s="600">
        <f>研發費用!F16</f>
        <v>0</v>
      </c>
      <c r="AD25" s="600">
        <f>研發費用!G16</f>
        <v>5720</v>
      </c>
      <c r="AE25" s="600">
        <f>研發費用!H16</f>
        <v>-5720</v>
      </c>
      <c r="AF25" s="600">
        <f>研發費用!I16</f>
        <v>1000</v>
      </c>
      <c r="AG25" s="600">
        <f>研發費用!J16</f>
        <v>0</v>
      </c>
      <c r="AH25" s="600">
        <f>研發費用!K16</f>
        <v>0</v>
      </c>
      <c r="AI25" s="600">
        <f>研發費用!L16</f>
        <v>0</v>
      </c>
      <c r="AJ25" s="600">
        <f>研發費用!M16</f>
        <v>0</v>
      </c>
      <c r="AK25" s="600">
        <f>研發費用!N16</f>
        <v>0</v>
      </c>
      <c r="AL25" s="600">
        <f>研發費用!O16</f>
        <v>0</v>
      </c>
      <c r="AM25" s="600">
        <f>研發費用!P16</f>
        <v>0</v>
      </c>
      <c r="AN25" s="960">
        <f t="shared" si="11"/>
        <v>0</v>
      </c>
      <c r="AO25" s="600">
        <f t="shared" si="15"/>
        <v>952</v>
      </c>
      <c r="AP25" s="600">
        <f t="shared" si="12"/>
        <v>2000</v>
      </c>
      <c r="AQ25" s="600">
        <f t="shared" si="12"/>
        <v>5720</v>
      </c>
      <c r="AR25" s="600">
        <f t="shared" si="12"/>
        <v>45714</v>
      </c>
      <c r="AS25" s="600">
        <f t="shared" si="12"/>
        <v>1000</v>
      </c>
      <c r="AT25" s="600">
        <f t="shared" si="12"/>
        <v>3143</v>
      </c>
      <c r="AU25" s="600">
        <f t="shared" si="12"/>
        <v>2000</v>
      </c>
      <c r="AV25" s="600">
        <f t="shared" si="12"/>
        <v>25843</v>
      </c>
      <c r="AW25" s="600">
        <f t="shared" si="12"/>
        <v>0</v>
      </c>
      <c r="AX25" s="600">
        <f t="shared" si="12"/>
        <v>0</v>
      </c>
      <c r="AY25" s="600">
        <f t="shared" si="12"/>
        <v>0</v>
      </c>
      <c r="AZ25" s="600">
        <f t="shared" si="12"/>
        <v>0</v>
      </c>
      <c r="BA25" s="960">
        <f t="shared" si="16"/>
        <v>1.930840200286054E-2</v>
      </c>
      <c r="BB25" s="543">
        <f>製造費用明細!E24</f>
        <v>5000</v>
      </c>
      <c r="BC25" s="543">
        <f>製造費用明細!F24</f>
        <v>1500</v>
      </c>
      <c r="BD25" s="543">
        <f>製造費用明細!G24</f>
        <v>23000</v>
      </c>
      <c r="BE25" s="543">
        <f>製造費用明細!H24</f>
        <v>6300</v>
      </c>
      <c r="BF25" s="543">
        <f>製造費用明細!I24</f>
        <v>1500</v>
      </c>
      <c r="BG25" s="543">
        <f>製造費用明細!J24</f>
        <v>1500</v>
      </c>
      <c r="BH25" s="543">
        <f>製造費用明細!K24</f>
        <v>1500</v>
      </c>
      <c r="BI25" s="543">
        <f>製造費用明細!L24</f>
        <v>49414</v>
      </c>
      <c r="BJ25" s="543">
        <f>製造費用明細!M24</f>
        <v>0</v>
      </c>
      <c r="BK25" s="543">
        <f>製造費用明細!N24</f>
        <v>0</v>
      </c>
      <c r="BL25" s="543">
        <f>製造費用明細!O24</f>
        <v>0</v>
      </c>
      <c r="BM25" s="543">
        <f>製造費用明細!P24</f>
        <v>0</v>
      </c>
      <c r="BN25" s="963">
        <f t="shared" si="17"/>
        <v>4.9149130256990969E-2</v>
      </c>
      <c r="BO25" s="600">
        <f t="shared" si="10"/>
        <v>5952</v>
      </c>
      <c r="BP25" s="600">
        <f t="shared" si="20"/>
        <v>3500</v>
      </c>
      <c r="BQ25" s="600">
        <f t="shared" si="21"/>
        <v>28720</v>
      </c>
      <c r="BR25" s="600">
        <f t="shared" si="22"/>
        <v>52014</v>
      </c>
      <c r="BS25" s="600">
        <f t="shared" si="22"/>
        <v>2500</v>
      </c>
      <c r="BT25" s="600">
        <f t="shared" si="23"/>
        <v>4643</v>
      </c>
      <c r="BU25" s="600">
        <f t="shared" si="24"/>
        <v>3500</v>
      </c>
      <c r="BV25" s="600">
        <f t="shared" si="25"/>
        <v>75257</v>
      </c>
      <c r="BW25" s="600">
        <f t="shared" si="26"/>
        <v>0</v>
      </c>
      <c r="BX25" s="600">
        <f t="shared" si="27"/>
        <v>0</v>
      </c>
      <c r="BY25" s="600">
        <f t="shared" si="28"/>
        <v>0</v>
      </c>
      <c r="BZ25" s="600">
        <f t="shared" si="29"/>
        <v>0</v>
      </c>
      <c r="CA25" s="961">
        <f t="shared" si="18"/>
        <v>2.6099689928226599E-2</v>
      </c>
      <c r="CB25" s="600">
        <v>3500</v>
      </c>
      <c r="CC25" s="561">
        <f t="shared" si="19"/>
        <v>2.6099689928226599E-2</v>
      </c>
      <c r="CD25" s="600"/>
    </row>
    <row r="26" spans="1:95" ht="15" customHeight="1">
      <c r="A26" s="404" t="s">
        <v>1366</v>
      </c>
      <c r="B26" s="600">
        <f>銷售費用!E17</f>
        <v>0</v>
      </c>
      <c r="C26" s="600">
        <f>銷售費用!F17</f>
        <v>10000</v>
      </c>
      <c r="D26" s="600">
        <f>銷售費用!G17</f>
        <v>0</v>
      </c>
      <c r="E26" s="600">
        <f>銷售費用!H17</f>
        <v>0</v>
      </c>
      <c r="F26" s="600">
        <f>銷售費用!I17</f>
        <v>0</v>
      </c>
      <c r="G26" s="600">
        <f>銷售費用!J17</f>
        <v>489954</v>
      </c>
      <c r="H26" s="600">
        <f>銷售費用!K17</f>
        <v>0</v>
      </c>
      <c r="I26" s="600">
        <f>銷售費用!L17</f>
        <v>22625</v>
      </c>
      <c r="J26" s="600">
        <f>銷售費用!M17</f>
        <v>0</v>
      </c>
      <c r="K26" s="600">
        <f>銷售費用!N17</f>
        <v>0</v>
      </c>
      <c r="L26" s="600">
        <f>銷售費用!O17</f>
        <v>0</v>
      </c>
      <c r="M26" s="600">
        <f>銷售費用!P17</f>
        <v>0</v>
      </c>
      <c r="N26" s="961">
        <f t="shared" si="13"/>
        <v>0</v>
      </c>
      <c r="O26" s="600">
        <f>管理費用!E17</f>
        <v>2500</v>
      </c>
      <c r="P26" s="600">
        <f>管理費用!F17</f>
        <v>2500</v>
      </c>
      <c r="Q26" s="600">
        <f>管理費用!G17</f>
        <v>2500</v>
      </c>
      <c r="R26" s="600">
        <f>管理費用!H17</f>
        <v>2500</v>
      </c>
      <c r="S26" s="600">
        <f>管理費用!I17</f>
        <v>2500</v>
      </c>
      <c r="T26" s="600">
        <f>管理費用!J17</f>
        <v>3280</v>
      </c>
      <c r="U26" s="600">
        <f>管理費用!K17</f>
        <v>2500</v>
      </c>
      <c r="V26" s="600">
        <f>管理費用!L17</f>
        <v>2500</v>
      </c>
      <c r="W26" s="600">
        <f>管理費用!M17</f>
        <v>0</v>
      </c>
      <c r="X26" s="600">
        <f>管理費用!N17</f>
        <v>0</v>
      </c>
      <c r="Y26" s="600">
        <f>管理費用!O17</f>
        <v>0</v>
      </c>
      <c r="Z26" s="600">
        <f>管理費用!P17</f>
        <v>0</v>
      </c>
      <c r="AA26" s="961">
        <f t="shared" si="14"/>
        <v>7.1466979825443325E-2</v>
      </c>
      <c r="AB26" s="600"/>
      <c r="AC26" s="600"/>
      <c r="AD26" s="600"/>
      <c r="AE26" s="600"/>
      <c r="AF26" s="600"/>
      <c r="AG26" s="600"/>
      <c r="AH26" s="600"/>
      <c r="AI26" s="600"/>
      <c r="AJ26" s="600"/>
      <c r="AK26" s="600"/>
      <c r="AL26" s="600"/>
      <c r="AM26" s="600"/>
      <c r="AN26" s="960">
        <f t="shared" si="11"/>
        <v>0</v>
      </c>
      <c r="AO26" s="600">
        <f t="shared" si="15"/>
        <v>2500</v>
      </c>
      <c r="AP26" s="600">
        <f t="shared" si="12"/>
        <v>12500</v>
      </c>
      <c r="AQ26" s="600">
        <f t="shared" si="12"/>
        <v>2500</v>
      </c>
      <c r="AR26" s="600">
        <f t="shared" si="12"/>
        <v>2500</v>
      </c>
      <c r="AS26" s="600">
        <f t="shared" si="12"/>
        <v>2500</v>
      </c>
      <c r="AT26" s="600">
        <f t="shared" si="12"/>
        <v>493234</v>
      </c>
      <c r="AU26" s="600">
        <f t="shared" si="12"/>
        <v>2500</v>
      </c>
      <c r="AV26" s="600">
        <f t="shared" si="12"/>
        <v>25125</v>
      </c>
      <c r="AW26" s="600">
        <f t="shared" si="12"/>
        <v>0</v>
      </c>
      <c r="AX26" s="600">
        <f t="shared" si="12"/>
        <v>0</v>
      </c>
      <c r="AY26" s="600">
        <f t="shared" si="12"/>
        <v>0</v>
      </c>
      <c r="AZ26" s="600">
        <f t="shared" si="12"/>
        <v>0</v>
      </c>
      <c r="BA26" s="960">
        <f t="shared" si="16"/>
        <v>2.4135502503575674E-2</v>
      </c>
      <c r="BB26" s="543"/>
      <c r="BC26" s="543"/>
      <c r="BD26" s="543"/>
      <c r="BE26" s="543"/>
      <c r="BF26" s="543"/>
      <c r="BG26" s="543"/>
      <c r="BH26" s="543"/>
      <c r="BI26" s="543"/>
      <c r="BJ26" s="543"/>
      <c r="BK26" s="543"/>
      <c r="BL26" s="543"/>
      <c r="BM26" s="543"/>
      <c r="BN26" s="963">
        <f t="shared" si="17"/>
        <v>0</v>
      </c>
      <c r="BO26" s="600">
        <f t="shared" si="10"/>
        <v>2500</v>
      </c>
      <c r="BP26" s="600">
        <f t="shared" si="20"/>
        <v>12500</v>
      </c>
      <c r="BQ26" s="600">
        <f t="shared" si="21"/>
        <v>2500</v>
      </c>
      <c r="BR26" s="600">
        <f t="shared" si="22"/>
        <v>2500</v>
      </c>
      <c r="BS26" s="600">
        <f t="shared" si="22"/>
        <v>2500</v>
      </c>
      <c r="BT26" s="600">
        <f t="shared" si="23"/>
        <v>493234</v>
      </c>
      <c r="BU26" s="600">
        <f t="shared" si="24"/>
        <v>2500</v>
      </c>
      <c r="BV26" s="600">
        <f t="shared" si="25"/>
        <v>25125</v>
      </c>
      <c r="BW26" s="600">
        <f t="shared" si="26"/>
        <v>0</v>
      </c>
      <c r="BX26" s="600">
        <f t="shared" si="27"/>
        <v>0</v>
      </c>
      <c r="BY26" s="600">
        <f t="shared" si="28"/>
        <v>0</v>
      </c>
      <c r="BZ26" s="600">
        <f t="shared" si="29"/>
        <v>0</v>
      </c>
      <c r="CA26" s="961">
        <f t="shared" si="18"/>
        <v>1.8642635663018998E-2</v>
      </c>
      <c r="CB26" s="600">
        <v>2500</v>
      </c>
      <c r="CC26" s="561">
        <f t="shared" si="19"/>
        <v>1.8642635663018998E-2</v>
      </c>
      <c r="CD26" s="600"/>
    </row>
    <row r="27" spans="1:95" ht="15" customHeight="1">
      <c r="A27" s="404" t="s">
        <v>1473</v>
      </c>
      <c r="B27" s="600"/>
      <c r="C27" s="600"/>
      <c r="D27" s="600"/>
      <c r="E27" s="600"/>
      <c r="F27" s="600"/>
      <c r="G27" s="600"/>
      <c r="H27" s="600"/>
      <c r="I27" s="600"/>
      <c r="J27" s="600"/>
      <c r="K27" s="600"/>
      <c r="L27" s="600"/>
      <c r="M27" s="600"/>
      <c r="N27" s="961">
        <f t="shared" si="13"/>
        <v>0</v>
      </c>
      <c r="O27" s="600"/>
      <c r="P27" s="600"/>
      <c r="Q27" s="600"/>
      <c r="R27" s="600"/>
      <c r="S27" s="600"/>
      <c r="T27" s="600"/>
      <c r="U27" s="600"/>
      <c r="V27" s="600"/>
      <c r="W27" s="600"/>
      <c r="X27" s="600"/>
      <c r="Y27" s="600"/>
      <c r="Z27" s="600"/>
      <c r="AA27" s="961">
        <f t="shared" si="14"/>
        <v>0</v>
      </c>
      <c r="AB27" s="600"/>
      <c r="AC27" s="600"/>
      <c r="AD27" s="600"/>
      <c r="AE27" s="600"/>
      <c r="AF27" s="600"/>
      <c r="AG27" s="600"/>
      <c r="AH27" s="600"/>
      <c r="AI27" s="600"/>
      <c r="AJ27" s="600"/>
      <c r="AK27" s="600"/>
      <c r="AL27" s="600"/>
      <c r="AM27" s="600"/>
      <c r="AN27" s="960">
        <f t="shared" si="11"/>
        <v>0</v>
      </c>
      <c r="AO27" s="600">
        <f t="shared" si="15"/>
        <v>0</v>
      </c>
      <c r="AP27" s="600">
        <f t="shared" si="12"/>
        <v>0</v>
      </c>
      <c r="AQ27" s="600">
        <f t="shared" si="12"/>
        <v>0</v>
      </c>
      <c r="AR27" s="600">
        <f t="shared" si="12"/>
        <v>0</v>
      </c>
      <c r="AS27" s="600">
        <f t="shared" si="12"/>
        <v>0</v>
      </c>
      <c r="AT27" s="600">
        <f t="shared" si="12"/>
        <v>0</v>
      </c>
      <c r="AU27" s="600">
        <f t="shared" si="12"/>
        <v>0</v>
      </c>
      <c r="AV27" s="600">
        <f t="shared" si="12"/>
        <v>0</v>
      </c>
      <c r="AW27" s="600">
        <f t="shared" si="12"/>
        <v>0</v>
      </c>
      <c r="AX27" s="600">
        <f t="shared" si="12"/>
        <v>0</v>
      </c>
      <c r="AY27" s="600">
        <f t="shared" si="12"/>
        <v>0</v>
      </c>
      <c r="AZ27" s="600">
        <f t="shared" si="12"/>
        <v>0</v>
      </c>
      <c r="BA27" s="960">
        <f t="shared" si="16"/>
        <v>0</v>
      </c>
      <c r="BB27" s="543">
        <f>製造費用明細!E25</f>
        <v>4880</v>
      </c>
      <c r="BC27" s="543">
        <f>製造費用明細!F25</f>
        <v>8770</v>
      </c>
      <c r="BD27" s="543">
        <f>製造費用明細!G25</f>
        <v>47400</v>
      </c>
      <c r="BE27" s="543">
        <f>製造費用明細!H25</f>
        <v>0</v>
      </c>
      <c r="BF27" s="600"/>
      <c r="BG27" s="543">
        <f>製造費用明細!J25</f>
        <v>5800</v>
      </c>
      <c r="BH27" s="543">
        <f>製造費用明細!K25</f>
        <v>8770</v>
      </c>
      <c r="BI27" s="543">
        <f>製造費用明細!L25</f>
        <v>11670</v>
      </c>
      <c r="BJ27" s="543">
        <f>製造費用明細!M25</f>
        <v>0</v>
      </c>
      <c r="BK27" s="543">
        <f>製造費用明細!N25</f>
        <v>0</v>
      </c>
      <c r="BL27" s="543">
        <f>製造費用明細!O25</f>
        <v>0</v>
      </c>
      <c r="BM27" s="543">
        <f>製造費用明細!P25</f>
        <v>0</v>
      </c>
      <c r="BN27" s="963">
        <f t="shared" si="17"/>
        <v>0.28735858156920724</v>
      </c>
      <c r="BO27" s="600">
        <f t="shared" si="10"/>
        <v>4880</v>
      </c>
      <c r="BP27" s="600">
        <f t="shared" si="20"/>
        <v>8770</v>
      </c>
      <c r="BQ27" s="600">
        <f t="shared" si="21"/>
        <v>47400</v>
      </c>
      <c r="BR27" s="600">
        <f t="shared" si="22"/>
        <v>0</v>
      </c>
      <c r="BS27" s="600">
        <f t="shared" si="22"/>
        <v>0</v>
      </c>
      <c r="BT27" s="600">
        <f t="shared" si="23"/>
        <v>5800</v>
      </c>
      <c r="BU27" s="600">
        <f t="shared" si="24"/>
        <v>8770</v>
      </c>
      <c r="BV27" s="600">
        <f t="shared" si="25"/>
        <v>11670</v>
      </c>
      <c r="BW27" s="600">
        <f t="shared" si="26"/>
        <v>0</v>
      </c>
      <c r="BX27" s="600">
        <f t="shared" si="27"/>
        <v>0</v>
      </c>
      <c r="BY27" s="600">
        <f t="shared" si="28"/>
        <v>0</v>
      </c>
      <c r="BZ27" s="600">
        <f t="shared" si="29"/>
        <v>0</v>
      </c>
      <c r="CA27" s="961">
        <f t="shared" si="18"/>
        <v>6.5398365905870656E-2</v>
      </c>
      <c r="CB27" s="600">
        <v>8770</v>
      </c>
      <c r="CC27" s="561">
        <f t="shared" si="19"/>
        <v>6.5398365905870656E-2</v>
      </c>
      <c r="CD27" s="600"/>
    </row>
    <row r="28" spans="1:95" ht="15" customHeight="1">
      <c r="A28" s="404" t="s">
        <v>1313</v>
      </c>
      <c r="B28" s="600">
        <f>銷售費用!E18</f>
        <v>17701</v>
      </c>
      <c r="C28" s="600">
        <f>銷售費用!F18</f>
        <v>10962</v>
      </c>
      <c r="D28" s="600">
        <f>銷售費用!G18</f>
        <v>14270</v>
      </c>
      <c r="E28" s="600">
        <f>銷售費用!H18</f>
        <v>14710</v>
      </c>
      <c r="F28" s="600">
        <f>銷售費用!I18</f>
        <v>17659</v>
      </c>
      <c r="G28" s="600">
        <f>銷售費用!J18</f>
        <v>18979</v>
      </c>
      <c r="H28" s="600">
        <f>銷售費用!K18</f>
        <v>18905</v>
      </c>
      <c r="I28" s="600">
        <f>銷售費用!L18</f>
        <v>26442</v>
      </c>
      <c r="J28" s="600">
        <f>銷售費用!M18</f>
        <v>0</v>
      </c>
      <c r="K28" s="600">
        <f>銷售費用!N18</f>
        <v>0</v>
      </c>
      <c r="L28" s="600">
        <f>銷售費用!O18</f>
        <v>0</v>
      </c>
      <c r="M28" s="600">
        <f>銷售費用!P18</f>
        <v>0</v>
      </c>
      <c r="N28" s="961">
        <f t="shared" si="13"/>
        <v>0.51167695253272649</v>
      </c>
      <c r="O28" s="600">
        <f>管理費用!E18</f>
        <v>13011</v>
      </c>
      <c r="P28" s="600">
        <f>管理費用!F18</f>
        <v>8030</v>
      </c>
      <c r="Q28" s="600">
        <f>管理費用!G18</f>
        <v>10454</v>
      </c>
      <c r="R28" s="600">
        <f>管理費用!H18</f>
        <v>10776</v>
      </c>
      <c r="S28" s="600">
        <f>管理費用!I18</f>
        <v>12937</v>
      </c>
      <c r="T28" s="600">
        <f>管理費用!J18</f>
        <v>13205</v>
      </c>
      <c r="U28" s="600">
        <f>管理費用!K18</f>
        <v>13851</v>
      </c>
      <c r="V28" s="600">
        <f>管理費用!L18</f>
        <v>19372</v>
      </c>
      <c r="W28" s="600">
        <f>管理費用!M18</f>
        <v>0</v>
      </c>
      <c r="X28" s="600">
        <f>管理費用!N18</f>
        <v>0</v>
      </c>
      <c r="Y28" s="600">
        <f>管理費用!O18</f>
        <v>0</v>
      </c>
      <c r="Z28" s="600">
        <f>管理費用!P18</f>
        <v>0</v>
      </c>
      <c r="AA28" s="961">
        <f t="shared" si="14"/>
        <v>0.39595565502488622</v>
      </c>
      <c r="AB28" s="600">
        <f>研發費用!E17</f>
        <v>31288</v>
      </c>
      <c r="AC28" s="600">
        <f>研發費用!F17</f>
        <v>18992</v>
      </c>
      <c r="AD28" s="600">
        <f>研發費用!G17</f>
        <v>24722</v>
      </c>
      <c r="AE28" s="600">
        <f>研發費用!H17</f>
        <v>25486</v>
      </c>
      <c r="AF28" s="600">
        <f>研發費用!I17</f>
        <v>30596</v>
      </c>
      <c r="AG28" s="600">
        <f>研發費用!J17</f>
        <v>31234</v>
      </c>
      <c r="AH28" s="600">
        <f>研發費用!K17</f>
        <v>32754</v>
      </c>
      <c r="AI28" s="600">
        <f>研發費用!L17</f>
        <v>45814</v>
      </c>
      <c r="AJ28" s="600">
        <f>研發費用!M17</f>
        <v>0</v>
      </c>
      <c r="AK28" s="600">
        <f>研發費用!N17</f>
        <v>0</v>
      </c>
      <c r="AL28" s="600">
        <f>研發費用!O17</f>
        <v>0</v>
      </c>
      <c r="AM28" s="600">
        <f>研發費用!P17</f>
        <v>0</v>
      </c>
      <c r="AN28" s="960">
        <f t="shared" si="11"/>
        <v>1.034766433559364</v>
      </c>
      <c r="AO28" s="600">
        <f t="shared" si="15"/>
        <v>62000</v>
      </c>
      <c r="AP28" s="600">
        <f t="shared" si="12"/>
        <v>37984</v>
      </c>
      <c r="AQ28" s="600">
        <f t="shared" si="12"/>
        <v>49446</v>
      </c>
      <c r="AR28" s="600">
        <f t="shared" si="12"/>
        <v>50972</v>
      </c>
      <c r="AS28" s="600">
        <f t="shared" si="12"/>
        <v>61192</v>
      </c>
      <c r="AT28" s="600">
        <f t="shared" si="12"/>
        <v>63418</v>
      </c>
      <c r="AU28" s="600">
        <f t="shared" si="12"/>
        <v>65510</v>
      </c>
      <c r="AV28" s="600">
        <f t="shared" si="12"/>
        <v>91628</v>
      </c>
      <c r="AW28" s="600">
        <f t="shared" si="12"/>
        <v>0</v>
      </c>
      <c r="AX28" s="600">
        <f t="shared" si="12"/>
        <v>0</v>
      </c>
      <c r="AY28" s="600">
        <f t="shared" si="12"/>
        <v>0</v>
      </c>
      <c r="AZ28" s="600">
        <f t="shared" si="12"/>
        <v>0</v>
      </c>
      <c r="BA28" s="960">
        <f t="shared" si="16"/>
        <v>0.63244670760369692</v>
      </c>
      <c r="BB28" s="543">
        <f>製造費用明細!E26</f>
        <v>62134</v>
      </c>
      <c r="BC28" s="543">
        <f>製造費用明細!F26</f>
        <v>18389</v>
      </c>
      <c r="BD28" s="543">
        <f>製造費用明細!G26</f>
        <v>21035</v>
      </c>
      <c r="BE28" s="543">
        <f>製造費用明細!H26</f>
        <v>33734</v>
      </c>
      <c r="BF28" s="543">
        <f>製造費用明細!I26</f>
        <v>20689</v>
      </c>
      <c r="BG28" s="543">
        <f>製造費用明細!J26</f>
        <v>21271</v>
      </c>
      <c r="BH28" s="543">
        <f>製造費用明細!K26</f>
        <v>6217</v>
      </c>
      <c r="BI28" s="543">
        <f>製造費用明細!L26</f>
        <v>49570</v>
      </c>
      <c r="BJ28" s="543">
        <f>製造費用明細!M26</f>
        <v>0</v>
      </c>
      <c r="BK28" s="543">
        <f>製造費用明細!N26</f>
        <v>0</v>
      </c>
      <c r="BL28" s="543">
        <f>製造費用明細!O26</f>
        <v>0</v>
      </c>
      <c r="BM28" s="543">
        <f>製造費用明細!P26</f>
        <v>0</v>
      </c>
      <c r="BN28" s="963">
        <f t="shared" si="17"/>
        <v>0.20370676187180858</v>
      </c>
      <c r="BO28" s="600">
        <f t="shared" si="10"/>
        <v>124134</v>
      </c>
      <c r="BP28" s="600">
        <f t="shared" si="20"/>
        <v>56373</v>
      </c>
      <c r="BQ28" s="600">
        <f t="shared" si="21"/>
        <v>70481</v>
      </c>
      <c r="BR28" s="600">
        <f t="shared" si="22"/>
        <v>84706</v>
      </c>
      <c r="BS28" s="600">
        <f t="shared" si="22"/>
        <v>81881</v>
      </c>
      <c r="BT28" s="600">
        <f t="shared" si="23"/>
        <v>84689</v>
      </c>
      <c r="BU28" s="600">
        <f t="shared" si="24"/>
        <v>71727</v>
      </c>
      <c r="BV28" s="600">
        <f t="shared" si="25"/>
        <v>141198</v>
      </c>
      <c r="BW28" s="600">
        <f t="shared" si="26"/>
        <v>0</v>
      </c>
      <c r="BX28" s="600">
        <f t="shared" si="27"/>
        <v>0</v>
      </c>
      <c r="BY28" s="600">
        <f t="shared" si="28"/>
        <v>0</v>
      </c>
      <c r="BZ28" s="600">
        <f t="shared" si="29"/>
        <v>0</v>
      </c>
      <c r="CA28" s="961">
        <f t="shared" si="18"/>
        <v>0.53487213128054545</v>
      </c>
      <c r="CB28" s="600">
        <v>71727</v>
      </c>
      <c r="CC28" s="561">
        <f t="shared" si="19"/>
        <v>0.53487213128054545</v>
      </c>
      <c r="CD28" s="600"/>
    </row>
    <row r="29" spans="1:95" ht="15" customHeight="1">
      <c r="A29" s="404" t="s">
        <v>1315</v>
      </c>
      <c r="B29" s="600">
        <f>銷售費用!E19</f>
        <v>103517</v>
      </c>
      <c r="C29" s="600">
        <f>銷售費用!F19</f>
        <v>122908</v>
      </c>
      <c r="D29" s="600">
        <f>銷售費用!G19</f>
        <v>122347</v>
      </c>
      <c r="E29" s="600">
        <f>銷售費用!H19</f>
        <v>125238</v>
      </c>
      <c r="F29" s="600">
        <f>銷售費用!I19</f>
        <v>121879</v>
      </c>
      <c r="G29" s="600">
        <f>銷售費用!J19</f>
        <v>125170</v>
      </c>
      <c r="H29" s="600">
        <f>銷售費用!K19</f>
        <v>128998</v>
      </c>
      <c r="I29" s="600">
        <f>銷售費用!L19</f>
        <v>133537</v>
      </c>
      <c r="J29" s="600">
        <f>銷售費用!M19</f>
        <v>0</v>
      </c>
      <c r="K29" s="600">
        <f>銷售費用!N19</f>
        <v>0</v>
      </c>
      <c r="L29" s="600">
        <f>銷售費用!O19</f>
        <v>0</v>
      </c>
      <c r="M29" s="600">
        <f>銷售費用!P19</f>
        <v>0</v>
      </c>
      <c r="N29" s="961">
        <f t="shared" si="13"/>
        <v>3.4914204455338083</v>
      </c>
      <c r="O29" s="600">
        <f>管理費用!E19</f>
        <v>84268</v>
      </c>
      <c r="P29" s="600">
        <f>管理費用!F19</f>
        <v>86007</v>
      </c>
      <c r="Q29" s="600">
        <f>管理費用!G19</f>
        <v>87624</v>
      </c>
      <c r="R29" s="600">
        <f>管理費用!H19</f>
        <v>85735</v>
      </c>
      <c r="S29" s="600">
        <f>管理費用!I19</f>
        <v>85929</v>
      </c>
      <c r="T29" s="600">
        <f>管理費用!J19</f>
        <v>180151</v>
      </c>
      <c r="U29" s="600">
        <f>管理費用!K19</f>
        <v>101560</v>
      </c>
      <c r="V29" s="600">
        <f>管理費用!L19</f>
        <v>102144</v>
      </c>
      <c r="W29" s="600">
        <f>管理費用!M19</f>
        <v>0</v>
      </c>
      <c r="X29" s="600">
        <f>管理費用!N19</f>
        <v>0</v>
      </c>
      <c r="Y29" s="600">
        <f>管理費用!O19</f>
        <v>0</v>
      </c>
      <c r="Z29" s="600">
        <f>管理費用!P19</f>
        <v>0</v>
      </c>
      <c r="AA29" s="961">
        <f t="shared" si="14"/>
        <v>2.9032745884288098</v>
      </c>
      <c r="AB29" s="600">
        <f>研發費用!E18</f>
        <v>163587</v>
      </c>
      <c r="AC29" s="600">
        <f>研發費用!F18</f>
        <v>162864</v>
      </c>
      <c r="AD29" s="600">
        <f>研發費用!G18</f>
        <v>170709</v>
      </c>
      <c r="AE29" s="600">
        <f>研發費用!H18</f>
        <v>159277</v>
      </c>
      <c r="AF29" s="600">
        <f>研發費用!I18</f>
        <v>163810</v>
      </c>
      <c r="AG29" s="600">
        <f>研發費用!J18</f>
        <v>176515</v>
      </c>
      <c r="AH29" s="600">
        <f>研發費用!K18</f>
        <v>168942</v>
      </c>
      <c r="AI29" s="600">
        <f>研發費用!L18</f>
        <v>169278</v>
      </c>
      <c r="AJ29" s="600">
        <f>研發費用!M18</f>
        <v>0</v>
      </c>
      <c r="AK29" s="600">
        <f>研發費用!N18</f>
        <v>0</v>
      </c>
      <c r="AL29" s="600">
        <f>研發費用!O18</f>
        <v>0</v>
      </c>
      <c r="AM29" s="600">
        <f>研發費用!P18</f>
        <v>0</v>
      </c>
      <c r="AN29" s="960">
        <f t="shared" si="11"/>
        <v>5.3372263179576871</v>
      </c>
      <c r="AO29" s="600">
        <f t="shared" si="15"/>
        <v>351372</v>
      </c>
      <c r="AP29" s="600">
        <f t="shared" si="12"/>
        <v>371779</v>
      </c>
      <c r="AQ29" s="600">
        <f t="shared" si="12"/>
        <v>380680</v>
      </c>
      <c r="AR29" s="600">
        <f t="shared" si="12"/>
        <v>370250</v>
      </c>
      <c r="AS29" s="600">
        <f t="shared" si="12"/>
        <v>371618</v>
      </c>
      <c r="AT29" s="600">
        <f t="shared" si="12"/>
        <v>481836</v>
      </c>
      <c r="AU29" s="600">
        <f t="shared" si="12"/>
        <v>399500</v>
      </c>
      <c r="AV29" s="600">
        <f t="shared" si="12"/>
        <v>404959</v>
      </c>
      <c r="AW29" s="600">
        <f t="shared" si="12"/>
        <v>0</v>
      </c>
      <c r="AX29" s="600">
        <f t="shared" si="12"/>
        <v>0</v>
      </c>
      <c r="AY29" s="600">
        <f t="shared" si="12"/>
        <v>0</v>
      </c>
      <c r="AZ29" s="600">
        <f t="shared" si="12"/>
        <v>0</v>
      </c>
      <c r="BA29" s="960">
        <f t="shared" si="16"/>
        <v>3.8568533000713932</v>
      </c>
      <c r="BB29" s="543">
        <f>製造費用明細!E27</f>
        <v>91284</v>
      </c>
      <c r="BC29" s="543">
        <f>製造費用明細!F27</f>
        <v>98978</v>
      </c>
      <c r="BD29" s="543">
        <f>製造費用明細!G27</f>
        <v>97237</v>
      </c>
      <c r="BE29" s="543">
        <f>製造費用明細!H27</f>
        <v>100077</v>
      </c>
      <c r="BF29" s="543">
        <f>製造費用明細!I27</f>
        <v>100395</v>
      </c>
      <c r="BG29" s="543">
        <f>製造費用明細!J27</f>
        <v>104340</v>
      </c>
      <c r="BH29" s="543">
        <f>製造費用明細!K27</f>
        <v>101292</v>
      </c>
      <c r="BI29" s="543">
        <f>製造費用明細!L27</f>
        <v>101223</v>
      </c>
      <c r="BJ29" s="543">
        <f>製造費用明細!M27</f>
        <v>0</v>
      </c>
      <c r="BK29" s="543">
        <f>製造費用明細!N27</f>
        <v>0</v>
      </c>
      <c r="BL29" s="543">
        <f>製造費用明細!O27</f>
        <v>0</v>
      </c>
      <c r="BM29" s="543">
        <f>製造費用明細!P27</f>
        <v>0</v>
      </c>
      <c r="BN29" s="963">
        <f t="shared" si="17"/>
        <v>3.3189424679940864</v>
      </c>
      <c r="BO29" s="600">
        <f t="shared" si="10"/>
        <v>442656</v>
      </c>
      <c r="BP29" s="600">
        <f t="shared" si="20"/>
        <v>470757</v>
      </c>
      <c r="BQ29" s="600">
        <f t="shared" si="21"/>
        <v>477917</v>
      </c>
      <c r="BR29" s="600">
        <f t="shared" si="22"/>
        <v>470327</v>
      </c>
      <c r="BS29" s="600">
        <f t="shared" si="22"/>
        <v>472013</v>
      </c>
      <c r="BT29" s="600">
        <f t="shared" si="23"/>
        <v>586176</v>
      </c>
      <c r="BU29" s="600">
        <f t="shared" si="24"/>
        <v>500792</v>
      </c>
      <c r="BV29" s="600">
        <f t="shared" si="25"/>
        <v>506182</v>
      </c>
      <c r="BW29" s="600">
        <f t="shared" si="26"/>
        <v>0</v>
      </c>
      <c r="BX29" s="600">
        <f t="shared" si="27"/>
        <v>0</v>
      </c>
      <c r="BY29" s="600">
        <f t="shared" si="28"/>
        <v>0</v>
      </c>
      <c r="BZ29" s="600">
        <f t="shared" si="29"/>
        <v>0</v>
      </c>
      <c r="CA29" s="961">
        <f t="shared" si="18"/>
        <v>3.7344331195818441</v>
      </c>
      <c r="CB29" s="600">
        <v>500792</v>
      </c>
      <c r="CC29" s="561">
        <f t="shared" si="19"/>
        <v>3.7344331195818441</v>
      </c>
      <c r="CD29" s="600"/>
    </row>
    <row r="30" spans="1:95" ht="15" customHeight="1">
      <c r="A30" s="404" t="s">
        <v>1317</v>
      </c>
      <c r="B30" s="600">
        <f>銷售費用!E20</f>
        <v>1245</v>
      </c>
      <c r="C30" s="600">
        <f>銷售費用!F20</f>
        <v>4745</v>
      </c>
      <c r="D30" s="600">
        <f>銷售費用!G20</f>
        <v>101010</v>
      </c>
      <c r="E30" s="600">
        <f>銷售費用!H20</f>
        <v>84510</v>
      </c>
      <c r="F30" s="600">
        <f>銷售費用!I20</f>
        <v>35922</v>
      </c>
      <c r="G30" s="600">
        <f>銷售費用!J20</f>
        <v>163716</v>
      </c>
      <c r="H30" s="600">
        <f>銷售費用!K20</f>
        <v>46187</v>
      </c>
      <c r="I30" s="600">
        <f>銷售費用!L20</f>
        <v>45967</v>
      </c>
      <c r="J30" s="600">
        <f>銷售費用!M20</f>
        <v>0</v>
      </c>
      <c r="K30" s="600">
        <f>銷售費用!N20</f>
        <v>0</v>
      </c>
      <c r="L30" s="600">
        <f>銷售費用!O20</f>
        <v>0</v>
      </c>
      <c r="M30" s="600">
        <f>銷售費用!P20</f>
        <v>0</v>
      </c>
      <c r="N30" s="961">
        <f t="shared" si="13"/>
        <v>1.2500832270102638</v>
      </c>
      <c r="O30" s="600">
        <f>管理費用!E20</f>
        <v>6348</v>
      </c>
      <c r="P30" s="600">
        <f>管理費用!F20</f>
        <v>66029</v>
      </c>
      <c r="Q30" s="600">
        <f>管理費用!G20</f>
        <v>22100</v>
      </c>
      <c r="R30" s="600">
        <f>管理費用!H20</f>
        <v>6950</v>
      </c>
      <c r="S30" s="600">
        <f>管理費用!I20</f>
        <v>9367</v>
      </c>
      <c r="T30" s="600">
        <f>管理費用!J20</f>
        <v>10427</v>
      </c>
      <c r="U30" s="600">
        <f>管理費用!K20</f>
        <v>21335</v>
      </c>
      <c r="V30" s="600">
        <f>管理費用!L20</f>
        <v>4602</v>
      </c>
      <c r="W30" s="600">
        <f>管理費用!M20</f>
        <v>0</v>
      </c>
      <c r="X30" s="600">
        <f>管理費用!N20</f>
        <v>0</v>
      </c>
      <c r="Y30" s="600">
        <f>管理費用!O20</f>
        <v>0</v>
      </c>
      <c r="Z30" s="600">
        <f>管理費用!P20</f>
        <v>0</v>
      </c>
      <c r="AA30" s="961">
        <f t="shared" si="14"/>
        <v>0.60989920583033341</v>
      </c>
      <c r="AB30" s="600">
        <f>研發費用!E19</f>
        <v>0</v>
      </c>
      <c r="AC30" s="600">
        <f>研發費用!F19</f>
        <v>598</v>
      </c>
      <c r="AD30" s="600">
        <f>研發費用!G19</f>
        <v>9880</v>
      </c>
      <c r="AE30" s="600">
        <f>研發費用!H19</f>
        <v>0</v>
      </c>
      <c r="AF30" s="600">
        <f>研發費用!I19</f>
        <v>1942</v>
      </c>
      <c r="AG30" s="600">
        <f>研發費用!J19</f>
        <v>0</v>
      </c>
      <c r="AH30" s="600">
        <f>研發費用!K19</f>
        <v>0</v>
      </c>
      <c r="AI30" s="600">
        <f>研發費用!L19</f>
        <v>0</v>
      </c>
      <c r="AJ30" s="600">
        <f>研發費用!M19</f>
        <v>0</v>
      </c>
      <c r="AK30" s="600">
        <f>研發費用!N19</f>
        <v>0</v>
      </c>
      <c r="AL30" s="600">
        <f>研發費用!O19</f>
        <v>0</v>
      </c>
      <c r="AM30" s="600">
        <f>研發費用!P19</f>
        <v>0</v>
      </c>
      <c r="AN30" s="960">
        <f t="shared" si="11"/>
        <v>0</v>
      </c>
      <c r="AO30" s="600">
        <f t="shared" si="15"/>
        <v>7593</v>
      </c>
      <c r="AP30" s="600">
        <f t="shared" si="12"/>
        <v>71372</v>
      </c>
      <c r="AQ30" s="600">
        <f t="shared" si="12"/>
        <v>132990</v>
      </c>
      <c r="AR30" s="600">
        <f t="shared" si="12"/>
        <v>91460</v>
      </c>
      <c r="AS30" s="600">
        <f t="shared" si="12"/>
        <v>47231</v>
      </c>
      <c r="AT30" s="600">
        <f t="shared" si="12"/>
        <v>174143</v>
      </c>
      <c r="AU30" s="600">
        <f t="shared" si="12"/>
        <v>67522</v>
      </c>
      <c r="AV30" s="600">
        <f t="shared" si="12"/>
        <v>50569</v>
      </c>
      <c r="AW30" s="600">
        <f t="shared" si="12"/>
        <v>0</v>
      </c>
      <c r="AX30" s="600">
        <f t="shared" si="12"/>
        <v>0</v>
      </c>
      <c r="AY30" s="600">
        <f t="shared" si="12"/>
        <v>0</v>
      </c>
      <c r="AZ30" s="600">
        <f t="shared" si="12"/>
        <v>0</v>
      </c>
      <c r="BA30" s="960">
        <f t="shared" si="16"/>
        <v>0.6518709600185747</v>
      </c>
      <c r="BB30" s="543"/>
      <c r="BC30" s="543"/>
      <c r="BD30" s="543"/>
      <c r="BE30" s="543"/>
      <c r="BF30" s="543"/>
      <c r="BG30" s="543"/>
      <c r="BH30" s="543"/>
      <c r="BI30" s="543"/>
      <c r="BJ30" s="543"/>
      <c r="BK30" s="543"/>
      <c r="BL30" s="543"/>
      <c r="BM30" s="543"/>
      <c r="BN30" s="963">
        <f t="shared" si="17"/>
        <v>0</v>
      </c>
      <c r="BO30" s="600">
        <f t="shared" si="10"/>
        <v>7593</v>
      </c>
      <c r="BP30" s="600">
        <f t="shared" si="20"/>
        <v>71372</v>
      </c>
      <c r="BQ30" s="600">
        <f t="shared" si="21"/>
        <v>132990</v>
      </c>
      <c r="BR30" s="600">
        <f t="shared" si="22"/>
        <v>91460</v>
      </c>
      <c r="BS30" s="600">
        <f t="shared" si="22"/>
        <v>47231</v>
      </c>
      <c r="BT30" s="600">
        <f t="shared" si="23"/>
        <v>174143</v>
      </c>
      <c r="BU30" s="600">
        <f t="shared" si="24"/>
        <v>67522</v>
      </c>
      <c r="BV30" s="600">
        <f t="shared" si="25"/>
        <v>50569</v>
      </c>
      <c r="BW30" s="600">
        <f t="shared" si="26"/>
        <v>0</v>
      </c>
      <c r="BX30" s="600">
        <f t="shared" si="27"/>
        <v>0</v>
      </c>
      <c r="BY30" s="600">
        <f t="shared" si="28"/>
        <v>0</v>
      </c>
      <c r="BZ30" s="600">
        <f t="shared" si="29"/>
        <v>0</v>
      </c>
      <c r="CA30" s="961">
        <f t="shared" si="18"/>
        <v>0.50351521809534749</v>
      </c>
      <c r="CB30" s="600">
        <v>67522</v>
      </c>
      <c r="CC30" s="561">
        <f t="shared" si="19"/>
        <v>0.50351521809534749</v>
      </c>
      <c r="CD30" s="600"/>
    </row>
    <row r="31" spans="1:95" ht="15" customHeight="1">
      <c r="A31" s="404" t="s">
        <v>1319</v>
      </c>
      <c r="B31" s="600">
        <f>銷售費用!E21</f>
        <v>0</v>
      </c>
      <c r="C31" s="600">
        <f>銷售費用!F21</f>
        <v>0</v>
      </c>
      <c r="D31" s="600">
        <f>銷售費用!G21</f>
        <v>0</v>
      </c>
      <c r="E31" s="600">
        <f>銷售費用!H21</f>
        <v>0</v>
      </c>
      <c r="F31" s="600">
        <f>銷售費用!I21</f>
        <v>0</v>
      </c>
      <c r="G31" s="600">
        <f>銷售費用!J21</f>
        <v>0</v>
      </c>
      <c r="H31" s="600">
        <f>銷售費用!K21</f>
        <v>0</v>
      </c>
      <c r="I31" s="600">
        <f>銷售費用!L21</f>
        <v>0</v>
      </c>
      <c r="J31" s="600">
        <f>銷售費用!M21</f>
        <v>0</v>
      </c>
      <c r="K31" s="600">
        <f>銷售費用!N21</f>
        <v>0</v>
      </c>
      <c r="L31" s="600">
        <f>銷售費用!O21</f>
        <v>0</v>
      </c>
      <c r="M31" s="600">
        <f>銷售費用!P21</f>
        <v>0</v>
      </c>
      <c r="N31" s="961">
        <f t="shared" si="13"/>
        <v>0</v>
      </c>
      <c r="O31" s="600">
        <f>管理費用!E21</f>
        <v>0</v>
      </c>
      <c r="P31" s="600">
        <f>管理費用!F21</f>
        <v>0</v>
      </c>
      <c r="Q31" s="600">
        <f>管理費用!G21</f>
        <v>0</v>
      </c>
      <c r="R31" s="600">
        <f>管理費用!H21</f>
        <v>0</v>
      </c>
      <c r="S31" s="600">
        <f>管理費用!I21</f>
        <v>0</v>
      </c>
      <c r="T31" s="600">
        <f>管理費用!J21</f>
        <v>0</v>
      </c>
      <c r="U31" s="600">
        <f>管理費用!K21</f>
        <v>0</v>
      </c>
      <c r="V31" s="600">
        <f>管理費用!L21</f>
        <v>0</v>
      </c>
      <c r="W31" s="600">
        <f>管理費用!M21</f>
        <v>0</v>
      </c>
      <c r="X31" s="600">
        <f>管理費用!N21</f>
        <v>0</v>
      </c>
      <c r="Y31" s="600">
        <f>管理費用!O21</f>
        <v>0</v>
      </c>
      <c r="Z31" s="600">
        <f>管理費用!P21</f>
        <v>0</v>
      </c>
      <c r="AA31" s="961">
        <f t="shared" si="14"/>
        <v>0</v>
      </c>
      <c r="AB31" s="600">
        <f>研發費用!E20</f>
        <v>0</v>
      </c>
      <c r="AC31" s="600">
        <f>研發費用!F20</f>
        <v>0</v>
      </c>
      <c r="AD31" s="600">
        <f>研發費用!G20</f>
        <v>0</v>
      </c>
      <c r="AE31" s="600">
        <f>研發費用!H20</f>
        <v>0</v>
      </c>
      <c r="AF31" s="600">
        <f>研發費用!I20</f>
        <v>0</v>
      </c>
      <c r="AG31" s="600">
        <f>研發費用!J20</f>
        <v>0</v>
      </c>
      <c r="AH31" s="600">
        <f>研發費用!K20</f>
        <v>0</v>
      </c>
      <c r="AI31" s="600">
        <f>研發費用!L20</f>
        <v>0</v>
      </c>
      <c r="AJ31" s="600">
        <f>研發費用!M20</f>
        <v>0</v>
      </c>
      <c r="AK31" s="600">
        <f>研發費用!N20</f>
        <v>0</v>
      </c>
      <c r="AL31" s="600">
        <f>研發費用!O20</f>
        <v>0</v>
      </c>
      <c r="AM31" s="600">
        <f>研發費用!P20</f>
        <v>0</v>
      </c>
      <c r="AN31" s="960">
        <f t="shared" si="11"/>
        <v>0</v>
      </c>
      <c r="AO31" s="600">
        <f t="shared" si="15"/>
        <v>0</v>
      </c>
      <c r="AP31" s="600">
        <f t="shared" ref="AP31:AP52" si="30">C31+P31+AC31</f>
        <v>0</v>
      </c>
      <c r="AQ31" s="600">
        <f t="shared" ref="AQ31:AQ52" si="31">D31+Q31+AD31</f>
        <v>0</v>
      </c>
      <c r="AR31" s="600">
        <f t="shared" ref="AR31:AR52" si="32">E31+R31+AE31</f>
        <v>0</v>
      </c>
      <c r="AS31" s="600">
        <f t="shared" ref="AS31:AS52" si="33">F31+S31+AF31</f>
        <v>0</v>
      </c>
      <c r="AT31" s="600">
        <f t="shared" ref="AT31:AT52" si="34">G31+T31+AG31</f>
        <v>0</v>
      </c>
      <c r="AU31" s="600">
        <f t="shared" ref="AU31:AU52" si="35">H31+U31+AH31</f>
        <v>0</v>
      </c>
      <c r="AV31" s="600">
        <f t="shared" ref="AV31:AV52" si="36">I31+V31+AI31</f>
        <v>0</v>
      </c>
      <c r="AW31" s="600">
        <f t="shared" ref="AW31:AW51" si="37">J31+W31+AJ31</f>
        <v>0</v>
      </c>
      <c r="AX31" s="600">
        <f t="shared" ref="AX31:AX52" si="38">K31+X31+AK31</f>
        <v>0</v>
      </c>
      <c r="AY31" s="600">
        <f t="shared" ref="AY31:AY52" si="39">L31+Y31+AL31</f>
        <v>0</v>
      </c>
      <c r="AZ31" s="600">
        <f t="shared" ref="AZ31:AZ52" si="40">M31+Z31+AM31</f>
        <v>0</v>
      </c>
      <c r="BA31" s="960">
        <f t="shared" si="16"/>
        <v>0</v>
      </c>
      <c r="BB31" s="543"/>
      <c r="BC31" s="543"/>
      <c r="BD31" s="543"/>
      <c r="BE31" s="543"/>
      <c r="BF31" s="543"/>
      <c r="BG31" s="543"/>
      <c r="BH31" s="543"/>
      <c r="BI31" s="543"/>
      <c r="BJ31" s="543"/>
      <c r="BK31" s="543"/>
      <c r="BL31" s="543"/>
      <c r="BM31" s="543"/>
      <c r="BN31" s="963">
        <f t="shared" si="17"/>
        <v>0</v>
      </c>
      <c r="BO31" s="600">
        <f t="shared" si="10"/>
        <v>0</v>
      </c>
      <c r="BP31" s="600">
        <f t="shared" si="20"/>
        <v>0</v>
      </c>
      <c r="BQ31" s="600">
        <f t="shared" si="21"/>
        <v>0</v>
      </c>
      <c r="BR31" s="600">
        <f t="shared" si="22"/>
        <v>0</v>
      </c>
      <c r="BS31" s="600">
        <f t="shared" si="22"/>
        <v>0</v>
      </c>
      <c r="BT31" s="600">
        <f t="shared" si="23"/>
        <v>0</v>
      </c>
      <c r="BU31" s="600">
        <f t="shared" si="24"/>
        <v>0</v>
      </c>
      <c r="BV31" s="600">
        <f t="shared" si="25"/>
        <v>0</v>
      </c>
      <c r="BW31" s="600">
        <f t="shared" si="26"/>
        <v>0</v>
      </c>
      <c r="BX31" s="600">
        <f t="shared" si="27"/>
        <v>0</v>
      </c>
      <c r="BY31" s="600">
        <f t="shared" si="28"/>
        <v>0</v>
      </c>
      <c r="BZ31" s="600">
        <f t="shared" si="29"/>
        <v>0</v>
      </c>
      <c r="CA31" s="961">
        <f t="shared" si="18"/>
        <v>0</v>
      </c>
      <c r="CB31" s="600">
        <v>0</v>
      </c>
      <c r="CC31" s="561">
        <f t="shared" si="19"/>
        <v>0</v>
      </c>
      <c r="CD31" s="600"/>
    </row>
    <row r="32" spans="1:95" ht="15" customHeight="1">
      <c r="A32" s="404" t="s">
        <v>1477</v>
      </c>
      <c r="B32" s="600"/>
      <c r="C32" s="600"/>
      <c r="D32" s="600"/>
      <c r="E32" s="600"/>
      <c r="F32" s="600"/>
      <c r="G32" s="600"/>
      <c r="H32" s="600"/>
      <c r="I32" s="600"/>
      <c r="J32" s="600"/>
      <c r="K32" s="600"/>
      <c r="L32" s="600"/>
      <c r="M32" s="600"/>
      <c r="N32" s="961">
        <f t="shared" si="13"/>
        <v>0</v>
      </c>
      <c r="O32" s="600"/>
      <c r="P32" s="600"/>
      <c r="Q32" s="600"/>
      <c r="R32" s="600"/>
      <c r="S32" s="600"/>
      <c r="T32" s="600"/>
      <c r="U32" s="600"/>
      <c r="V32" s="600"/>
      <c r="W32" s="600"/>
      <c r="X32" s="600"/>
      <c r="Y32" s="600"/>
      <c r="Z32" s="600"/>
      <c r="AA32" s="961">
        <f t="shared" si="14"/>
        <v>0</v>
      </c>
      <c r="AB32" s="600"/>
      <c r="AC32" s="600"/>
      <c r="AD32" s="600"/>
      <c r="AE32" s="600"/>
      <c r="AF32" s="600"/>
      <c r="AG32" s="600"/>
      <c r="AH32" s="600"/>
      <c r="AI32" s="600"/>
      <c r="AJ32" s="600"/>
      <c r="AK32" s="600"/>
      <c r="AL32" s="600"/>
      <c r="AM32" s="600"/>
      <c r="AN32" s="960">
        <f t="shared" si="11"/>
        <v>0</v>
      </c>
      <c r="AO32" s="600">
        <f t="shared" si="15"/>
        <v>0</v>
      </c>
      <c r="AP32" s="600">
        <f t="shared" si="30"/>
        <v>0</v>
      </c>
      <c r="AQ32" s="600">
        <f t="shared" si="31"/>
        <v>0</v>
      </c>
      <c r="AR32" s="600">
        <f t="shared" si="32"/>
        <v>0</v>
      </c>
      <c r="AS32" s="600">
        <f t="shared" si="33"/>
        <v>0</v>
      </c>
      <c r="AT32" s="600">
        <f t="shared" si="34"/>
        <v>0</v>
      </c>
      <c r="AU32" s="600">
        <f t="shared" si="35"/>
        <v>0</v>
      </c>
      <c r="AV32" s="600">
        <f t="shared" si="36"/>
        <v>0</v>
      </c>
      <c r="AW32" s="600">
        <f t="shared" si="37"/>
        <v>0</v>
      </c>
      <c r="AX32" s="600">
        <f t="shared" si="38"/>
        <v>0</v>
      </c>
      <c r="AY32" s="600">
        <f t="shared" si="39"/>
        <v>0</v>
      </c>
      <c r="AZ32" s="600">
        <f t="shared" si="40"/>
        <v>0</v>
      </c>
      <c r="BA32" s="960">
        <f t="shared" si="16"/>
        <v>0</v>
      </c>
      <c r="BB32" s="543">
        <f>製造費用明細!E28</f>
        <v>0</v>
      </c>
      <c r="BC32" s="543">
        <f>製造費用明細!F28</f>
        <v>0</v>
      </c>
      <c r="BD32" s="543">
        <f>製造費用明細!G28</f>
        <v>0</v>
      </c>
      <c r="BE32" s="543">
        <f>製造費用明細!H28</f>
        <v>0</v>
      </c>
      <c r="BF32" s="543">
        <f>製造費用明細!I25</f>
        <v>8770</v>
      </c>
      <c r="BG32" s="543">
        <f>製造費用明細!J28</f>
        <v>0</v>
      </c>
      <c r="BH32" s="543">
        <f>製造費用明細!K28</f>
        <v>0</v>
      </c>
      <c r="BI32" s="543">
        <f>製造費用明細!L28</f>
        <v>0</v>
      </c>
      <c r="BJ32" s="543">
        <f>製造費用明細!M28</f>
        <v>0</v>
      </c>
      <c r="BK32" s="543">
        <f>製造費用明細!N28</f>
        <v>0</v>
      </c>
      <c r="BL32" s="543">
        <f>製造費用明細!O28</f>
        <v>0</v>
      </c>
      <c r="BM32" s="543">
        <f>製造費用明細!P28</f>
        <v>0</v>
      </c>
      <c r="BN32" s="963">
        <f t="shared" si="17"/>
        <v>0</v>
      </c>
      <c r="BO32" s="600">
        <f t="shared" si="10"/>
        <v>0</v>
      </c>
      <c r="BP32" s="600">
        <f t="shared" si="20"/>
        <v>0</v>
      </c>
      <c r="BQ32" s="600">
        <f t="shared" si="21"/>
        <v>0</v>
      </c>
      <c r="BR32" s="600">
        <f t="shared" si="22"/>
        <v>0</v>
      </c>
      <c r="BS32" s="600">
        <f t="shared" si="22"/>
        <v>8770</v>
      </c>
      <c r="BT32" s="600">
        <f t="shared" si="23"/>
        <v>0</v>
      </c>
      <c r="BU32" s="600">
        <f t="shared" si="24"/>
        <v>0</v>
      </c>
      <c r="BV32" s="600">
        <f t="shared" si="25"/>
        <v>0</v>
      </c>
      <c r="BW32" s="600">
        <f t="shared" si="26"/>
        <v>0</v>
      </c>
      <c r="BX32" s="600">
        <f t="shared" si="27"/>
        <v>0</v>
      </c>
      <c r="BY32" s="600">
        <f t="shared" si="28"/>
        <v>0</v>
      </c>
      <c r="BZ32" s="600">
        <f t="shared" si="29"/>
        <v>0</v>
      </c>
      <c r="CA32" s="961">
        <f t="shared" si="18"/>
        <v>0</v>
      </c>
      <c r="CB32" s="600">
        <v>0</v>
      </c>
      <c r="CC32" s="561">
        <f t="shared" si="19"/>
        <v>0</v>
      </c>
      <c r="CD32" s="600"/>
    </row>
    <row r="33" spans="1:82" ht="15" customHeight="1">
      <c r="A33" s="404" t="s">
        <v>1321</v>
      </c>
      <c r="B33" s="600">
        <f>銷售費用!E22</f>
        <v>0</v>
      </c>
      <c r="C33" s="600">
        <f>銷售費用!F22</f>
        <v>0</v>
      </c>
      <c r="D33" s="600">
        <f>銷售費用!G22</f>
        <v>0</v>
      </c>
      <c r="E33" s="600">
        <f>銷售費用!H22</f>
        <v>0</v>
      </c>
      <c r="F33" s="600">
        <f>銷售費用!I22</f>
        <v>0</v>
      </c>
      <c r="G33" s="600">
        <f>銷售費用!J22</f>
        <v>0</v>
      </c>
      <c r="H33" s="600">
        <f>銷售費用!K22</f>
        <v>0</v>
      </c>
      <c r="I33" s="600">
        <f>銷售費用!L22</f>
        <v>0</v>
      </c>
      <c r="J33" s="600">
        <f>銷售費用!M22</f>
        <v>0</v>
      </c>
      <c r="K33" s="600">
        <f>銷售費用!N22</f>
        <v>0</v>
      </c>
      <c r="L33" s="600">
        <f>銷售費用!O22</f>
        <v>0</v>
      </c>
      <c r="M33" s="600">
        <f>銷售費用!P22</f>
        <v>0</v>
      </c>
      <c r="N33" s="961">
        <f t="shared" si="13"/>
        <v>0</v>
      </c>
      <c r="O33" s="600">
        <f>管理費用!E22</f>
        <v>0</v>
      </c>
      <c r="P33" s="600">
        <f>管理費用!F22</f>
        <v>0</v>
      </c>
      <c r="Q33" s="600">
        <f>管理費用!G22</f>
        <v>0</v>
      </c>
      <c r="R33" s="600">
        <f>管理費用!H22</f>
        <v>0</v>
      </c>
      <c r="S33" s="600">
        <f>管理費用!I22</f>
        <v>193470</v>
      </c>
      <c r="T33" s="600">
        <f>管理費用!J22</f>
        <v>0</v>
      </c>
      <c r="U33" s="600">
        <f>管理費用!K22</f>
        <v>0</v>
      </c>
      <c r="V33" s="600">
        <f>管理費用!L22</f>
        <v>0</v>
      </c>
      <c r="W33" s="600">
        <f>管理費用!M22</f>
        <v>0</v>
      </c>
      <c r="X33" s="600">
        <f>管理費用!N22</f>
        <v>0</v>
      </c>
      <c r="Y33" s="600">
        <f>管理費用!O22</f>
        <v>0</v>
      </c>
      <c r="Z33" s="600">
        <f>管理費用!P22</f>
        <v>0</v>
      </c>
      <c r="AA33" s="961">
        <f t="shared" si="14"/>
        <v>0</v>
      </c>
      <c r="AB33" s="600">
        <f>研發費用!E21</f>
        <v>0</v>
      </c>
      <c r="AC33" s="600">
        <f>研發費用!F21</f>
        <v>0</v>
      </c>
      <c r="AD33" s="600">
        <f>研發費用!G21</f>
        <v>0</v>
      </c>
      <c r="AE33" s="600">
        <f>研發費用!H21</f>
        <v>0</v>
      </c>
      <c r="AF33" s="600">
        <f>研發費用!I21</f>
        <v>0</v>
      </c>
      <c r="AG33" s="600">
        <f>研發費用!J21</f>
        <v>0</v>
      </c>
      <c r="AH33" s="600">
        <f>研發費用!K21</f>
        <v>0</v>
      </c>
      <c r="AI33" s="600">
        <f>研發費用!L21</f>
        <v>0</v>
      </c>
      <c r="AJ33" s="600">
        <f>研發費用!M21</f>
        <v>0</v>
      </c>
      <c r="AK33" s="600">
        <f>研發費用!N21</f>
        <v>0</v>
      </c>
      <c r="AL33" s="600">
        <f>研發費用!O21</f>
        <v>0</v>
      </c>
      <c r="AM33" s="600">
        <f>研發費用!P21</f>
        <v>0</v>
      </c>
      <c r="AN33" s="960">
        <f t="shared" si="11"/>
        <v>0</v>
      </c>
      <c r="AO33" s="600">
        <f t="shared" si="15"/>
        <v>0</v>
      </c>
      <c r="AP33" s="600">
        <f t="shared" si="30"/>
        <v>0</v>
      </c>
      <c r="AQ33" s="600">
        <f t="shared" si="31"/>
        <v>0</v>
      </c>
      <c r="AR33" s="600">
        <f t="shared" si="32"/>
        <v>0</v>
      </c>
      <c r="AS33" s="600">
        <f t="shared" si="33"/>
        <v>193470</v>
      </c>
      <c r="AT33" s="600">
        <f t="shared" si="34"/>
        <v>0</v>
      </c>
      <c r="AU33" s="600">
        <f t="shared" si="35"/>
        <v>0</v>
      </c>
      <c r="AV33" s="600">
        <f t="shared" si="36"/>
        <v>0</v>
      </c>
      <c r="AW33" s="600">
        <f t="shared" si="37"/>
        <v>0</v>
      </c>
      <c r="AX33" s="600">
        <f t="shared" si="38"/>
        <v>0</v>
      </c>
      <c r="AY33" s="600">
        <f t="shared" si="39"/>
        <v>0</v>
      </c>
      <c r="AZ33" s="600">
        <f t="shared" si="40"/>
        <v>0</v>
      </c>
      <c r="BA33" s="960">
        <f t="shared" si="16"/>
        <v>0</v>
      </c>
      <c r="BB33" s="543">
        <f>製造費用明細!E29</f>
        <v>0</v>
      </c>
      <c r="BC33" s="543">
        <f>製造費用明細!F29</f>
        <v>0</v>
      </c>
      <c r="BD33" s="543">
        <f>製造費用明細!G29</f>
        <v>0</v>
      </c>
      <c r="BE33" s="543">
        <f>製造費用明細!H29</f>
        <v>0</v>
      </c>
      <c r="BF33" s="543">
        <v>0</v>
      </c>
      <c r="BG33" s="543">
        <f>製造費用明細!J29</f>
        <v>0</v>
      </c>
      <c r="BH33" s="543">
        <f>製造費用明細!K29</f>
        <v>0</v>
      </c>
      <c r="BI33" s="543">
        <f>製造費用明細!L29</f>
        <v>0</v>
      </c>
      <c r="BJ33" s="543">
        <f>製造費用明細!M29</f>
        <v>0</v>
      </c>
      <c r="BK33" s="543">
        <f>製造費用明細!N29</f>
        <v>0</v>
      </c>
      <c r="BL33" s="543">
        <f>製造費用明細!O29</f>
        <v>0</v>
      </c>
      <c r="BM33" s="543">
        <f>製造費用明細!P29</f>
        <v>0</v>
      </c>
      <c r="BN33" s="963">
        <f t="shared" si="17"/>
        <v>0</v>
      </c>
      <c r="BO33" s="600">
        <f t="shared" si="10"/>
        <v>0</v>
      </c>
      <c r="BP33" s="600">
        <f t="shared" si="20"/>
        <v>0</v>
      </c>
      <c r="BQ33" s="600">
        <f t="shared" si="21"/>
        <v>0</v>
      </c>
      <c r="BR33" s="600">
        <f t="shared" si="22"/>
        <v>0</v>
      </c>
      <c r="BS33" s="600">
        <f t="shared" si="22"/>
        <v>193470</v>
      </c>
      <c r="BT33" s="600">
        <f t="shared" si="23"/>
        <v>0</v>
      </c>
      <c r="BU33" s="600">
        <f t="shared" si="24"/>
        <v>0</v>
      </c>
      <c r="BV33" s="600">
        <f t="shared" si="25"/>
        <v>0</v>
      </c>
      <c r="BW33" s="600">
        <f t="shared" si="26"/>
        <v>0</v>
      </c>
      <c r="BX33" s="600">
        <f t="shared" si="27"/>
        <v>0</v>
      </c>
      <c r="BY33" s="600">
        <f t="shared" si="28"/>
        <v>0</v>
      </c>
      <c r="BZ33" s="600">
        <f t="shared" si="29"/>
        <v>0</v>
      </c>
      <c r="CA33" s="961">
        <f t="shared" si="18"/>
        <v>0</v>
      </c>
      <c r="CB33" s="600">
        <v>0</v>
      </c>
      <c r="CC33" s="561">
        <f t="shared" si="19"/>
        <v>0</v>
      </c>
      <c r="CD33" s="600"/>
    </row>
    <row r="34" spans="1:82" ht="15" customHeight="1">
      <c r="A34" s="404" t="s">
        <v>1373</v>
      </c>
      <c r="B34" s="600">
        <f>銷售費用!E23</f>
        <v>0</v>
      </c>
      <c r="C34" s="600">
        <f>銷售費用!F23</f>
        <v>-153329</v>
      </c>
      <c r="D34" s="600">
        <f>銷售費用!G23</f>
        <v>-419419</v>
      </c>
      <c r="E34" s="600">
        <f>銷售費用!H23</f>
        <v>5198</v>
      </c>
      <c r="F34" s="600">
        <f>銷售費用!I23</f>
        <v>-5198</v>
      </c>
      <c r="G34" s="600">
        <f>銷售費用!J23</f>
        <v>0</v>
      </c>
      <c r="H34" s="600">
        <f>銷售費用!K23</f>
        <v>0</v>
      </c>
      <c r="I34" s="600">
        <f>銷售費用!L23</f>
        <v>0</v>
      </c>
      <c r="J34" s="600">
        <f>銷售費用!M23</f>
        <v>0</v>
      </c>
      <c r="K34" s="600">
        <f>銷售費用!N23</f>
        <v>0</v>
      </c>
      <c r="L34" s="600">
        <f>銷售費用!O23</f>
        <v>0</v>
      </c>
      <c r="M34" s="600">
        <f>銷售費用!P23</f>
        <v>0</v>
      </c>
      <c r="N34" s="961">
        <f t="shared" si="13"/>
        <v>0</v>
      </c>
      <c r="O34" s="600">
        <f>管理費用!E23</f>
        <v>0</v>
      </c>
      <c r="P34" s="600">
        <f>管理費用!F23</f>
        <v>0</v>
      </c>
      <c r="Q34" s="600">
        <f>管理費用!G23</f>
        <v>0</v>
      </c>
      <c r="R34" s="600">
        <f>管理費用!H23</f>
        <v>0</v>
      </c>
      <c r="S34" s="600">
        <f>管理費用!I23</f>
        <v>0</v>
      </c>
      <c r="T34" s="600">
        <f>管理費用!J23</f>
        <v>0</v>
      </c>
      <c r="U34" s="600">
        <f>管理費用!K23</f>
        <v>0</v>
      </c>
      <c r="V34" s="600">
        <f>管理費用!L23</f>
        <v>0</v>
      </c>
      <c r="W34" s="600">
        <f>管理費用!M23</f>
        <v>0</v>
      </c>
      <c r="X34" s="600">
        <f>管理費用!N23</f>
        <v>0</v>
      </c>
      <c r="Y34" s="600">
        <f>管理費用!O23</f>
        <v>0</v>
      </c>
      <c r="Z34" s="600">
        <f>管理費用!P23</f>
        <v>0</v>
      </c>
      <c r="AA34" s="961">
        <f t="shared" si="14"/>
        <v>0</v>
      </c>
      <c r="AB34" s="600"/>
      <c r="AC34" s="600"/>
      <c r="AD34" s="600"/>
      <c r="AE34" s="600"/>
      <c r="AF34" s="600"/>
      <c r="AG34" s="600"/>
      <c r="AH34" s="600"/>
      <c r="AI34" s="600"/>
      <c r="AJ34" s="600"/>
      <c r="AK34" s="600"/>
      <c r="AL34" s="600"/>
      <c r="AM34" s="600"/>
      <c r="AN34" s="960">
        <f t="shared" si="11"/>
        <v>0</v>
      </c>
      <c r="AO34" s="600">
        <f t="shared" si="15"/>
        <v>0</v>
      </c>
      <c r="AP34" s="600">
        <f t="shared" si="30"/>
        <v>-153329</v>
      </c>
      <c r="AQ34" s="600">
        <f t="shared" si="31"/>
        <v>-419419</v>
      </c>
      <c r="AR34" s="600">
        <f t="shared" si="32"/>
        <v>5198</v>
      </c>
      <c r="AS34" s="600">
        <f t="shared" si="33"/>
        <v>-5198</v>
      </c>
      <c r="AT34" s="600">
        <f t="shared" si="34"/>
        <v>0</v>
      </c>
      <c r="AU34" s="600">
        <f t="shared" si="35"/>
        <v>0</v>
      </c>
      <c r="AV34" s="600">
        <f t="shared" si="36"/>
        <v>0</v>
      </c>
      <c r="AW34" s="600">
        <f t="shared" si="37"/>
        <v>0</v>
      </c>
      <c r="AX34" s="600">
        <f t="shared" si="38"/>
        <v>0</v>
      </c>
      <c r="AY34" s="600">
        <f t="shared" si="39"/>
        <v>0</v>
      </c>
      <c r="AZ34" s="600">
        <f t="shared" si="40"/>
        <v>0</v>
      </c>
      <c r="BA34" s="960">
        <f t="shared" si="16"/>
        <v>0</v>
      </c>
      <c r="BB34" s="543"/>
      <c r="BC34" s="543"/>
      <c r="BD34" s="543"/>
      <c r="BE34" s="543"/>
      <c r="BF34" s="543"/>
      <c r="BG34" s="543"/>
      <c r="BH34" s="543"/>
      <c r="BI34" s="543"/>
      <c r="BJ34" s="543"/>
      <c r="BK34" s="543"/>
      <c r="BL34" s="543"/>
      <c r="BM34" s="543"/>
      <c r="BN34" s="963">
        <f t="shared" si="17"/>
        <v>0</v>
      </c>
      <c r="BO34" s="600">
        <f t="shared" si="10"/>
        <v>0</v>
      </c>
      <c r="BP34" s="600">
        <f t="shared" si="20"/>
        <v>-153329</v>
      </c>
      <c r="BQ34" s="600">
        <f t="shared" si="21"/>
        <v>-419419</v>
      </c>
      <c r="BR34" s="600">
        <f t="shared" si="22"/>
        <v>5198</v>
      </c>
      <c r="BS34" s="600">
        <f t="shared" si="22"/>
        <v>-5198</v>
      </c>
      <c r="BT34" s="600">
        <f t="shared" si="23"/>
        <v>0</v>
      </c>
      <c r="BU34" s="600">
        <f t="shared" si="24"/>
        <v>0</v>
      </c>
      <c r="BV34" s="600">
        <f t="shared" si="25"/>
        <v>0</v>
      </c>
      <c r="BW34" s="600">
        <f t="shared" si="26"/>
        <v>0</v>
      </c>
      <c r="BX34" s="600">
        <f t="shared" si="27"/>
        <v>0</v>
      </c>
      <c r="BY34" s="600">
        <f t="shared" si="28"/>
        <v>0</v>
      </c>
      <c r="BZ34" s="600">
        <f t="shared" si="29"/>
        <v>0</v>
      </c>
      <c r="CA34" s="961">
        <f t="shared" si="18"/>
        <v>0</v>
      </c>
      <c r="CB34" s="600">
        <v>0</v>
      </c>
      <c r="CC34" s="561">
        <f t="shared" si="19"/>
        <v>0</v>
      </c>
      <c r="CD34" s="600"/>
    </row>
    <row r="35" spans="1:82" ht="15" customHeight="1">
      <c r="A35" s="404" t="s">
        <v>1375</v>
      </c>
      <c r="B35" s="600">
        <f>銷售費用!E24</f>
        <v>391</v>
      </c>
      <c r="C35" s="600">
        <f>銷售費用!F24</f>
        <v>392</v>
      </c>
      <c r="D35" s="600">
        <f>銷售費用!G24</f>
        <v>391</v>
      </c>
      <c r="E35" s="600">
        <f>銷售費用!H24</f>
        <v>392</v>
      </c>
      <c r="F35" s="600">
        <f>銷售費用!I24</f>
        <v>391</v>
      </c>
      <c r="G35" s="600">
        <f>銷售費用!J24</f>
        <v>392</v>
      </c>
      <c r="H35" s="600">
        <f>銷售費用!K24</f>
        <v>391</v>
      </c>
      <c r="I35" s="600">
        <f>銷售費用!L24</f>
        <v>392</v>
      </c>
      <c r="J35" s="600">
        <f>銷售費用!M24</f>
        <v>0</v>
      </c>
      <c r="K35" s="600">
        <f>銷售費用!N24</f>
        <v>0</v>
      </c>
      <c r="L35" s="600">
        <f>銷售費用!O24</f>
        <v>0</v>
      </c>
      <c r="M35" s="600">
        <f>銷售費用!P24</f>
        <v>0</v>
      </c>
      <c r="N35" s="961">
        <f t="shared" si="13"/>
        <v>1.0582686508346789E-2</v>
      </c>
      <c r="O35" s="600">
        <f>管理費用!E24</f>
        <v>35306</v>
      </c>
      <c r="P35" s="600">
        <f>管理費用!F24</f>
        <v>35299</v>
      </c>
      <c r="Q35" s="600">
        <f>管理費用!G24</f>
        <v>35306</v>
      </c>
      <c r="R35" s="600">
        <f>管理費用!H24</f>
        <v>35303</v>
      </c>
      <c r="S35" s="600">
        <f>管理費用!I24</f>
        <v>30705</v>
      </c>
      <c r="T35" s="600">
        <f>管理費用!J24</f>
        <v>30711</v>
      </c>
      <c r="U35" s="600">
        <f>管理費用!K24</f>
        <v>30705</v>
      </c>
      <c r="V35" s="600">
        <f>管理費用!L24</f>
        <v>30711</v>
      </c>
      <c r="W35" s="600">
        <f>管理費用!M24</f>
        <v>0</v>
      </c>
      <c r="X35" s="600">
        <f>管理費用!N24</f>
        <v>0</v>
      </c>
      <c r="Y35" s="600">
        <f>管理費用!O24</f>
        <v>0</v>
      </c>
      <c r="Z35" s="600">
        <f>管理費用!P24</f>
        <v>0</v>
      </c>
      <c r="AA35" s="961">
        <f t="shared" si="14"/>
        <v>0.87775744621609497</v>
      </c>
      <c r="AB35" s="600">
        <f>研發費用!E22</f>
        <v>116342</v>
      </c>
      <c r="AC35" s="600">
        <f>研發費用!F22</f>
        <v>116342</v>
      </c>
      <c r="AD35" s="600">
        <f>研發費用!G22</f>
        <v>116342</v>
      </c>
      <c r="AE35" s="600">
        <f>研發費用!H22</f>
        <v>116342</v>
      </c>
      <c r="AF35" s="600">
        <f>研發費用!I22</f>
        <v>116342</v>
      </c>
      <c r="AG35" s="600">
        <f>研發費用!J22</f>
        <v>116342</v>
      </c>
      <c r="AH35" s="600">
        <f>研發費用!K22</f>
        <v>116341</v>
      </c>
      <c r="AI35" s="600">
        <f>研發費用!L22</f>
        <v>116342</v>
      </c>
      <c r="AJ35" s="600">
        <f>研發費用!M22</f>
        <v>0</v>
      </c>
      <c r="AK35" s="600">
        <f>研發費用!N22</f>
        <v>0</v>
      </c>
      <c r="AL35" s="600">
        <f>研發費用!O22</f>
        <v>0</v>
      </c>
      <c r="AM35" s="600">
        <f>研發費用!P22</f>
        <v>0</v>
      </c>
      <c r="AN35" s="960">
        <f t="shared" si="11"/>
        <v>3.6754522087906811</v>
      </c>
      <c r="AO35" s="600">
        <f t="shared" si="15"/>
        <v>152039</v>
      </c>
      <c r="AP35" s="600">
        <f t="shared" si="30"/>
        <v>152033</v>
      </c>
      <c r="AQ35" s="600">
        <f t="shared" si="31"/>
        <v>152039</v>
      </c>
      <c r="AR35" s="600">
        <f t="shared" si="32"/>
        <v>152037</v>
      </c>
      <c r="AS35" s="600">
        <f t="shared" si="33"/>
        <v>147438</v>
      </c>
      <c r="AT35" s="600">
        <f t="shared" si="34"/>
        <v>147445</v>
      </c>
      <c r="AU35" s="600">
        <f t="shared" si="35"/>
        <v>147437</v>
      </c>
      <c r="AV35" s="600">
        <f t="shared" si="36"/>
        <v>147445</v>
      </c>
      <c r="AW35" s="600">
        <f t="shared" si="37"/>
        <v>0</v>
      </c>
      <c r="AX35" s="600">
        <f t="shared" si="38"/>
        <v>0</v>
      </c>
      <c r="AY35" s="600">
        <f t="shared" si="39"/>
        <v>0</v>
      </c>
      <c r="AZ35" s="600">
        <f t="shared" si="40"/>
        <v>0</v>
      </c>
      <c r="BA35" s="960">
        <f t="shared" si="16"/>
        <v>1.4233864330478747</v>
      </c>
      <c r="BB35" s="543">
        <f>製造費用明細!E30</f>
        <v>1405542</v>
      </c>
      <c r="BC35" s="543">
        <f>製造費用明細!F30</f>
        <v>1338009</v>
      </c>
      <c r="BD35" s="543">
        <f>製造費用明細!G30</f>
        <v>1301208</v>
      </c>
      <c r="BE35" s="543">
        <f>製造費用明細!H30</f>
        <v>1243846</v>
      </c>
      <c r="BF35" s="543">
        <f>製造費用明細!I30</f>
        <v>1185621</v>
      </c>
      <c r="BG35" s="543">
        <f>製造費用明細!J30</f>
        <v>1199295</v>
      </c>
      <c r="BH35" s="543">
        <f>製造費用明細!K30</f>
        <v>1131349</v>
      </c>
      <c r="BI35" s="543">
        <f>製造費用明細!L30</f>
        <v>992171</v>
      </c>
      <c r="BJ35" s="543">
        <f>製造費用明細!M30</f>
        <v>0</v>
      </c>
      <c r="BK35" s="543">
        <f>製造費用明細!N30</f>
        <v>0</v>
      </c>
      <c r="BL35" s="543">
        <f>製造費用明細!O30</f>
        <v>0</v>
      </c>
      <c r="BM35" s="543">
        <f>製造費用明細!P30</f>
        <v>0</v>
      </c>
      <c r="BN35" s="963">
        <f t="shared" si="17"/>
        <v>37.069879578077654</v>
      </c>
      <c r="BO35" s="600">
        <f t="shared" si="10"/>
        <v>1557581</v>
      </c>
      <c r="BP35" s="600">
        <f t="shared" si="20"/>
        <v>1490042</v>
      </c>
      <c r="BQ35" s="600">
        <f t="shared" si="21"/>
        <v>1453247</v>
      </c>
      <c r="BR35" s="600">
        <f t="shared" si="22"/>
        <v>1395883</v>
      </c>
      <c r="BS35" s="600">
        <f t="shared" si="22"/>
        <v>1333059</v>
      </c>
      <c r="BT35" s="600">
        <f t="shared" si="23"/>
        <v>1346740</v>
      </c>
      <c r="BU35" s="600">
        <f t="shared" si="24"/>
        <v>1278786</v>
      </c>
      <c r="BV35" s="600">
        <f t="shared" si="25"/>
        <v>1139616</v>
      </c>
      <c r="BW35" s="600">
        <f t="shared" si="26"/>
        <v>0</v>
      </c>
      <c r="BX35" s="600">
        <f t="shared" si="27"/>
        <v>0</v>
      </c>
      <c r="BY35" s="600">
        <f t="shared" si="28"/>
        <v>0</v>
      </c>
      <c r="BZ35" s="600">
        <f t="shared" si="29"/>
        <v>0</v>
      </c>
      <c r="CA35" s="961">
        <f t="shared" si="18"/>
        <v>9.5359765955877656</v>
      </c>
      <c r="CB35" s="600">
        <v>1278786</v>
      </c>
      <c r="CC35" s="561">
        <f t="shared" si="19"/>
        <v>9.5359765955877656</v>
      </c>
      <c r="CD35" s="600"/>
    </row>
    <row r="36" spans="1:82" ht="15" customHeight="1">
      <c r="A36" s="404" t="s">
        <v>1481</v>
      </c>
      <c r="B36" s="600">
        <f>銷售費用!E25</f>
        <v>3288</v>
      </c>
      <c r="C36" s="600">
        <f>銷售費用!F25</f>
        <v>3347</v>
      </c>
      <c r="D36" s="600">
        <f>銷售費用!G25</f>
        <v>3266</v>
      </c>
      <c r="E36" s="600">
        <f>銷售費用!H25</f>
        <v>3348</v>
      </c>
      <c r="F36" s="600">
        <f>銷售費用!I25</f>
        <v>3422</v>
      </c>
      <c r="G36" s="600">
        <f>銷售費用!J25</f>
        <v>3194</v>
      </c>
      <c r="H36" s="600">
        <f>銷售費用!K25</f>
        <v>3421</v>
      </c>
      <c r="I36" s="600">
        <f>銷售費用!L25</f>
        <v>3421</v>
      </c>
      <c r="J36" s="600">
        <f>銷售費用!M25</f>
        <v>0</v>
      </c>
      <c r="K36" s="600">
        <f>銷售費用!N25</f>
        <v>0</v>
      </c>
      <c r="L36" s="600">
        <f>銷售費用!O25</f>
        <v>0</v>
      </c>
      <c r="M36" s="600">
        <f>銷售費用!P25</f>
        <v>0</v>
      </c>
      <c r="N36" s="961">
        <f t="shared" si="13"/>
        <v>9.2591740524435723E-2</v>
      </c>
      <c r="O36" s="600">
        <f>管理費用!E25</f>
        <v>1221</v>
      </c>
      <c r="P36" s="600">
        <f>管理費用!F25</f>
        <v>1191</v>
      </c>
      <c r="Q36" s="600">
        <f>管理費用!G25</f>
        <v>1214</v>
      </c>
      <c r="R36" s="600">
        <f>管理費用!H25</f>
        <v>1191</v>
      </c>
      <c r="S36" s="600">
        <f>管理費用!I25</f>
        <v>1764</v>
      </c>
      <c r="T36" s="600">
        <f>管理費用!J25</f>
        <v>1757</v>
      </c>
      <c r="U36" s="600">
        <f>管理費用!K25</f>
        <v>1764</v>
      </c>
      <c r="V36" s="600">
        <f>管理費用!L25</f>
        <v>1764</v>
      </c>
      <c r="W36" s="600">
        <f>管理費用!M25</f>
        <v>0</v>
      </c>
      <c r="X36" s="600">
        <f>管理費用!N25</f>
        <v>0</v>
      </c>
      <c r="Y36" s="600">
        <f>管理費用!O25</f>
        <v>0</v>
      </c>
      <c r="Z36" s="600">
        <f>管理費用!P25</f>
        <v>0</v>
      </c>
      <c r="AA36" s="961">
        <f t="shared" si="14"/>
        <v>5.042710096483282E-2</v>
      </c>
      <c r="AB36" s="600">
        <f>研發費用!E23</f>
        <v>172176</v>
      </c>
      <c r="AC36" s="600">
        <f>研發費用!F23</f>
        <v>172184</v>
      </c>
      <c r="AD36" s="600">
        <f>研發費用!G23</f>
        <v>5920</v>
      </c>
      <c r="AE36" s="600">
        <f>研發費用!H23</f>
        <v>87715</v>
      </c>
      <c r="AF36" s="600">
        <f>研發費用!I23</f>
        <v>88318</v>
      </c>
      <c r="AG36" s="600">
        <f>研發費用!J23</f>
        <v>48409</v>
      </c>
      <c r="AH36" s="600">
        <f>研發費用!K23</f>
        <v>47806</v>
      </c>
      <c r="AI36" s="600">
        <f>研發費用!L23</f>
        <v>47802</v>
      </c>
      <c r="AJ36" s="600">
        <f>研發費用!M23</f>
        <v>0</v>
      </c>
      <c r="AK36" s="600">
        <f>研發費用!N23</f>
        <v>0</v>
      </c>
      <c r="AL36" s="600">
        <f>研發費用!O23</f>
        <v>0</v>
      </c>
      <c r="AM36" s="600">
        <f>研發費用!P23</f>
        <v>0</v>
      </c>
      <c r="AN36" s="960">
        <f t="shared" si="11"/>
        <v>1.5102901667808193</v>
      </c>
      <c r="AO36" s="600">
        <f t="shared" si="15"/>
        <v>176685</v>
      </c>
      <c r="AP36" s="600">
        <f t="shared" si="30"/>
        <v>176722</v>
      </c>
      <c r="AQ36" s="600">
        <f t="shared" si="31"/>
        <v>10400</v>
      </c>
      <c r="AR36" s="600">
        <f t="shared" si="32"/>
        <v>92254</v>
      </c>
      <c r="AS36" s="600">
        <f t="shared" si="33"/>
        <v>93504</v>
      </c>
      <c r="AT36" s="600">
        <f t="shared" si="34"/>
        <v>53360</v>
      </c>
      <c r="AU36" s="600">
        <f t="shared" si="35"/>
        <v>52991</v>
      </c>
      <c r="AV36" s="600">
        <f t="shared" si="36"/>
        <v>52987</v>
      </c>
      <c r="AW36" s="600">
        <f t="shared" si="37"/>
        <v>0</v>
      </c>
      <c r="AX36" s="600">
        <f t="shared" si="38"/>
        <v>0</v>
      </c>
      <c r="AY36" s="600">
        <f t="shared" si="39"/>
        <v>0</v>
      </c>
      <c r="AZ36" s="600">
        <f t="shared" si="40"/>
        <v>0</v>
      </c>
      <c r="BA36" s="960">
        <f t="shared" si="16"/>
        <v>0.51158576526679145</v>
      </c>
      <c r="BB36" s="543">
        <f>製造費用明細!E31</f>
        <v>40560</v>
      </c>
      <c r="BC36" s="543">
        <f>製造費用明細!F31</f>
        <v>40523</v>
      </c>
      <c r="BD36" s="543">
        <f>製造費用明細!G31</f>
        <v>31371</v>
      </c>
      <c r="BE36" s="543">
        <f>製造費用明細!H31</f>
        <v>36042</v>
      </c>
      <c r="BF36" s="543">
        <f>製造費用明細!I31</f>
        <v>35998</v>
      </c>
      <c r="BG36" s="543">
        <f>製造費用明細!J31</f>
        <v>30983</v>
      </c>
      <c r="BH36" s="543">
        <f>製造費用明細!K31</f>
        <v>30998</v>
      </c>
      <c r="BI36" s="543">
        <f>製造費用明細!L31</f>
        <v>44623</v>
      </c>
      <c r="BJ36" s="543">
        <f>製造費用明細!M31</f>
        <v>0</v>
      </c>
      <c r="BK36" s="543">
        <f>製造費用明細!N31</f>
        <v>0</v>
      </c>
      <c r="BL36" s="543">
        <f>製造費用明細!O31</f>
        <v>0</v>
      </c>
      <c r="BM36" s="543">
        <f>製造費用明細!P31</f>
        <v>0</v>
      </c>
      <c r="BN36" s="963">
        <f t="shared" si="17"/>
        <v>1.0156831598041376</v>
      </c>
      <c r="BO36" s="600">
        <f t="shared" si="10"/>
        <v>217245</v>
      </c>
      <c r="BP36" s="600">
        <f t="shared" si="20"/>
        <v>217245</v>
      </c>
      <c r="BQ36" s="600">
        <f t="shared" si="21"/>
        <v>41771</v>
      </c>
      <c r="BR36" s="600">
        <f t="shared" si="22"/>
        <v>128296</v>
      </c>
      <c r="BS36" s="600">
        <f t="shared" si="22"/>
        <v>129502</v>
      </c>
      <c r="BT36" s="600">
        <f t="shared" si="23"/>
        <v>84343</v>
      </c>
      <c r="BU36" s="600">
        <f t="shared" si="24"/>
        <v>83989</v>
      </c>
      <c r="BV36" s="600">
        <f t="shared" si="25"/>
        <v>97610</v>
      </c>
      <c r="BW36" s="600">
        <f t="shared" si="26"/>
        <v>0</v>
      </c>
      <c r="BX36" s="600">
        <f t="shared" si="27"/>
        <v>0</v>
      </c>
      <c r="BY36" s="600">
        <f t="shared" si="28"/>
        <v>0</v>
      </c>
      <c r="BZ36" s="600">
        <f t="shared" si="29"/>
        <v>0</v>
      </c>
      <c r="CA36" s="961">
        <f t="shared" si="18"/>
        <v>0.62631053068052112</v>
      </c>
      <c r="CB36" s="600">
        <v>83989</v>
      </c>
      <c r="CC36" s="561">
        <f t="shared" si="19"/>
        <v>0.62631053068052112</v>
      </c>
      <c r="CD36" s="600"/>
    </row>
    <row r="37" spans="1:82" ht="15" customHeight="1">
      <c r="A37" s="404" t="s">
        <v>1327</v>
      </c>
      <c r="B37" s="600">
        <f>銷售費用!E26</f>
        <v>27000</v>
      </c>
      <c r="C37" s="600">
        <f>銷售費用!F26</f>
        <v>30580</v>
      </c>
      <c r="D37" s="600">
        <f>銷售費用!G26</f>
        <v>30400</v>
      </c>
      <c r="E37" s="600">
        <f>銷售費用!H26</f>
        <v>31340</v>
      </c>
      <c r="F37" s="600">
        <f>銷售費用!I26</f>
        <v>28080</v>
      </c>
      <c r="G37" s="600">
        <f>銷售費用!J26</f>
        <v>29120</v>
      </c>
      <c r="H37" s="600">
        <f>銷售費用!K26</f>
        <v>30080</v>
      </c>
      <c r="I37" s="600">
        <f>銷售費用!L26</f>
        <v>31880</v>
      </c>
      <c r="J37" s="600">
        <f>銷售費用!M26</f>
        <v>0</v>
      </c>
      <c r="K37" s="600">
        <f>銷售費用!N26</f>
        <v>0</v>
      </c>
      <c r="L37" s="600">
        <f>銷售費用!O26</f>
        <v>0</v>
      </c>
      <c r="M37" s="600">
        <f>銷售費用!P26</f>
        <v>0</v>
      </c>
      <c r="N37" s="961">
        <f t="shared" si="13"/>
        <v>0.81413608739404464</v>
      </c>
      <c r="O37" s="600">
        <f>管理費用!E26</f>
        <v>19800</v>
      </c>
      <c r="P37" s="600">
        <f>管理費用!F26</f>
        <v>21080</v>
      </c>
      <c r="Q37" s="600">
        <f>管理費用!G26</f>
        <v>21080</v>
      </c>
      <c r="R37" s="600">
        <f>管理費用!H26</f>
        <v>19880</v>
      </c>
      <c r="S37" s="600">
        <f>管理費用!I26</f>
        <v>19800</v>
      </c>
      <c r="T37" s="600">
        <f>管理費用!J26</f>
        <v>20280</v>
      </c>
      <c r="U37" s="600">
        <f>管理費用!K26</f>
        <v>20520</v>
      </c>
      <c r="V37" s="600">
        <f>管理費用!L26</f>
        <v>19880</v>
      </c>
      <c r="W37" s="600">
        <f>管理費用!M26</f>
        <v>0</v>
      </c>
      <c r="X37" s="600">
        <f>管理費用!N26</f>
        <v>0</v>
      </c>
      <c r="Y37" s="600">
        <f>管理費用!O26</f>
        <v>0</v>
      </c>
      <c r="Z37" s="600">
        <f>管理費用!P26</f>
        <v>0</v>
      </c>
      <c r="AA37" s="961">
        <f t="shared" si="14"/>
        <v>0.5866009704072388</v>
      </c>
      <c r="AB37" s="600">
        <f>研發費用!E24</f>
        <v>45000</v>
      </c>
      <c r="AC37" s="600">
        <f>研發費用!F24</f>
        <v>49520</v>
      </c>
      <c r="AD37" s="600">
        <f>研發費用!G24</f>
        <v>53800</v>
      </c>
      <c r="AE37" s="600">
        <f>研發費用!H24</f>
        <v>48880</v>
      </c>
      <c r="AF37" s="600">
        <f>研發費用!I24</f>
        <v>45000</v>
      </c>
      <c r="AG37" s="600">
        <f>研發費用!J24</f>
        <v>50140</v>
      </c>
      <c r="AH37" s="600">
        <f>研發費用!K24</f>
        <v>52920</v>
      </c>
      <c r="AI37" s="600">
        <f>研發費用!L24</f>
        <v>49040</v>
      </c>
      <c r="AJ37" s="600">
        <f>研發費用!M24</f>
        <v>0</v>
      </c>
      <c r="AK37" s="600">
        <f>研發費用!N24</f>
        <v>0</v>
      </c>
      <c r="AL37" s="600">
        <f>研發費用!O24</f>
        <v>0</v>
      </c>
      <c r="AM37" s="600">
        <f>研發費用!P24</f>
        <v>0</v>
      </c>
      <c r="AN37" s="960">
        <f t="shared" si="11"/>
        <v>1.6718519772840428</v>
      </c>
      <c r="AO37" s="600">
        <f t="shared" si="15"/>
        <v>91800</v>
      </c>
      <c r="AP37" s="600">
        <f t="shared" si="30"/>
        <v>101180</v>
      </c>
      <c r="AQ37" s="600">
        <f t="shared" si="31"/>
        <v>105280</v>
      </c>
      <c r="AR37" s="600">
        <f t="shared" si="32"/>
        <v>100100</v>
      </c>
      <c r="AS37" s="600">
        <f t="shared" si="33"/>
        <v>92880</v>
      </c>
      <c r="AT37" s="600">
        <f t="shared" si="34"/>
        <v>99540</v>
      </c>
      <c r="AU37" s="600">
        <f t="shared" si="35"/>
        <v>103520</v>
      </c>
      <c r="AV37" s="600">
        <f t="shared" si="36"/>
        <v>100800</v>
      </c>
      <c r="AW37" s="600">
        <f t="shared" si="37"/>
        <v>0</v>
      </c>
      <c r="AX37" s="600">
        <f t="shared" si="38"/>
        <v>0</v>
      </c>
      <c r="AY37" s="600">
        <f t="shared" si="39"/>
        <v>0</v>
      </c>
      <c r="AZ37" s="600">
        <f t="shared" si="40"/>
        <v>0</v>
      </c>
      <c r="BA37" s="960">
        <f t="shared" si="16"/>
        <v>0.99940288766806151</v>
      </c>
      <c r="BB37" s="543">
        <f>製造費用明細!E32</f>
        <v>27000</v>
      </c>
      <c r="BC37" s="543">
        <f>製造費用明細!F32</f>
        <v>30680</v>
      </c>
      <c r="BD37" s="543">
        <f>製造費用明細!G32</f>
        <v>28960</v>
      </c>
      <c r="BE37" s="543">
        <f>製造費用明細!H32</f>
        <v>31080</v>
      </c>
      <c r="BF37" s="543">
        <f>製造費用明細!I32</f>
        <v>28800</v>
      </c>
      <c r="BG37" s="543">
        <f>製造費用明細!J32</f>
        <v>29920</v>
      </c>
      <c r="BH37" s="543">
        <f>製造費用明細!K32</f>
        <v>31520</v>
      </c>
      <c r="BI37" s="543">
        <f>製造費用明細!L32</f>
        <v>30320</v>
      </c>
      <c r="BJ37" s="543">
        <f>製造費用明細!M32</f>
        <v>0</v>
      </c>
      <c r="BK37" s="543">
        <f>製造費用明細!N32</f>
        <v>0</v>
      </c>
      <c r="BL37" s="543">
        <f>製造費用明細!O32</f>
        <v>0</v>
      </c>
      <c r="BM37" s="543">
        <f>製造費用明細!P32</f>
        <v>0</v>
      </c>
      <c r="BN37" s="963">
        <f t="shared" si="17"/>
        <v>1.0327870571335702</v>
      </c>
      <c r="BO37" s="600">
        <f t="shared" si="10"/>
        <v>118800</v>
      </c>
      <c r="BP37" s="600">
        <f t="shared" si="20"/>
        <v>131860</v>
      </c>
      <c r="BQ37" s="600">
        <f t="shared" si="21"/>
        <v>134240</v>
      </c>
      <c r="BR37" s="600">
        <f t="shared" si="22"/>
        <v>131180</v>
      </c>
      <c r="BS37" s="600">
        <f t="shared" si="22"/>
        <v>121680</v>
      </c>
      <c r="BT37" s="600">
        <f t="shared" si="23"/>
        <v>129460</v>
      </c>
      <c r="BU37" s="600">
        <f t="shared" si="24"/>
        <v>135040</v>
      </c>
      <c r="BV37" s="600">
        <f t="shared" si="25"/>
        <v>131120</v>
      </c>
      <c r="BW37" s="600">
        <f t="shared" si="26"/>
        <v>0</v>
      </c>
      <c r="BX37" s="600">
        <f t="shared" si="27"/>
        <v>0</v>
      </c>
      <c r="BY37" s="600">
        <f t="shared" si="28"/>
        <v>0</v>
      </c>
      <c r="BZ37" s="600">
        <f t="shared" si="29"/>
        <v>0</v>
      </c>
      <c r="CA37" s="961">
        <f t="shared" si="18"/>
        <v>1.0070006079736342</v>
      </c>
      <c r="CB37" s="600">
        <v>135040</v>
      </c>
      <c r="CC37" s="561">
        <f t="shared" si="19"/>
        <v>1.0070006079736342</v>
      </c>
      <c r="CD37" s="600"/>
    </row>
    <row r="38" spans="1:82" ht="15" customHeight="1">
      <c r="A38" s="404" t="s">
        <v>1329</v>
      </c>
      <c r="B38" s="600">
        <f>銷售費用!E27</f>
        <v>21907</v>
      </c>
      <c r="C38" s="600">
        <f>銷售費用!F27</f>
        <v>19903</v>
      </c>
      <c r="D38" s="600">
        <f>銷售費用!G27</f>
        <v>23364</v>
      </c>
      <c r="E38" s="600">
        <f>銷售費用!H27</f>
        <v>25308</v>
      </c>
      <c r="F38" s="600">
        <f>銷售費用!I27</f>
        <v>20848</v>
      </c>
      <c r="G38" s="600">
        <f>銷售費用!J27</f>
        <v>30012</v>
      </c>
      <c r="H38" s="600">
        <f>銷售費用!K27</f>
        <v>38443</v>
      </c>
      <c r="I38" s="600">
        <f>銷售費用!L27</f>
        <v>32141</v>
      </c>
      <c r="J38" s="600">
        <f>銷售費用!M27</f>
        <v>0</v>
      </c>
      <c r="K38" s="600">
        <f>銷售費用!N27</f>
        <v>0</v>
      </c>
      <c r="L38" s="600">
        <f>銷售費用!O27</f>
        <v>0</v>
      </c>
      <c r="M38" s="600">
        <f>銷售費用!P27</f>
        <v>0</v>
      </c>
      <c r="N38" s="961">
        <f t="shared" si="13"/>
        <v>1.0404864896173289</v>
      </c>
      <c r="O38" s="600">
        <f>管理費用!E27</f>
        <v>15062</v>
      </c>
      <c r="P38" s="600">
        <f>管理費用!F27</f>
        <v>12877</v>
      </c>
      <c r="Q38" s="600">
        <f>管理費用!G27</f>
        <v>16063</v>
      </c>
      <c r="R38" s="600">
        <f>管理費用!H27</f>
        <v>16374</v>
      </c>
      <c r="S38" s="600">
        <f>管理費用!I27</f>
        <v>12741</v>
      </c>
      <c r="T38" s="600">
        <f>管理費用!J27</f>
        <v>20632</v>
      </c>
      <c r="U38" s="600">
        <f>管理費用!K27</f>
        <v>23492</v>
      </c>
      <c r="V38" s="600">
        <f>管理費用!L27</f>
        <v>19641</v>
      </c>
      <c r="W38" s="600">
        <f>管理費用!M27</f>
        <v>0</v>
      </c>
      <c r="X38" s="600">
        <f>管理費用!N27</f>
        <v>0</v>
      </c>
      <c r="Y38" s="600">
        <f>管理費用!O27</f>
        <v>0</v>
      </c>
      <c r="Z38" s="600">
        <f>管理費用!P27</f>
        <v>0</v>
      </c>
      <c r="AA38" s="961">
        <f t="shared" si="14"/>
        <v>0.67156091602372592</v>
      </c>
      <c r="AB38" s="600">
        <f>研發費用!E25</f>
        <v>32862</v>
      </c>
      <c r="AC38" s="600">
        <f>研發費用!F25</f>
        <v>29267</v>
      </c>
      <c r="AD38" s="600">
        <f>研發費用!G25</f>
        <v>36507</v>
      </c>
      <c r="AE38" s="600">
        <f>研發費用!H25</f>
        <v>35725</v>
      </c>
      <c r="AF38" s="600">
        <f>研發費用!I25</f>
        <v>27801</v>
      </c>
      <c r="AG38" s="600">
        <f>研發費用!J25</f>
        <v>50645</v>
      </c>
      <c r="AH38" s="600">
        <f>研發費用!K25</f>
        <v>51256</v>
      </c>
      <c r="AI38" s="600">
        <f>研發費用!L25</f>
        <v>42851</v>
      </c>
      <c r="AJ38" s="600">
        <f>研發費用!M25</f>
        <v>0</v>
      </c>
      <c r="AK38" s="600">
        <f>研發費用!N25</f>
        <v>0</v>
      </c>
      <c r="AL38" s="600">
        <f>研發費用!O25</f>
        <v>0</v>
      </c>
      <c r="AM38" s="600">
        <f>研發費用!P25</f>
        <v>0</v>
      </c>
      <c r="AN38" s="960">
        <f t="shared" si="11"/>
        <v>1.6192827843475226</v>
      </c>
      <c r="AO38" s="600">
        <f t="shared" si="15"/>
        <v>69831</v>
      </c>
      <c r="AP38" s="600">
        <f t="shared" si="30"/>
        <v>62047</v>
      </c>
      <c r="AQ38" s="600">
        <f t="shared" si="31"/>
        <v>75934</v>
      </c>
      <c r="AR38" s="600">
        <f t="shared" si="32"/>
        <v>77407</v>
      </c>
      <c r="AS38" s="600">
        <f t="shared" si="33"/>
        <v>61390</v>
      </c>
      <c r="AT38" s="600">
        <f t="shared" si="34"/>
        <v>101289</v>
      </c>
      <c r="AU38" s="600">
        <f t="shared" si="35"/>
        <v>113191</v>
      </c>
      <c r="AV38" s="600">
        <f t="shared" si="36"/>
        <v>94633</v>
      </c>
      <c r="AW38" s="600">
        <f t="shared" si="37"/>
        <v>0</v>
      </c>
      <c r="AX38" s="600">
        <f t="shared" si="38"/>
        <v>0</v>
      </c>
      <c r="AY38" s="600">
        <f t="shared" si="39"/>
        <v>0</v>
      </c>
      <c r="AZ38" s="600">
        <f t="shared" si="40"/>
        <v>0</v>
      </c>
      <c r="BA38" s="960">
        <f t="shared" si="16"/>
        <v>1.0927686655528936</v>
      </c>
      <c r="BB38" s="543">
        <f>製造費用明細!E33</f>
        <v>20539</v>
      </c>
      <c r="BC38" s="543">
        <f>製造費用明細!F33</f>
        <v>17560</v>
      </c>
      <c r="BD38" s="543">
        <f>製造費用明細!G33</f>
        <v>21904</v>
      </c>
      <c r="BE38" s="543">
        <f>製造費用明細!H33</f>
        <v>23816</v>
      </c>
      <c r="BF38" s="543">
        <f>製造費用明細!I33</f>
        <v>18532</v>
      </c>
      <c r="BG38" s="543">
        <f>製造費用明細!J33</f>
        <v>30011</v>
      </c>
      <c r="BH38" s="543">
        <f>製造費用明細!K33</f>
        <v>34171</v>
      </c>
      <c r="BI38" s="543">
        <f>製造費用明細!L33</f>
        <v>28569</v>
      </c>
      <c r="BJ38" s="543">
        <f>製造費用明細!M33</f>
        <v>0</v>
      </c>
      <c r="BK38" s="543">
        <f>製造費用明細!N33</f>
        <v>0</v>
      </c>
      <c r="BL38" s="543">
        <f>製造費用明細!O33</f>
        <v>0</v>
      </c>
      <c r="BM38" s="543">
        <f>製造費用明細!P33</f>
        <v>0</v>
      </c>
      <c r="BN38" s="963">
        <f t="shared" si="17"/>
        <v>1.1196499533410924</v>
      </c>
      <c r="BO38" s="600">
        <f t="shared" si="10"/>
        <v>90370</v>
      </c>
      <c r="BP38" s="600">
        <f t="shared" si="20"/>
        <v>79607</v>
      </c>
      <c r="BQ38" s="600">
        <f t="shared" si="21"/>
        <v>97838</v>
      </c>
      <c r="BR38" s="600">
        <f t="shared" si="22"/>
        <v>101223</v>
      </c>
      <c r="BS38" s="600">
        <f t="shared" si="22"/>
        <v>79922</v>
      </c>
      <c r="BT38" s="600">
        <f t="shared" si="23"/>
        <v>131300</v>
      </c>
      <c r="BU38" s="600">
        <f t="shared" si="24"/>
        <v>147362</v>
      </c>
      <c r="BV38" s="600">
        <f t="shared" si="25"/>
        <v>123202</v>
      </c>
      <c r="BW38" s="600">
        <f t="shared" si="26"/>
        <v>0</v>
      </c>
      <c r="BX38" s="600">
        <f t="shared" si="27"/>
        <v>0</v>
      </c>
      <c r="BY38" s="600">
        <f t="shared" si="28"/>
        <v>0</v>
      </c>
      <c r="BZ38" s="600">
        <f t="shared" si="29"/>
        <v>0</v>
      </c>
      <c r="CA38" s="961">
        <f t="shared" si="18"/>
        <v>1.0988864306295223</v>
      </c>
      <c r="CB38" s="600">
        <v>147362</v>
      </c>
      <c r="CC38" s="561">
        <f t="shared" si="19"/>
        <v>1.0988864306295223</v>
      </c>
      <c r="CD38" s="600"/>
    </row>
    <row r="39" spans="1:82" ht="15" customHeight="1">
      <c r="A39" s="404" t="s">
        <v>1331</v>
      </c>
      <c r="B39" s="600"/>
      <c r="C39" s="600"/>
      <c r="D39" s="600"/>
      <c r="E39" s="600"/>
      <c r="F39" s="600"/>
      <c r="G39" s="600"/>
      <c r="H39" s="600"/>
      <c r="I39" s="600"/>
      <c r="J39" s="600"/>
      <c r="K39" s="600"/>
      <c r="L39" s="600"/>
      <c r="M39" s="600"/>
      <c r="N39" s="961">
        <f t="shared" si="13"/>
        <v>0</v>
      </c>
      <c r="O39" s="600"/>
      <c r="P39" s="600"/>
      <c r="Q39" s="600"/>
      <c r="R39" s="600"/>
      <c r="S39" s="600"/>
      <c r="T39" s="600"/>
      <c r="U39" s="600"/>
      <c r="V39" s="600"/>
      <c r="W39" s="600"/>
      <c r="X39" s="600"/>
      <c r="Y39" s="600"/>
      <c r="Z39" s="600"/>
      <c r="AA39" s="961">
        <f t="shared" si="14"/>
        <v>0</v>
      </c>
      <c r="AB39" s="600">
        <f>研發費用!E26</f>
        <v>29800</v>
      </c>
      <c r="AC39" s="600">
        <f>研發費用!F26</f>
        <v>32137</v>
      </c>
      <c r="AD39" s="600">
        <f>研發費用!G26</f>
        <v>295681</v>
      </c>
      <c r="AE39" s="600">
        <f>研發費用!H26</f>
        <v>533230</v>
      </c>
      <c r="AF39" s="600">
        <f>研發費用!I26</f>
        <v>32680</v>
      </c>
      <c r="AG39" s="600">
        <f>研發費用!J26</f>
        <v>207816</v>
      </c>
      <c r="AH39" s="600">
        <f>研發費用!K26</f>
        <v>180000</v>
      </c>
      <c r="AI39" s="600">
        <f>研發費用!L26</f>
        <v>478148</v>
      </c>
      <c r="AJ39" s="600">
        <f>研發費用!M26</f>
        <v>0</v>
      </c>
      <c r="AK39" s="600">
        <f>研發費用!N26</f>
        <v>0</v>
      </c>
      <c r="AL39" s="600">
        <f>研發費用!O26</f>
        <v>0</v>
      </c>
      <c r="AM39" s="600">
        <f>研發費用!P26</f>
        <v>0</v>
      </c>
      <c r="AN39" s="960">
        <f t="shared" si="11"/>
        <v>5.6865713513062683</v>
      </c>
      <c r="AO39" s="600">
        <f t="shared" si="15"/>
        <v>29800</v>
      </c>
      <c r="AP39" s="600">
        <f t="shared" si="30"/>
        <v>32137</v>
      </c>
      <c r="AQ39" s="600">
        <f t="shared" si="31"/>
        <v>295681</v>
      </c>
      <c r="AR39" s="600">
        <f t="shared" si="32"/>
        <v>533230</v>
      </c>
      <c r="AS39" s="600">
        <f t="shared" si="33"/>
        <v>32680</v>
      </c>
      <c r="AT39" s="600">
        <f t="shared" si="34"/>
        <v>207816</v>
      </c>
      <c r="AU39" s="600">
        <f t="shared" si="35"/>
        <v>180000</v>
      </c>
      <c r="AV39" s="600">
        <f t="shared" si="36"/>
        <v>478148</v>
      </c>
      <c r="AW39" s="600">
        <f t="shared" si="37"/>
        <v>0</v>
      </c>
      <c r="AX39" s="600">
        <f t="shared" si="38"/>
        <v>0</v>
      </c>
      <c r="AY39" s="600">
        <f t="shared" si="39"/>
        <v>0</v>
      </c>
      <c r="AZ39" s="600">
        <f t="shared" si="40"/>
        <v>0</v>
      </c>
      <c r="BA39" s="960">
        <f t="shared" si="16"/>
        <v>1.7377561802574486</v>
      </c>
      <c r="BB39" s="543"/>
      <c r="BC39" s="543"/>
      <c r="BD39" s="543"/>
      <c r="BE39" s="543"/>
      <c r="BF39" s="543"/>
      <c r="BG39" s="543"/>
      <c r="BH39" s="543"/>
      <c r="BI39" s="543"/>
      <c r="BJ39" s="543"/>
      <c r="BK39" s="543"/>
      <c r="BL39" s="543"/>
      <c r="BM39" s="543"/>
      <c r="BN39" s="963">
        <f t="shared" si="17"/>
        <v>0</v>
      </c>
      <c r="BO39" s="600">
        <f t="shared" si="10"/>
        <v>29800</v>
      </c>
      <c r="BP39" s="600">
        <f t="shared" si="20"/>
        <v>32137</v>
      </c>
      <c r="BQ39" s="600">
        <f t="shared" si="21"/>
        <v>295681</v>
      </c>
      <c r="BR39" s="600">
        <f t="shared" si="22"/>
        <v>533230</v>
      </c>
      <c r="BS39" s="600">
        <f t="shared" si="22"/>
        <v>32680</v>
      </c>
      <c r="BT39" s="600">
        <f t="shared" si="23"/>
        <v>207816</v>
      </c>
      <c r="BU39" s="600">
        <f t="shared" si="24"/>
        <v>180000</v>
      </c>
      <c r="BV39" s="600">
        <f t="shared" si="25"/>
        <v>478148</v>
      </c>
      <c r="BW39" s="600">
        <f t="shared" si="26"/>
        <v>0</v>
      </c>
      <c r="BX39" s="600">
        <f t="shared" si="27"/>
        <v>0</v>
      </c>
      <c r="BY39" s="600">
        <f t="shared" si="28"/>
        <v>0</v>
      </c>
      <c r="BZ39" s="600">
        <f t="shared" si="29"/>
        <v>0</v>
      </c>
      <c r="CA39" s="961">
        <f t="shared" si="18"/>
        <v>1.3422697677373678</v>
      </c>
      <c r="CB39" s="600">
        <v>180000</v>
      </c>
      <c r="CC39" s="561">
        <f t="shared" si="19"/>
        <v>1.3422697677373678</v>
      </c>
      <c r="CD39" s="600"/>
    </row>
    <row r="40" spans="1:82" ht="15" customHeight="1">
      <c r="A40" s="404" t="s">
        <v>1421</v>
      </c>
      <c r="B40" s="600">
        <f>銷售費用!E28</f>
        <v>0</v>
      </c>
      <c r="C40" s="600">
        <f>銷售費用!F28</f>
        <v>294658</v>
      </c>
      <c r="D40" s="600">
        <f>銷售費用!G28</f>
        <v>0</v>
      </c>
      <c r="E40" s="600">
        <f>銷售費用!H28</f>
        <v>52383</v>
      </c>
      <c r="F40" s="600">
        <f>銷售費用!I28</f>
        <v>231552</v>
      </c>
      <c r="G40" s="600">
        <f>銷售費用!J28</f>
        <v>0</v>
      </c>
      <c r="H40" s="600">
        <f>銷售費用!K28</f>
        <v>293885</v>
      </c>
      <c r="I40" s="600">
        <f>銷售費用!L28</f>
        <v>12080</v>
      </c>
      <c r="J40" s="600">
        <f>銷售費用!M28</f>
        <v>0</v>
      </c>
      <c r="K40" s="600">
        <f>銷售費用!N28</f>
        <v>0</v>
      </c>
      <c r="L40" s="600">
        <f>銷售費用!O28</f>
        <v>0</v>
      </c>
      <c r="M40" s="600">
        <f>銷售費用!P28</f>
        <v>0</v>
      </c>
      <c r="N40" s="961">
        <f t="shared" si="13"/>
        <v>7.9542015972007576</v>
      </c>
      <c r="O40" s="600"/>
      <c r="P40" s="600"/>
      <c r="Q40" s="600"/>
      <c r="R40" s="600"/>
      <c r="S40" s="600"/>
      <c r="T40" s="600"/>
      <c r="U40" s="600"/>
      <c r="V40" s="600"/>
      <c r="W40" s="600"/>
      <c r="X40" s="600"/>
      <c r="Y40" s="600"/>
      <c r="Z40" s="600"/>
      <c r="AA40" s="961">
        <f t="shared" si="14"/>
        <v>0</v>
      </c>
      <c r="AB40" s="600"/>
      <c r="AC40" s="600"/>
      <c r="AD40" s="600"/>
      <c r="AE40" s="600"/>
      <c r="AF40" s="600"/>
      <c r="AG40" s="600"/>
      <c r="AH40" s="600"/>
      <c r="AI40" s="600"/>
      <c r="AJ40" s="600"/>
      <c r="AK40" s="600"/>
      <c r="AL40" s="600"/>
      <c r="AM40" s="600"/>
      <c r="AN40" s="960">
        <f t="shared" si="11"/>
        <v>0</v>
      </c>
      <c r="AO40" s="600">
        <f t="shared" si="15"/>
        <v>0</v>
      </c>
      <c r="AP40" s="600">
        <f t="shared" si="30"/>
        <v>294658</v>
      </c>
      <c r="AQ40" s="600">
        <f t="shared" si="31"/>
        <v>0</v>
      </c>
      <c r="AR40" s="600">
        <f t="shared" si="32"/>
        <v>52383</v>
      </c>
      <c r="AS40" s="600">
        <f t="shared" si="33"/>
        <v>231552</v>
      </c>
      <c r="AT40" s="600">
        <f t="shared" si="34"/>
        <v>0</v>
      </c>
      <c r="AU40" s="600">
        <f t="shared" si="35"/>
        <v>293885</v>
      </c>
      <c r="AV40" s="600">
        <f t="shared" si="36"/>
        <v>12080</v>
      </c>
      <c r="AW40" s="600">
        <f t="shared" si="37"/>
        <v>0</v>
      </c>
      <c r="AX40" s="600">
        <f t="shared" si="38"/>
        <v>0</v>
      </c>
      <c r="AY40" s="600">
        <f t="shared" si="39"/>
        <v>0</v>
      </c>
      <c r="AZ40" s="600">
        <f t="shared" si="40"/>
        <v>0</v>
      </c>
      <c r="BA40" s="960">
        <f t="shared" si="16"/>
        <v>2.837224861305335</v>
      </c>
      <c r="BB40" s="543"/>
      <c r="BC40" s="543"/>
      <c r="BD40" s="543"/>
      <c r="BE40" s="543"/>
      <c r="BF40" s="543"/>
      <c r="BG40" s="543"/>
      <c r="BH40" s="543"/>
      <c r="BI40" s="543"/>
      <c r="BJ40" s="543"/>
      <c r="BK40" s="543"/>
      <c r="BL40" s="543"/>
      <c r="BM40" s="543"/>
      <c r="BN40" s="963">
        <f t="shared" si="17"/>
        <v>0</v>
      </c>
      <c r="BO40" s="600">
        <f t="shared" si="10"/>
        <v>0</v>
      </c>
      <c r="BP40" s="600">
        <f t="shared" si="20"/>
        <v>294658</v>
      </c>
      <c r="BQ40" s="600">
        <f t="shared" si="21"/>
        <v>0</v>
      </c>
      <c r="BR40" s="600">
        <f t="shared" si="22"/>
        <v>52383</v>
      </c>
      <c r="BS40" s="600">
        <f t="shared" si="22"/>
        <v>231552</v>
      </c>
      <c r="BT40" s="600">
        <f t="shared" si="23"/>
        <v>0</v>
      </c>
      <c r="BU40" s="600">
        <f t="shared" si="24"/>
        <v>293885</v>
      </c>
      <c r="BV40" s="600">
        <f t="shared" si="25"/>
        <v>12080</v>
      </c>
      <c r="BW40" s="600">
        <f t="shared" si="26"/>
        <v>0</v>
      </c>
      <c r="BX40" s="600">
        <f t="shared" si="27"/>
        <v>0</v>
      </c>
      <c r="BY40" s="600">
        <f t="shared" si="28"/>
        <v>0</v>
      </c>
      <c r="BZ40" s="600">
        <f t="shared" si="29"/>
        <v>0</v>
      </c>
      <c r="CA40" s="961">
        <f t="shared" si="18"/>
        <v>2.1915163927305357</v>
      </c>
      <c r="CB40" s="600">
        <v>293885</v>
      </c>
      <c r="CC40" s="561">
        <f t="shared" si="19"/>
        <v>2.1915163927305357</v>
      </c>
      <c r="CD40" s="600"/>
    </row>
    <row r="41" spans="1:82" ht="15" customHeight="1">
      <c r="A41" s="404" t="s">
        <v>1333</v>
      </c>
      <c r="B41" s="600">
        <f>銷售費用!E29</f>
        <v>0</v>
      </c>
      <c r="C41" s="600">
        <f>銷售費用!F29</f>
        <v>0</v>
      </c>
      <c r="D41" s="600">
        <f>銷售費用!G29</f>
        <v>0</v>
      </c>
      <c r="E41" s="600">
        <f>銷售費用!H29</f>
        <v>0</v>
      </c>
      <c r="F41" s="600">
        <f>銷售費用!I29</f>
        <v>0</v>
      </c>
      <c r="G41" s="600">
        <f>銷售費用!J29</f>
        <v>0</v>
      </c>
      <c r="H41" s="600">
        <f>銷售費用!K29</f>
        <v>0</v>
      </c>
      <c r="I41" s="600">
        <f>銷售費用!L29</f>
        <v>0</v>
      </c>
      <c r="J41" s="600">
        <f>銷售費用!M29</f>
        <v>0</v>
      </c>
      <c r="K41" s="600">
        <f>銷售費用!N29</f>
        <v>0</v>
      </c>
      <c r="L41" s="600">
        <f>銷售費用!O29</f>
        <v>0</v>
      </c>
      <c r="M41" s="600">
        <f>銷售費用!P29</f>
        <v>0</v>
      </c>
      <c r="N41" s="961">
        <f t="shared" si="13"/>
        <v>0</v>
      </c>
      <c r="O41" s="600">
        <f>管理費用!E29</f>
        <v>0</v>
      </c>
      <c r="P41" s="600">
        <f>管理費用!F29</f>
        <v>0</v>
      </c>
      <c r="Q41" s="600">
        <f>管理費用!G29</f>
        <v>0</v>
      </c>
      <c r="R41" s="600">
        <f>管理費用!H29</f>
        <v>0</v>
      </c>
      <c r="S41" s="600">
        <f>管理費用!I29</f>
        <v>0</v>
      </c>
      <c r="T41" s="600">
        <f>管理費用!J29</f>
        <v>0</v>
      </c>
      <c r="U41" s="600">
        <f>管理費用!K29</f>
        <v>0</v>
      </c>
      <c r="V41" s="600">
        <f>管理費用!L29</f>
        <v>0</v>
      </c>
      <c r="W41" s="600">
        <f>管理費用!M29</f>
        <v>0</v>
      </c>
      <c r="X41" s="600">
        <f>管理費用!N29</f>
        <v>0</v>
      </c>
      <c r="Y41" s="600">
        <f>管理費用!O29</f>
        <v>0</v>
      </c>
      <c r="Z41" s="600">
        <f>管理費用!P29</f>
        <v>0</v>
      </c>
      <c r="AA41" s="961">
        <f t="shared" si="14"/>
        <v>0</v>
      </c>
      <c r="AB41" s="600">
        <f>研發費用!E27</f>
        <v>0</v>
      </c>
      <c r="AC41" s="600">
        <f>研發費用!F27</f>
        <v>0</v>
      </c>
      <c r="AD41" s="600">
        <f>研發費用!G27</f>
        <v>0</v>
      </c>
      <c r="AE41" s="600">
        <f>研發費用!H27</f>
        <v>0</v>
      </c>
      <c r="AF41" s="600">
        <f>研發費用!I27</f>
        <v>0</v>
      </c>
      <c r="AG41" s="600">
        <f>研發費用!J27</f>
        <v>0</v>
      </c>
      <c r="AH41" s="600">
        <f>研發費用!K27</f>
        <v>0</v>
      </c>
      <c r="AI41" s="600">
        <f>研發費用!L27</f>
        <v>0</v>
      </c>
      <c r="AJ41" s="600">
        <f>研發費用!M27</f>
        <v>0</v>
      </c>
      <c r="AK41" s="600">
        <f>研發費用!N27</f>
        <v>0</v>
      </c>
      <c r="AL41" s="600">
        <f>研發費用!O27</f>
        <v>0</v>
      </c>
      <c r="AM41" s="600">
        <f>研發費用!P27</f>
        <v>0</v>
      </c>
      <c r="AN41" s="960">
        <f t="shared" si="11"/>
        <v>0</v>
      </c>
      <c r="AO41" s="600">
        <f t="shared" si="15"/>
        <v>0</v>
      </c>
      <c r="AP41" s="600">
        <f t="shared" si="30"/>
        <v>0</v>
      </c>
      <c r="AQ41" s="600">
        <f t="shared" si="31"/>
        <v>0</v>
      </c>
      <c r="AR41" s="600">
        <f t="shared" si="32"/>
        <v>0</v>
      </c>
      <c r="AS41" s="600">
        <f t="shared" si="33"/>
        <v>0</v>
      </c>
      <c r="AT41" s="600">
        <f t="shared" si="34"/>
        <v>0</v>
      </c>
      <c r="AU41" s="600">
        <f t="shared" si="35"/>
        <v>0</v>
      </c>
      <c r="AV41" s="600">
        <f t="shared" si="36"/>
        <v>0</v>
      </c>
      <c r="AW41" s="600">
        <f t="shared" si="37"/>
        <v>0</v>
      </c>
      <c r="AX41" s="600">
        <f t="shared" si="38"/>
        <v>0</v>
      </c>
      <c r="AY41" s="600">
        <f t="shared" si="39"/>
        <v>0</v>
      </c>
      <c r="AZ41" s="600">
        <f t="shared" si="40"/>
        <v>0</v>
      </c>
      <c r="BA41" s="960">
        <f t="shared" si="16"/>
        <v>0</v>
      </c>
      <c r="BB41" s="543">
        <f>製造費用明細!E36</f>
        <v>0</v>
      </c>
      <c r="BC41" s="543">
        <f>製造費用明細!F36</f>
        <v>0</v>
      </c>
      <c r="BD41" s="543">
        <f>製造費用明細!G36</f>
        <v>0</v>
      </c>
      <c r="BE41" s="543">
        <f>製造費用明細!H36</f>
        <v>0</v>
      </c>
      <c r="BF41" s="543">
        <f>製造費用明細!I36</f>
        <v>0</v>
      </c>
      <c r="BG41" s="543">
        <f>製造費用明細!J36</f>
        <v>89286</v>
      </c>
      <c r="BH41" s="543">
        <f>製造費用明細!K36</f>
        <v>0</v>
      </c>
      <c r="BI41" s="543">
        <f>製造費用明細!L36</f>
        <v>0</v>
      </c>
      <c r="BJ41" s="543">
        <f>製造費用明細!M36</f>
        <v>0</v>
      </c>
      <c r="BK41" s="543">
        <f>製造費用明細!N36</f>
        <v>0</v>
      </c>
      <c r="BL41" s="543">
        <f>製造費用明細!O36</f>
        <v>0</v>
      </c>
      <c r="BM41" s="543">
        <f>製造費用明細!P36</f>
        <v>0</v>
      </c>
      <c r="BN41" s="963">
        <f t="shared" si="17"/>
        <v>0</v>
      </c>
      <c r="BO41" s="600">
        <f t="shared" si="10"/>
        <v>0</v>
      </c>
      <c r="BP41" s="600">
        <f t="shared" si="20"/>
        <v>0</v>
      </c>
      <c r="BQ41" s="600">
        <f t="shared" si="21"/>
        <v>0</v>
      </c>
      <c r="BR41" s="600">
        <f t="shared" si="22"/>
        <v>0</v>
      </c>
      <c r="BS41" s="600">
        <f t="shared" si="22"/>
        <v>0</v>
      </c>
      <c r="BT41" s="600">
        <f t="shared" si="23"/>
        <v>89286</v>
      </c>
      <c r="BU41" s="600">
        <f t="shared" si="24"/>
        <v>0</v>
      </c>
      <c r="BV41" s="600">
        <f t="shared" si="25"/>
        <v>0</v>
      </c>
      <c r="BW41" s="600">
        <f t="shared" si="26"/>
        <v>0</v>
      </c>
      <c r="BX41" s="600">
        <f t="shared" si="27"/>
        <v>0</v>
      </c>
      <c r="BY41" s="600">
        <f t="shared" si="28"/>
        <v>0</v>
      </c>
      <c r="BZ41" s="600">
        <f t="shared" si="29"/>
        <v>0</v>
      </c>
      <c r="CA41" s="961">
        <f t="shared" si="18"/>
        <v>0</v>
      </c>
      <c r="CB41" s="600">
        <v>0</v>
      </c>
      <c r="CC41" s="561">
        <f t="shared" si="19"/>
        <v>0</v>
      </c>
      <c r="CD41" s="600"/>
    </row>
    <row r="42" spans="1:82" ht="15" customHeight="1">
      <c r="A42" s="404" t="s">
        <v>1424</v>
      </c>
      <c r="B42" s="600">
        <f>銷售費用!E30</f>
        <v>175645</v>
      </c>
      <c r="C42" s="600">
        <f>銷售費用!F30</f>
        <v>302795</v>
      </c>
      <c r="D42" s="600">
        <f>銷售費用!G30</f>
        <v>214478</v>
      </c>
      <c r="E42" s="600">
        <f>銷售費用!H30</f>
        <v>191200</v>
      </c>
      <c r="F42" s="600">
        <f>銷售費用!I30</f>
        <v>273885</v>
      </c>
      <c r="G42" s="600">
        <f>銷售費用!J30</f>
        <v>226367</v>
      </c>
      <c r="H42" s="600">
        <f>銷售費用!K30</f>
        <v>254953</v>
      </c>
      <c r="I42" s="600">
        <f>銷售費用!L30</f>
        <v>402536</v>
      </c>
      <c r="J42" s="600">
        <f>銷售費用!M30</f>
        <v>0</v>
      </c>
      <c r="K42" s="600">
        <f>銷售費用!N30</f>
        <v>0</v>
      </c>
      <c r="L42" s="600">
        <f>銷售費用!O30</f>
        <v>0</v>
      </c>
      <c r="M42" s="600">
        <f>銷售費用!P30</f>
        <v>0</v>
      </c>
      <c r="N42" s="961">
        <f t="shared" si="13"/>
        <v>6.9004799830243959</v>
      </c>
      <c r="O42" s="600"/>
      <c r="P42" s="600"/>
      <c r="Q42" s="600"/>
      <c r="R42" s="600"/>
      <c r="S42" s="600"/>
      <c r="T42" s="600"/>
      <c r="U42" s="600"/>
      <c r="V42" s="600"/>
      <c r="W42" s="600"/>
      <c r="X42" s="600"/>
      <c r="Y42" s="600"/>
      <c r="Z42" s="600"/>
      <c r="AA42" s="961">
        <f t="shared" si="14"/>
        <v>0</v>
      </c>
      <c r="AB42" s="600"/>
      <c r="AC42" s="600"/>
      <c r="AD42" s="600"/>
      <c r="AE42" s="600"/>
      <c r="AF42" s="600"/>
      <c r="AG42" s="600"/>
      <c r="AH42" s="600"/>
      <c r="AI42" s="600"/>
      <c r="AJ42" s="600"/>
      <c r="AK42" s="600"/>
      <c r="AL42" s="600"/>
      <c r="AM42" s="600"/>
      <c r="AN42" s="960">
        <f t="shared" si="11"/>
        <v>0</v>
      </c>
      <c r="AO42" s="600">
        <f t="shared" si="15"/>
        <v>175645</v>
      </c>
      <c r="AP42" s="600">
        <f t="shared" si="30"/>
        <v>302795</v>
      </c>
      <c r="AQ42" s="600">
        <f t="shared" si="31"/>
        <v>214478</v>
      </c>
      <c r="AR42" s="600">
        <f t="shared" si="32"/>
        <v>191200</v>
      </c>
      <c r="AS42" s="600">
        <f t="shared" si="33"/>
        <v>273885</v>
      </c>
      <c r="AT42" s="600">
        <f t="shared" si="34"/>
        <v>226367</v>
      </c>
      <c r="AU42" s="600">
        <f t="shared" si="35"/>
        <v>254953</v>
      </c>
      <c r="AV42" s="600">
        <f t="shared" si="36"/>
        <v>402536</v>
      </c>
      <c r="AW42" s="600">
        <f t="shared" si="37"/>
        <v>0</v>
      </c>
      <c r="AX42" s="600">
        <f t="shared" si="38"/>
        <v>0</v>
      </c>
      <c r="AY42" s="600">
        <f t="shared" si="39"/>
        <v>0</v>
      </c>
      <c r="AZ42" s="600">
        <f t="shared" si="40"/>
        <v>0</v>
      </c>
      <c r="BA42" s="960">
        <f t="shared" si="16"/>
        <v>2.4613675079176516</v>
      </c>
      <c r="BB42" s="543"/>
      <c r="BC42" s="543"/>
      <c r="BD42" s="543"/>
      <c r="BE42" s="543"/>
      <c r="BF42" s="543"/>
      <c r="BG42" s="543"/>
      <c r="BH42" s="543"/>
      <c r="BI42" s="543"/>
      <c r="BJ42" s="543"/>
      <c r="BK42" s="543"/>
      <c r="BL42" s="543"/>
      <c r="BM42" s="543"/>
      <c r="BN42" s="963">
        <f t="shared" si="17"/>
        <v>0</v>
      </c>
      <c r="BO42" s="600">
        <f t="shared" si="10"/>
        <v>175645</v>
      </c>
      <c r="BP42" s="600">
        <f t="shared" si="20"/>
        <v>302795</v>
      </c>
      <c r="BQ42" s="600">
        <f t="shared" si="21"/>
        <v>214478</v>
      </c>
      <c r="BR42" s="600">
        <f t="shared" si="22"/>
        <v>191200</v>
      </c>
      <c r="BS42" s="600">
        <f t="shared" si="22"/>
        <v>273885</v>
      </c>
      <c r="BT42" s="600">
        <f t="shared" si="23"/>
        <v>226367</v>
      </c>
      <c r="BU42" s="600">
        <f t="shared" si="24"/>
        <v>254953</v>
      </c>
      <c r="BV42" s="600">
        <f t="shared" si="25"/>
        <v>402536</v>
      </c>
      <c r="BW42" s="600">
        <f t="shared" si="26"/>
        <v>0</v>
      </c>
      <c r="BX42" s="600">
        <f t="shared" si="27"/>
        <v>0</v>
      </c>
      <c r="BY42" s="600">
        <f t="shared" si="28"/>
        <v>0</v>
      </c>
      <c r="BZ42" s="600">
        <f t="shared" si="29"/>
        <v>0</v>
      </c>
      <c r="CA42" s="961">
        <f t="shared" si="18"/>
        <v>1.9011983560774732</v>
      </c>
      <c r="CB42" s="600">
        <v>254953</v>
      </c>
      <c r="CC42" s="561">
        <f t="shared" si="19"/>
        <v>1.9011983560774732</v>
      </c>
      <c r="CD42" s="600"/>
    </row>
    <row r="43" spans="1:82" ht="15" customHeight="1">
      <c r="A43" s="404" t="s">
        <v>1335</v>
      </c>
      <c r="B43" s="600">
        <f>銷售費用!E31</f>
        <v>928</v>
      </c>
      <c r="C43" s="600">
        <f>銷售費用!F31</f>
        <v>928</v>
      </c>
      <c r="D43" s="600">
        <f>銷售費用!G31</f>
        <v>928</v>
      </c>
      <c r="E43" s="600">
        <f>銷售費用!H31</f>
        <v>928</v>
      </c>
      <c r="F43" s="600">
        <f>銷售費用!I31</f>
        <v>928</v>
      </c>
      <c r="G43" s="600">
        <f>銷售費用!J31</f>
        <v>928</v>
      </c>
      <c r="H43" s="600">
        <f>銷售費用!K31</f>
        <v>928</v>
      </c>
      <c r="I43" s="600">
        <f>銷售費用!L31</f>
        <v>928</v>
      </c>
      <c r="J43" s="600">
        <f>銷售費用!M31</f>
        <v>0</v>
      </c>
      <c r="K43" s="600">
        <f>銷售費用!N31</f>
        <v>0</v>
      </c>
      <c r="L43" s="600">
        <f>銷售費用!O31</f>
        <v>0</v>
      </c>
      <c r="M43" s="600">
        <f>銷售費用!P31</f>
        <v>0</v>
      </c>
      <c r="N43" s="961">
        <f t="shared" si="13"/>
        <v>2.5116964398326908E-2</v>
      </c>
      <c r="O43" s="600">
        <f>管理費用!E31</f>
        <v>679</v>
      </c>
      <c r="P43" s="600">
        <f>管理費用!F31</f>
        <v>679</v>
      </c>
      <c r="Q43" s="600">
        <f>管理費用!G31</f>
        <v>679</v>
      </c>
      <c r="R43" s="600">
        <f>管理費用!H31</f>
        <v>679</v>
      </c>
      <c r="S43" s="600">
        <f>管理費用!I31</f>
        <v>679</v>
      </c>
      <c r="T43" s="600">
        <f>管理費用!J31</f>
        <v>679</v>
      </c>
      <c r="U43" s="600">
        <f>管理費用!K31</f>
        <v>679</v>
      </c>
      <c r="V43" s="600">
        <f>管理費用!L31</f>
        <v>679</v>
      </c>
      <c r="W43" s="600">
        <f>管理費用!M31</f>
        <v>0</v>
      </c>
      <c r="X43" s="600">
        <f>管理費用!N31</f>
        <v>0</v>
      </c>
      <c r="Y43" s="600">
        <f>管理費用!O31</f>
        <v>0</v>
      </c>
      <c r="Z43" s="600">
        <f>管理費用!P31</f>
        <v>0</v>
      </c>
      <c r="AA43" s="961">
        <f t="shared" si="14"/>
        <v>1.9410431720590409E-2</v>
      </c>
      <c r="AB43" s="600">
        <f>研發費用!E28</f>
        <v>1610</v>
      </c>
      <c r="AC43" s="600">
        <f>研發費用!F28</f>
        <v>1610</v>
      </c>
      <c r="AD43" s="600">
        <f>研發費用!G28</f>
        <v>1610</v>
      </c>
      <c r="AE43" s="600">
        <f>研發費用!H28</f>
        <v>1610</v>
      </c>
      <c r="AF43" s="600">
        <f>研發費用!I28</f>
        <v>1610</v>
      </c>
      <c r="AG43" s="600">
        <f>研發費用!J28</f>
        <v>1610</v>
      </c>
      <c r="AH43" s="600">
        <f>研發費用!K28</f>
        <v>1610</v>
      </c>
      <c r="AI43" s="600">
        <f>研發費用!L28</f>
        <v>1610</v>
      </c>
      <c r="AJ43" s="600">
        <f>研發費用!M28</f>
        <v>0</v>
      </c>
      <c r="AK43" s="600">
        <f>研發費用!N28</f>
        <v>0</v>
      </c>
      <c r="AL43" s="600">
        <f>研發費用!O28</f>
        <v>0</v>
      </c>
      <c r="AM43" s="600">
        <f>研發費用!P28</f>
        <v>0</v>
      </c>
      <c r="AN43" s="960">
        <f t="shared" si="11"/>
        <v>5.0863221531128287E-2</v>
      </c>
      <c r="AO43" s="600">
        <f t="shared" si="15"/>
        <v>3217</v>
      </c>
      <c r="AP43" s="600">
        <f t="shared" si="30"/>
        <v>3217</v>
      </c>
      <c r="AQ43" s="600">
        <f t="shared" si="31"/>
        <v>3217</v>
      </c>
      <c r="AR43" s="600">
        <f t="shared" si="32"/>
        <v>3217</v>
      </c>
      <c r="AS43" s="600">
        <f t="shared" si="33"/>
        <v>3217</v>
      </c>
      <c r="AT43" s="600">
        <f t="shared" si="34"/>
        <v>3217</v>
      </c>
      <c r="AU43" s="600">
        <f t="shared" si="35"/>
        <v>3217</v>
      </c>
      <c r="AV43" s="600">
        <f t="shared" si="36"/>
        <v>3217</v>
      </c>
      <c r="AW43" s="600">
        <f t="shared" si="37"/>
        <v>0</v>
      </c>
      <c r="AX43" s="600">
        <f t="shared" si="38"/>
        <v>0</v>
      </c>
      <c r="AY43" s="600">
        <f t="shared" si="39"/>
        <v>0</v>
      </c>
      <c r="AZ43" s="600">
        <f t="shared" si="40"/>
        <v>0</v>
      </c>
      <c r="BA43" s="960">
        <f t="shared" si="16"/>
        <v>3.105756462160118E-2</v>
      </c>
      <c r="BB43" s="543">
        <f>製造費用明細!E34</f>
        <v>183</v>
      </c>
      <c r="BC43" s="543">
        <f>製造費用明細!F34</f>
        <v>183</v>
      </c>
      <c r="BD43" s="543">
        <f>製造費用明細!G34</f>
        <v>183</v>
      </c>
      <c r="BE43" s="543">
        <f>製造費用明細!H34</f>
        <v>183</v>
      </c>
      <c r="BF43" s="543">
        <f>製造費用明細!I34</f>
        <v>183</v>
      </c>
      <c r="BG43" s="543">
        <f>製造費用明細!J34</f>
        <v>183</v>
      </c>
      <c r="BH43" s="543">
        <f>製造費用明細!K34</f>
        <v>183</v>
      </c>
      <c r="BI43" s="543">
        <f>製造費用明細!L34</f>
        <v>183</v>
      </c>
      <c r="BJ43" s="543">
        <f>製造費用明細!M34</f>
        <v>0</v>
      </c>
      <c r="BK43" s="543">
        <f>製造費用明細!N34</f>
        <v>0</v>
      </c>
      <c r="BL43" s="543">
        <f>製造費用明細!O34</f>
        <v>0</v>
      </c>
      <c r="BM43" s="543">
        <f>製造費用明細!P34</f>
        <v>0</v>
      </c>
      <c r="BN43" s="963">
        <f t="shared" si="17"/>
        <v>5.996193891352899E-3</v>
      </c>
      <c r="BO43" s="600">
        <f t="shared" si="10"/>
        <v>3400</v>
      </c>
      <c r="BP43" s="600">
        <f t="shared" si="20"/>
        <v>3400</v>
      </c>
      <c r="BQ43" s="600">
        <f t="shared" si="21"/>
        <v>3400</v>
      </c>
      <c r="BR43" s="600">
        <f t="shared" si="22"/>
        <v>3400</v>
      </c>
      <c r="BS43" s="600">
        <f t="shared" si="22"/>
        <v>3400</v>
      </c>
      <c r="BT43" s="600">
        <f t="shared" si="23"/>
        <v>3400</v>
      </c>
      <c r="BU43" s="600">
        <f t="shared" si="24"/>
        <v>3400</v>
      </c>
      <c r="BV43" s="600">
        <f t="shared" si="25"/>
        <v>3400</v>
      </c>
      <c r="BW43" s="600">
        <f t="shared" si="26"/>
        <v>0</v>
      </c>
      <c r="BX43" s="600">
        <f t="shared" si="27"/>
        <v>0</v>
      </c>
      <c r="BY43" s="600">
        <f t="shared" si="28"/>
        <v>0</v>
      </c>
      <c r="BZ43" s="600">
        <f t="shared" si="29"/>
        <v>0</v>
      </c>
      <c r="CA43" s="961">
        <f t="shared" si="18"/>
        <v>2.535398450170584E-2</v>
      </c>
      <c r="CB43" s="600">
        <v>3400</v>
      </c>
      <c r="CC43" s="561">
        <f t="shared" si="19"/>
        <v>2.535398450170584E-2</v>
      </c>
      <c r="CD43" s="600"/>
    </row>
    <row r="44" spans="1:82" ht="15" customHeight="1">
      <c r="A44" s="404" t="s">
        <v>1337</v>
      </c>
      <c r="B44" s="600">
        <f>銷售費用!E32</f>
        <v>448</v>
      </c>
      <c r="C44" s="600">
        <f>銷售費用!F32</f>
        <v>8670</v>
      </c>
      <c r="D44" s="600">
        <f>銷售費用!G32</f>
        <v>21047</v>
      </c>
      <c r="E44" s="600">
        <f>銷售費用!H32</f>
        <v>20244</v>
      </c>
      <c r="F44" s="600">
        <f>銷售費用!I32</f>
        <v>1055</v>
      </c>
      <c r="G44" s="600">
        <f>銷售費用!J32</f>
        <v>53618</v>
      </c>
      <c r="H44" s="600">
        <f>銷售費用!K32</f>
        <v>2006</v>
      </c>
      <c r="I44" s="600">
        <f>銷售費用!L32</f>
        <v>30190</v>
      </c>
      <c r="J44" s="600">
        <f>銷售費用!M32</f>
        <v>0</v>
      </c>
      <c r="K44" s="600">
        <f>銷售費用!N32</f>
        <v>0</v>
      </c>
      <c r="L44" s="600">
        <f>銷售費用!O32</f>
        <v>0</v>
      </c>
      <c r="M44" s="600">
        <f>銷售費用!P32</f>
        <v>0</v>
      </c>
      <c r="N44" s="961">
        <f t="shared" si="13"/>
        <v>5.4293782955866142E-2</v>
      </c>
      <c r="O44" s="600">
        <f>管理費用!E32</f>
        <v>11793</v>
      </c>
      <c r="P44" s="600">
        <f>管理費用!F32</f>
        <v>9520</v>
      </c>
      <c r="Q44" s="600">
        <f>管理費用!G32</f>
        <v>9599</v>
      </c>
      <c r="R44" s="600">
        <f>管理費用!H32</f>
        <v>9518</v>
      </c>
      <c r="S44" s="600">
        <f>管理費用!I32</f>
        <v>9537</v>
      </c>
      <c r="T44" s="600">
        <f>管理費用!J32</f>
        <v>9608</v>
      </c>
      <c r="U44" s="600">
        <f>管理費用!K32</f>
        <v>9516</v>
      </c>
      <c r="V44" s="600">
        <f>管理費用!L32</f>
        <v>11288</v>
      </c>
      <c r="W44" s="600">
        <f>管理費用!M32</f>
        <v>0</v>
      </c>
      <c r="X44" s="600">
        <f>管理費用!N32</f>
        <v>0</v>
      </c>
      <c r="Y44" s="600">
        <f>管理費用!O32</f>
        <v>0</v>
      </c>
      <c r="Z44" s="600">
        <f>管理費用!P32</f>
        <v>0</v>
      </c>
      <c r="AA44" s="961">
        <f t="shared" si="14"/>
        <v>0.27203191200756749</v>
      </c>
      <c r="AB44" s="600">
        <f>研發費用!E29</f>
        <v>6187</v>
      </c>
      <c r="AC44" s="600">
        <f>研發費用!F29</f>
        <v>4631</v>
      </c>
      <c r="AD44" s="600">
        <f>研發費用!G29</f>
        <v>653</v>
      </c>
      <c r="AE44" s="600">
        <f>研發費用!H29</f>
        <v>5037</v>
      </c>
      <c r="AF44" s="600">
        <f>研發費用!I29</f>
        <v>0</v>
      </c>
      <c r="AG44" s="600">
        <f>研發費用!J29</f>
        <v>3300</v>
      </c>
      <c r="AH44" s="600">
        <f>研發費用!K29</f>
        <v>2650</v>
      </c>
      <c r="AI44" s="600">
        <f>研發費用!L29</f>
        <v>9291</v>
      </c>
      <c r="AJ44" s="600">
        <f>研發費用!M29</f>
        <v>0</v>
      </c>
      <c r="AK44" s="600">
        <f>研發費用!N29</f>
        <v>0</v>
      </c>
      <c r="AL44" s="600">
        <f>研發費用!O29</f>
        <v>0</v>
      </c>
      <c r="AM44" s="600">
        <f>研發費用!P29</f>
        <v>0</v>
      </c>
      <c r="AN44" s="960">
        <f t="shared" si="11"/>
        <v>8.3718967116453408E-2</v>
      </c>
      <c r="AO44" s="600">
        <f t="shared" si="15"/>
        <v>18428</v>
      </c>
      <c r="AP44" s="600">
        <f t="shared" si="30"/>
        <v>22821</v>
      </c>
      <c r="AQ44" s="600">
        <f t="shared" si="31"/>
        <v>31299</v>
      </c>
      <c r="AR44" s="600">
        <f t="shared" si="32"/>
        <v>34799</v>
      </c>
      <c r="AS44" s="600">
        <f t="shared" si="33"/>
        <v>10592</v>
      </c>
      <c r="AT44" s="600">
        <f t="shared" si="34"/>
        <v>66526</v>
      </c>
      <c r="AU44" s="600">
        <f t="shared" si="35"/>
        <v>14172</v>
      </c>
      <c r="AV44" s="600">
        <f t="shared" si="36"/>
        <v>50769</v>
      </c>
      <c r="AW44" s="600">
        <f t="shared" si="37"/>
        <v>0</v>
      </c>
      <c r="AX44" s="600">
        <f t="shared" si="38"/>
        <v>0</v>
      </c>
      <c r="AY44" s="600">
        <f t="shared" si="39"/>
        <v>0</v>
      </c>
      <c r="AZ44" s="600">
        <f>M44+Z44+AM44</f>
        <v>0</v>
      </c>
      <c r="BA44" s="960">
        <f t="shared" si="16"/>
        <v>0.1368193365922698</v>
      </c>
      <c r="BB44" s="543">
        <f>製造費用明細!E35</f>
        <v>3024</v>
      </c>
      <c r="BC44" s="543">
        <f>製造費用明細!F35</f>
        <v>3080</v>
      </c>
      <c r="BD44" s="543">
        <f>製造費用明細!G35</f>
        <v>4938</v>
      </c>
      <c r="BE44" s="543">
        <f>製造費用明細!H35</f>
        <v>408</v>
      </c>
      <c r="BF44" s="543">
        <f>製造費用明細!I35</f>
        <v>5583</v>
      </c>
      <c r="BG44" s="543">
        <f>製造費用明細!J35</f>
        <v>448</v>
      </c>
      <c r="BH44" s="543">
        <f>製造費用明細!K35</f>
        <v>1020</v>
      </c>
      <c r="BI44" s="543">
        <f>製造費用明細!L35</f>
        <v>5644</v>
      </c>
      <c r="BJ44" s="543">
        <f>製造費用明細!M35</f>
        <v>0</v>
      </c>
      <c r="BK44" s="543">
        <f>製造費用明細!N35</f>
        <v>0</v>
      </c>
      <c r="BL44" s="543">
        <f>製造費用明細!O35</f>
        <v>0</v>
      </c>
      <c r="BM44" s="543">
        <f>製造費用明細!P35</f>
        <v>0</v>
      </c>
      <c r="BN44" s="963">
        <f t="shared" si="17"/>
        <v>3.3421408574753862E-2</v>
      </c>
      <c r="BO44" s="600">
        <f t="shared" si="10"/>
        <v>21452</v>
      </c>
      <c r="BP44" s="600">
        <f t="shared" si="20"/>
        <v>25901</v>
      </c>
      <c r="BQ44" s="600">
        <f t="shared" si="21"/>
        <v>36237</v>
      </c>
      <c r="BR44" s="600">
        <f t="shared" si="22"/>
        <v>35207</v>
      </c>
      <c r="BS44" s="600">
        <f t="shared" si="22"/>
        <v>16175</v>
      </c>
      <c r="BT44" s="600">
        <f t="shared" si="23"/>
        <v>66974</v>
      </c>
      <c r="BU44" s="600">
        <f t="shared" si="24"/>
        <v>15192</v>
      </c>
      <c r="BV44" s="600">
        <f t="shared" si="25"/>
        <v>56413</v>
      </c>
      <c r="BW44" s="600">
        <f t="shared" si="26"/>
        <v>0</v>
      </c>
      <c r="BX44" s="600">
        <f t="shared" si="27"/>
        <v>0</v>
      </c>
      <c r="BY44" s="600">
        <f t="shared" si="28"/>
        <v>0</v>
      </c>
      <c r="BZ44" s="600">
        <f t="shared" si="29"/>
        <v>0</v>
      </c>
      <c r="CA44" s="961">
        <f t="shared" si="18"/>
        <v>0.11328756839703384</v>
      </c>
      <c r="CB44" s="600">
        <v>15192</v>
      </c>
      <c r="CC44" s="561">
        <f t="shared" si="19"/>
        <v>0.11328756839703384</v>
      </c>
      <c r="CD44" s="600"/>
    </row>
    <row r="45" spans="1:82" ht="15" customHeight="1">
      <c r="A45" s="404" t="s">
        <v>1726</v>
      </c>
      <c r="B45" s="600">
        <f>銷售費用!E33</f>
        <v>602430</v>
      </c>
      <c r="C45" s="600">
        <f>銷售費用!F33</f>
        <v>530277</v>
      </c>
      <c r="D45" s="600">
        <f>銷售費用!G33</f>
        <v>637044</v>
      </c>
      <c r="E45" s="600">
        <f>銷售費用!H33</f>
        <v>673447</v>
      </c>
      <c r="F45" s="600">
        <f>銷售費用!I33</f>
        <v>532382</v>
      </c>
      <c r="G45" s="600">
        <f>銷售費用!J33</f>
        <v>874061</v>
      </c>
      <c r="H45" s="600">
        <f>銷售費用!K33</f>
        <v>982376</v>
      </c>
      <c r="I45" s="600">
        <f>銷售費用!L33</f>
        <v>821314</v>
      </c>
      <c r="J45" s="600">
        <f>銷售費用!M33</f>
        <v>0</v>
      </c>
      <c r="K45" s="600">
        <f>銷售費用!N33</f>
        <v>0</v>
      </c>
      <c r="L45" s="600">
        <f>銷售費用!O33</f>
        <v>0</v>
      </c>
      <c r="M45" s="600">
        <f>銷售費用!P33</f>
        <v>0</v>
      </c>
      <c r="N45" s="961">
        <f t="shared" si="13"/>
        <v>26.588688596735771</v>
      </c>
      <c r="O45" s="600"/>
      <c r="P45" s="600"/>
      <c r="Q45" s="600"/>
      <c r="R45" s="600"/>
      <c r="S45" s="600"/>
      <c r="T45" s="600"/>
      <c r="U45" s="600"/>
      <c r="V45" s="600"/>
      <c r="W45" s="600"/>
      <c r="X45" s="600"/>
      <c r="Y45" s="600"/>
      <c r="Z45" s="600"/>
      <c r="AA45" s="961">
        <f t="shared" si="14"/>
        <v>0</v>
      </c>
      <c r="AB45" s="600"/>
      <c r="AC45" s="600"/>
      <c r="AD45" s="600"/>
      <c r="AE45" s="600"/>
      <c r="AF45" s="600"/>
      <c r="AG45" s="600"/>
      <c r="AH45" s="600"/>
      <c r="AI45" s="600"/>
      <c r="AJ45" s="600"/>
      <c r="AK45" s="600"/>
      <c r="AL45" s="600"/>
      <c r="AM45" s="600"/>
      <c r="AN45" s="960">
        <f t="shared" si="11"/>
        <v>0</v>
      </c>
      <c r="AO45" s="600">
        <f t="shared" si="15"/>
        <v>602430</v>
      </c>
      <c r="AP45" s="600">
        <f t="shared" si="30"/>
        <v>530277</v>
      </c>
      <c r="AQ45" s="600">
        <f t="shared" si="31"/>
        <v>637044</v>
      </c>
      <c r="AR45" s="600">
        <f t="shared" si="32"/>
        <v>673447</v>
      </c>
      <c r="AS45" s="600">
        <f t="shared" si="33"/>
        <v>532382</v>
      </c>
      <c r="AT45" s="600">
        <f t="shared" si="34"/>
        <v>874061</v>
      </c>
      <c r="AU45" s="600">
        <f t="shared" si="35"/>
        <v>982376</v>
      </c>
      <c r="AV45" s="600">
        <f t="shared" si="36"/>
        <v>821314</v>
      </c>
      <c r="AW45" s="600">
        <f t="shared" si="37"/>
        <v>0</v>
      </c>
      <c r="AX45" s="600">
        <f t="shared" si="38"/>
        <v>0</v>
      </c>
      <c r="AY45" s="600">
        <f t="shared" si="39"/>
        <v>0</v>
      </c>
      <c r="AZ45" s="600">
        <f t="shared" si="40"/>
        <v>0</v>
      </c>
      <c r="BA45" s="960">
        <f t="shared" si="16"/>
        <v>9.4840553629810636</v>
      </c>
      <c r="BB45" s="543"/>
      <c r="BC45" s="543"/>
      <c r="BD45" s="543"/>
      <c r="BE45" s="543"/>
      <c r="BF45" s="543"/>
      <c r="BG45" s="543"/>
      <c r="BH45" s="543"/>
      <c r="BI45" s="543"/>
      <c r="BJ45" s="543"/>
      <c r="BK45" s="543"/>
      <c r="BL45" s="543"/>
      <c r="BM45" s="543"/>
      <c r="BN45" s="963">
        <f t="shared" si="17"/>
        <v>0</v>
      </c>
      <c r="BO45" s="600">
        <f t="shared" si="10"/>
        <v>602430</v>
      </c>
      <c r="BP45" s="600">
        <f t="shared" si="20"/>
        <v>530277</v>
      </c>
      <c r="BQ45" s="600">
        <f t="shared" si="21"/>
        <v>637044</v>
      </c>
      <c r="BR45" s="600">
        <f t="shared" si="22"/>
        <v>673447</v>
      </c>
      <c r="BS45" s="600">
        <f t="shared" si="22"/>
        <v>532382</v>
      </c>
      <c r="BT45" s="600">
        <f t="shared" si="23"/>
        <v>874061</v>
      </c>
      <c r="BU45" s="600">
        <f t="shared" si="24"/>
        <v>982376</v>
      </c>
      <c r="BV45" s="600">
        <f t="shared" si="25"/>
        <v>821314</v>
      </c>
      <c r="BW45" s="600">
        <f t="shared" si="26"/>
        <v>0</v>
      </c>
      <c r="BX45" s="600">
        <f t="shared" si="27"/>
        <v>0</v>
      </c>
      <c r="BY45" s="600">
        <f t="shared" si="28"/>
        <v>0</v>
      </c>
      <c r="BZ45" s="600">
        <f t="shared" si="29"/>
        <v>0</v>
      </c>
      <c r="CA45" s="961">
        <f t="shared" si="18"/>
        <v>7.3256311408375812</v>
      </c>
      <c r="CB45" s="600">
        <v>982376</v>
      </c>
      <c r="CC45" s="561">
        <f t="shared" si="19"/>
        <v>7.3256311408375812</v>
      </c>
      <c r="CD45" s="600"/>
    </row>
    <row r="46" spans="1:82" ht="15" customHeight="1">
      <c r="A46" s="404" t="s">
        <v>1739</v>
      </c>
      <c r="B46" s="600">
        <f>銷售費用!E35</f>
        <v>0</v>
      </c>
      <c r="C46" s="600">
        <f>銷售費用!F35</f>
        <v>23227</v>
      </c>
      <c r="D46" s="600">
        <f>銷售費用!G35</f>
        <v>0</v>
      </c>
      <c r="E46" s="600">
        <f>銷售費用!H35</f>
        <v>0</v>
      </c>
      <c r="F46" s="600">
        <f>銷售費用!I35</f>
        <v>8486</v>
      </c>
      <c r="G46" s="600">
        <f>銷售費用!J35</f>
        <v>19655</v>
      </c>
      <c r="H46" s="600">
        <f>銷售費用!K35</f>
        <v>0</v>
      </c>
      <c r="I46" s="600">
        <f>銷售費用!L35</f>
        <v>1243</v>
      </c>
      <c r="J46" s="600">
        <f>銷售費用!M35</f>
        <v>0</v>
      </c>
      <c r="K46" s="600">
        <f>銷售費用!N35</f>
        <v>0</v>
      </c>
      <c r="L46" s="600">
        <f>銷售費用!O35</f>
        <v>0</v>
      </c>
      <c r="M46" s="600">
        <f>銷售費用!P35</f>
        <v>0</v>
      </c>
      <c r="N46" s="961">
        <f t="shared" si="13"/>
        <v>0</v>
      </c>
      <c r="O46" s="600">
        <f>管理費用!E34</f>
        <v>1800</v>
      </c>
      <c r="P46" s="600">
        <f>管理費用!F34</f>
        <v>3118</v>
      </c>
      <c r="Q46" s="600">
        <f>管理費用!G34</f>
        <v>24262</v>
      </c>
      <c r="R46" s="600">
        <f>管理費用!H34</f>
        <v>18353</v>
      </c>
      <c r="S46" s="600">
        <f>管理費用!I34</f>
        <v>0</v>
      </c>
      <c r="T46" s="600">
        <f>管理費用!J34</f>
        <v>0</v>
      </c>
      <c r="U46" s="600">
        <f>管理費用!K34</f>
        <v>23140</v>
      </c>
      <c r="V46" s="600">
        <f>管理費用!L34</f>
        <v>6149</v>
      </c>
      <c r="W46" s="600">
        <f>管理費用!M34</f>
        <v>0</v>
      </c>
      <c r="X46" s="600">
        <f>管理費用!N34</f>
        <v>0</v>
      </c>
      <c r="Y46" s="600">
        <f>管理費用!O34</f>
        <v>0</v>
      </c>
      <c r="Z46" s="600">
        <f>管理費用!P34</f>
        <v>0</v>
      </c>
      <c r="AA46" s="961">
        <f t="shared" si="14"/>
        <v>0.6614983652643035</v>
      </c>
      <c r="AB46" s="600">
        <f>研發費用!E31</f>
        <v>0</v>
      </c>
      <c r="AC46" s="600">
        <f>研發費用!F31</f>
        <v>760</v>
      </c>
      <c r="AD46" s="600">
        <f>研發費用!G31</f>
        <v>25108</v>
      </c>
      <c r="AE46" s="600">
        <f>研發費用!H31</f>
        <v>1500</v>
      </c>
      <c r="AF46" s="600">
        <f>研發費用!I31</f>
        <v>23691</v>
      </c>
      <c r="AG46" s="600">
        <f>研發費用!J31</f>
        <v>0</v>
      </c>
      <c r="AH46" s="600">
        <f>研發費用!K31</f>
        <v>3901</v>
      </c>
      <c r="AI46" s="600">
        <f>研發費用!L31</f>
        <v>0</v>
      </c>
      <c r="AJ46" s="600">
        <f>研發費用!M31</f>
        <v>0</v>
      </c>
      <c r="AK46" s="600">
        <f>研發費用!N31</f>
        <v>0</v>
      </c>
      <c r="AL46" s="600">
        <f>研發費用!O31</f>
        <v>0</v>
      </c>
      <c r="AM46" s="600">
        <f>研發費用!P31</f>
        <v>0</v>
      </c>
      <c r="AN46" s="960">
        <f t="shared" si="11"/>
        <v>0.12324063800803195</v>
      </c>
      <c r="AO46" s="600">
        <f t="shared" si="15"/>
        <v>1800</v>
      </c>
      <c r="AP46" s="600">
        <f t="shared" si="30"/>
        <v>27105</v>
      </c>
      <c r="AQ46" s="600">
        <f t="shared" si="31"/>
        <v>49370</v>
      </c>
      <c r="AR46" s="600">
        <f t="shared" si="32"/>
        <v>19853</v>
      </c>
      <c r="AS46" s="600">
        <f t="shared" si="33"/>
        <v>32177</v>
      </c>
      <c r="AT46" s="600">
        <f t="shared" si="34"/>
        <v>19655</v>
      </c>
      <c r="AU46" s="600">
        <f t="shared" si="35"/>
        <v>27041</v>
      </c>
      <c r="AV46" s="600">
        <f t="shared" si="36"/>
        <v>7392</v>
      </c>
      <c r="AW46" s="600">
        <f t="shared" si="37"/>
        <v>0</v>
      </c>
      <c r="AX46" s="600">
        <f t="shared" si="38"/>
        <v>0</v>
      </c>
      <c r="AY46" s="600">
        <f t="shared" si="39"/>
        <v>0</v>
      </c>
      <c r="AZ46" s="600">
        <f t="shared" si="40"/>
        <v>0</v>
      </c>
      <c r="BA46" s="960">
        <f t="shared" si="16"/>
        <v>0.26105924927967594</v>
      </c>
      <c r="BB46" s="543">
        <f>製造費用明細!E38</f>
        <v>0</v>
      </c>
      <c r="BC46" s="543">
        <f>製造費用明細!F38</f>
        <v>0</v>
      </c>
      <c r="BD46" s="543">
        <f>製造費用明細!G38</f>
        <v>0</v>
      </c>
      <c r="BE46" s="543">
        <f>製造費用明細!H38</f>
        <v>35318</v>
      </c>
      <c r="BF46" s="543">
        <f>製造費用明細!I38</f>
        <v>26000</v>
      </c>
      <c r="BG46" s="543">
        <f>製造費用明細!J38</f>
        <v>448</v>
      </c>
      <c r="BH46" s="543">
        <f>製造費用明細!K38</f>
        <v>2420</v>
      </c>
      <c r="BI46" s="543">
        <f>製造費用明細!L38</f>
        <v>62362</v>
      </c>
      <c r="BJ46" s="543">
        <f>製造費用明細!M38</f>
        <v>0</v>
      </c>
      <c r="BK46" s="543">
        <f>製造費用明細!N38</f>
        <v>0</v>
      </c>
      <c r="BL46" s="543">
        <f>製造費用明細!O38</f>
        <v>0</v>
      </c>
      <c r="BM46" s="543">
        <f>製造費用明細!P38</f>
        <v>0</v>
      </c>
      <c r="BN46" s="963">
        <f t="shared" si="17"/>
        <v>7.9293930147945432E-2</v>
      </c>
      <c r="BO46" s="600">
        <f t="shared" si="10"/>
        <v>1800</v>
      </c>
      <c r="BP46" s="600">
        <f t="shared" si="20"/>
        <v>27105</v>
      </c>
      <c r="BQ46" s="600">
        <f t="shared" si="21"/>
        <v>49370</v>
      </c>
      <c r="BR46" s="600">
        <f t="shared" si="22"/>
        <v>55171</v>
      </c>
      <c r="BS46" s="600">
        <f t="shared" si="22"/>
        <v>58177</v>
      </c>
      <c r="BT46" s="600">
        <f t="shared" si="23"/>
        <v>20103</v>
      </c>
      <c r="BU46" s="600">
        <f t="shared" si="24"/>
        <v>29461</v>
      </c>
      <c r="BV46" s="600">
        <f t="shared" si="25"/>
        <v>69754</v>
      </c>
      <c r="BW46" s="600">
        <f t="shared" si="26"/>
        <v>0</v>
      </c>
      <c r="BX46" s="600">
        <f t="shared" si="27"/>
        <v>0</v>
      </c>
      <c r="BY46" s="600">
        <f t="shared" si="28"/>
        <v>0</v>
      </c>
      <c r="BZ46" s="600">
        <f t="shared" si="29"/>
        <v>0</v>
      </c>
      <c r="CA46" s="961">
        <f t="shared" si="18"/>
        <v>0.21969227570728106</v>
      </c>
      <c r="CB46" s="600">
        <v>29461</v>
      </c>
      <c r="CC46" s="561">
        <f t="shared" si="19"/>
        <v>0.21969227570728106</v>
      </c>
      <c r="CD46" s="600"/>
    </row>
    <row r="47" spans="1:82" ht="15" customHeight="1">
      <c r="A47" s="404" t="s">
        <v>1740</v>
      </c>
      <c r="B47" s="600">
        <f>銷售費用!E36</f>
        <v>0</v>
      </c>
      <c r="C47" s="600">
        <f>銷售費用!F36</f>
        <v>0</v>
      </c>
      <c r="D47" s="600">
        <f>銷售費用!G36</f>
        <v>0</v>
      </c>
      <c r="E47" s="600">
        <f>銷售費用!H36</f>
        <v>0</v>
      </c>
      <c r="F47" s="600">
        <f>銷售費用!I36</f>
        <v>0</v>
      </c>
      <c r="G47" s="600">
        <f>銷售費用!J36</f>
        <v>0</v>
      </c>
      <c r="H47" s="600">
        <f>銷售費用!K36</f>
        <v>0</v>
      </c>
      <c r="I47" s="600">
        <f>銷售費用!L36</f>
        <v>0</v>
      </c>
      <c r="J47" s="600">
        <f>銷售費用!M36</f>
        <v>0</v>
      </c>
      <c r="K47" s="600">
        <f>銷售費用!N36</f>
        <v>0</v>
      </c>
      <c r="L47" s="722">
        <f>銷售費用!O36</f>
        <v>0</v>
      </c>
      <c r="M47" s="600">
        <f>銷售費用!P36</f>
        <v>0</v>
      </c>
      <c r="N47" s="961">
        <f t="shared" si="13"/>
        <v>0</v>
      </c>
      <c r="O47" s="600">
        <f>管理費用!E35</f>
        <v>0</v>
      </c>
      <c r="P47" s="600">
        <f>管理費用!F35</f>
        <v>1200</v>
      </c>
      <c r="Q47" s="600">
        <f>管理費用!G35</f>
        <v>0</v>
      </c>
      <c r="R47" s="600">
        <f>管理費用!H35</f>
        <v>2400</v>
      </c>
      <c r="S47" s="600">
        <f>管理費用!I35</f>
        <v>0</v>
      </c>
      <c r="T47" s="600">
        <f>管理費用!J35</f>
        <v>2400</v>
      </c>
      <c r="U47" s="600">
        <f>管理費用!K35</f>
        <v>0</v>
      </c>
      <c r="V47" s="600">
        <f>管理費用!L35</f>
        <v>2400</v>
      </c>
      <c r="W47" s="600">
        <f>管理費用!M35</f>
        <v>0</v>
      </c>
      <c r="X47" s="600">
        <f>管理費用!N35</f>
        <v>0</v>
      </c>
      <c r="Y47" s="600">
        <f>管理費用!O35</f>
        <v>0</v>
      </c>
      <c r="Z47" s="600">
        <f>管理費用!P35</f>
        <v>0</v>
      </c>
      <c r="AA47" s="961">
        <f t="shared" si="14"/>
        <v>0</v>
      </c>
      <c r="AB47" s="600">
        <f>研發費用!E32</f>
        <v>0</v>
      </c>
      <c r="AC47" s="600">
        <f>研發費用!F32</f>
        <v>0</v>
      </c>
      <c r="AD47" s="600">
        <f>研發費用!G32</f>
        <v>0</v>
      </c>
      <c r="AE47" s="600">
        <f>研發費用!H32</f>
        <v>0</v>
      </c>
      <c r="AF47" s="600">
        <f>研發費用!I32</f>
        <v>0</v>
      </c>
      <c r="AG47" s="600">
        <f>研發費用!J32</f>
        <v>0</v>
      </c>
      <c r="AH47" s="600">
        <f>研發費用!K32</f>
        <v>0</v>
      </c>
      <c r="AI47" s="600">
        <f>研發費用!L32</f>
        <v>0</v>
      </c>
      <c r="AJ47" s="600">
        <f>研發費用!M32</f>
        <v>0</v>
      </c>
      <c r="AK47" s="600">
        <f>研發費用!N32</f>
        <v>0</v>
      </c>
      <c r="AL47" s="600">
        <f>研發費用!O32</f>
        <v>0</v>
      </c>
      <c r="AM47" s="600">
        <f>研發費用!P32</f>
        <v>0</v>
      </c>
      <c r="AN47" s="960">
        <f t="shared" si="11"/>
        <v>0</v>
      </c>
      <c r="AO47" s="600">
        <f t="shared" si="15"/>
        <v>0</v>
      </c>
      <c r="AP47" s="600">
        <f t="shared" si="30"/>
        <v>1200</v>
      </c>
      <c r="AQ47" s="600">
        <f t="shared" si="31"/>
        <v>0</v>
      </c>
      <c r="AR47" s="600">
        <f t="shared" si="32"/>
        <v>2400</v>
      </c>
      <c r="AS47" s="600">
        <f t="shared" si="33"/>
        <v>0</v>
      </c>
      <c r="AT47" s="600">
        <f t="shared" si="34"/>
        <v>2400</v>
      </c>
      <c r="AU47" s="600">
        <f t="shared" si="35"/>
        <v>0</v>
      </c>
      <c r="AV47" s="600">
        <f t="shared" si="36"/>
        <v>2400</v>
      </c>
      <c r="AW47" s="600">
        <f t="shared" si="37"/>
        <v>0</v>
      </c>
      <c r="AX47" s="600">
        <f t="shared" si="38"/>
        <v>0</v>
      </c>
      <c r="AY47" s="600">
        <f t="shared" si="39"/>
        <v>0</v>
      </c>
      <c r="AZ47" s="600">
        <f t="shared" si="40"/>
        <v>0</v>
      </c>
      <c r="BA47" s="960">
        <f t="shared" si="16"/>
        <v>0</v>
      </c>
      <c r="BB47" s="543">
        <f>製造費用明細!E39</f>
        <v>0</v>
      </c>
      <c r="BC47" s="543">
        <f>製造費用明細!F39</f>
        <v>0</v>
      </c>
      <c r="BD47" s="543">
        <f>製造費用明細!G39</f>
        <v>0</v>
      </c>
      <c r="BE47" s="543">
        <f>製造費用明細!H39</f>
        <v>0</v>
      </c>
      <c r="BF47" s="543">
        <f>製造費用明細!I39</f>
        <v>0</v>
      </c>
      <c r="BG47" s="543">
        <f>製造費用明細!J39</f>
        <v>0</v>
      </c>
      <c r="BH47" s="543">
        <f>製造費用明細!K39</f>
        <v>0</v>
      </c>
      <c r="BI47" s="543">
        <f>製造費用明細!L39</f>
        <v>0</v>
      </c>
      <c r="BJ47" s="543">
        <f>製造費用明細!M39</f>
        <v>0</v>
      </c>
      <c r="BK47" s="543">
        <f>製造費用明細!N39</f>
        <v>0</v>
      </c>
      <c r="BL47" s="543">
        <f>製造費用明細!O39</f>
        <v>0</v>
      </c>
      <c r="BM47" s="543">
        <f>製造費用明細!P39</f>
        <v>0</v>
      </c>
      <c r="BN47" s="963">
        <f t="shared" si="17"/>
        <v>0</v>
      </c>
      <c r="BO47" s="600">
        <f t="shared" si="10"/>
        <v>0</v>
      </c>
      <c r="BP47" s="600">
        <f t="shared" si="20"/>
        <v>1200</v>
      </c>
      <c r="BQ47" s="600">
        <f t="shared" si="21"/>
        <v>0</v>
      </c>
      <c r="BR47" s="600">
        <f t="shared" si="22"/>
        <v>2400</v>
      </c>
      <c r="BS47" s="600">
        <f t="shared" si="22"/>
        <v>0</v>
      </c>
      <c r="BT47" s="600">
        <f t="shared" si="23"/>
        <v>2400</v>
      </c>
      <c r="BU47" s="600">
        <f t="shared" si="24"/>
        <v>0</v>
      </c>
      <c r="BV47" s="600">
        <f t="shared" si="25"/>
        <v>2400</v>
      </c>
      <c r="BW47" s="600">
        <f t="shared" si="26"/>
        <v>0</v>
      </c>
      <c r="BX47" s="600">
        <f t="shared" si="27"/>
        <v>0</v>
      </c>
      <c r="BY47" s="600">
        <f t="shared" si="28"/>
        <v>0</v>
      </c>
      <c r="BZ47" s="600">
        <f t="shared" si="29"/>
        <v>0</v>
      </c>
      <c r="CA47" s="961">
        <f t="shared" si="18"/>
        <v>0</v>
      </c>
      <c r="CB47" s="600">
        <v>0</v>
      </c>
      <c r="CC47" s="561">
        <f t="shared" si="19"/>
        <v>0</v>
      </c>
      <c r="CD47" s="600"/>
    </row>
    <row r="48" spans="1:82" ht="15" customHeight="1">
      <c r="A48" s="404" t="s">
        <v>1741</v>
      </c>
      <c r="B48" s="600">
        <f>銷售費用!E37</f>
        <v>0</v>
      </c>
      <c r="C48" s="600">
        <f>銷售費用!F37</f>
        <v>0</v>
      </c>
      <c r="D48" s="600">
        <f>銷售費用!G37</f>
        <v>0</v>
      </c>
      <c r="E48" s="600">
        <f>銷售費用!H37</f>
        <v>0</v>
      </c>
      <c r="F48" s="600">
        <f>銷售費用!I37</f>
        <v>0</v>
      </c>
      <c r="G48" s="600">
        <f>銷售費用!J37</f>
        <v>0</v>
      </c>
      <c r="H48" s="600">
        <f>銷售費用!K37</f>
        <v>0</v>
      </c>
      <c r="I48" s="600">
        <f>銷售費用!L37</f>
        <v>0</v>
      </c>
      <c r="J48" s="600">
        <f>銷售費用!M37</f>
        <v>0</v>
      </c>
      <c r="K48" s="600">
        <f>銷售費用!N37</f>
        <v>0</v>
      </c>
      <c r="L48" s="722">
        <f>銷售費用!O37</f>
        <v>0</v>
      </c>
      <c r="M48" s="600">
        <f>銷售費用!P37</f>
        <v>0</v>
      </c>
      <c r="N48" s="961">
        <f t="shared" si="13"/>
        <v>0</v>
      </c>
      <c r="O48" s="600">
        <f>管理費用!E36</f>
        <v>130000</v>
      </c>
      <c r="P48" s="600">
        <f>管理費用!F36</f>
        <v>57000</v>
      </c>
      <c r="Q48" s="600">
        <f>管理費用!G36</f>
        <v>103720</v>
      </c>
      <c r="R48" s="600">
        <f>管理費用!H36</f>
        <v>85750</v>
      </c>
      <c r="S48" s="600">
        <f>管理費用!I36</f>
        <v>64500</v>
      </c>
      <c r="T48" s="600">
        <f>管理費用!J36</f>
        <v>60000</v>
      </c>
      <c r="U48" s="600">
        <f>管理費用!K36</f>
        <v>82000</v>
      </c>
      <c r="V48" s="600">
        <f>管理費用!L36</f>
        <v>66750</v>
      </c>
      <c r="W48" s="600">
        <f>管理費用!M36</f>
        <v>0</v>
      </c>
      <c r="X48" s="600">
        <f>管理費用!N36</f>
        <v>0</v>
      </c>
      <c r="Y48" s="600">
        <f>管理費用!O36</f>
        <v>0</v>
      </c>
      <c r="Z48" s="600">
        <f>管理費用!P36</f>
        <v>0</v>
      </c>
      <c r="AA48" s="961">
        <f t="shared" si="14"/>
        <v>2.3441169382745413</v>
      </c>
      <c r="AB48" s="600">
        <f>研發費用!E33</f>
        <v>0</v>
      </c>
      <c r="AC48" s="600">
        <f>研發費用!F33</f>
        <v>18000</v>
      </c>
      <c r="AD48" s="600">
        <f>研發費用!G33</f>
        <v>60000</v>
      </c>
      <c r="AE48" s="600">
        <f>研發費用!H33</f>
        <v>0</v>
      </c>
      <c r="AF48" s="600">
        <f>研發費用!I33</f>
        <v>2000</v>
      </c>
      <c r="AG48" s="600">
        <f>研發費用!J33</f>
        <v>23200</v>
      </c>
      <c r="AH48" s="600">
        <f>研發費用!K33</f>
        <v>18000</v>
      </c>
      <c r="AI48" s="600">
        <f>研發費用!L33</f>
        <v>0</v>
      </c>
      <c r="AJ48" s="600">
        <f>研發費用!M33</f>
        <v>0</v>
      </c>
      <c r="AK48" s="600">
        <f>研發費用!N33</f>
        <v>0</v>
      </c>
      <c r="AL48" s="600">
        <f>研發費用!O33</f>
        <v>0</v>
      </c>
      <c r="AM48" s="600">
        <f>研發費用!P33</f>
        <v>0</v>
      </c>
      <c r="AN48" s="960">
        <f t="shared" si="11"/>
        <v>0.56865713513062688</v>
      </c>
      <c r="AO48" s="600">
        <f t="shared" si="15"/>
        <v>130000</v>
      </c>
      <c r="AP48" s="600">
        <f t="shared" si="30"/>
        <v>75000</v>
      </c>
      <c r="AQ48" s="600">
        <f t="shared" si="31"/>
        <v>163720</v>
      </c>
      <c r="AR48" s="600">
        <f t="shared" si="32"/>
        <v>85750</v>
      </c>
      <c r="AS48" s="600">
        <f t="shared" si="33"/>
        <v>66500</v>
      </c>
      <c r="AT48" s="600">
        <f t="shared" si="34"/>
        <v>83200</v>
      </c>
      <c r="AU48" s="600">
        <f t="shared" si="35"/>
        <v>100000</v>
      </c>
      <c r="AV48" s="600">
        <f t="shared" si="36"/>
        <v>66750</v>
      </c>
      <c r="AW48" s="600">
        <f t="shared" si="37"/>
        <v>0</v>
      </c>
      <c r="AX48" s="600">
        <f t="shared" si="38"/>
        <v>0</v>
      </c>
      <c r="AY48" s="600">
        <f t="shared" si="39"/>
        <v>0</v>
      </c>
      <c r="AZ48" s="600">
        <f t="shared" si="40"/>
        <v>0</v>
      </c>
      <c r="BA48" s="960">
        <f t="shared" si="16"/>
        <v>0.96542010014302704</v>
      </c>
      <c r="BB48" s="543">
        <f>製造費用明細!E40</f>
        <v>0</v>
      </c>
      <c r="BC48" s="543">
        <f>製造費用明細!F40</f>
        <v>0</v>
      </c>
      <c r="BD48" s="543">
        <f>製造費用明細!G40</f>
        <v>0</v>
      </c>
      <c r="BE48" s="543">
        <f>製造費用明細!H40</f>
        <v>0</v>
      </c>
      <c r="BF48" s="543">
        <f>製造費用明細!I40</f>
        <v>0</v>
      </c>
      <c r="BG48" s="543">
        <f>製造費用明細!J40</f>
        <v>0</v>
      </c>
      <c r="BH48" s="543">
        <f>製造費用明細!K40</f>
        <v>0</v>
      </c>
      <c r="BI48" s="543">
        <f>製造費用明細!L40</f>
        <v>0</v>
      </c>
      <c r="BJ48" s="543">
        <f>製造費用明細!M40</f>
        <v>0</v>
      </c>
      <c r="BK48" s="543">
        <f>製造費用明細!N40</f>
        <v>0</v>
      </c>
      <c r="BL48" s="543">
        <f>製造費用明細!O40</f>
        <v>0</v>
      </c>
      <c r="BM48" s="543">
        <f>製造費用明細!P40</f>
        <v>0</v>
      </c>
      <c r="BN48" s="963">
        <f t="shared" si="17"/>
        <v>0</v>
      </c>
      <c r="BO48" s="600">
        <f t="shared" si="10"/>
        <v>130000</v>
      </c>
      <c r="BP48" s="600">
        <f t="shared" si="20"/>
        <v>75000</v>
      </c>
      <c r="BQ48" s="600">
        <f t="shared" si="21"/>
        <v>163720</v>
      </c>
      <c r="BR48" s="600">
        <f t="shared" si="22"/>
        <v>85750</v>
      </c>
      <c r="BS48" s="600">
        <f t="shared" si="22"/>
        <v>66500</v>
      </c>
      <c r="BT48" s="600">
        <f t="shared" si="23"/>
        <v>83200</v>
      </c>
      <c r="BU48" s="600">
        <f t="shared" si="24"/>
        <v>100000</v>
      </c>
      <c r="BV48" s="600">
        <f t="shared" si="25"/>
        <v>66750</v>
      </c>
      <c r="BW48" s="600">
        <f t="shared" si="26"/>
        <v>0</v>
      </c>
      <c r="BX48" s="600">
        <f t="shared" si="27"/>
        <v>0</v>
      </c>
      <c r="BY48" s="600">
        <f t="shared" si="28"/>
        <v>0</v>
      </c>
      <c r="BZ48" s="600">
        <f t="shared" si="29"/>
        <v>0</v>
      </c>
      <c r="CA48" s="961">
        <f t="shared" si="18"/>
        <v>0.74570542652075988</v>
      </c>
      <c r="CB48" s="600">
        <v>100000</v>
      </c>
      <c r="CC48" s="561">
        <f t="shared" si="19"/>
        <v>0.74570542652075988</v>
      </c>
      <c r="CD48" s="600"/>
    </row>
    <row r="49" spans="1:82" ht="15" customHeight="1">
      <c r="A49" s="404" t="s">
        <v>1742</v>
      </c>
      <c r="B49" s="600">
        <f>銷售費用!E38</f>
        <v>0</v>
      </c>
      <c r="C49" s="600">
        <f>銷售費用!F38</f>
        <v>0</v>
      </c>
      <c r="D49" s="600">
        <f>銷售費用!G38</f>
        <v>0</v>
      </c>
      <c r="E49" s="600">
        <f>銷售費用!H38</f>
        <v>0</v>
      </c>
      <c r="F49" s="600">
        <f>銷售費用!I38</f>
        <v>0</v>
      </c>
      <c r="G49" s="600">
        <f>銷售費用!J38</f>
        <v>0</v>
      </c>
      <c r="H49" s="600">
        <f>銷售費用!K38</f>
        <v>0</v>
      </c>
      <c r="I49" s="600">
        <f>銷售費用!L38</f>
        <v>0</v>
      </c>
      <c r="J49" s="600">
        <f>銷售費用!M38</f>
        <v>0</v>
      </c>
      <c r="K49" s="600">
        <f>銷售費用!N38</f>
        <v>0</v>
      </c>
      <c r="L49" s="722">
        <f>銷售費用!O38</f>
        <v>0</v>
      </c>
      <c r="M49" s="600">
        <f>銷售費用!P38</f>
        <v>0</v>
      </c>
      <c r="N49" s="961">
        <f t="shared" si="13"/>
        <v>0</v>
      </c>
      <c r="O49" s="600">
        <f>管理費用!E37</f>
        <v>0</v>
      </c>
      <c r="P49" s="600">
        <f>管理費用!F37</f>
        <v>0</v>
      </c>
      <c r="Q49" s="600">
        <f>管理費用!G37</f>
        <v>0</v>
      </c>
      <c r="R49" s="600">
        <f>管理費用!H37</f>
        <v>0</v>
      </c>
      <c r="S49" s="600">
        <f>管理費用!I37</f>
        <v>0</v>
      </c>
      <c r="T49" s="600">
        <f>管理費用!J37</f>
        <v>0</v>
      </c>
      <c r="U49" s="600">
        <f>管理費用!K37</f>
        <v>0</v>
      </c>
      <c r="V49" s="600">
        <f>管理費用!L37</f>
        <v>0</v>
      </c>
      <c r="W49" s="600">
        <f>管理費用!M37</f>
        <v>0</v>
      </c>
      <c r="X49" s="600">
        <f>管理費用!N37</f>
        <v>0</v>
      </c>
      <c r="Y49" s="600">
        <f>管理費用!O37</f>
        <v>0</v>
      </c>
      <c r="Z49" s="600">
        <f>管理費用!P37</f>
        <v>0</v>
      </c>
      <c r="AA49" s="961">
        <f t="shared" si="14"/>
        <v>0</v>
      </c>
      <c r="AB49" s="600">
        <f>研發費用!E34</f>
        <v>-182393</v>
      </c>
      <c r="AC49" s="600">
        <f>研發費用!F34</f>
        <v>78687</v>
      </c>
      <c r="AD49" s="600">
        <f>研發費用!G34</f>
        <v>81631</v>
      </c>
      <c r="AE49" s="600">
        <f>研發費用!H34</f>
        <v>107149</v>
      </c>
      <c r="AF49" s="600">
        <f>研發費用!I34</f>
        <v>187925</v>
      </c>
      <c r="AG49" s="600">
        <f>研發費用!J34</f>
        <v>100326</v>
      </c>
      <c r="AH49" s="600">
        <f>研發費用!K34</f>
        <v>212709</v>
      </c>
      <c r="AI49" s="600">
        <f>研發費用!L34</f>
        <v>97949</v>
      </c>
      <c r="AJ49" s="600">
        <f>研發費用!M34</f>
        <v>0</v>
      </c>
      <c r="AK49" s="600">
        <f>研發費用!N34</f>
        <v>0</v>
      </c>
      <c r="AL49" s="600">
        <f>研發費用!O34</f>
        <v>0</v>
      </c>
      <c r="AM49" s="600">
        <f>研發費用!P34</f>
        <v>0</v>
      </c>
      <c r="AN49" s="960">
        <f t="shared" si="11"/>
        <v>6.719916142027806</v>
      </c>
      <c r="AO49" s="600">
        <f t="shared" si="15"/>
        <v>-182393</v>
      </c>
      <c r="AP49" s="600">
        <f t="shared" si="30"/>
        <v>78687</v>
      </c>
      <c r="AQ49" s="600">
        <f t="shared" si="31"/>
        <v>81631</v>
      </c>
      <c r="AR49" s="600">
        <f t="shared" si="32"/>
        <v>107149</v>
      </c>
      <c r="AS49" s="600">
        <f t="shared" si="33"/>
        <v>187925</v>
      </c>
      <c r="AT49" s="600">
        <f t="shared" si="34"/>
        <v>100326</v>
      </c>
      <c r="AU49" s="600">
        <f t="shared" si="35"/>
        <v>212709</v>
      </c>
      <c r="AV49" s="600">
        <f t="shared" si="36"/>
        <v>97949</v>
      </c>
      <c r="AW49" s="600">
        <f t="shared" si="37"/>
        <v>0</v>
      </c>
      <c r="AX49" s="600">
        <f t="shared" si="38"/>
        <v>0</v>
      </c>
      <c r="AY49" s="600">
        <f t="shared" si="39"/>
        <v>0</v>
      </c>
      <c r="AZ49" s="600">
        <f t="shared" si="40"/>
        <v>0</v>
      </c>
      <c r="BA49" s="960">
        <f t="shared" si="16"/>
        <v>2.0535354408132314</v>
      </c>
      <c r="BB49" s="600">
        <f>製造費用明細!E41</f>
        <v>-258335</v>
      </c>
      <c r="BC49" s="600">
        <f>製造費用明細!F41</f>
        <v>39122</v>
      </c>
      <c r="BD49" s="600">
        <f>製造費用明細!G41</f>
        <v>114233</v>
      </c>
      <c r="BE49" s="600">
        <f>製造費用明細!H41</f>
        <v>-45706</v>
      </c>
      <c r="BF49" s="600">
        <f>製造費用明細!I41</f>
        <v>-117503</v>
      </c>
      <c r="BG49" s="600">
        <f>製造費用明細!J41</f>
        <v>-58268</v>
      </c>
      <c r="BH49" s="600">
        <f>製造費用明細!K41</f>
        <v>3112</v>
      </c>
      <c r="BI49" s="600">
        <f>製造費用明細!L41</f>
        <v>465889</v>
      </c>
      <c r="BJ49" s="600">
        <f>製造費用明細!M41</f>
        <v>0</v>
      </c>
      <c r="BK49" s="600">
        <f>製造費用明細!N41</f>
        <v>0</v>
      </c>
      <c r="BL49" s="600">
        <f>製造費用明細!O41</f>
        <v>0</v>
      </c>
      <c r="BM49" s="600">
        <f>製造費用明細!P41</f>
        <v>0</v>
      </c>
      <c r="BN49" s="963">
        <f t="shared" si="17"/>
        <v>0.10196806223983726</v>
      </c>
      <c r="BO49" s="600">
        <f t="shared" si="10"/>
        <v>-440728</v>
      </c>
      <c r="BP49" s="600">
        <f t="shared" si="20"/>
        <v>117809</v>
      </c>
      <c r="BQ49" s="600">
        <f t="shared" si="21"/>
        <v>195864</v>
      </c>
      <c r="BR49" s="600">
        <f t="shared" si="22"/>
        <v>61443</v>
      </c>
      <c r="BS49" s="600">
        <f t="shared" si="22"/>
        <v>70422</v>
      </c>
      <c r="BT49" s="600">
        <f t="shared" si="23"/>
        <v>42058</v>
      </c>
      <c r="BU49" s="600">
        <f t="shared" si="24"/>
        <v>215821</v>
      </c>
      <c r="BV49" s="600">
        <f t="shared" si="25"/>
        <v>563838</v>
      </c>
      <c r="BW49" s="600">
        <f t="shared" si="26"/>
        <v>0</v>
      </c>
      <c r="BX49" s="600">
        <f t="shared" si="27"/>
        <v>0</v>
      </c>
      <c r="BY49" s="600">
        <f t="shared" si="28"/>
        <v>0</v>
      </c>
      <c r="BZ49" s="600">
        <f t="shared" si="29"/>
        <v>0</v>
      </c>
      <c r="CA49" s="961">
        <f t="shared" si="18"/>
        <v>1.6093889085713693</v>
      </c>
      <c r="CB49" s="600">
        <v>215821</v>
      </c>
      <c r="CC49" s="561">
        <f t="shared" si="19"/>
        <v>1.6093889085713693</v>
      </c>
      <c r="CD49" s="600"/>
    </row>
    <row r="50" spans="1:82" ht="15" customHeight="1">
      <c r="A50" s="404" t="s">
        <v>1743</v>
      </c>
      <c r="B50" s="600">
        <f>銷售費用!E39</f>
        <v>237798</v>
      </c>
      <c r="C50" s="600">
        <f>銷售費用!F39</f>
        <v>-7596</v>
      </c>
      <c r="D50" s="600">
        <f>銷售費用!G39</f>
        <v>-642916</v>
      </c>
      <c r="E50" s="600">
        <f>銷售費用!H39</f>
        <v>105729</v>
      </c>
      <c r="F50" s="600">
        <f>銷售費用!I39</f>
        <v>-129796</v>
      </c>
      <c r="G50" s="600">
        <f>銷售費用!J39</f>
        <v>48013</v>
      </c>
      <c r="H50" s="600">
        <f>銷售費用!K39</f>
        <v>160693</v>
      </c>
      <c r="I50" s="600">
        <f>銷售費用!L39</f>
        <v>180620</v>
      </c>
      <c r="J50" s="600">
        <f>銷售費用!M39</f>
        <v>0</v>
      </c>
      <c r="K50" s="600">
        <f>銷售費用!N39</f>
        <v>0</v>
      </c>
      <c r="L50" s="405">
        <f>銷售費用!O39</f>
        <v>0</v>
      </c>
      <c r="M50" s="600">
        <f>銷售費用!P39</f>
        <v>0</v>
      </c>
      <c r="N50" s="961">
        <f t="shared" si="13"/>
        <v>4.3492676293753725</v>
      </c>
      <c r="O50" s="600"/>
      <c r="P50" s="600"/>
      <c r="Q50" s="600"/>
      <c r="R50" s="600"/>
      <c r="S50" s="600"/>
      <c r="T50" s="600"/>
      <c r="U50" s="600"/>
      <c r="V50" s="600"/>
      <c r="W50" s="600"/>
      <c r="X50" s="600"/>
      <c r="Y50" s="600"/>
      <c r="Z50" s="600"/>
      <c r="AA50" s="961">
        <f t="shared" si="14"/>
        <v>0</v>
      </c>
      <c r="AB50" s="600">
        <f>研發費用!E35</f>
        <v>191082</v>
      </c>
      <c r="AC50" s="600">
        <f>研發費用!F35</f>
        <v>126677</v>
      </c>
      <c r="AD50" s="600">
        <f>研發費用!G35</f>
        <v>103703</v>
      </c>
      <c r="AE50" s="600">
        <f>研發費用!H35</f>
        <v>125992</v>
      </c>
      <c r="AF50" s="600">
        <f>研發費用!I35</f>
        <v>105690</v>
      </c>
      <c r="AG50" s="600">
        <f>研發費用!J35</f>
        <v>147063</v>
      </c>
      <c r="AH50" s="600">
        <f>研發費用!K35</f>
        <v>134457</v>
      </c>
      <c r="AI50" s="600">
        <f>研發費用!L35</f>
        <v>118923</v>
      </c>
      <c r="AJ50" s="600">
        <f>研發費用!M35</f>
        <v>0</v>
      </c>
      <c r="AK50" s="600">
        <f>研發費用!N35</f>
        <v>0</v>
      </c>
      <c r="AL50" s="600">
        <f>研發費用!O35</f>
        <v>0</v>
      </c>
      <c r="AM50" s="600">
        <f>研發費用!P35</f>
        <v>0</v>
      </c>
      <c r="AN50" s="960">
        <f t="shared" si="11"/>
        <v>4.2477740232365937</v>
      </c>
      <c r="AO50" s="600">
        <f t="shared" si="15"/>
        <v>428880</v>
      </c>
      <c r="AP50" s="600">
        <f t="shared" si="30"/>
        <v>119081</v>
      </c>
      <c r="AQ50" s="600">
        <f t="shared" si="31"/>
        <v>-539213</v>
      </c>
      <c r="AR50" s="600">
        <f t="shared" si="32"/>
        <v>231721</v>
      </c>
      <c r="AS50" s="600">
        <f t="shared" si="33"/>
        <v>-24106</v>
      </c>
      <c r="AT50" s="600">
        <f t="shared" si="34"/>
        <v>195076</v>
      </c>
      <c r="AU50" s="600">
        <f t="shared" si="35"/>
        <v>295150</v>
      </c>
      <c r="AV50" s="600">
        <f t="shared" si="36"/>
        <v>299543</v>
      </c>
      <c r="AW50" s="600">
        <f t="shared" si="37"/>
        <v>0</v>
      </c>
      <c r="AX50" s="600">
        <f t="shared" si="38"/>
        <v>0</v>
      </c>
      <c r="AY50" s="600">
        <f t="shared" si="39"/>
        <v>0</v>
      </c>
      <c r="AZ50" s="600">
        <f t="shared" si="40"/>
        <v>0</v>
      </c>
      <c r="BA50" s="960">
        <f t="shared" si="16"/>
        <v>2.8494374255721442</v>
      </c>
      <c r="BB50" s="600">
        <f>製造費用明細!E42</f>
        <v>0</v>
      </c>
      <c r="BC50" s="600">
        <f>製造費用明細!F42</f>
        <v>0</v>
      </c>
      <c r="BD50" s="600">
        <f>製造費用明細!G42</f>
        <v>0</v>
      </c>
      <c r="BE50" s="600">
        <f>製造費用明細!H42</f>
        <v>0</v>
      </c>
      <c r="BF50" s="600">
        <f>製造費用明細!I42</f>
        <v>0</v>
      </c>
      <c r="BG50" s="600">
        <f>製造費用明細!J42</f>
        <v>0</v>
      </c>
      <c r="BH50" s="600">
        <f>製造費用明細!K42</f>
        <v>0</v>
      </c>
      <c r="BI50" s="600">
        <f>製造費用明細!L42</f>
        <v>0</v>
      </c>
      <c r="BJ50" s="600">
        <f>製造費用明細!M42</f>
        <v>0</v>
      </c>
      <c r="BK50" s="600">
        <f>製造費用明細!N42</f>
        <v>0</v>
      </c>
      <c r="BL50" s="600">
        <f>製造費用明細!O42</f>
        <v>0</v>
      </c>
      <c r="BM50" s="600">
        <f>製造費用明細!P42</f>
        <v>0</v>
      </c>
      <c r="BN50" s="963">
        <f t="shared" si="17"/>
        <v>0</v>
      </c>
      <c r="BO50" s="600">
        <f t="shared" si="10"/>
        <v>428880</v>
      </c>
      <c r="BP50" s="600">
        <f t="shared" si="20"/>
        <v>119081</v>
      </c>
      <c r="BQ50" s="600">
        <f t="shared" si="21"/>
        <v>-539213</v>
      </c>
      <c r="BR50" s="600">
        <f t="shared" si="22"/>
        <v>231721</v>
      </c>
      <c r="BS50" s="600">
        <f t="shared" si="22"/>
        <v>-24106</v>
      </c>
      <c r="BT50" s="600">
        <f t="shared" si="23"/>
        <v>195076</v>
      </c>
      <c r="BU50" s="600">
        <f t="shared" si="24"/>
        <v>295150</v>
      </c>
      <c r="BV50" s="600">
        <f t="shared" si="25"/>
        <v>299543</v>
      </c>
      <c r="BW50" s="600">
        <f t="shared" si="26"/>
        <v>0</v>
      </c>
      <c r="BX50" s="600">
        <f t="shared" si="27"/>
        <v>0</v>
      </c>
      <c r="BY50" s="600">
        <f t="shared" si="28"/>
        <v>0</v>
      </c>
      <c r="BZ50" s="600">
        <f t="shared" si="29"/>
        <v>0</v>
      </c>
      <c r="CA50" s="961">
        <f t="shared" si="18"/>
        <v>2.200949566376023</v>
      </c>
      <c r="CB50" s="600">
        <v>295150</v>
      </c>
      <c r="CC50" s="561">
        <f t="shared" si="19"/>
        <v>2.200949566376023</v>
      </c>
      <c r="CD50" s="600"/>
    </row>
    <row r="51" spans="1:82" ht="15" customHeight="1">
      <c r="A51" s="404" t="s">
        <v>1348</v>
      </c>
      <c r="B51" s="600"/>
      <c r="C51" s="600"/>
      <c r="D51" s="600"/>
      <c r="E51" s="600"/>
      <c r="F51" s="600"/>
      <c r="G51" s="600"/>
      <c r="H51" s="600"/>
      <c r="I51" s="600"/>
      <c r="J51" s="600"/>
      <c r="K51" s="600"/>
      <c r="L51" s="405"/>
      <c r="M51" s="600"/>
      <c r="N51" s="961">
        <f t="shared" si="13"/>
        <v>0</v>
      </c>
      <c r="O51" s="600"/>
      <c r="P51" s="600"/>
      <c r="Q51" s="600"/>
      <c r="R51" s="600"/>
      <c r="S51" s="600"/>
      <c r="T51" s="600"/>
      <c r="U51" s="600"/>
      <c r="V51" s="600"/>
      <c r="W51" s="600"/>
      <c r="X51" s="600"/>
      <c r="Y51" s="600"/>
      <c r="Z51" s="600"/>
      <c r="AA51" s="961">
        <f t="shared" si="14"/>
        <v>0</v>
      </c>
      <c r="AB51" s="600">
        <f>研發費用!E36</f>
        <v>4500</v>
      </c>
      <c r="AC51" s="600">
        <f>研發費用!F36</f>
        <v>12500</v>
      </c>
      <c r="AD51" s="600">
        <f>研發費用!G36</f>
        <v>22200</v>
      </c>
      <c r="AE51" s="600">
        <f>研發費用!H36</f>
        <v>38500</v>
      </c>
      <c r="AF51" s="600">
        <f>研發費用!I36</f>
        <v>0</v>
      </c>
      <c r="AG51" s="600">
        <f>研發費用!J36</f>
        <v>80000</v>
      </c>
      <c r="AH51" s="600">
        <f>研發費用!K36</f>
        <v>0</v>
      </c>
      <c r="AI51" s="600">
        <f>研發費用!L36</f>
        <v>20000</v>
      </c>
      <c r="AJ51" s="600">
        <f>研發費用!M36</f>
        <v>0</v>
      </c>
      <c r="AK51" s="600">
        <f>研發費用!N36</f>
        <v>0</v>
      </c>
      <c r="AL51" s="600">
        <f>研發費用!O36</f>
        <v>0</v>
      </c>
      <c r="AM51" s="600">
        <f>研發費用!P36</f>
        <v>0</v>
      </c>
      <c r="AN51" s="960">
        <f t="shared" si="11"/>
        <v>0</v>
      </c>
      <c r="AO51" s="600">
        <f t="shared" si="15"/>
        <v>4500</v>
      </c>
      <c r="AP51" s="600">
        <f t="shared" si="30"/>
        <v>12500</v>
      </c>
      <c r="AQ51" s="600">
        <f t="shared" si="31"/>
        <v>22200</v>
      </c>
      <c r="AR51" s="600">
        <f t="shared" si="32"/>
        <v>38500</v>
      </c>
      <c r="AS51" s="600">
        <f t="shared" si="33"/>
        <v>0</v>
      </c>
      <c r="AT51" s="600">
        <f t="shared" si="34"/>
        <v>80000</v>
      </c>
      <c r="AU51" s="600">
        <f t="shared" si="35"/>
        <v>0</v>
      </c>
      <c r="AV51" s="600">
        <f t="shared" si="36"/>
        <v>20000</v>
      </c>
      <c r="AW51" s="600">
        <f t="shared" si="37"/>
        <v>0</v>
      </c>
      <c r="AX51" s="600">
        <f t="shared" si="38"/>
        <v>0</v>
      </c>
      <c r="AY51" s="600">
        <f t="shared" si="39"/>
        <v>0</v>
      </c>
      <c r="AZ51" s="600">
        <f t="shared" si="40"/>
        <v>0</v>
      </c>
      <c r="BA51" s="960">
        <f t="shared" si="16"/>
        <v>0</v>
      </c>
      <c r="BB51" s="600"/>
      <c r="BC51" s="600"/>
      <c r="BD51" s="600"/>
      <c r="BE51" s="600"/>
      <c r="BF51" s="600"/>
      <c r="BG51" s="600"/>
      <c r="BH51" s="600"/>
      <c r="BI51" s="600"/>
      <c r="BJ51" s="600"/>
      <c r="BK51" s="600"/>
      <c r="BL51" s="600"/>
      <c r="BM51" s="600"/>
      <c r="BN51" s="963">
        <f t="shared" si="17"/>
        <v>0</v>
      </c>
      <c r="BO51" s="600">
        <f t="shared" si="10"/>
        <v>4500</v>
      </c>
      <c r="BP51" s="600">
        <f t="shared" si="20"/>
        <v>12500</v>
      </c>
      <c r="BQ51" s="600">
        <f t="shared" si="21"/>
        <v>22200</v>
      </c>
      <c r="BR51" s="600">
        <f t="shared" si="22"/>
        <v>38500</v>
      </c>
      <c r="BS51" s="600">
        <f>AS51+BF51</f>
        <v>0</v>
      </c>
      <c r="BT51" s="600">
        <f t="shared" si="23"/>
        <v>80000</v>
      </c>
      <c r="BU51" s="600">
        <f t="shared" si="24"/>
        <v>0</v>
      </c>
      <c r="BV51" s="600">
        <f t="shared" si="25"/>
        <v>20000</v>
      </c>
      <c r="BW51" s="600">
        <f t="shared" si="26"/>
        <v>0</v>
      </c>
      <c r="BX51" s="600">
        <f t="shared" si="27"/>
        <v>0</v>
      </c>
      <c r="BY51" s="600">
        <f t="shared" si="28"/>
        <v>0</v>
      </c>
      <c r="BZ51" s="600">
        <f t="shared" si="29"/>
        <v>0</v>
      </c>
      <c r="CA51" s="961">
        <f t="shared" si="18"/>
        <v>0</v>
      </c>
      <c r="CB51" s="600">
        <v>0</v>
      </c>
      <c r="CC51" s="561">
        <f t="shared" si="19"/>
        <v>0</v>
      </c>
      <c r="CD51" s="600"/>
    </row>
    <row r="52" spans="1:82" ht="15" customHeight="1">
      <c r="A52" s="404" t="s">
        <v>1744</v>
      </c>
      <c r="B52" s="600">
        <f>銷售費用!E40</f>
        <v>10947</v>
      </c>
      <c r="C52" s="600">
        <f>銷售費用!F40</f>
        <v>11010</v>
      </c>
      <c r="D52" s="600">
        <f>銷售費用!G40</f>
        <v>30142</v>
      </c>
      <c r="E52" s="600">
        <f>銷售費用!H40</f>
        <v>26499</v>
      </c>
      <c r="F52" s="600">
        <f>銷售費用!I40</f>
        <v>20537</v>
      </c>
      <c r="G52" s="600">
        <f>銷售費用!J40</f>
        <v>21888</v>
      </c>
      <c r="H52" s="600">
        <f>銷售費用!K40</f>
        <v>10566</v>
      </c>
      <c r="I52" s="600">
        <f>銷售費用!L40</f>
        <v>14922</v>
      </c>
      <c r="J52" s="600">
        <f>銷售費用!M40</f>
        <v>0</v>
      </c>
      <c r="K52" s="600">
        <f>銷售費用!N40</f>
        <v>0</v>
      </c>
      <c r="L52" s="405">
        <f>銷售費用!O40</f>
        <v>0</v>
      </c>
      <c r="M52" s="600">
        <f>銷售費用!P40</f>
        <v>0</v>
      </c>
      <c r="N52" s="961">
        <f t="shared" si="13"/>
        <v>0.28597612697491609</v>
      </c>
      <c r="O52" s="600">
        <f>管理費用!E38</f>
        <v>17611</v>
      </c>
      <c r="P52" s="600">
        <f>管理費用!F38</f>
        <v>130035</v>
      </c>
      <c r="Q52" s="600">
        <f>管理費用!G38</f>
        <v>34697</v>
      </c>
      <c r="R52" s="600">
        <f>管理費用!H38</f>
        <v>36840</v>
      </c>
      <c r="S52" s="600">
        <f>管理費用!I38</f>
        <v>37024</v>
      </c>
      <c r="T52" s="600">
        <f>管理費用!J38</f>
        <v>33731</v>
      </c>
      <c r="U52" s="600">
        <f>管理費用!K38</f>
        <v>32396</v>
      </c>
      <c r="V52" s="600">
        <f>管理費用!L38</f>
        <v>29259</v>
      </c>
      <c r="W52" s="600">
        <f>管理費用!M38</f>
        <v>0</v>
      </c>
      <c r="X52" s="600">
        <f>管理費用!N38</f>
        <v>0</v>
      </c>
      <c r="Y52" s="600">
        <f>管理費用!O38</f>
        <v>0</v>
      </c>
      <c r="Z52" s="600">
        <f>管理費用!P38</f>
        <v>0</v>
      </c>
      <c r="AA52" s="961">
        <f t="shared" si="14"/>
        <v>0.92609771137002495</v>
      </c>
      <c r="AB52" s="600">
        <f>研發費用!E37</f>
        <v>316556</v>
      </c>
      <c r="AC52" s="600">
        <f>研發費用!F37</f>
        <v>-212918</v>
      </c>
      <c r="AD52" s="600">
        <f>研發費用!G37</f>
        <v>35121</v>
      </c>
      <c r="AE52" s="600">
        <f>研發費用!H37</f>
        <v>76497</v>
      </c>
      <c r="AF52" s="600">
        <f>研發費用!I37</f>
        <v>17193</v>
      </c>
      <c r="AG52" s="600">
        <f>研發費用!J37</f>
        <v>35598</v>
      </c>
      <c r="AH52" s="600">
        <f>研發費用!K37</f>
        <v>48732</v>
      </c>
      <c r="AI52" s="600">
        <f>研發費用!L37</f>
        <v>26894</v>
      </c>
      <c r="AJ52" s="600">
        <f>研發費用!M37</f>
        <v>0</v>
      </c>
      <c r="AK52" s="600">
        <f>研發費用!N37</f>
        <v>0</v>
      </c>
      <c r="AL52" s="600">
        <f>研發費用!O37</f>
        <v>0</v>
      </c>
      <c r="AM52" s="600">
        <f>研發費用!P37</f>
        <v>0</v>
      </c>
      <c r="AN52" s="960">
        <f>AH52/$AH$53*100</f>
        <v>1.5395444171769836</v>
      </c>
      <c r="AO52" s="600">
        <f>B52+O52+AB52</f>
        <v>345114</v>
      </c>
      <c r="AP52" s="600">
        <f t="shared" si="30"/>
        <v>-71873</v>
      </c>
      <c r="AQ52" s="600">
        <f t="shared" si="31"/>
        <v>99960</v>
      </c>
      <c r="AR52" s="600">
        <f t="shared" si="32"/>
        <v>139836</v>
      </c>
      <c r="AS52" s="600">
        <f t="shared" si="33"/>
        <v>74754</v>
      </c>
      <c r="AT52" s="600">
        <f t="shared" si="34"/>
        <v>91217</v>
      </c>
      <c r="AU52" s="600">
        <f t="shared" si="35"/>
        <v>91694</v>
      </c>
      <c r="AV52" s="600">
        <f t="shared" si="36"/>
        <v>71075</v>
      </c>
      <c r="AW52" s="600">
        <f>J52+W52+AJ52</f>
        <v>0</v>
      </c>
      <c r="AX52" s="600">
        <f t="shared" si="38"/>
        <v>0</v>
      </c>
      <c r="AY52" s="600">
        <f t="shared" si="39"/>
        <v>0</v>
      </c>
      <c r="AZ52" s="600">
        <f t="shared" si="40"/>
        <v>0</v>
      </c>
      <c r="BA52" s="960">
        <f t="shared" si="16"/>
        <v>0.88523230662514718</v>
      </c>
      <c r="BB52" s="600">
        <f>製造費用明細!E43</f>
        <v>147313</v>
      </c>
      <c r="BC52" s="600">
        <f>製造費用明細!F43</f>
        <v>457747</v>
      </c>
      <c r="BD52" s="600">
        <f>製造費用明細!G43</f>
        <v>112765</v>
      </c>
      <c r="BE52" s="600">
        <f>製造費用明細!H43</f>
        <v>382867</v>
      </c>
      <c r="BF52" s="600">
        <f>製造費用明細!I43</f>
        <v>184001</v>
      </c>
      <c r="BG52" s="600">
        <f>製造費用明細!J43</f>
        <v>216031</v>
      </c>
      <c r="BH52" s="600">
        <f>製造費用明細!K43</f>
        <v>187402</v>
      </c>
      <c r="BI52" s="600">
        <f>製造費用明細!L43</f>
        <v>338576</v>
      </c>
      <c r="BJ52" s="600">
        <f>製造費用明細!M43</f>
        <v>0</v>
      </c>
      <c r="BK52" s="600">
        <f>製造費用明細!N43</f>
        <v>0</v>
      </c>
      <c r="BL52" s="600">
        <f>製造費用明細!O43</f>
        <v>0</v>
      </c>
      <c r="BM52" s="600">
        <f>製造費用明細!P43</f>
        <v>0</v>
      </c>
      <c r="BN52" s="963">
        <f t="shared" si="17"/>
        <v>6.1404302056137485</v>
      </c>
      <c r="BO52" s="600">
        <f t="shared" si="10"/>
        <v>492427</v>
      </c>
      <c r="BP52" s="600">
        <f t="shared" si="20"/>
        <v>385874</v>
      </c>
      <c r="BQ52" s="600">
        <f t="shared" si="21"/>
        <v>212725</v>
      </c>
      <c r="BR52" s="600">
        <f t="shared" si="22"/>
        <v>522703</v>
      </c>
      <c r="BS52" s="600">
        <f t="shared" si="22"/>
        <v>258755</v>
      </c>
      <c r="BT52" s="600">
        <f t="shared" si="23"/>
        <v>307248</v>
      </c>
      <c r="BU52" s="600">
        <f t="shared" si="24"/>
        <v>279096</v>
      </c>
      <c r="BV52" s="600">
        <f t="shared" si="25"/>
        <v>409651</v>
      </c>
      <c r="BW52" s="600">
        <f t="shared" si="26"/>
        <v>0</v>
      </c>
      <c r="BX52" s="600">
        <f t="shared" si="27"/>
        <v>0</v>
      </c>
      <c r="BY52" s="600">
        <f t="shared" si="28"/>
        <v>0</v>
      </c>
      <c r="BZ52" s="600">
        <f t="shared" si="29"/>
        <v>0</v>
      </c>
      <c r="CA52" s="961">
        <f t="shared" si="18"/>
        <v>2.0812340172023802</v>
      </c>
      <c r="CB52" s="600">
        <v>279096</v>
      </c>
      <c r="CC52" s="561">
        <f t="shared" si="19"/>
        <v>2.0812340172023802</v>
      </c>
      <c r="CD52" s="600"/>
    </row>
    <row r="53" spans="1:82" ht="15" customHeight="1" thickBot="1">
      <c r="A53" s="723" t="s">
        <v>1745</v>
      </c>
      <c r="B53" s="724">
        <f>SUM(B15:B52)</f>
        <v>2682181</v>
      </c>
      <c r="C53" s="724">
        <f t="shared" ref="C53:M53" si="41">SUM(C15:C52)</f>
        <v>3034578</v>
      </c>
      <c r="D53" s="724">
        <f>SUM(D15:D52)</f>
        <v>2064980</v>
      </c>
      <c r="E53" s="724">
        <f t="shared" si="41"/>
        <v>2828716</v>
      </c>
      <c r="F53" s="724">
        <f>SUM(F15:F52)</f>
        <v>2899107</v>
      </c>
      <c r="G53" s="724">
        <f t="shared" si="41"/>
        <v>3746561</v>
      </c>
      <c r="H53" s="724">
        <f t="shared" si="41"/>
        <v>3694714</v>
      </c>
      <c r="I53" s="724">
        <f t="shared" si="41"/>
        <v>3586817</v>
      </c>
      <c r="J53" s="724">
        <f>SUM(J15:J52)</f>
        <v>0</v>
      </c>
      <c r="K53" s="724">
        <f t="shared" si="41"/>
        <v>0</v>
      </c>
      <c r="L53" s="724">
        <f t="shared" si="41"/>
        <v>0</v>
      </c>
      <c r="M53" s="724">
        <f t="shared" si="41"/>
        <v>0</v>
      </c>
      <c r="N53" s="962">
        <f>H53/$H$53</f>
        <v>1</v>
      </c>
      <c r="O53" s="724">
        <f t="shared" ref="O53:BM53" si="42">SUM(O15:O52)</f>
        <v>1755765</v>
      </c>
      <c r="P53" s="724">
        <f t="shared" si="42"/>
        <v>2075875</v>
      </c>
      <c r="Q53" s="724">
        <f t="shared" si="42"/>
        <v>1882646</v>
      </c>
      <c r="R53" s="724">
        <f t="shared" si="42"/>
        <v>1770950</v>
      </c>
      <c r="S53" s="724">
        <f t="shared" si="42"/>
        <v>1871563</v>
      </c>
      <c r="T53" s="724">
        <f t="shared" si="42"/>
        <v>1797661</v>
      </c>
      <c r="U53" s="724">
        <f t="shared" si="42"/>
        <v>3498119</v>
      </c>
      <c r="V53" s="724">
        <f t="shared" si="42"/>
        <v>1755224</v>
      </c>
      <c r="W53" s="724">
        <f t="shared" si="42"/>
        <v>0</v>
      </c>
      <c r="X53" s="724">
        <f t="shared" si="42"/>
        <v>0</v>
      </c>
      <c r="Y53" s="724">
        <f t="shared" si="42"/>
        <v>0</v>
      </c>
      <c r="Z53" s="724">
        <f t="shared" si="42"/>
        <v>0</v>
      </c>
      <c r="AA53" s="962">
        <f>U53/$U$53</f>
        <v>1</v>
      </c>
      <c r="AB53" s="724">
        <f t="shared" si="42"/>
        <v>2937856</v>
      </c>
      <c r="AC53" s="724">
        <f t="shared" si="42"/>
        <v>2632242</v>
      </c>
      <c r="AD53" s="724">
        <f t="shared" si="42"/>
        <v>3208223</v>
      </c>
      <c r="AE53" s="724">
        <f t="shared" si="42"/>
        <v>3367941</v>
      </c>
      <c r="AF53" s="724">
        <f t="shared" si="42"/>
        <v>2995265</v>
      </c>
      <c r="AG53" s="724">
        <f t="shared" si="42"/>
        <v>3153532</v>
      </c>
      <c r="AH53" s="724">
        <f t="shared" si="42"/>
        <v>3165352</v>
      </c>
      <c r="AI53" s="724">
        <f t="shared" si="42"/>
        <v>3319491</v>
      </c>
      <c r="AJ53" s="724">
        <f>SUM(AJ15:AJ52)</f>
        <v>0</v>
      </c>
      <c r="AK53" s="724">
        <f t="shared" si="42"/>
        <v>0</v>
      </c>
      <c r="AL53" s="724">
        <f t="shared" si="42"/>
        <v>0</v>
      </c>
      <c r="AM53" s="724">
        <f t="shared" si="42"/>
        <v>0</v>
      </c>
      <c r="AN53" s="962">
        <f>AH53/$AH$53</f>
        <v>1</v>
      </c>
      <c r="AO53" s="724">
        <f>SUM(AO15:AO52)</f>
        <v>7375802</v>
      </c>
      <c r="AP53" s="724">
        <f t="shared" ref="AP53:AZ53" si="43">SUM(AP15:AP52)</f>
        <v>7742695</v>
      </c>
      <c r="AQ53" s="724">
        <f>SUM(AQ15:AQ52)</f>
        <v>7155849</v>
      </c>
      <c r="AR53" s="724">
        <f t="shared" si="43"/>
        <v>7967607</v>
      </c>
      <c r="AS53" s="724">
        <f t="shared" si="43"/>
        <v>7765935</v>
      </c>
      <c r="AT53" s="724">
        <f t="shared" si="43"/>
        <v>8697754</v>
      </c>
      <c r="AU53" s="724">
        <f t="shared" si="43"/>
        <v>10358185</v>
      </c>
      <c r="AV53" s="724">
        <f t="shared" si="43"/>
        <v>8661532</v>
      </c>
      <c r="AW53" s="724">
        <f>SUM(AW15:AW52)</f>
        <v>0</v>
      </c>
      <c r="AX53" s="724">
        <f t="shared" si="43"/>
        <v>0</v>
      </c>
      <c r="AY53" s="724">
        <f t="shared" si="43"/>
        <v>0</v>
      </c>
      <c r="AZ53" s="724">
        <f t="shared" si="43"/>
        <v>0</v>
      </c>
      <c r="BA53" s="962">
        <f>AU53/$AU$53</f>
        <v>1</v>
      </c>
      <c r="BB53" s="724">
        <f>SUM(BB6:BB52)</f>
        <v>2994144</v>
      </c>
      <c r="BC53" s="724">
        <f t="shared" si="42"/>
        <v>3575851</v>
      </c>
      <c r="BD53" s="724">
        <f t="shared" si="42"/>
        <v>3188528</v>
      </c>
      <c r="BE53" s="724">
        <f t="shared" si="42"/>
        <v>3361473</v>
      </c>
      <c r="BF53" s="724">
        <f t="shared" si="42"/>
        <v>2893233</v>
      </c>
      <c r="BG53" s="724">
        <f t="shared" si="42"/>
        <v>3087333</v>
      </c>
      <c r="BH53" s="724">
        <f t="shared" si="42"/>
        <v>3051936</v>
      </c>
      <c r="BI53" s="724">
        <f t="shared" si="42"/>
        <v>3692795</v>
      </c>
      <c r="BJ53" s="724">
        <f t="shared" si="42"/>
        <v>0</v>
      </c>
      <c r="BK53" s="724">
        <f t="shared" si="42"/>
        <v>0</v>
      </c>
      <c r="BL53" s="724">
        <f t="shared" si="42"/>
        <v>0</v>
      </c>
      <c r="BM53" s="724">
        <f t="shared" si="42"/>
        <v>0</v>
      </c>
      <c r="BN53" s="962">
        <f>BH53/$BH$53</f>
        <v>1</v>
      </c>
      <c r="BO53" s="724">
        <f t="shared" ref="BO53:BZ53" si="44">SUM(BO6:BO52)</f>
        <v>10369946</v>
      </c>
      <c r="BP53" s="724">
        <f>SUM(BP6:BP52)</f>
        <v>11318546</v>
      </c>
      <c r="BQ53" s="724">
        <f t="shared" si="44"/>
        <v>10344377</v>
      </c>
      <c r="BR53" s="724">
        <f t="shared" si="44"/>
        <v>11329080</v>
      </c>
      <c r="BS53" s="724">
        <f>AS53+BF53</f>
        <v>10659168</v>
      </c>
      <c r="BT53" s="724">
        <f t="shared" si="44"/>
        <v>11785087</v>
      </c>
      <c r="BU53" s="724">
        <f t="shared" si="44"/>
        <v>13410121</v>
      </c>
      <c r="BV53" s="724">
        <f t="shared" si="44"/>
        <v>12354327</v>
      </c>
      <c r="BW53" s="724">
        <f t="shared" si="44"/>
        <v>0</v>
      </c>
      <c r="BX53" s="724">
        <f t="shared" si="44"/>
        <v>0</v>
      </c>
      <c r="BY53" s="724">
        <f t="shared" si="44"/>
        <v>0</v>
      </c>
      <c r="BZ53" s="724">
        <f t="shared" si="44"/>
        <v>0</v>
      </c>
      <c r="CA53" s="962">
        <f>BU53/$BU$53</f>
        <v>1</v>
      </c>
      <c r="CB53" s="724">
        <v>13410121</v>
      </c>
      <c r="CC53" s="965">
        <f t="shared" ref="CC53" si="45">CB53/$CB$53</f>
        <v>1</v>
      </c>
      <c r="CD53" s="600"/>
    </row>
    <row r="54" spans="1:82" ht="17" thickTop="1">
      <c r="C54" s="600">
        <f>C53-B53</f>
        <v>352397</v>
      </c>
      <c r="D54" s="600">
        <f t="shared" ref="D54:M54" si="46">D53-C53</f>
        <v>-969598</v>
      </c>
      <c r="E54" s="600">
        <f t="shared" si="46"/>
        <v>763736</v>
      </c>
      <c r="F54" s="600">
        <f t="shared" si="46"/>
        <v>70391</v>
      </c>
      <c r="G54" s="600">
        <f t="shared" si="46"/>
        <v>847454</v>
      </c>
      <c r="H54" s="600">
        <f t="shared" si="46"/>
        <v>-51847</v>
      </c>
      <c r="I54" s="600">
        <f t="shared" si="46"/>
        <v>-107897</v>
      </c>
      <c r="J54" s="600">
        <f t="shared" si="46"/>
        <v>-3586817</v>
      </c>
      <c r="K54" s="600">
        <f t="shared" si="46"/>
        <v>0</v>
      </c>
      <c r="L54" s="600">
        <f t="shared" si="46"/>
        <v>0</v>
      </c>
      <c r="M54" s="600">
        <f t="shared" si="46"/>
        <v>0</v>
      </c>
      <c r="P54" s="600">
        <f>P53-O53</f>
        <v>320110</v>
      </c>
      <c r="Q54" s="600">
        <f t="shared" ref="Q54:Z54" si="47">Q53-P53</f>
        <v>-193229</v>
      </c>
      <c r="R54" s="600">
        <f t="shared" si="47"/>
        <v>-111696</v>
      </c>
      <c r="S54" s="600">
        <f t="shared" si="47"/>
        <v>100613</v>
      </c>
      <c r="T54" s="600">
        <f t="shared" si="47"/>
        <v>-73902</v>
      </c>
      <c r="U54" s="600">
        <f t="shared" si="47"/>
        <v>1700458</v>
      </c>
      <c r="V54" s="600">
        <f t="shared" si="47"/>
        <v>-1742895</v>
      </c>
      <c r="W54" s="600">
        <f t="shared" si="47"/>
        <v>-1755224</v>
      </c>
      <c r="X54" s="600">
        <f t="shared" si="47"/>
        <v>0</v>
      </c>
      <c r="Y54" s="600">
        <f t="shared" si="47"/>
        <v>0</v>
      </c>
      <c r="Z54" s="600">
        <f t="shared" si="47"/>
        <v>0</v>
      </c>
      <c r="AC54" s="600">
        <f>AC53-AB53</f>
        <v>-305614</v>
      </c>
      <c r="AD54" s="600">
        <f t="shared" ref="AD54:AM54" si="48">AD53-AC53</f>
        <v>575981</v>
      </c>
      <c r="AE54" s="600">
        <f t="shared" si="48"/>
        <v>159718</v>
      </c>
      <c r="AF54" s="600">
        <f t="shared" si="48"/>
        <v>-372676</v>
      </c>
      <c r="AG54" s="600">
        <f t="shared" si="48"/>
        <v>158267</v>
      </c>
      <c r="AH54" s="600">
        <f t="shared" si="48"/>
        <v>11820</v>
      </c>
      <c r="AI54" s="600">
        <f t="shared" si="48"/>
        <v>154139</v>
      </c>
      <c r="AJ54" s="600">
        <f t="shared" si="48"/>
        <v>-3319491</v>
      </c>
      <c r="AK54" s="600">
        <f t="shared" si="48"/>
        <v>0</v>
      </c>
      <c r="AL54" s="600">
        <f t="shared" si="48"/>
        <v>0</v>
      </c>
      <c r="AM54" s="600">
        <f t="shared" si="48"/>
        <v>0</v>
      </c>
      <c r="AP54" s="600">
        <f>AP53-AO53</f>
        <v>366893</v>
      </c>
      <c r="AQ54" s="600">
        <f t="shared" ref="AQ54:AZ54" si="49">AQ53-AP53</f>
        <v>-586846</v>
      </c>
      <c r="AR54" s="600">
        <f t="shared" si="49"/>
        <v>811758</v>
      </c>
      <c r="AS54" s="600">
        <f t="shared" si="49"/>
        <v>-201672</v>
      </c>
      <c r="AT54" s="600">
        <f t="shared" si="49"/>
        <v>931819</v>
      </c>
      <c r="AU54" s="600">
        <f t="shared" si="49"/>
        <v>1660431</v>
      </c>
      <c r="AV54" s="600">
        <f t="shared" si="49"/>
        <v>-1696653</v>
      </c>
      <c r="AW54" s="600">
        <f t="shared" si="49"/>
        <v>-8661532</v>
      </c>
      <c r="AX54" s="600">
        <f t="shared" si="49"/>
        <v>0</v>
      </c>
      <c r="AY54" s="600">
        <f t="shared" si="49"/>
        <v>0</v>
      </c>
      <c r="AZ54" s="600">
        <f t="shared" si="49"/>
        <v>0</v>
      </c>
      <c r="BC54" s="600">
        <f>BC53-BB53</f>
        <v>581707</v>
      </c>
      <c r="BD54" s="600">
        <f t="shared" ref="BD54" si="50">BD53-BC53</f>
        <v>-387323</v>
      </c>
      <c r="BE54" s="600">
        <f t="shared" ref="BE54" si="51">BE53-BD53</f>
        <v>172945</v>
      </c>
      <c r="BF54" s="600">
        <f t="shared" ref="BF54" si="52">BF53-BE53</f>
        <v>-468240</v>
      </c>
      <c r="BG54" s="600">
        <f t="shared" ref="BG54" si="53">BG53-BF53</f>
        <v>194100</v>
      </c>
      <c r="BO54" s="600"/>
      <c r="BP54" s="600">
        <f>BP53-BO53</f>
        <v>948600</v>
      </c>
      <c r="BQ54" s="600">
        <f t="shared" ref="BQ54" si="54">BQ53-BP53</f>
        <v>-974169</v>
      </c>
      <c r="BR54" s="600">
        <f t="shared" ref="BR54" si="55">BR53-BQ53</f>
        <v>984703</v>
      </c>
      <c r="BS54" s="600">
        <f t="shared" ref="BS54" si="56">BS53-BR53</f>
        <v>-669912</v>
      </c>
      <c r="BT54" s="600">
        <f t="shared" ref="BT54:BV54" si="57">BT53-BS53</f>
        <v>1125919</v>
      </c>
      <c r="BU54" s="600">
        <f t="shared" si="57"/>
        <v>1625034</v>
      </c>
      <c r="BV54" s="600">
        <f t="shared" si="57"/>
        <v>-1055794</v>
      </c>
      <c r="BW54" s="600"/>
      <c r="BX54" s="600"/>
      <c r="BY54" s="600"/>
      <c r="BZ54" s="600"/>
      <c r="CB54" s="543"/>
    </row>
    <row r="55" spans="1:82">
      <c r="AG55" s="712"/>
      <c r="AH55" s="712"/>
      <c r="AI55" s="712"/>
      <c r="AJ55" s="712"/>
      <c r="AK55" s="712"/>
      <c r="AL55" s="712"/>
      <c r="AM55" s="712"/>
      <c r="AQ55" s="712">
        <f>AQ53-AQ18-AQ34-AQ35-AQ36-AQ45-AQ49</f>
        <v>5625034</v>
      </c>
      <c r="BD55" s="712">
        <f>BD53-BD18-BD35-BD36-BD49</f>
        <v>1521796</v>
      </c>
      <c r="BO55" s="600"/>
      <c r="BP55" s="600"/>
      <c r="BQ55" s="600"/>
      <c r="BR55" s="600"/>
      <c r="BS55" s="600"/>
      <c r="BT55" s="600"/>
      <c r="BU55" s="600"/>
      <c r="BV55" s="600"/>
      <c r="BW55" s="600"/>
      <c r="BX55" s="600"/>
      <c r="BY55" s="600"/>
      <c r="BZ55" s="600"/>
      <c r="CB55" s="600">
        <f>BV53-CB53</f>
        <v>-1055794</v>
      </c>
    </row>
    <row r="56" spans="1:82">
      <c r="AG56" s="712"/>
      <c r="AH56" s="712"/>
      <c r="AI56" s="712"/>
      <c r="AJ56" s="712"/>
      <c r="AK56" s="712"/>
      <c r="AL56" s="712"/>
      <c r="BG56" s="712"/>
      <c r="BN56" s="600"/>
      <c r="BP56" s="600"/>
      <c r="BQ56" s="600"/>
      <c r="BR56" s="600"/>
      <c r="BS56" s="600"/>
      <c r="BT56" s="600"/>
      <c r="BU56" s="600"/>
      <c r="BV56" s="600"/>
      <c r="BW56" s="600"/>
      <c r="BX56" s="600"/>
      <c r="BY56" s="600"/>
      <c r="BZ56" s="600"/>
      <c r="CB56" s="600"/>
    </row>
    <row r="57" spans="1:82">
      <c r="BO57" s="600"/>
      <c r="BP57" s="600"/>
      <c r="BQ57" s="600"/>
      <c r="BR57" s="600"/>
      <c r="BS57" s="600"/>
      <c r="BT57" s="600"/>
      <c r="BU57" s="600"/>
      <c r="BV57" s="600"/>
      <c r="BW57" s="600"/>
      <c r="BX57" s="600"/>
      <c r="BY57" s="600"/>
      <c r="BZ57" s="600"/>
    </row>
    <row r="58" spans="1:82">
      <c r="BO58" s="600"/>
      <c r="BP58" s="600"/>
      <c r="BQ58" s="600"/>
      <c r="BR58" s="600"/>
      <c r="BS58" s="600"/>
      <c r="BT58" s="600"/>
      <c r="BU58" s="600"/>
      <c r="BV58" s="600"/>
      <c r="BW58" s="600"/>
      <c r="BX58" s="600"/>
      <c r="BY58" s="600"/>
      <c r="BZ58" s="600"/>
    </row>
    <row r="59" spans="1:82">
      <c r="BO59" s="600"/>
      <c r="BP59" s="600"/>
      <c r="BQ59" s="600"/>
      <c r="BR59" s="600"/>
      <c r="BS59" s="600"/>
      <c r="BT59" s="600"/>
      <c r="BU59" s="600"/>
      <c r="BV59" s="600"/>
      <c r="BW59" s="600"/>
      <c r="BX59" s="600"/>
      <c r="BY59" s="600"/>
      <c r="BZ59" s="600"/>
    </row>
    <row r="60" spans="1:82">
      <c r="BO60" s="600"/>
      <c r="BP60" s="600"/>
      <c r="BQ60" s="600"/>
      <c r="BR60" s="600"/>
      <c r="BS60" s="600"/>
      <c r="BT60" s="600"/>
      <c r="BU60" s="600"/>
      <c r="BV60" s="600"/>
      <c r="BW60" s="600"/>
      <c r="BX60" s="600"/>
      <c r="BY60" s="600"/>
      <c r="BZ60" s="600"/>
    </row>
    <row r="61" spans="1:82">
      <c r="BO61" s="600"/>
      <c r="BP61" s="600"/>
      <c r="BQ61" s="600"/>
      <c r="BR61" s="600"/>
      <c r="BS61" s="600"/>
      <c r="BT61" s="600"/>
      <c r="BU61" s="600"/>
      <c r="BV61" s="600"/>
      <c r="BW61" s="600"/>
      <c r="BX61" s="600"/>
      <c r="BY61" s="600"/>
      <c r="BZ61" s="600"/>
    </row>
    <row r="62" spans="1:82">
      <c r="BO62" s="600"/>
      <c r="BP62" s="600"/>
      <c r="BQ62" s="600"/>
      <c r="BR62" s="600"/>
      <c r="BS62" s="600"/>
      <c r="BT62" s="600"/>
      <c r="BU62" s="600"/>
      <c r="BV62" s="600"/>
      <c r="BW62" s="600"/>
      <c r="BX62" s="600"/>
      <c r="BY62" s="600"/>
      <c r="BZ62" s="600"/>
    </row>
    <row r="63" spans="1:82">
      <c r="BO63" s="600"/>
      <c r="BP63" s="600"/>
      <c r="BQ63" s="600"/>
      <c r="BR63" s="600"/>
      <c r="BS63" s="600"/>
      <c r="BT63" s="600"/>
      <c r="BU63" s="600"/>
      <c r="BV63" s="600"/>
      <c r="BW63" s="600"/>
      <c r="BX63" s="600"/>
      <c r="BY63" s="600"/>
      <c r="BZ63" s="600"/>
    </row>
    <row r="64" spans="1:82">
      <c r="BO64" s="600"/>
      <c r="BP64" s="600"/>
      <c r="BQ64" s="600"/>
      <c r="BR64" s="600"/>
      <c r="BS64" s="600"/>
      <c r="BT64" s="600"/>
      <c r="BU64" s="600"/>
      <c r="BV64" s="600"/>
      <c r="BW64" s="600"/>
      <c r="BX64" s="600"/>
      <c r="BY64" s="600"/>
      <c r="BZ64" s="600"/>
    </row>
    <row r="65" spans="67:78">
      <c r="BO65" s="600"/>
      <c r="BP65" s="600"/>
      <c r="BQ65" s="600"/>
      <c r="BR65" s="600"/>
      <c r="BS65" s="600"/>
      <c r="BT65" s="600"/>
      <c r="BU65" s="600"/>
      <c r="BV65" s="600"/>
      <c r="BW65" s="600"/>
      <c r="BX65" s="600"/>
      <c r="BY65" s="600"/>
      <c r="BZ65" s="600"/>
    </row>
    <row r="66" spans="67:78">
      <c r="BO66" s="600"/>
      <c r="BP66" s="600"/>
      <c r="BQ66" s="600"/>
      <c r="BR66" s="600"/>
      <c r="BS66" s="600"/>
      <c r="BT66" s="600"/>
      <c r="BU66" s="600"/>
      <c r="BV66" s="600"/>
      <c r="BW66" s="600"/>
      <c r="BX66" s="600"/>
      <c r="BY66" s="600"/>
      <c r="BZ66" s="600"/>
    </row>
    <row r="67" spans="67:78">
      <c r="BO67" s="600"/>
      <c r="BP67" s="600"/>
      <c r="BQ67" s="600"/>
      <c r="BR67" s="600"/>
      <c r="BS67" s="600"/>
      <c r="BT67" s="600"/>
      <c r="BU67" s="600"/>
      <c r="BV67" s="600"/>
      <c r="BW67" s="600"/>
      <c r="BX67" s="600"/>
      <c r="BY67" s="600"/>
      <c r="BZ67" s="600"/>
    </row>
    <row r="68" spans="67:78">
      <c r="BO68" s="600"/>
      <c r="BP68" s="600"/>
      <c r="BQ68" s="600"/>
      <c r="BR68" s="600"/>
      <c r="BS68" s="600"/>
      <c r="BT68" s="600"/>
      <c r="BU68" s="600"/>
      <c r="BV68" s="600"/>
      <c r="BW68" s="600"/>
      <c r="BX68" s="600"/>
      <c r="BY68" s="600"/>
      <c r="BZ68" s="600"/>
    </row>
    <row r="69" spans="67:78">
      <c r="BO69" s="600"/>
      <c r="BP69" s="600"/>
      <c r="BQ69" s="600"/>
      <c r="BR69" s="600"/>
      <c r="BS69" s="600"/>
      <c r="BT69" s="600"/>
      <c r="BU69" s="600"/>
      <c r="BV69" s="600"/>
      <c r="BW69" s="600"/>
      <c r="BX69" s="600"/>
      <c r="BY69" s="600"/>
      <c r="BZ69" s="600"/>
    </row>
    <row r="70" spans="67:78">
      <c r="BO70" s="600"/>
      <c r="BP70" s="600"/>
      <c r="BQ70" s="600"/>
      <c r="BR70" s="600"/>
      <c r="BS70" s="600"/>
      <c r="BT70" s="600"/>
      <c r="BU70" s="600"/>
      <c r="BV70" s="600"/>
      <c r="BW70" s="600"/>
      <c r="BX70" s="600"/>
      <c r="BY70" s="600"/>
      <c r="BZ70" s="600"/>
    </row>
    <row r="71" spans="67:78">
      <c r="BO71" s="600"/>
      <c r="BP71" s="600"/>
      <c r="BQ71" s="600"/>
      <c r="BR71" s="600"/>
      <c r="BS71" s="600"/>
      <c r="BT71" s="600"/>
      <c r="BU71" s="600"/>
      <c r="BV71" s="600"/>
      <c r="BW71" s="600"/>
      <c r="BX71" s="600"/>
      <c r="BY71" s="600"/>
      <c r="BZ71" s="600"/>
    </row>
    <row r="72" spans="67:78">
      <c r="BO72" s="600"/>
      <c r="BP72" s="600"/>
      <c r="BQ72" s="600"/>
      <c r="BR72" s="600"/>
      <c r="BS72" s="600"/>
      <c r="BT72" s="600"/>
      <c r="BU72" s="600"/>
      <c r="BV72" s="600"/>
      <c r="BW72" s="600"/>
      <c r="BX72" s="600"/>
      <c r="BY72" s="600"/>
      <c r="BZ72" s="600"/>
    </row>
    <row r="73" spans="67:78">
      <c r="BO73" s="600"/>
      <c r="BP73" s="600"/>
      <c r="BQ73" s="600"/>
      <c r="BR73" s="600"/>
      <c r="BS73" s="600"/>
      <c r="BT73" s="600"/>
      <c r="BU73" s="600"/>
      <c r="BV73" s="600"/>
      <c r="BW73" s="600"/>
      <c r="BX73" s="600"/>
      <c r="BY73" s="600"/>
      <c r="BZ73" s="600"/>
    </row>
    <row r="74" spans="67:78">
      <c r="BO74" s="600"/>
      <c r="BP74" s="600"/>
      <c r="BQ74" s="600"/>
      <c r="BR74" s="600"/>
      <c r="BS74" s="600"/>
      <c r="BT74" s="600"/>
      <c r="BU74" s="600"/>
      <c r="BV74" s="600"/>
      <c r="BW74" s="600"/>
      <c r="BX74" s="600"/>
      <c r="BY74" s="600"/>
      <c r="BZ74" s="600"/>
    </row>
    <row r="75" spans="67:78">
      <c r="BO75" s="600"/>
      <c r="BP75" s="600"/>
      <c r="BQ75" s="600"/>
      <c r="BR75" s="600"/>
      <c r="BS75" s="600"/>
      <c r="BT75" s="600"/>
      <c r="BU75" s="600"/>
      <c r="BV75" s="600"/>
      <c r="BW75" s="600"/>
      <c r="BX75" s="600"/>
      <c r="BY75" s="600"/>
      <c r="BZ75" s="600"/>
    </row>
    <row r="76" spans="67:78">
      <c r="BO76" s="600"/>
      <c r="BP76" s="600"/>
      <c r="BQ76" s="600"/>
      <c r="BR76" s="600"/>
      <c r="BS76" s="600"/>
      <c r="BT76" s="600"/>
      <c r="BU76" s="600"/>
      <c r="BV76" s="600"/>
      <c r="BW76" s="600"/>
      <c r="BX76" s="600"/>
      <c r="BY76" s="600"/>
      <c r="BZ76" s="600"/>
    </row>
    <row r="77" spans="67:78">
      <c r="BO77" s="600"/>
      <c r="BP77" s="600"/>
      <c r="BQ77" s="600"/>
      <c r="BR77" s="600"/>
      <c r="BS77" s="600"/>
      <c r="BT77" s="600"/>
      <c r="BU77" s="600"/>
      <c r="BV77" s="600"/>
      <c r="BW77" s="600"/>
      <c r="BX77" s="600"/>
      <c r="BY77" s="600"/>
      <c r="BZ77" s="600"/>
    </row>
    <row r="78" spans="67:78">
      <c r="BO78" s="600"/>
      <c r="BP78" s="600"/>
      <c r="BQ78" s="600"/>
      <c r="BR78" s="600"/>
      <c r="BS78" s="600"/>
      <c r="BT78" s="600"/>
      <c r="BU78" s="600"/>
      <c r="BV78" s="600"/>
      <c r="BW78" s="600"/>
      <c r="BX78" s="600"/>
      <c r="BY78" s="600"/>
      <c r="BZ78" s="600"/>
    </row>
    <row r="79" spans="67:78">
      <c r="BO79" s="600"/>
      <c r="BP79" s="600"/>
      <c r="BQ79" s="600"/>
      <c r="BR79" s="600"/>
      <c r="BS79" s="600"/>
      <c r="BT79" s="600"/>
      <c r="BU79" s="600"/>
      <c r="BV79" s="600"/>
      <c r="BW79" s="600"/>
      <c r="BX79" s="600"/>
      <c r="BY79" s="600"/>
      <c r="BZ79" s="600"/>
    </row>
    <row r="80" spans="67:78">
      <c r="BO80" s="600"/>
      <c r="BP80" s="600"/>
      <c r="BQ80" s="600"/>
      <c r="BR80" s="600"/>
      <c r="BS80" s="600"/>
      <c r="BT80" s="600"/>
      <c r="BU80" s="600"/>
      <c r="BV80" s="600"/>
      <c r="BW80" s="600"/>
      <c r="BX80" s="600"/>
      <c r="BY80" s="600"/>
      <c r="BZ80" s="600"/>
    </row>
    <row r="81" spans="67:78">
      <c r="BO81" s="600"/>
      <c r="BP81" s="600"/>
      <c r="BQ81" s="600"/>
      <c r="BR81" s="600"/>
      <c r="BS81" s="600"/>
      <c r="BT81" s="600"/>
      <c r="BU81" s="600"/>
      <c r="BV81" s="600"/>
      <c r="BW81" s="600"/>
      <c r="BX81" s="600"/>
      <c r="BY81" s="600"/>
      <c r="BZ81" s="600"/>
    </row>
    <row r="82" spans="67:78">
      <c r="BO82" s="600"/>
      <c r="BP82" s="600"/>
      <c r="BQ82" s="600"/>
      <c r="BR82" s="600"/>
      <c r="BS82" s="600"/>
      <c r="BT82" s="600"/>
      <c r="BU82" s="600"/>
      <c r="BV82" s="600"/>
      <c r="BW82" s="600"/>
      <c r="BX82" s="600"/>
      <c r="BY82" s="600"/>
      <c r="BZ82" s="600"/>
    </row>
    <row r="83" spans="67:78">
      <c r="BO83" s="600"/>
      <c r="BP83" s="600"/>
      <c r="BQ83" s="600"/>
      <c r="BR83" s="600"/>
      <c r="BS83" s="600"/>
      <c r="BT83" s="600"/>
      <c r="BU83" s="600"/>
      <c r="BV83" s="600"/>
      <c r="BW83" s="600"/>
      <c r="BX83" s="600"/>
      <c r="BY83" s="600"/>
      <c r="BZ83" s="600"/>
    </row>
    <row r="84" spans="67:78">
      <c r="BO84" s="600"/>
      <c r="BP84" s="600"/>
      <c r="BQ84" s="600"/>
      <c r="BR84" s="600"/>
      <c r="BS84" s="600"/>
      <c r="BT84" s="600"/>
      <c r="BU84" s="600"/>
      <c r="BV84" s="600"/>
      <c r="BW84" s="600"/>
      <c r="BX84" s="600"/>
      <c r="BY84" s="600"/>
      <c r="BZ84" s="600"/>
    </row>
    <row r="85" spans="67:78">
      <c r="BO85" s="600"/>
      <c r="BP85" s="600"/>
      <c r="BQ85" s="600"/>
      <c r="BR85" s="600"/>
      <c r="BS85" s="600"/>
      <c r="BT85" s="600"/>
      <c r="BU85" s="600"/>
      <c r="BV85" s="600"/>
      <c r="BW85" s="600"/>
      <c r="BX85" s="600"/>
      <c r="BY85" s="600"/>
      <c r="BZ85" s="600"/>
    </row>
    <row r="86" spans="67:78">
      <c r="BO86" s="600"/>
      <c r="BP86" s="600"/>
      <c r="BQ86" s="600"/>
      <c r="BR86" s="600"/>
      <c r="BS86" s="600"/>
      <c r="BT86" s="600"/>
      <c r="BU86" s="600"/>
      <c r="BV86" s="600"/>
      <c r="BW86" s="600"/>
      <c r="BX86" s="600"/>
      <c r="BY86" s="600"/>
      <c r="BZ86" s="600"/>
    </row>
    <row r="87" spans="67:78">
      <c r="BO87" s="600"/>
      <c r="BP87" s="600"/>
      <c r="BQ87" s="600"/>
      <c r="BR87" s="600"/>
      <c r="BS87" s="600"/>
      <c r="BT87" s="600"/>
      <c r="BU87" s="600"/>
      <c r="BV87" s="600"/>
      <c r="BW87" s="600"/>
      <c r="BX87" s="600"/>
      <c r="BY87" s="600"/>
      <c r="BZ87" s="600"/>
    </row>
    <row r="88" spans="67:78">
      <c r="BO88" s="600"/>
      <c r="BP88" s="600"/>
      <c r="BQ88" s="600"/>
      <c r="BR88" s="600"/>
      <c r="BS88" s="600"/>
      <c r="BT88" s="600"/>
      <c r="BU88" s="600"/>
      <c r="BV88" s="600"/>
      <c r="BW88" s="600"/>
      <c r="BX88" s="600"/>
      <c r="BY88" s="600"/>
      <c r="BZ88" s="600"/>
    </row>
    <row r="89" spans="67:78">
      <c r="BO89" s="600"/>
      <c r="BP89" s="600"/>
      <c r="BQ89" s="600"/>
      <c r="BR89" s="600"/>
      <c r="BS89" s="600"/>
      <c r="BT89" s="600"/>
      <c r="BU89" s="600"/>
      <c r="BV89" s="600"/>
      <c r="BW89" s="600"/>
      <c r="BX89" s="600"/>
      <c r="BY89" s="600"/>
      <c r="BZ89" s="600"/>
    </row>
    <row r="90" spans="67:78">
      <c r="BO90" s="600"/>
      <c r="BP90" s="600"/>
      <c r="BQ90" s="600"/>
      <c r="BR90" s="600"/>
      <c r="BS90" s="600"/>
      <c r="BT90" s="600"/>
      <c r="BU90" s="600"/>
      <c r="BV90" s="600"/>
      <c r="BW90" s="600"/>
      <c r="BX90" s="600"/>
      <c r="BY90" s="600"/>
      <c r="BZ90" s="600"/>
    </row>
    <row r="91" spans="67:78">
      <c r="BO91" s="600"/>
      <c r="BP91" s="600"/>
      <c r="BQ91" s="600"/>
      <c r="BR91" s="600"/>
      <c r="BS91" s="600"/>
      <c r="BT91" s="600"/>
      <c r="BU91" s="600"/>
      <c r="BV91" s="600"/>
      <c r="BW91" s="600"/>
      <c r="BX91" s="600"/>
      <c r="BY91" s="600"/>
      <c r="BZ91" s="600"/>
    </row>
    <row r="92" spans="67:78">
      <c r="BO92" s="600"/>
      <c r="BP92" s="600"/>
      <c r="BQ92" s="600"/>
      <c r="BR92" s="600"/>
      <c r="BS92" s="600"/>
      <c r="BT92" s="600"/>
      <c r="BU92" s="600"/>
      <c r="BV92" s="600"/>
      <c r="BW92" s="600"/>
      <c r="BX92" s="600"/>
      <c r="BY92" s="600"/>
      <c r="BZ92" s="600"/>
    </row>
    <row r="93" spans="67:78">
      <c r="BO93" s="600"/>
      <c r="BP93" s="600"/>
      <c r="BQ93" s="600"/>
      <c r="BR93" s="600"/>
      <c r="BS93" s="600"/>
      <c r="BT93" s="600"/>
      <c r="BU93" s="600"/>
      <c r="BV93" s="600"/>
      <c r="BW93" s="600"/>
      <c r="BX93" s="600"/>
      <c r="BY93" s="600"/>
      <c r="BZ93" s="600"/>
    </row>
    <row r="94" spans="67:78">
      <c r="BO94" s="600"/>
      <c r="BP94" s="600"/>
      <c r="BQ94" s="600"/>
      <c r="BR94" s="600"/>
      <c r="BS94" s="600"/>
      <c r="BT94" s="600"/>
      <c r="BU94" s="600"/>
      <c r="BV94" s="600"/>
      <c r="BW94" s="600"/>
      <c r="BX94" s="600"/>
      <c r="BY94" s="600"/>
      <c r="BZ94" s="600"/>
    </row>
    <row r="95" spans="67:78">
      <c r="BO95" s="600"/>
      <c r="BP95" s="600"/>
      <c r="BQ95" s="600"/>
      <c r="BR95" s="600"/>
      <c r="BS95" s="600"/>
      <c r="BT95" s="600"/>
      <c r="BU95" s="600"/>
      <c r="BV95" s="600"/>
      <c r="BW95" s="600"/>
      <c r="BX95" s="600"/>
      <c r="BY95" s="600"/>
      <c r="BZ95" s="600"/>
    </row>
    <row r="96" spans="67:78">
      <c r="BO96" s="600"/>
      <c r="BP96" s="600"/>
      <c r="BQ96" s="600"/>
      <c r="BR96" s="600"/>
      <c r="BS96" s="600"/>
      <c r="BT96" s="600"/>
      <c r="BU96" s="600"/>
      <c r="BV96" s="600"/>
      <c r="BW96" s="600"/>
      <c r="BX96" s="600"/>
      <c r="BY96" s="600"/>
      <c r="BZ96" s="600"/>
    </row>
    <row r="97" spans="67:78">
      <c r="BO97" s="600"/>
      <c r="BP97" s="600"/>
      <c r="BQ97" s="600"/>
      <c r="BR97" s="600"/>
      <c r="BS97" s="600"/>
      <c r="BT97" s="600"/>
      <c r="BU97" s="600"/>
      <c r="BV97" s="600"/>
      <c r="BW97" s="600"/>
      <c r="BX97" s="600"/>
      <c r="BY97" s="600"/>
      <c r="BZ97" s="600"/>
    </row>
    <row r="98" spans="67:78">
      <c r="BO98" s="600"/>
      <c r="BP98" s="600"/>
      <c r="BQ98" s="600"/>
      <c r="BR98" s="600"/>
      <c r="BS98" s="600"/>
      <c r="BT98" s="600"/>
      <c r="BU98" s="600"/>
      <c r="BV98" s="600"/>
      <c r="BW98" s="600"/>
      <c r="BX98" s="600"/>
      <c r="BY98" s="600"/>
      <c r="BZ98" s="600"/>
    </row>
    <row r="99" spans="67:78">
      <c r="BO99" s="600"/>
      <c r="BP99" s="600"/>
      <c r="BQ99" s="600"/>
      <c r="BR99" s="600"/>
      <c r="BS99" s="600"/>
      <c r="BT99" s="600"/>
      <c r="BU99" s="600"/>
      <c r="BV99" s="600"/>
      <c r="BW99" s="600"/>
      <c r="BX99" s="600"/>
      <c r="BY99" s="600"/>
      <c r="BZ99" s="600"/>
    </row>
    <row r="100" spans="67:78">
      <c r="BO100" s="600"/>
      <c r="BP100" s="600"/>
      <c r="BQ100" s="600"/>
      <c r="BR100" s="600"/>
      <c r="BS100" s="600"/>
      <c r="BT100" s="600"/>
      <c r="BU100" s="600"/>
      <c r="BV100" s="600"/>
      <c r="BW100" s="600"/>
      <c r="BX100" s="600"/>
      <c r="BY100" s="600"/>
      <c r="BZ100" s="600"/>
    </row>
    <row r="101" spans="67:78">
      <c r="BO101" s="600"/>
      <c r="BP101" s="600"/>
      <c r="BQ101" s="600"/>
      <c r="BR101" s="600"/>
      <c r="BS101" s="600"/>
      <c r="BT101" s="600"/>
      <c r="BU101" s="600"/>
      <c r="BV101" s="600"/>
      <c r="BW101" s="600"/>
      <c r="BX101" s="600"/>
      <c r="BY101" s="600"/>
      <c r="BZ101" s="600"/>
    </row>
    <row r="102" spans="67:78">
      <c r="BO102" s="600"/>
      <c r="BP102" s="600"/>
      <c r="BQ102" s="600"/>
      <c r="BR102" s="600"/>
      <c r="BS102" s="600"/>
      <c r="BT102" s="600"/>
      <c r="BU102" s="600"/>
      <c r="BV102" s="600"/>
      <c r="BW102" s="600"/>
      <c r="BX102" s="600"/>
      <c r="BY102" s="600"/>
      <c r="BZ102" s="600"/>
    </row>
    <row r="103" spans="67:78">
      <c r="BO103" s="600"/>
      <c r="BP103" s="600"/>
      <c r="BQ103" s="600"/>
      <c r="BR103" s="600"/>
      <c r="BS103" s="600"/>
      <c r="BT103" s="600"/>
      <c r="BU103" s="600"/>
      <c r="BV103" s="600"/>
      <c r="BW103" s="600"/>
      <c r="BX103" s="600"/>
      <c r="BY103" s="600"/>
      <c r="BZ103" s="600"/>
    </row>
    <row r="104" spans="67:78">
      <c r="BO104" s="600"/>
      <c r="BP104" s="600"/>
      <c r="BQ104" s="600"/>
      <c r="BR104" s="600"/>
      <c r="BS104" s="600"/>
      <c r="BT104" s="600"/>
      <c r="BU104" s="600"/>
      <c r="BV104" s="600"/>
      <c r="BW104" s="600"/>
      <c r="BX104" s="600"/>
      <c r="BY104" s="600"/>
      <c r="BZ104" s="600"/>
    </row>
    <row r="105" spans="67:78">
      <c r="BO105" s="600"/>
      <c r="BP105" s="600"/>
      <c r="BQ105" s="600"/>
      <c r="BR105" s="600"/>
      <c r="BS105" s="600"/>
      <c r="BT105" s="600"/>
      <c r="BU105" s="600"/>
      <c r="BV105" s="600"/>
      <c r="BW105" s="600"/>
      <c r="BX105" s="600"/>
      <c r="BY105" s="600"/>
      <c r="BZ105" s="600"/>
    </row>
    <row r="106" spans="67:78">
      <c r="BO106" s="600"/>
      <c r="BP106" s="600"/>
      <c r="BQ106" s="600"/>
      <c r="BR106" s="600"/>
      <c r="BS106" s="600"/>
      <c r="BT106" s="600"/>
      <c r="BU106" s="600"/>
      <c r="BV106" s="600"/>
      <c r="BW106" s="600"/>
      <c r="BX106" s="600"/>
      <c r="BY106" s="600"/>
      <c r="BZ106" s="600"/>
    </row>
    <row r="107" spans="67:78">
      <c r="BO107" s="600"/>
      <c r="BP107" s="600"/>
      <c r="BQ107" s="600"/>
      <c r="BR107" s="600"/>
      <c r="BS107" s="600"/>
      <c r="BT107" s="600"/>
      <c r="BU107" s="600"/>
      <c r="BV107" s="600"/>
      <c r="BW107" s="600"/>
      <c r="BX107" s="600"/>
      <c r="BY107" s="600"/>
      <c r="BZ107" s="600"/>
    </row>
    <row r="108" spans="67:78">
      <c r="BO108" s="600"/>
      <c r="BP108" s="600"/>
      <c r="BQ108" s="600"/>
      <c r="BR108" s="600"/>
      <c r="BS108" s="600"/>
      <c r="BT108" s="600"/>
      <c r="BU108" s="600"/>
      <c r="BV108" s="600"/>
      <c r="BW108" s="600"/>
      <c r="BX108" s="600"/>
      <c r="BY108" s="600"/>
      <c r="BZ108" s="600"/>
    </row>
    <row r="109" spans="67:78">
      <c r="BO109" s="600"/>
      <c r="BP109" s="600"/>
      <c r="BQ109" s="600"/>
      <c r="BR109" s="600"/>
      <c r="BS109" s="600"/>
      <c r="BT109" s="600"/>
      <c r="BU109" s="600"/>
      <c r="BV109" s="600"/>
      <c r="BW109" s="600"/>
      <c r="BX109" s="600"/>
      <c r="BY109" s="600"/>
      <c r="BZ109" s="600"/>
    </row>
    <row r="110" spans="67:78">
      <c r="BO110" s="600"/>
      <c r="BP110" s="600"/>
      <c r="BQ110" s="600"/>
      <c r="BR110" s="600"/>
      <c r="BS110" s="600"/>
      <c r="BT110" s="600"/>
      <c r="BU110" s="600"/>
      <c r="BV110" s="600"/>
      <c r="BW110" s="600"/>
      <c r="BX110" s="600"/>
      <c r="BY110" s="600"/>
      <c r="BZ110" s="600"/>
    </row>
    <row r="111" spans="67:78">
      <c r="BO111" s="600"/>
      <c r="BP111" s="600"/>
      <c r="BQ111" s="600"/>
      <c r="BR111" s="600"/>
      <c r="BS111" s="600"/>
      <c r="BT111" s="600"/>
      <c r="BU111" s="600"/>
      <c r="BV111" s="600"/>
      <c r="BW111" s="600"/>
      <c r="BX111" s="600"/>
      <c r="BY111" s="600"/>
      <c r="BZ111" s="600"/>
    </row>
    <row r="112" spans="67:78">
      <c r="BO112" s="600"/>
      <c r="BP112" s="600"/>
      <c r="BQ112" s="600"/>
      <c r="BR112" s="600"/>
      <c r="BS112" s="600"/>
      <c r="BT112" s="600"/>
      <c r="BU112" s="600"/>
      <c r="BV112" s="600"/>
      <c r="BW112" s="600"/>
      <c r="BX112" s="600"/>
      <c r="BY112" s="600"/>
      <c r="BZ112" s="600"/>
    </row>
    <row r="113" spans="40:78">
      <c r="BO113" s="600"/>
      <c r="BP113" s="600"/>
      <c r="BQ113" s="600"/>
      <c r="BR113" s="600"/>
      <c r="BS113" s="600"/>
      <c r="BT113" s="600"/>
      <c r="BU113" s="600"/>
      <c r="BV113" s="600"/>
      <c r="BW113" s="600"/>
      <c r="BX113" s="600"/>
      <c r="BY113" s="600"/>
      <c r="BZ113" s="600"/>
    </row>
    <row r="114" spans="40:78">
      <c r="BO114" s="600"/>
      <c r="BP114" s="600"/>
      <c r="BQ114" s="600"/>
      <c r="BR114" s="600"/>
      <c r="BS114" s="600"/>
      <c r="BT114" s="600"/>
      <c r="BU114" s="600"/>
      <c r="BV114" s="600"/>
      <c r="BW114" s="600"/>
      <c r="BX114" s="600"/>
      <c r="BY114" s="600"/>
      <c r="BZ114" s="600"/>
    </row>
    <row r="115" spans="40:78">
      <c r="BO115" s="600"/>
      <c r="BP115" s="600"/>
      <c r="BQ115" s="600"/>
      <c r="BR115" s="600"/>
      <c r="BS115" s="600"/>
      <c r="BT115" s="600"/>
      <c r="BU115" s="600"/>
      <c r="BV115" s="600"/>
      <c r="BW115" s="600"/>
      <c r="BX115" s="600"/>
      <c r="BY115" s="600"/>
      <c r="BZ115" s="600"/>
    </row>
    <row r="116" spans="40:78">
      <c r="BO116" s="600"/>
      <c r="BP116" s="600"/>
      <c r="BQ116" s="600"/>
      <c r="BR116" s="600"/>
      <c r="BS116" s="600"/>
      <c r="BT116" s="600"/>
      <c r="BU116" s="600"/>
      <c r="BV116" s="600"/>
      <c r="BW116" s="600"/>
      <c r="BX116" s="600"/>
      <c r="BY116" s="600"/>
      <c r="BZ116" s="600"/>
    </row>
    <row r="117" spans="40:78">
      <c r="BO117" s="600"/>
      <c r="BP117" s="600"/>
      <c r="BQ117" s="600"/>
      <c r="BR117" s="600"/>
      <c r="BS117" s="600"/>
      <c r="BT117" s="600"/>
      <c r="BU117" s="600"/>
      <c r="BV117" s="600"/>
      <c r="BW117" s="600"/>
      <c r="BX117" s="600"/>
      <c r="BY117" s="600"/>
      <c r="BZ117" s="600"/>
    </row>
    <row r="118" spans="40:78">
      <c r="BO118" s="600"/>
      <c r="BP118" s="600"/>
      <c r="BQ118" s="600"/>
      <c r="BR118" s="600"/>
      <c r="BS118" s="600"/>
      <c r="BT118" s="600"/>
      <c r="BU118" s="600"/>
      <c r="BV118" s="600"/>
      <c r="BW118" s="600"/>
      <c r="BX118" s="600"/>
      <c r="BY118" s="600"/>
      <c r="BZ118" s="600"/>
    </row>
    <row r="119" spans="40:78">
      <c r="BO119" s="600"/>
      <c r="BP119" s="600"/>
      <c r="BQ119" s="600"/>
      <c r="BR119" s="600"/>
      <c r="BS119" s="600"/>
      <c r="BT119" s="600"/>
      <c r="BU119" s="600"/>
      <c r="BV119" s="600"/>
      <c r="BW119" s="600"/>
      <c r="BX119" s="600"/>
      <c r="BY119" s="600"/>
      <c r="BZ119" s="600"/>
    </row>
    <row r="120" spans="40:78">
      <c r="BO120" s="600"/>
      <c r="BP120" s="600"/>
      <c r="BQ120" s="600"/>
      <c r="BR120" s="600"/>
      <c r="BS120" s="600"/>
      <c r="BT120" s="600"/>
      <c r="BU120" s="600"/>
      <c r="BV120" s="600"/>
      <c r="BW120" s="600"/>
      <c r="BX120" s="600"/>
      <c r="BY120" s="600"/>
      <c r="BZ120" s="600"/>
    </row>
    <row r="121" spans="40:78">
      <c r="AN121" s="600"/>
      <c r="AO121" s="600"/>
      <c r="AP121" s="600"/>
      <c r="AQ121" s="600"/>
      <c r="AR121" s="600"/>
      <c r="AS121" s="600"/>
      <c r="AT121" s="600"/>
      <c r="AU121" s="600"/>
      <c r="AV121" s="600"/>
      <c r="AW121" s="600"/>
      <c r="AX121" s="600"/>
      <c r="AY121" s="600"/>
      <c r="AZ121" s="600"/>
      <c r="BB121" s="600"/>
      <c r="BC121" s="600"/>
      <c r="BD121" s="600"/>
      <c r="BE121" s="600"/>
      <c r="BF121" s="600"/>
      <c r="BG121" s="600"/>
      <c r="BH121" s="600"/>
      <c r="BI121" s="600"/>
      <c r="BJ121" s="600"/>
      <c r="BK121" s="600"/>
      <c r="BL121" s="600"/>
      <c r="BM121" s="600"/>
      <c r="BO121" s="600"/>
      <c r="BP121" s="600"/>
      <c r="BQ121" s="600"/>
      <c r="BR121" s="600"/>
      <c r="BS121" s="600"/>
      <c r="BT121" s="600"/>
      <c r="BU121" s="600"/>
      <c r="BV121" s="600"/>
      <c r="BW121" s="600"/>
      <c r="BX121" s="600"/>
      <c r="BY121" s="600"/>
      <c r="BZ121" s="600"/>
    </row>
    <row r="122" spans="40:78">
      <c r="BO122" s="600"/>
      <c r="BP122" s="600"/>
      <c r="BQ122" s="600"/>
      <c r="BR122" s="600"/>
      <c r="BS122" s="600"/>
      <c r="BT122" s="600"/>
      <c r="BU122" s="600"/>
      <c r="BV122" s="600"/>
      <c r="BW122" s="600"/>
      <c r="BX122" s="600"/>
      <c r="BY122" s="600"/>
      <c r="BZ122" s="600"/>
    </row>
    <row r="123" spans="40:78">
      <c r="BO123" s="600"/>
      <c r="BP123" s="600"/>
      <c r="BQ123" s="600"/>
      <c r="BR123" s="600"/>
      <c r="BS123" s="600"/>
      <c r="BT123" s="600"/>
      <c r="BU123" s="600"/>
      <c r="BV123" s="600"/>
      <c r="BW123" s="600"/>
      <c r="BX123" s="600"/>
      <c r="BY123" s="600"/>
      <c r="BZ123" s="600"/>
    </row>
    <row r="124" spans="40:78">
      <c r="BO124" s="600"/>
      <c r="BP124" s="600"/>
      <c r="BQ124" s="600"/>
      <c r="BR124" s="600"/>
      <c r="BS124" s="600"/>
      <c r="BT124" s="600"/>
      <c r="BU124" s="600"/>
      <c r="BV124" s="600"/>
      <c r="BW124" s="600"/>
      <c r="BX124" s="600"/>
      <c r="BY124" s="600"/>
      <c r="BZ124" s="600"/>
    </row>
    <row r="125" spans="40:78">
      <c r="BO125" s="600"/>
      <c r="BP125" s="600"/>
      <c r="BQ125" s="600"/>
      <c r="BR125" s="600"/>
      <c r="BS125" s="600"/>
      <c r="BT125" s="600"/>
      <c r="BU125" s="600"/>
      <c r="BV125" s="600"/>
      <c r="BW125" s="600"/>
      <c r="BX125" s="600"/>
      <c r="BY125" s="600"/>
      <c r="BZ125" s="600"/>
    </row>
    <row r="126" spans="40:78">
      <c r="BO126" s="600"/>
      <c r="BP126" s="600"/>
      <c r="BQ126" s="600"/>
      <c r="BR126" s="600"/>
      <c r="BS126" s="600"/>
      <c r="BT126" s="600"/>
      <c r="BU126" s="600"/>
      <c r="BV126" s="600"/>
      <c r="BW126" s="600"/>
      <c r="BX126" s="600"/>
      <c r="BY126" s="600"/>
      <c r="BZ126" s="600"/>
    </row>
    <row r="127" spans="40:78">
      <c r="BO127" s="600"/>
      <c r="BP127" s="600"/>
      <c r="BQ127" s="600"/>
      <c r="BR127" s="600"/>
      <c r="BS127" s="600"/>
      <c r="BT127" s="600"/>
      <c r="BU127" s="600"/>
      <c r="BV127" s="600"/>
      <c r="BW127" s="600"/>
      <c r="BX127" s="600"/>
      <c r="BY127" s="600"/>
      <c r="BZ127" s="600"/>
    </row>
    <row r="128" spans="40:78">
      <c r="BO128" s="600"/>
      <c r="BP128" s="600"/>
      <c r="BQ128" s="600"/>
      <c r="BR128" s="600"/>
      <c r="BS128" s="600"/>
      <c r="BT128" s="600"/>
      <c r="BU128" s="600"/>
      <c r="BV128" s="600"/>
      <c r="BW128" s="600"/>
      <c r="BX128" s="600"/>
      <c r="BY128" s="600"/>
      <c r="BZ128" s="600"/>
    </row>
    <row r="129" spans="67:78">
      <c r="BO129" s="600"/>
      <c r="BP129" s="600"/>
      <c r="BQ129" s="600"/>
      <c r="BR129" s="600"/>
      <c r="BS129" s="600"/>
      <c r="BT129" s="600"/>
      <c r="BU129" s="600"/>
      <c r="BV129" s="600"/>
      <c r="BW129" s="600"/>
      <c r="BX129" s="600"/>
      <c r="BY129" s="600"/>
      <c r="BZ129" s="600"/>
    </row>
    <row r="130" spans="67:78">
      <c r="BO130" s="600"/>
      <c r="BP130" s="600"/>
      <c r="BQ130" s="600"/>
      <c r="BR130" s="600"/>
      <c r="BS130" s="600"/>
      <c r="BT130" s="600"/>
      <c r="BU130" s="600"/>
      <c r="BV130" s="600"/>
      <c r="BW130" s="600"/>
      <c r="BX130" s="600"/>
      <c r="BY130" s="600"/>
      <c r="BZ130" s="600"/>
    </row>
    <row r="131" spans="67:78">
      <c r="BO131" s="600"/>
      <c r="BP131" s="600"/>
      <c r="BQ131" s="600"/>
      <c r="BR131" s="600"/>
      <c r="BS131" s="600"/>
      <c r="BT131" s="600"/>
      <c r="BU131" s="600"/>
      <c r="BV131" s="600"/>
      <c r="BW131" s="600"/>
      <c r="BX131" s="600"/>
      <c r="BY131" s="600"/>
      <c r="BZ131" s="600"/>
    </row>
    <row r="132" spans="67:78">
      <c r="BO132" s="600"/>
      <c r="BP132" s="600"/>
      <c r="BQ132" s="600"/>
      <c r="BR132" s="600"/>
      <c r="BS132" s="600"/>
      <c r="BT132" s="600"/>
      <c r="BU132" s="600"/>
      <c r="BV132" s="600"/>
      <c r="BW132" s="600"/>
      <c r="BX132" s="600"/>
      <c r="BY132" s="600"/>
      <c r="BZ132" s="600"/>
    </row>
    <row r="133" spans="67:78">
      <c r="BO133" s="600"/>
      <c r="BP133" s="600"/>
      <c r="BQ133" s="600"/>
      <c r="BR133" s="600"/>
      <c r="BS133" s="600"/>
      <c r="BT133" s="600"/>
      <c r="BU133" s="600"/>
      <c r="BV133" s="600"/>
      <c r="BW133" s="600"/>
      <c r="BX133" s="600"/>
      <c r="BY133" s="600"/>
      <c r="BZ133" s="600"/>
    </row>
    <row r="134" spans="67:78">
      <c r="BO134" s="600"/>
      <c r="BP134" s="600"/>
      <c r="BQ134" s="600"/>
      <c r="BR134" s="600"/>
      <c r="BS134" s="600"/>
      <c r="BT134" s="600"/>
      <c r="BU134" s="600"/>
      <c r="BV134" s="600"/>
      <c r="BW134" s="600"/>
      <c r="BX134" s="600"/>
      <c r="BY134" s="600"/>
      <c r="BZ134" s="600"/>
    </row>
    <row r="135" spans="67:78">
      <c r="BO135" s="600"/>
      <c r="BP135" s="600"/>
      <c r="BQ135" s="600"/>
      <c r="BR135" s="600"/>
      <c r="BS135" s="600"/>
      <c r="BT135" s="600"/>
      <c r="BU135" s="600"/>
      <c r="BV135" s="600"/>
      <c r="BW135" s="600"/>
      <c r="BX135" s="600"/>
      <c r="BY135" s="600"/>
      <c r="BZ135" s="600"/>
    </row>
    <row r="136" spans="67:78">
      <c r="BO136" s="600"/>
      <c r="BP136" s="600"/>
      <c r="BQ136" s="600"/>
      <c r="BR136" s="600"/>
      <c r="BS136" s="600"/>
      <c r="BT136" s="600"/>
      <c r="BU136" s="600"/>
      <c r="BV136" s="600"/>
      <c r="BW136" s="600"/>
      <c r="BX136" s="600"/>
      <c r="BY136" s="600"/>
      <c r="BZ136" s="600"/>
    </row>
    <row r="137" spans="67:78">
      <c r="BO137" s="600"/>
      <c r="BP137" s="600"/>
      <c r="BQ137" s="600"/>
      <c r="BR137" s="600"/>
      <c r="BS137" s="600"/>
      <c r="BT137" s="600"/>
      <c r="BU137" s="600"/>
      <c r="BV137" s="600"/>
      <c r="BW137" s="600"/>
      <c r="BX137" s="600"/>
      <c r="BY137" s="600"/>
      <c r="BZ137" s="600"/>
    </row>
    <row r="138" spans="67:78">
      <c r="BO138" s="600"/>
      <c r="BP138" s="600"/>
      <c r="BQ138" s="600"/>
      <c r="BR138" s="600"/>
      <c r="BS138" s="600"/>
      <c r="BT138" s="600"/>
      <c r="BU138" s="600"/>
      <c r="BV138" s="600"/>
      <c r="BW138" s="600"/>
      <c r="BX138" s="600"/>
      <c r="BY138" s="600"/>
      <c r="BZ138" s="600"/>
    </row>
    <row r="139" spans="67:78">
      <c r="BO139" s="600"/>
      <c r="BP139" s="600"/>
      <c r="BQ139" s="600"/>
      <c r="BR139" s="600"/>
      <c r="BS139" s="600"/>
      <c r="BT139" s="600"/>
      <c r="BU139" s="600"/>
      <c r="BV139" s="600"/>
      <c r="BW139" s="600"/>
      <c r="BX139" s="600"/>
      <c r="BY139" s="600"/>
      <c r="BZ139" s="600"/>
    </row>
    <row r="140" spans="67:78">
      <c r="BO140" s="600"/>
      <c r="BP140" s="600"/>
      <c r="BQ140" s="600"/>
      <c r="BR140" s="600"/>
      <c r="BS140" s="600"/>
      <c r="BT140" s="600"/>
      <c r="BU140" s="600"/>
      <c r="BV140" s="600"/>
      <c r="BW140" s="600"/>
      <c r="BX140" s="600"/>
      <c r="BY140" s="600"/>
      <c r="BZ140" s="600"/>
    </row>
    <row r="141" spans="67:78">
      <c r="BO141" s="600"/>
      <c r="BP141" s="600"/>
      <c r="BQ141" s="600"/>
      <c r="BR141" s="600"/>
      <c r="BS141" s="600"/>
      <c r="BT141" s="600"/>
      <c r="BU141" s="600"/>
      <c r="BV141" s="600"/>
      <c r="BW141" s="600"/>
      <c r="BX141" s="600"/>
      <c r="BY141" s="600"/>
      <c r="BZ141" s="600"/>
    </row>
    <row r="142" spans="67:78">
      <c r="BO142" s="600"/>
      <c r="BP142" s="600"/>
      <c r="BQ142" s="600"/>
      <c r="BR142" s="600"/>
      <c r="BS142" s="600"/>
      <c r="BT142" s="600"/>
      <c r="BU142" s="600"/>
      <c r="BV142" s="600"/>
      <c r="BW142" s="600"/>
      <c r="BX142" s="600"/>
      <c r="BY142" s="600"/>
      <c r="BZ142" s="600"/>
    </row>
    <row r="143" spans="67:78">
      <c r="BO143" s="600"/>
      <c r="BP143" s="600"/>
      <c r="BQ143" s="600"/>
      <c r="BR143" s="600"/>
      <c r="BS143" s="600"/>
      <c r="BT143" s="600"/>
      <c r="BU143" s="600"/>
      <c r="BV143" s="600"/>
      <c r="BW143" s="600"/>
      <c r="BX143" s="600"/>
      <c r="BY143" s="600"/>
      <c r="BZ143" s="600"/>
    </row>
    <row r="144" spans="67:78">
      <c r="BO144" s="600"/>
      <c r="BP144" s="600"/>
      <c r="BQ144" s="600"/>
      <c r="BR144" s="600"/>
      <c r="BS144" s="600"/>
      <c r="BT144" s="600"/>
      <c r="BU144" s="600"/>
      <c r="BV144" s="600"/>
      <c r="BW144" s="600"/>
      <c r="BX144" s="600"/>
      <c r="BY144" s="600"/>
      <c r="BZ144" s="600"/>
    </row>
    <row r="145" spans="67:78">
      <c r="BO145" s="600"/>
      <c r="BP145" s="600"/>
      <c r="BQ145" s="600"/>
      <c r="BR145" s="600"/>
      <c r="BS145" s="600"/>
      <c r="BT145" s="600"/>
      <c r="BU145" s="600"/>
      <c r="BV145" s="600"/>
      <c r="BW145" s="600"/>
      <c r="BX145" s="600"/>
      <c r="BY145" s="600"/>
      <c r="BZ145" s="600"/>
    </row>
    <row r="146" spans="67:78">
      <c r="BO146" s="600"/>
      <c r="BP146" s="600"/>
      <c r="BQ146" s="600"/>
      <c r="BR146" s="600"/>
      <c r="BS146" s="600"/>
      <c r="BT146" s="600"/>
      <c r="BU146" s="600"/>
      <c r="BV146" s="600"/>
      <c r="BW146" s="600"/>
      <c r="BX146" s="600"/>
      <c r="BY146" s="600"/>
      <c r="BZ146" s="600"/>
    </row>
    <row r="147" spans="67:78">
      <c r="BO147" s="600"/>
      <c r="BP147" s="600"/>
      <c r="BQ147" s="600"/>
      <c r="BR147" s="600"/>
      <c r="BS147" s="600"/>
      <c r="BT147" s="600"/>
      <c r="BU147" s="600"/>
      <c r="BV147" s="600"/>
      <c r="BW147" s="600"/>
      <c r="BX147" s="600"/>
      <c r="BY147" s="600"/>
      <c r="BZ147" s="600"/>
    </row>
    <row r="148" spans="67:78">
      <c r="BO148" s="600"/>
      <c r="BP148" s="600"/>
      <c r="BQ148" s="600"/>
      <c r="BR148" s="600"/>
      <c r="BS148" s="600"/>
      <c r="BT148" s="600"/>
      <c r="BU148" s="600"/>
      <c r="BV148" s="600"/>
      <c r="BW148" s="600"/>
      <c r="BX148" s="600"/>
      <c r="BY148" s="600"/>
      <c r="BZ148" s="600"/>
    </row>
    <row r="149" spans="67:78">
      <c r="BO149" s="600"/>
      <c r="BP149" s="600"/>
      <c r="BQ149" s="600"/>
      <c r="BR149" s="600"/>
      <c r="BS149" s="600"/>
      <c r="BT149" s="600"/>
      <c r="BU149" s="600"/>
      <c r="BV149" s="600"/>
      <c r="BW149" s="600"/>
      <c r="BX149" s="600"/>
      <c r="BY149" s="600"/>
      <c r="BZ149" s="600"/>
    </row>
    <row r="150" spans="67:78">
      <c r="BO150" s="600"/>
      <c r="BP150" s="600"/>
      <c r="BQ150" s="600"/>
      <c r="BR150" s="600"/>
      <c r="BS150" s="600"/>
      <c r="BT150" s="600"/>
      <c r="BU150" s="600"/>
      <c r="BV150" s="600"/>
      <c r="BW150" s="600"/>
      <c r="BX150" s="600"/>
      <c r="BY150" s="600"/>
      <c r="BZ150" s="600"/>
    </row>
    <row r="151" spans="67:78">
      <c r="BO151" s="600"/>
      <c r="BP151" s="600"/>
      <c r="BQ151" s="600"/>
      <c r="BR151" s="600"/>
      <c r="BS151" s="600"/>
      <c r="BT151" s="600"/>
      <c r="BU151" s="600"/>
      <c r="BV151" s="600"/>
      <c r="BW151" s="600"/>
      <c r="BX151" s="600"/>
      <c r="BY151" s="600"/>
      <c r="BZ151" s="600"/>
    </row>
    <row r="152" spans="67:78">
      <c r="BO152" s="600"/>
      <c r="BP152" s="600"/>
      <c r="BQ152" s="600"/>
      <c r="BR152" s="600"/>
      <c r="BS152" s="600"/>
      <c r="BT152" s="600"/>
      <c r="BU152" s="600"/>
      <c r="BV152" s="600"/>
      <c r="BW152" s="600"/>
      <c r="BX152" s="600"/>
      <c r="BY152" s="600"/>
      <c r="BZ152" s="600"/>
    </row>
    <row r="153" spans="67:78">
      <c r="BO153" s="600"/>
      <c r="BP153" s="600"/>
      <c r="BQ153" s="600"/>
      <c r="BR153" s="600"/>
      <c r="BS153" s="600"/>
      <c r="BT153" s="600"/>
      <c r="BU153" s="600"/>
      <c r="BV153" s="600"/>
      <c r="BW153" s="600"/>
      <c r="BX153" s="600"/>
      <c r="BY153" s="600"/>
      <c r="BZ153" s="600"/>
    </row>
    <row r="154" spans="67:78">
      <c r="BO154" s="600"/>
      <c r="BP154" s="600"/>
      <c r="BQ154" s="600"/>
      <c r="BR154" s="600"/>
      <c r="BS154" s="600"/>
      <c r="BT154" s="600"/>
      <c r="BU154" s="600"/>
      <c r="BV154" s="600"/>
      <c r="BW154" s="600"/>
      <c r="BX154" s="600"/>
      <c r="BY154" s="600"/>
      <c r="BZ154" s="600"/>
    </row>
    <row r="155" spans="67:78">
      <c r="BO155" s="600"/>
      <c r="BP155" s="600"/>
      <c r="BQ155" s="600"/>
      <c r="BR155" s="600"/>
      <c r="BS155" s="600"/>
      <c r="BT155" s="600"/>
      <c r="BU155" s="600"/>
      <c r="BV155" s="600"/>
      <c r="BW155" s="600"/>
      <c r="BX155" s="600"/>
      <c r="BY155" s="600"/>
      <c r="BZ155" s="600"/>
    </row>
    <row r="156" spans="67:78">
      <c r="BO156" s="600"/>
      <c r="BP156" s="600"/>
      <c r="BQ156" s="600"/>
      <c r="BR156" s="600"/>
      <c r="BS156" s="600"/>
      <c r="BT156" s="600"/>
      <c r="BU156" s="600"/>
      <c r="BV156" s="600"/>
      <c r="BW156" s="600"/>
      <c r="BX156" s="600"/>
      <c r="BY156" s="600"/>
      <c r="BZ156" s="600"/>
    </row>
    <row r="157" spans="67:78">
      <c r="BO157" s="600"/>
      <c r="BP157" s="600"/>
      <c r="BQ157" s="600"/>
      <c r="BR157" s="600"/>
      <c r="BS157" s="600"/>
      <c r="BT157" s="600"/>
      <c r="BU157" s="600"/>
      <c r="BV157" s="600"/>
      <c r="BW157" s="600"/>
      <c r="BX157" s="600"/>
      <c r="BY157" s="600"/>
      <c r="BZ157" s="600"/>
    </row>
    <row r="158" spans="67:78">
      <c r="BO158" s="600"/>
      <c r="BP158" s="600"/>
      <c r="BQ158" s="600"/>
      <c r="BR158" s="600"/>
      <c r="BS158" s="600"/>
      <c r="BT158" s="600"/>
      <c r="BU158" s="600"/>
      <c r="BV158" s="600"/>
      <c r="BW158" s="600"/>
      <c r="BX158" s="600"/>
      <c r="BY158" s="600"/>
      <c r="BZ158" s="600"/>
    </row>
    <row r="159" spans="67:78">
      <c r="BO159" s="600"/>
      <c r="BP159" s="600"/>
      <c r="BQ159" s="600"/>
      <c r="BR159" s="600"/>
      <c r="BS159" s="600"/>
      <c r="BT159" s="600"/>
      <c r="BU159" s="600"/>
      <c r="BV159" s="600"/>
      <c r="BW159" s="600"/>
      <c r="BX159" s="600"/>
      <c r="BY159" s="600"/>
      <c r="BZ159" s="600"/>
    </row>
    <row r="160" spans="67:78">
      <c r="BO160" s="600"/>
      <c r="BP160" s="600"/>
      <c r="BQ160" s="600"/>
      <c r="BR160" s="600"/>
      <c r="BS160" s="600"/>
      <c r="BT160" s="600"/>
      <c r="BU160" s="600"/>
      <c r="BV160" s="600"/>
      <c r="BW160" s="600"/>
      <c r="BX160" s="600"/>
      <c r="BY160" s="600"/>
      <c r="BZ160" s="600"/>
    </row>
    <row r="161" spans="67:78">
      <c r="BO161" s="600"/>
      <c r="BP161" s="600"/>
      <c r="BQ161" s="600"/>
      <c r="BR161" s="600"/>
      <c r="BS161" s="600"/>
      <c r="BT161" s="600"/>
      <c r="BU161" s="600"/>
      <c r="BV161" s="600"/>
      <c r="BW161" s="600"/>
      <c r="BX161" s="600"/>
      <c r="BY161" s="600"/>
      <c r="BZ161" s="600"/>
    </row>
    <row r="162" spans="67:78">
      <c r="BO162" s="600"/>
      <c r="BP162" s="600"/>
      <c r="BQ162" s="600"/>
      <c r="BR162" s="600"/>
      <c r="BS162" s="600"/>
      <c r="BT162" s="600"/>
      <c r="BU162" s="600"/>
      <c r="BV162" s="600"/>
      <c r="BW162" s="600"/>
      <c r="BX162" s="600"/>
      <c r="BY162" s="600"/>
      <c r="BZ162" s="600"/>
    </row>
    <row r="163" spans="67:78">
      <c r="BO163" s="600"/>
      <c r="BP163" s="600"/>
      <c r="BQ163" s="600"/>
      <c r="BR163" s="600"/>
      <c r="BS163" s="600"/>
      <c r="BT163" s="600"/>
      <c r="BU163" s="600"/>
      <c r="BV163" s="600"/>
      <c r="BW163" s="600"/>
      <c r="BX163" s="600"/>
      <c r="BY163" s="600"/>
      <c r="BZ163" s="600"/>
    </row>
    <row r="164" spans="67:78">
      <c r="BO164" s="600"/>
      <c r="BP164" s="600"/>
      <c r="BQ164" s="600"/>
      <c r="BR164" s="600"/>
      <c r="BS164" s="600"/>
      <c r="BT164" s="600"/>
      <c r="BU164" s="600"/>
      <c r="BV164" s="600"/>
      <c r="BW164" s="600"/>
      <c r="BX164" s="600"/>
      <c r="BY164" s="600"/>
      <c r="BZ164" s="600"/>
    </row>
    <row r="165" spans="67:78">
      <c r="BO165" s="600"/>
      <c r="BP165" s="600"/>
      <c r="BQ165" s="600"/>
      <c r="BR165" s="600"/>
      <c r="BS165" s="600"/>
      <c r="BT165" s="600"/>
      <c r="BU165" s="600"/>
      <c r="BV165" s="600"/>
      <c r="BW165" s="600"/>
      <c r="BX165" s="600"/>
      <c r="BY165" s="600"/>
      <c r="BZ165" s="600"/>
    </row>
    <row r="166" spans="67:78">
      <c r="BO166" s="600"/>
      <c r="BP166" s="600"/>
      <c r="BQ166" s="600"/>
      <c r="BR166" s="600"/>
      <c r="BS166" s="600"/>
      <c r="BT166" s="600"/>
      <c r="BU166" s="600"/>
      <c r="BV166" s="600"/>
      <c r="BW166" s="600"/>
      <c r="BX166" s="600"/>
      <c r="BY166" s="600"/>
      <c r="BZ166" s="600"/>
    </row>
    <row r="167" spans="67:78">
      <c r="BO167" s="600"/>
      <c r="BP167" s="600"/>
      <c r="BQ167" s="600"/>
      <c r="BR167" s="600"/>
      <c r="BS167" s="600"/>
      <c r="BT167" s="600"/>
      <c r="BU167" s="600"/>
      <c r="BV167" s="600"/>
      <c r="BW167" s="600"/>
      <c r="BX167" s="600"/>
      <c r="BY167" s="600"/>
      <c r="BZ167" s="600"/>
    </row>
    <row r="168" spans="67:78">
      <c r="BO168" s="600"/>
      <c r="BP168" s="600"/>
      <c r="BQ168" s="600"/>
      <c r="BR168" s="600"/>
      <c r="BS168" s="600"/>
      <c r="BT168" s="600"/>
      <c r="BU168" s="600"/>
      <c r="BV168" s="600"/>
      <c r="BW168" s="600"/>
      <c r="BX168" s="600"/>
      <c r="BY168" s="600"/>
      <c r="BZ168" s="600"/>
    </row>
    <row r="169" spans="67:78">
      <c r="BO169" s="600"/>
      <c r="BP169" s="600"/>
      <c r="BQ169" s="600"/>
      <c r="BR169" s="600"/>
      <c r="BS169" s="600"/>
      <c r="BT169" s="600"/>
      <c r="BU169" s="600"/>
      <c r="BV169" s="600"/>
      <c r="BW169" s="600"/>
      <c r="BX169" s="600"/>
      <c r="BY169" s="600"/>
      <c r="BZ169" s="600"/>
    </row>
    <row r="170" spans="67:78">
      <c r="BO170" s="600"/>
      <c r="BP170" s="600"/>
      <c r="BQ170" s="600"/>
      <c r="BR170" s="600"/>
      <c r="BS170" s="600"/>
      <c r="BT170" s="600"/>
      <c r="BU170" s="600"/>
      <c r="BV170" s="600"/>
      <c r="BW170" s="600"/>
      <c r="BX170" s="600"/>
      <c r="BY170" s="600"/>
      <c r="BZ170" s="600"/>
    </row>
    <row r="171" spans="67:78">
      <c r="BO171" s="600"/>
      <c r="BP171" s="600"/>
      <c r="BQ171" s="600"/>
      <c r="BR171" s="600"/>
      <c r="BS171" s="600"/>
      <c r="BT171" s="600"/>
      <c r="BU171" s="600"/>
      <c r="BV171" s="600"/>
      <c r="BW171" s="600"/>
      <c r="BX171" s="600"/>
      <c r="BY171" s="600"/>
      <c r="BZ171" s="600"/>
    </row>
    <row r="172" spans="67:78">
      <c r="BO172" s="600"/>
      <c r="BP172" s="600"/>
      <c r="BQ172" s="600"/>
      <c r="BR172" s="600"/>
      <c r="BS172" s="600"/>
      <c r="BT172" s="600"/>
      <c r="BU172" s="600"/>
      <c r="BV172" s="600"/>
      <c r="BW172" s="600"/>
      <c r="BX172" s="600"/>
      <c r="BY172" s="600"/>
      <c r="BZ172" s="600"/>
    </row>
    <row r="173" spans="67:78">
      <c r="BO173" s="600"/>
      <c r="BP173" s="600"/>
      <c r="BQ173" s="600"/>
      <c r="BR173" s="600"/>
      <c r="BS173" s="600"/>
      <c r="BT173" s="600"/>
      <c r="BU173" s="600"/>
      <c r="BV173" s="600"/>
      <c r="BW173" s="600"/>
      <c r="BX173" s="600"/>
      <c r="BY173" s="600"/>
      <c r="BZ173" s="600"/>
    </row>
    <row r="174" spans="67:78">
      <c r="BO174" s="600"/>
      <c r="BP174" s="600"/>
      <c r="BQ174" s="600"/>
      <c r="BR174" s="600"/>
      <c r="BS174" s="600"/>
      <c r="BT174" s="600"/>
      <c r="BU174" s="600"/>
      <c r="BV174" s="600"/>
      <c r="BW174" s="600"/>
      <c r="BX174" s="600"/>
      <c r="BY174" s="600"/>
      <c r="BZ174" s="600"/>
    </row>
    <row r="175" spans="67:78">
      <c r="BO175" s="600"/>
      <c r="BP175" s="600"/>
      <c r="BQ175" s="600"/>
      <c r="BR175" s="600"/>
      <c r="BS175" s="600"/>
      <c r="BT175" s="600"/>
      <c r="BU175" s="600"/>
      <c r="BV175" s="600"/>
      <c r="BW175" s="600"/>
      <c r="BX175" s="600"/>
      <c r="BY175" s="600"/>
      <c r="BZ175" s="600"/>
    </row>
    <row r="176" spans="67:78">
      <c r="BO176" s="600"/>
      <c r="BP176" s="600"/>
      <c r="BQ176" s="600"/>
      <c r="BR176" s="600"/>
      <c r="BS176" s="600"/>
      <c r="BT176" s="600"/>
      <c r="BU176" s="600"/>
      <c r="BV176" s="600"/>
      <c r="BW176" s="600"/>
      <c r="BX176" s="600"/>
      <c r="BY176" s="600"/>
      <c r="BZ176" s="600"/>
    </row>
    <row r="177" spans="67:78">
      <c r="BO177" s="600"/>
      <c r="BP177" s="600"/>
      <c r="BQ177" s="600"/>
      <c r="BR177" s="600"/>
      <c r="BS177" s="600"/>
      <c r="BT177" s="600"/>
      <c r="BU177" s="600"/>
      <c r="BV177" s="600"/>
      <c r="BW177" s="600"/>
      <c r="BX177" s="600"/>
      <c r="BY177" s="600"/>
      <c r="BZ177" s="600"/>
    </row>
    <row r="178" spans="67:78">
      <c r="BO178" s="600"/>
      <c r="BP178" s="600"/>
      <c r="BQ178" s="600"/>
      <c r="BR178" s="600"/>
      <c r="BS178" s="600"/>
      <c r="BT178" s="600"/>
      <c r="BU178" s="600"/>
      <c r="BV178" s="600"/>
      <c r="BW178" s="600"/>
      <c r="BX178" s="600"/>
      <c r="BY178" s="600"/>
      <c r="BZ178" s="600"/>
    </row>
    <row r="179" spans="67:78">
      <c r="BO179" s="600"/>
      <c r="BP179" s="600"/>
      <c r="BQ179" s="600"/>
      <c r="BR179" s="600"/>
      <c r="BS179" s="600"/>
      <c r="BT179" s="600"/>
      <c r="BU179" s="600"/>
      <c r="BV179" s="600"/>
      <c r="BW179" s="600"/>
      <c r="BX179" s="600"/>
      <c r="BY179" s="600"/>
      <c r="BZ179" s="600"/>
    </row>
    <row r="180" spans="67:78">
      <c r="BO180" s="600"/>
      <c r="BP180" s="600"/>
      <c r="BQ180" s="600"/>
      <c r="BR180" s="600"/>
      <c r="BS180" s="600"/>
      <c r="BT180" s="600"/>
      <c r="BU180" s="600"/>
      <c r="BV180" s="600"/>
      <c r="BW180" s="600"/>
      <c r="BX180" s="600"/>
      <c r="BY180" s="600"/>
      <c r="BZ180" s="600"/>
    </row>
    <row r="181" spans="67:78">
      <c r="BO181" s="600"/>
      <c r="BP181" s="600"/>
      <c r="BQ181" s="600"/>
      <c r="BR181" s="600"/>
      <c r="BS181" s="600"/>
      <c r="BT181" s="600"/>
      <c r="BU181" s="600"/>
      <c r="BV181" s="600"/>
      <c r="BW181" s="600"/>
      <c r="BX181" s="600"/>
      <c r="BY181" s="600"/>
      <c r="BZ181" s="600"/>
    </row>
    <row r="182" spans="67:78">
      <c r="BO182" s="600"/>
      <c r="BP182" s="600"/>
      <c r="BQ182" s="600"/>
      <c r="BR182" s="600"/>
      <c r="BS182" s="600"/>
      <c r="BT182" s="600"/>
      <c r="BU182" s="600"/>
      <c r="BV182" s="600"/>
      <c r="BW182" s="600"/>
      <c r="BX182" s="600"/>
      <c r="BY182" s="600"/>
      <c r="BZ182" s="600"/>
    </row>
    <row r="183" spans="67:78">
      <c r="BO183" s="600"/>
      <c r="BP183" s="600"/>
      <c r="BQ183" s="600"/>
      <c r="BR183" s="600"/>
      <c r="BS183" s="600"/>
      <c r="BT183" s="600"/>
      <c r="BU183" s="600"/>
      <c r="BV183" s="600"/>
      <c r="BW183" s="600"/>
      <c r="BX183" s="600"/>
      <c r="BY183" s="600"/>
      <c r="BZ183" s="600"/>
    </row>
    <row r="184" spans="67:78">
      <c r="BO184" s="600"/>
      <c r="BP184" s="600"/>
      <c r="BQ184" s="600"/>
      <c r="BR184" s="600"/>
      <c r="BS184" s="600"/>
      <c r="BT184" s="600"/>
      <c r="BU184" s="600"/>
      <c r="BV184" s="600"/>
      <c r="BW184" s="600"/>
      <c r="BX184" s="600"/>
      <c r="BY184" s="600"/>
      <c r="BZ184" s="600"/>
    </row>
    <row r="185" spans="67:78">
      <c r="BO185" s="600"/>
      <c r="BP185" s="600"/>
      <c r="BQ185" s="600"/>
      <c r="BR185" s="600"/>
      <c r="BS185" s="600"/>
      <c r="BT185" s="600"/>
      <c r="BU185" s="600"/>
      <c r="BV185" s="600"/>
      <c r="BW185" s="600"/>
      <c r="BX185" s="600"/>
      <c r="BY185" s="600"/>
      <c r="BZ185" s="600"/>
    </row>
    <row r="186" spans="67:78">
      <c r="BO186" s="600"/>
      <c r="BP186" s="600"/>
      <c r="BQ186" s="600"/>
      <c r="BR186" s="600"/>
      <c r="BS186" s="600"/>
      <c r="BT186" s="600"/>
      <c r="BU186" s="600"/>
      <c r="BV186" s="600"/>
      <c r="BW186" s="600"/>
      <c r="BX186" s="600"/>
      <c r="BY186" s="600"/>
      <c r="BZ186" s="600"/>
    </row>
    <row r="187" spans="67:78">
      <c r="BO187" s="600"/>
      <c r="BP187" s="600"/>
      <c r="BQ187" s="600"/>
      <c r="BR187" s="600"/>
      <c r="BS187" s="600"/>
      <c r="BT187" s="600"/>
      <c r="BU187" s="600"/>
      <c r="BV187" s="600"/>
      <c r="BW187" s="600"/>
      <c r="BX187" s="600"/>
      <c r="BY187" s="600"/>
      <c r="BZ187" s="600"/>
    </row>
    <row r="188" spans="67:78">
      <c r="BO188" s="600"/>
      <c r="BP188" s="600"/>
      <c r="BQ188" s="600"/>
      <c r="BR188" s="600"/>
      <c r="BS188" s="600"/>
      <c r="BT188" s="600"/>
      <c r="BU188" s="600"/>
      <c r="BV188" s="600"/>
      <c r="BW188" s="600"/>
      <c r="BX188" s="600"/>
      <c r="BY188" s="600"/>
      <c r="BZ188" s="600"/>
    </row>
    <row r="189" spans="67:78">
      <c r="BO189" s="600"/>
      <c r="BP189" s="600"/>
      <c r="BQ189" s="600"/>
      <c r="BR189" s="600"/>
      <c r="BS189" s="600"/>
      <c r="BT189" s="600"/>
      <c r="BU189" s="600"/>
      <c r="BV189" s="600"/>
      <c r="BW189" s="600"/>
      <c r="BX189" s="600"/>
      <c r="BY189" s="600"/>
      <c r="BZ189" s="600"/>
    </row>
    <row r="190" spans="67:78">
      <c r="BO190" s="600"/>
      <c r="BP190" s="600"/>
      <c r="BQ190" s="600"/>
      <c r="BR190" s="600"/>
      <c r="BS190" s="600"/>
      <c r="BT190" s="600"/>
      <c r="BU190" s="600"/>
      <c r="BV190" s="600"/>
      <c r="BW190" s="600"/>
      <c r="BX190" s="600"/>
      <c r="BY190" s="600"/>
      <c r="BZ190" s="600"/>
    </row>
    <row r="191" spans="67:78">
      <c r="BO191" s="600"/>
      <c r="BP191" s="600"/>
      <c r="BQ191" s="600"/>
      <c r="BR191" s="600"/>
      <c r="BS191" s="600"/>
      <c r="BT191" s="600"/>
      <c r="BU191" s="600"/>
      <c r="BV191" s="600"/>
      <c r="BW191" s="600"/>
      <c r="BX191" s="600"/>
      <c r="BY191" s="600"/>
      <c r="BZ191" s="600"/>
    </row>
    <row r="192" spans="67:78">
      <c r="BO192" s="600"/>
      <c r="BP192" s="600"/>
      <c r="BQ192" s="600"/>
      <c r="BR192" s="600"/>
      <c r="BS192" s="600"/>
      <c r="BT192" s="600"/>
      <c r="BU192" s="600"/>
      <c r="BV192" s="600"/>
      <c r="BW192" s="600"/>
      <c r="BX192" s="600"/>
      <c r="BY192" s="600"/>
      <c r="BZ192" s="600"/>
    </row>
    <row r="193" spans="67:78">
      <c r="BO193" s="600"/>
      <c r="BP193" s="600"/>
      <c r="BQ193" s="600"/>
      <c r="BR193" s="600"/>
      <c r="BS193" s="600"/>
      <c r="BT193" s="600"/>
      <c r="BU193" s="600"/>
      <c r="BV193" s="600"/>
      <c r="BW193" s="600"/>
      <c r="BX193" s="600"/>
      <c r="BY193" s="600"/>
      <c r="BZ193" s="600"/>
    </row>
    <row r="194" spans="67:78">
      <c r="BO194" s="600"/>
      <c r="BP194" s="600"/>
      <c r="BQ194" s="600"/>
      <c r="BR194" s="600"/>
      <c r="BS194" s="600"/>
      <c r="BT194" s="600"/>
      <c r="BU194" s="600"/>
      <c r="BV194" s="600"/>
      <c r="BW194" s="600"/>
      <c r="BX194" s="600"/>
      <c r="BY194" s="600"/>
      <c r="BZ194" s="600"/>
    </row>
    <row r="195" spans="67:78">
      <c r="BO195" s="600"/>
      <c r="BP195" s="600"/>
      <c r="BQ195" s="600"/>
      <c r="BR195" s="600"/>
      <c r="BS195" s="600"/>
      <c r="BT195" s="600"/>
      <c r="BU195" s="600"/>
      <c r="BV195" s="600"/>
      <c r="BW195" s="600"/>
      <c r="BX195" s="600"/>
      <c r="BY195" s="600"/>
      <c r="BZ195" s="600"/>
    </row>
    <row r="196" spans="67:78">
      <c r="BO196" s="600"/>
      <c r="BP196" s="600"/>
      <c r="BQ196" s="600"/>
      <c r="BR196" s="600"/>
      <c r="BS196" s="600"/>
      <c r="BT196" s="600"/>
      <c r="BU196" s="600"/>
      <c r="BV196" s="600"/>
      <c r="BW196" s="600"/>
      <c r="BX196" s="600"/>
      <c r="BY196" s="600"/>
      <c r="BZ196" s="600"/>
    </row>
    <row r="197" spans="67:78">
      <c r="BO197" s="600"/>
      <c r="BP197" s="600"/>
      <c r="BQ197" s="600"/>
      <c r="BR197" s="600"/>
      <c r="BS197" s="600"/>
      <c r="BT197" s="600"/>
      <c r="BU197" s="600"/>
      <c r="BV197" s="600"/>
      <c r="BW197" s="600"/>
      <c r="BX197" s="600"/>
      <c r="BY197" s="600"/>
      <c r="BZ197" s="600"/>
    </row>
    <row r="198" spans="67:78">
      <c r="BO198" s="600"/>
      <c r="BP198" s="600"/>
      <c r="BQ198" s="600"/>
      <c r="BR198" s="600"/>
      <c r="BS198" s="600"/>
      <c r="BT198" s="600"/>
      <c r="BU198" s="600"/>
      <c r="BV198" s="600"/>
      <c r="BW198" s="600"/>
      <c r="BX198" s="600"/>
      <c r="BY198" s="600"/>
      <c r="BZ198" s="600"/>
    </row>
    <row r="199" spans="67:78">
      <c r="BO199" s="600"/>
      <c r="BP199" s="600"/>
      <c r="BQ199" s="600"/>
      <c r="BR199" s="600"/>
      <c r="BS199" s="600"/>
      <c r="BT199" s="600"/>
      <c r="BU199" s="600"/>
      <c r="BV199" s="600"/>
      <c r="BW199" s="600"/>
      <c r="BX199" s="600"/>
      <c r="BY199" s="600"/>
      <c r="BZ199" s="600"/>
    </row>
    <row r="200" spans="67:78">
      <c r="BO200" s="600"/>
      <c r="BP200" s="600"/>
      <c r="BQ200" s="600"/>
      <c r="BR200" s="600"/>
      <c r="BS200" s="600"/>
      <c r="BT200" s="600"/>
      <c r="BU200" s="600"/>
      <c r="BV200" s="600"/>
      <c r="BW200" s="600"/>
      <c r="BX200" s="600"/>
      <c r="BY200" s="600"/>
      <c r="BZ200" s="600"/>
    </row>
    <row r="201" spans="67:78">
      <c r="BO201" s="600"/>
      <c r="BP201" s="600"/>
      <c r="BQ201" s="600"/>
      <c r="BR201" s="600"/>
      <c r="BS201" s="600"/>
      <c r="BT201" s="600"/>
      <c r="BU201" s="600"/>
      <c r="BV201" s="600"/>
      <c r="BW201" s="600"/>
      <c r="BX201" s="600"/>
      <c r="BY201" s="600"/>
      <c r="BZ201" s="600"/>
    </row>
    <row r="202" spans="67:78">
      <c r="BO202" s="600"/>
      <c r="BP202" s="600"/>
      <c r="BQ202" s="600"/>
      <c r="BR202" s="600"/>
      <c r="BS202" s="600"/>
      <c r="BT202" s="600"/>
      <c r="BU202" s="600"/>
      <c r="BV202" s="600"/>
      <c r="BW202" s="600"/>
      <c r="BX202" s="600"/>
      <c r="BY202" s="600"/>
      <c r="BZ202" s="600"/>
    </row>
    <row r="203" spans="67:78">
      <c r="BO203" s="600"/>
      <c r="BP203" s="600"/>
      <c r="BQ203" s="600"/>
      <c r="BR203" s="600"/>
      <c r="BS203" s="600"/>
      <c r="BT203" s="600"/>
      <c r="BU203" s="600"/>
      <c r="BV203" s="600"/>
      <c r="BW203" s="600"/>
      <c r="BX203" s="600"/>
      <c r="BY203" s="600"/>
      <c r="BZ203" s="600"/>
    </row>
    <row r="204" spans="67:78">
      <c r="BO204" s="600"/>
      <c r="BP204" s="600"/>
      <c r="BQ204" s="600"/>
      <c r="BR204" s="600"/>
      <c r="BS204" s="600"/>
      <c r="BT204" s="600"/>
      <c r="BU204" s="600"/>
      <c r="BV204" s="600"/>
      <c r="BW204" s="600"/>
      <c r="BX204" s="600"/>
      <c r="BY204" s="600"/>
      <c r="BZ204" s="600"/>
    </row>
    <row r="205" spans="67:78">
      <c r="BO205" s="600"/>
      <c r="BP205" s="600"/>
      <c r="BQ205" s="600"/>
      <c r="BR205" s="600"/>
      <c r="BS205" s="600"/>
      <c r="BT205" s="600"/>
      <c r="BU205" s="600"/>
      <c r="BV205" s="600"/>
      <c r="BW205" s="600"/>
      <c r="BX205" s="600"/>
      <c r="BY205" s="600"/>
      <c r="BZ205" s="600"/>
    </row>
    <row r="206" spans="67:78">
      <c r="BO206" s="600"/>
      <c r="BP206" s="600"/>
      <c r="BQ206" s="600"/>
      <c r="BR206" s="600"/>
      <c r="BS206" s="600"/>
      <c r="BT206" s="600"/>
      <c r="BU206" s="600"/>
      <c r="BV206" s="600"/>
      <c r="BW206" s="600"/>
      <c r="BX206" s="600"/>
      <c r="BY206" s="600"/>
      <c r="BZ206" s="600"/>
    </row>
    <row r="207" spans="67:78">
      <c r="BO207" s="600"/>
      <c r="BP207" s="600"/>
      <c r="BQ207" s="600"/>
      <c r="BR207" s="600"/>
      <c r="BS207" s="600"/>
      <c r="BT207" s="600"/>
      <c r="BU207" s="600"/>
      <c r="BV207" s="600"/>
      <c r="BW207" s="600"/>
      <c r="BX207" s="600"/>
      <c r="BY207" s="600"/>
      <c r="BZ207" s="600"/>
    </row>
    <row r="208" spans="67:78">
      <c r="BO208" s="600"/>
      <c r="BP208" s="600"/>
      <c r="BQ208" s="600"/>
      <c r="BR208" s="600"/>
      <c r="BS208" s="600"/>
      <c r="BT208" s="600"/>
      <c r="BU208" s="600"/>
      <c r="BV208" s="600"/>
      <c r="BW208" s="600"/>
      <c r="BX208" s="600"/>
      <c r="BY208" s="600"/>
      <c r="BZ208" s="600"/>
    </row>
    <row r="209" spans="67:78">
      <c r="BO209" s="600"/>
      <c r="BP209" s="600"/>
      <c r="BQ209" s="600"/>
      <c r="BR209" s="600"/>
      <c r="BS209" s="600"/>
      <c r="BT209" s="600"/>
      <c r="BU209" s="600"/>
      <c r="BV209" s="600"/>
      <c r="BW209" s="600"/>
      <c r="BX209" s="600"/>
      <c r="BY209" s="600"/>
      <c r="BZ209" s="600"/>
    </row>
    <row r="210" spans="67:78">
      <c r="BO210" s="600"/>
      <c r="BP210" s="600"/>
      <c r="BQ210" s="600"/>
      <c r="BR210" s="600"/>
      <c r="BS210" s="600"/>
      <c r="BT210" s="600"/>
      <c r="BU210" s="600"/>
      <c r="BV210" s="600"/>
      <c r="BW210" s="600"/>
      <c r="BX210" s="600"/>
      <c r="BY210" s="600"/>
      <c r="BZ210" s="600"/>
    </row>
    <row r="211" spans="67:78">
      <c r="BO211" s="600"/>
      <c r="BP211" s="600"/>
      <c r="BQ211" s="600"/>
      <c r="BR211" s="600"/>
      <c r="BS211" s="600"/>
      <c r="BT211" s="600"/>
      <c r="BU211" s="600"/>
      <c r="BV211" s="600"/>
      <c r="BW211" s="600"/>
      <c r="BX211" s="600"/>
      <c r="BY211" s="600"/>
      <c r="BZ211" s="600"/>
    </row>
    <row r="212" spans="67:78">
      <c r="BO212" s="600"/>
      <c r="BP212" s="600"/>
      <c r="BQ212" s="600"/>
      <c r="BR212" s="600"/>
      <c r="BS212" s="600"/>
      <c r="BT212" s="600"/>
      <c r="BU212" s="600"/>
      <c r="BV212" s="600"/>
      <c r="BW212" s="600"/>
      <c r="BX212" s="600"/>
      <c r="BY212" s="600"/>
      <c r="BZ212" s="600"/>
    </row>
    <row r="213" spans="67:78">
      <c r="BO213" s="600"/>
      <c r="BP213" s="600"/>
      <c r="BQ213" s="600"/>
      <c r="BR213" s="600"/>
      <c r="BS213" s="600"/>
      <c r="BT213" s="600"/>
      <c r="BU213" s="600"/>
      <c r="BV213" s="600"/>
      <c r="BW213" s="600"/>
      <c r="BX213" s="600"/>
      <c r="BY213" s="600"/>
      <c r="BZ213" s="600"/>
    </row>
    <row r="214" spans="67:78">
      <c r="BO214" s="600"/>
      <c r="BP214" s="600"/>
      <c r="BQ214" s="600"/>
      <c r="BR214" s="600"/>
      <c r="BS214" s="600"/>
      <c r="BT214" s="600"/>
      <c r="BU214" s="600"/>
      <c r="BV214" s="600"/>
      <c r="BW214" s="600"/>
      <c r="BX214" s="600"/>
      <c r="BY214" s="600"/>
      <c r="BZ214" s="600"/>
    </row>
    <row r="215" spans="67:78">
      <c r="BO215" s="600"/>
      <c r="BP215" s="600"/>
      <c r="BQ215" s="600"/>
      <c r="BR215" s="600"/>
      <c r="BS215" s="600"/>
      <c r="BT215" s="600"/>
      <c r="BU215" s="600"/>
      <c r="BV215" s="600"/>
      <c r="BW215" s="600"/>
      <c r="BX215" s="600"/>
      <c r="BY215" s="600"/>
      <c r="BZ215" s="600"/>
    </row>
    <row r="216" spans="67:78">
      <c r="BO216" s="600"/>
      <c r="BP216" s="600"/>
      <c r="BQ216" s="600"/>
      <c r="BR216" s="600"/>
      <c r="BS216" s="600"/>
      <c r="BT216" s="600"/>
      <c r="BU216" s="600"/>
      <c r="BV216" s="600"/>
      <c r="BW216" s="600"/>
      <c r="BX216" s="600"/>
      <c r="BY216" s="600"/>
      <c r="BZ216" s="600"/>
    </row>
    <row r="217" spans="67:78">
      <c r="BO217" s="600"/>
      <c r="BP217" s="600"/>
      <c r="BQ217" s="600"/>
      <c r="BR217" s="600"/>
      <c r="BS217" s="600"/>
      <c r="BT217" s="600"/>
      <c r="BU217" s="600"/>
      <c r="BV217" s="600"/>
      <c r="BW217" s="600"/>
      <c r="BX217" s="600"/>
      <c r="BY217" s="600"/>
      <c r="BZ217" s="600"/>
    </row>
    <row r="218" spans="67:78">
      <c r="BO218" s="600"/>
      <c r="BP218" s="600"/>
      <c r="BQ218" s="600"/>
      <c r="BR218" s="600"/>
      <c r="BS218" s="600"/>
      <c r="BT218" s="600"/>
      <c r="BU218" s="600"/>
      <c r="BV218" s="600"/>
      <c r="BW218" s="600"/>
      <c r="BX218" s="600"/>
      <c r="BY218" s="600"/>
      <c r="BZ218" s="600"/>
    </row>
    <row r="219" spans="67:78">
      <c r="BO219" s="600"/>
      <c r="BP219" s="600"/>
      <c r="BQ219" s="600"/>
      <c r="BR219" s="600"/>
      <c r="BS219" s="600"/>
      <c r="BT219" s="600"/>
      <c r="BU219" s="600"/>
      <c r="BV219" s="600"/>
      <c r="BW219" s="600"/>
      <c r="BX219" s="600"/>
      <c r="BY219" s="600"/>
      <c r="BZ219" s="600"/>
    </row>
    <row r="220" spans="67:78">
      <c r="BO220" s="600"/>
      <c r="BP220" s="600"/>
      <c r="BQ220" s="600"/>
      <c r="BR220" s="600"/>
      <c r="BS220" s="600"/>
      <c r="BT220" s="600"/>
      <c r="BU220" s="600"/>
      <c r="BV220" s="600"/>
      <c r="BW220" s="600"/>
      <c r="BX220" s="600"/>
      <c r="BY220" s="600"/>
      <c r="BZ220" s="600"/>
    </row>
    <row r="221" spans="67:78">
      <c r="BO221" s="600"/>
      <c r="BP221" s="600"/>
      <c r="BQ221" s="600"/>
      <c r="BR221" s="600"/>
      <c r="BS221" s="600"/>
      <c r="BT221" s="600"/>
      <c r="BU221" s="600"/>
      <c r="BV221" s="600"/>
      <c r="BW221" s="600"/>
      <c r="BX221" s="600"/>
      <c r="BY221" s="600"/>
      <c r="BZ221" s="600"/>
    </row>
    <row r="222" spans="67:78">
      <c r="BO222" s="600"/>
      <c r="BP222" s="600"/>
      <c r="BQ222" s="600"/>
      <c r="BR222" s="600"/>
      <c r="BS222" s="600"/>
      <c r="BT222" s="600"/>
      <c r="BU222" s="600"/>
      <c r="BV222" s="600"/>
      <c r="BW222" s="600"/>
      <c r="BX222" s="600"/>
      <c r="BY222" s="600"/>
      <c r="BZ222" s="600"/>
    </row>
    <row r="223" spans="67:78">
      <c r="BO223" s="600"/>
      <c r="BP223" s="600"/>
      <c r="BQ223" s="600"/>
      <c r="BR223" s="600"/>
      <c r="BS223" s="600"/>
      <c r="BT223" s="600"/>
      <c r="BU223" s="600"/>
      <c r="BV223" s="600"/>
      <c r="BW223" s="600"/>
      <c r="BX223" s="600"/>
      <c r="BY223" s="600"/>
      <c r="BZ223" s="600"/>
    </row>
    <row r="224" spans="67:78">
      <c r="BO224" s="600"/>
      <c r="BP224" s="600"/>
      <c r="BQ224" s="600"/>
      <c r="BR224" s="600"/>
      <c r="BS224" s="600"/>
      <c r="BT224" s="600"/>
      <c r="BU224" s="600"/>
      <c r="BV224" s="600"/>
      <c r="BW224" s="600"/>
      <c r="BX224" s="600"/>
      <c r="BY224" s="600"/>
      <c r="BZ224" s="600"/>
    </row>
    <row r="225" spans="67:78">
      <c r="BO225" s="600"/>
      <c r="BP225" s="600"/>
      <c r="BQ225" s="600"/>
      <c r="BR225" s="600"/>
      <c r="BS225" s="600"/>
      <c r="BT225" s="600"/>
      <c r="BU225" s="600"/>
      <c r="BV225" s="600"/>
      <c r="BW225" s="600"/>
      <c r="BX225" s="600"/>
      <c r="BY225" s="600"/>
      <c r="BZ225" s="600"/>
    </row>
    <row r="226" spans="67:78">
      <c r="BO226" s="600"/>
      <c r="BP226" s="600"/>
      <c r="BQ226" s="600"/>
      <c r="BR226" s="600"/>
      <c r="BS226" s="600"/>
      <c r="BT226" s="600"/>
      <c r="BU226" s="600"/>
      <c r="BV226" s="600"/>
      <c r="BW226" s="600"/>
      <c r="BX226" s="600"/>
      <c r="BY226" s="600"/>
      <c r="BZ226" s="600"/>
    </row>
    <row r="227" spans="67:78">
      <c r="BO227" s="600"/>
      <c r="BP227" s="600"/>
      <c r="BQ227" s="600"/>
      <c r="BR227" s="600"/>
      <c r="BS227" s="600"/>
      <c r="BT227" s="600"/>
      <c r="BU227" s="600"/>
      <c r="BV227" s="600"/>
      <c r="BW227" s="600"/>
      <c r="BX227" s="600"/>
      <c r="BY227" s="600"/>
      <c r="BZ227" s="600"/>
    </row>
  </sheetData>
  <mergeCells count="6">
    <mergeCell ref="BO4:BZ4"/>
    <mergeCell ref="B4:M4"/>
    <mergeCell ref="BB4:BM4"/>
    <mergeCell ref="O4:Z4"/>
    <mergeCell ref="AB4:AM4"/>
    <mergeCell ref="AO4:AZ4"/>
  </mergeCells>
  <phoneticPr fontId="39" type="noConversion"/>
  <printOptions horizontalCentered="1" gridLines="1"/>
  <pageMargins left="0.19" right="0.14000000000000001" top="0.15" bottom="0.19685039370078741" header="0.15" footer="0.14000000000000001"/>
  <pageSetup paperSize="9" orientation="landscape" r:id="rId1"/>
  <headerFooter alignWithMargins="0">
    <oddHeader>&amp;R&amp;F--&amp;A</oddHeader>
    <oddFooter>&amp;RP.6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tabColor indexed="13"/>
  </sheetPr>
  <dimension ref="A1:S76"/>
  <sheetViews>
    <sheetView view="pageBreakPreview" zoomScaleSheetLayoutView="100" workbookViewId="0">
      <pane xSplit="2" ySplit="5" topLeftCell="I36" activePane="bottomRight" state="frozen"/>
      <selection pane="topRight" activeCell="C1" sqref="C1"/>
      <selection pane="bottomLeft" activeCell="A6" sqref="A6"/>
      <selection pane="bottomRight" sqref="A1:XFD1048576"/>
    </sheetView>
  </sheetViews>
  <sheetFormatPr baseColWidth="10" defaultColWidth="9.796875" defaultRowHeight="21" outlineLevelCol="1"/>
  <cols>
    <col min="1" max="1" width="40.796875" style="698" customWidth="1"/>
    <col min="2" max="2" width="1.19921875" style="698" customWidth="1"/>
    <col min="3" max="3" width="11.796875" style="696" bestFit="1" customWidth="1"/>
    <col min="4" max="4" width="12.796875" style="696" customWidth="1"/>
    <col min="5" max="5" width="14.3984375" style="696" customWidth="1"/>
    <col min="6" max="6" width="15.19921875" style="696" customWidth="1"/>
    <col min="7" max="7" width="12.3984375" style="696" customWidth="1"/>
    <col min="8" max="8" width="12.19921875" style="696" customWidth="1"/>
    <col min="9" max="9" width="12.796875" style="696" customWidth="1"/>
    <col min="10" max="10" width="13.19921875" style="696" customWidth="1"/>
    <col min="11" max="11" width="11.59765625" style="697" hidden="1" customWidth="1" outlineLevel="1"/>
    <col min="12" max="12" width="12.19921875" style="696" hidden="1" customWidth="1" outlineLevel="1"/>
    <col min="13" max="14" width="11.59765625" style="696" hidden="1" customWidth="1" outlineLevel="1"/>
    <col min="15" max="15" width="16" style="697" customWidth="1" collapsed="1"/>
    <col min="16" max="16384" width="9.796875" style="698"/>
  </cols>
  <sheetData>
    <row r="1" spans="1:15" ht="24" customHeight="1">
      <c r="A1" s="1206" t="s">
        <v>1149</v>
      </c>
      <c r="B1" s="1206"/>
    </row>
    <row r="2" spans="1:15" s="700" customFormat="1" ht="24" customHeight="1">
      <c r="A2" s="1206" t="s">
        <v>1150</v>
      </c>
      <c r="B2" s="1206"/>
      <c r="C2" s="699"/>
      <c r="D2" s="699"/>
      <c r="E2" s="699"/>
      <c r="F2" s="699"/>
      <c r="G2" s="699"/>
      <c r="H2" s="699"/>
      <c r="I2" s="699"/>
      <c r="J2" s="699"/>
      <c r="K2" s="697"/>
      <c r="L2" s="699"/>
      <c r="M2" s="699"/>
      <c r="N2" s="699"/>
      <c r="O2" s="697"/>
    </row>
    <row r="3" spans="1:15" s="701" customFormat="1" ht="20.25" customHeight="1">
      <c r="A3" s="1207" t="s">
        <v>1793</v>
      </c>
      <c r="B3" s="1207"/>
      <c r="C3" s="697"/>
      <c r="D3" s="697"/>
      <c r="E3" s="697"/>
      <c r="F3" s="697"/>
      <c r="G3" s="697"/>
      <c r="H3" s="697"/>
      <c r="I3" s="697"/>
      <c r="J3" s="697"/>
      <c r="K3" s="697"/>
      <c r="L3" s="697"/>
      <c r="M3" s="697"/>
      <c r="N3" s="697"/>
      <c r="O3" s="697"/>
    </row>
    <row r="4" spans="1:15" s="702" customFormat="1" ht="15.75" customHeight="1">
      <c r="C4" s="703"/>
      <c r="D4" s="703"/>
      <c r="E4" s="703"/>
      <c r="F4" s="703"/>
      <c r="G4" s="703"/>
      <c r="H4" s="703"/>
      <c r="I4" s="703"/>
      <c r="J4" s="703"/>
      <c r="K4" s="703"/>
      <c r="L4" s="703"/>
      <c r="M4" s="703"/>
      <c r="N4" s="1205" t="s">
        <v>1685</v>
      </c>
      <c r="O4" s="1205"/>
    </row>
    <row r="5" spans="1:15" s="704" customFormat="1" ht="15.75" customHeight="1">
      <c r="C5" s="705" t="s">
        <v>1151</v>
      </c>
      <c r="D5" s="705" t="s">
        <v>355</v>
      </c>
      <c r="E5" s="705" t="s">
        <v>356</v>
      </c>
      <c r="F5" s="705" t="s">
        <v>357</v>
      </c>
      <c r="G5" s="705" t="s">
        <v>358</v>
      </c>
      <c r="H5" s="705" t="s">
        <v>359</v>
      </c>
      <c r="I5" s="705" t="s">
        <v>360</v>
      </c>
      <c r="J5" s="705" t="s">
        <v>361</v>
      </c>
      <c r="K5" s="705" t="s">
        <v>362</v>
      </c>
      <c r="L5" s="705" t="s">
        <v>363</v>
      </c>
      <c r="M5" s="705" t="s">
        <v>364</v>
      </c>
      <c r="N5" s="705" t="s">
        <v>365</v>
      </c>
      <c r="O5" s="705" t="s">
        <v>1686</v>
      </c>
    </row>
    <row r="6" spans="1:15" s="704" customFormat="1" ht="15.75" customHeight="1">
      <c r="A6" s="706" t="s">
        <v>1687</v>
      </c>
      <c r="C6" s="705"/>
      <c r="D6" s="705"/>
      <c r="E6" s="705"/>
      <c r="F6" s="705"/>
      <c r="G6" s="705"/>
      <c r="H6" s="705"/>
      <c r="I6" s="705"/>
      <c r="J6" s="705"/>
      <c r="K6" s="705"/>
      <c r="L6" s="705"/>
      <c r="M6" s="705"/>
      <c r="N6" s="705"/>
      <c r="O6" s="705"/>
    </row>
    <row r="7" spans="1:15" s="702" customFormat="1" ht="15.75" customHeight="1">
      <c r="A7" s="707" t="s">
        <v>462</v>
      </c>
      <c r="C7" s="703">
        <f>'現金流量表 (底稿)'!C7</f>
        <v>-7756173</v>
      </c>
      <c r="D7" s="703">
        <f>'現金流量表 (底稿)'!D7</f>
        <v>-10972456</v>
      </c>
      <c r="E7" s="703">
        <f>'現金流量表 (底稿)'!E7</f>
        <v>2058472</v>
      </c>
      <c r="F7" s="703">
        <f>'現金流量表 (底稿)'!F7</f>
        <v>-900330</v>
      </c>
      <c r="G7" s="703">
        <f>'現金流量表 (底稿)'!G7</f>
        <v>-1699644</v>
      </c>
      <c r="H7" s="703">
        <f>'現金流量表 (底稿)'!H7</f>
        <v>4012267</v>
      </c>
      <c r="I7" s="703">
        <f>'現金流量表 (底稿)'!I7</f>
        <v>-645828</v>
      </c>
      <c r="J7" s="703">
        <f>'現金流量表 (底稿)'!J7</f>
        <v>2289840</v>
      </c>
      <c r="K7" s="703">
        <f>'現金流量表 (底稿)'!K7</f>
        <v>0</v>
      </c>
      <c r="L7" s="703">
        <f>'現金流量表 (底稿)'!L7</f>
        <v>0</v>
      </c>
      <c r="M7" s="703">
        <f>'現金流量表 (底稿)'!M7</f>
        <v>0</v>
      </c>
      <c r="N7" s="703">
        <f>'現金流量表 (底稿)'!N7</f>
        <v>0</v>
      </c>
      <c r="O7" s="703">
        <f>SUM(C7:N7)</f>
        <v>-13613852</v>
      </c>
    </row>
    <row r="8" spans="1:15" s="707" customFormat="1" ht="15.75" customHeight="1">
      <c r="A8" s="708" t="s">
        <v>463</v>
      </c>
      <c r="B8" s="702"/>
      <c r="C8" s="703"/>
      <c r="D8" s="703"/>
      <c r="E8" s="703"/>
      <c r="F8" s="703"/>
      <c r="G8" s="703"/>
      <c r="H8" s="703"/>
      <c r="I8" s="703"/>
      <c r="J8" s="703"/>
      <c r="K8" s="703"/>
      <c r="L8" s="703"/>
      <c r="M8" s="703"/>
      <c r="N8" s="703"/>
      <c r="O8" s="703"/>
    </row>
    <row r="9" spans="1:15" s="702" customFormat="1" ht="15.75" customHeight="1">
      <c r="A9" s="702" t="s">
        <v>464</v>
      </c>
      <c r="C9" s="703">
        <f>'現金流量表 (底稿)'!C9</f>
        <v>1557581</v>
      </c>
      <c r="D9" s="703">
        <f>'現金流量表 (底稿)'!D9</f>
        <v>1490042</v>
      </c>
      <c r="E9" s="703">
        <f>'現金流量表 (底稿)'!E9</f>
        <v>1453247</v>
      </c>
      <c r="F9" s="703">
        <f>'現金流量表 (底稿)'!F9</f>
        <v>1395883</v>
      </c>
      <c r="G9" s="703">
        <f>'現金流量表 (底稿)'!G9</f>
        <v>1333059</v>
      </c>
      <c r="H9" s="703">
        <f>'現金流量表 (底稿)'!H9</f>
        <v>1346740</v>
      </c>
      <c r="I9" s="703">
        <f>'現金流量表 (底稿)'!I9</f>
        <v>1278786</v>
      </c>
      <c r="J9" s="703">
        <f>'現金流量表 (底稿)'!J9</f>
        <v>1139616</v>
      </c>
      <c r="K9" s="703">
        <f>'現金流量表 (底稿)'!K9</f>
        <v>0</v>
      </c>
      <c r="L9" s="703">
        <f>'現金流量表 (底稿)'!L9</f>
        <v>0</v>
      </c>
      <c r="M9" s="703">
        <f>'現金流量表 (底稿)'!M9</f>
        <v>0</v>
      </c>
      <c r="N9" s="703">
        <f>'現金流量表 (底稿)'!N9</f>
        <v>0</v>
      </c>
      <c r="O9" s="703">
        <f>SUM(C9:N9)</f>
        <v>10994954</v>
      </c>
    </row>
    <row r="10" spans="1:15" s="702" customFormat="1" ht="15.75" customHeight="1">
      <c r="A10" s="702" t="s">
        <v>465</v>
      </c>
      <c r="C10" s="703">
        <f>'現金流量表 (底稿)'!C10</f>
        <v>217245</v>
      </c>
      <c r="D10" s="703">
        <f>'現金流量表 (底稿)'!D10</f>
        <v>217245</v>
      </c>
      <c r="E10" s="703">
        <f>'現金流量表 (底稿)'!E10</f>
        <v>41771</v>
      </c>
      <c r="F10" s="703">
        <f>'現金流量表 (底稿)'!F10</f>
        <v>128296</v>
      </c>
      <c r="G10" s="703">
        <f>'現金流量表 (底稿)'!G10</f>
        <v>129502</v>
      </c>
      <c r="H10" s="703">
        <f>'現金流量表 (底稿)'!H10</f>
        <v>84343</v>
      </c>
      <c r="I10" s="703">
        <f>'現金流量表 (底稿)'!I10</f>
        <v>83989</v>
      </c>
      <c r="J10" s="703">
        <f>'現金流量表 (底稿)'!J10</f>
        <v>97610</v>
      </c>
      <c r="K10" s="703">
        <f>'現金流量表 (底稿)'!K10</f>
        <v>0</v>
      </c>
      <c r="L10" s="703">
        <f>'現金流量表 (底稿)'!L10</f>
        <v>0</v>
      </c>
      <c r="M10" s="703">
        <f>'現金流量表 (底稿)'!M10</f>
        <v>0</v>
      </c>
      <c r="N10" s="703">
        <f>'現金流量表 (底稿)'!N10</f>
        <v>0</v>
      </c>
      <c r="O10" s="703">
        <f t="shared" ref="O10:O23" si="0">SUM(C10:N10)</f>
        <v>1000001</v>
      </c>
    </row>
    <row r="11" spans="1:15" s="702" customFormat="1" ht="15.75" customHeight="1">
      <c r="A11" s="702" t="s">
        <v>1688</v>
      </c>
      <c r="C11" s="703">
        <f>'現金流量表 (底稿)'!C11</f>
        <v>2874749</v>
      </c>
      <c r="D11" s="703">
        <f>'現金流量表 (底稿)'!D11</f>
        <v>2763471</v>
      </c>
      <c r="E11" s="703">
        <f>'現金流量表 (底稿)'!E11</f>
        <v>-7456555</v>
      </c>
      <c r="F11" s="703">
        <f>'現金流量表 (底稿)'!F11</f>
        <v>-591918</v>
      </c>
      <c r="G11" s="703">
        <f>'現金流量表 (底稿)'!G11</f>
        <v>1054460</v>
      </c>
      <c r="H11" s="703">
        <f>'現金流量表 (底稿)'!H11</f>
        <v>-1470722</v>
      </c>
      <c r="I11" s="703">
        <f>'現金流量表 (底稿)'!I11</f>
        <v>-2031582</v>
      </c>
      <c r="J11" s="703">
        <f>'現金流量表 (底稿)'!J11</f>
        <v>23984</v>
      </c>
      <c r="K11" s="703">
        <f>'現金流量表 (底稿)'!K11</f>
        <v>0</v>
      </c>
      <c r="L11" s="703">
        <f>'現金流量表 (底稿)'!L11</f>
        <v>0</v>
      </c>
      <c r="M11" s="703">
        <f>'現金流量表 (底稿)'!M11</f>
        <v>0</v>
      </c>
      <c r="N11" s="703">
        <f>'現金流量表 (底稿)'!N11</f>
        <v>0</v>
      </c>
      <c r="O11" s="703">
        <f t="shared" si="0"/>
        <v>-4834113</v>
      </c>
    </row>
    <row r="12" spans="1:15" s="702" customFormat="1" ht="15.75" customHeight="1">
      <c r="A12" s="702" t="s">
        <v>1689</v>
      </c>
      <c r="C12" s="703">
        <f>'現金流量表 (底稿)'!C12</f>
        <v>0</v>
      </c>
      <c r="D12" s="703">
        <f>'現金流量表 (底稿)'!D12</f>
        <v>0</v>
      </c>
      <c r="E12" s="703">
        <f>'現金流量表 (底稿)'!E12</f>
        <v>0</v>
      </c>
      <c r="F12" s="703">
        <f>'現金流量表 (底稿)'!F12</f>
        <v>0</v>
      </c>
      <c r="G12" s="703">
        <f>'現金流量表 (底稿)'!G12</f>
        <v>0</v>
      </c>
      <c r="H12" s="703">
        <f>'現金流量表 (底稿)'!H12</f>
        <v>0</v>
      </c>
      <c r="I12" s="703">
        <f>'現金流量表 (底稿)'!I12</f>
        <v>0</v>
      </c>
      <c r="J12" s="703">
        <f>'現金流量表 (底稿)'!J12</f>
        <v>0</v>
      </c>
      <c r="K12" s="703">
        <f>'現金流量表 (底稿)'!K12</f>
        <v>0</v>
      </c>
      <c r="L12" s="703">
        <f>'現金流量表 (底稿)'!L12</f>
        <v>0</v>
      </c>
      <c r="M12" s="703">
        <f>'現金流量表 (底稿)'!M12</f>
        <v>0</v>
      </c>
      <c r="N12" s="703">
        <f>'現金流量表 (底稿)'!N12</f>
        <v>0</v>
      </c>
      <c r="O12" s="703">
        <f t="shared" si="0"/>
        <v>0</v>
      </c>
    </row>
    <row r="13" spans="1:15" s="702" customFormat="1" ht="15.75" customHeight="1">
      <c r="A13" s="702" t="s">
        <v>1690</v>
      </c>
      <c r="C13" s="703">
        <f>'現金流量表 (底稿)'!C13</f>
        <v>0</v>
      </c>
      <c r="D13" s="703">
        <f>'現金流量表 (底稿)'!D13</f>
        <v>0</v>
      </c>
      <c r="E13" s="703">
        <f>'現金流量表 (底稿)'!E13</f>
        <v>0</v>
      </c>
      <c r="F13" s="703">
        <f>'現金流量表 (底稿)'!F13</f>
        <v>0</v>
      </c>
      <c r="G13" s="703">
        <f>'現金流量表 (底稿)'!G13</f>
        <v>0</v>
      </c>
      <c r="H13" s="703">
        <f>'現金流量表 (底稿)'!H13</f>
        <v>0</v>
      </c>
      <c r="I13" s="703">
        <f>'現金流量表 (底稿)'!I13</f>
        <v>0</v>
      </c>
      <c r="J13" s="703">
        <f>'現金流量表 (底稿)'!J13</f>
        <v>0</v>
      </c>
      <c r="K13" s="703">
        <f>'現金流量表 (底稿)'!K13</f>
        <v>0</v>
      </c>
      <c r="L13" s="703">
        <f>'現金流量表 (底稿)'!L13</f>
        <v>0</v>
      </c>
      <c r="M13" s="703">
        <f>'現金流量表 (底稿)'!M13</f>
        <v>0</v>
      </c>
      <c r="N13" s="703">
        <f>'現金流量表 (底稿)'!N13</f>
        <v>0</v>
      </c>
      <c r="O13" s="703">
        <f t="shared" si="0"/>
        <v>0</v>
      </c>
    </row>
    <row r="14" spans="1:15" s="702" customFormat="1" ht="15.75" customHeight="1">
      <c r="A14" s="702" t="s">
        <v>1691</v>
      </c>
      <c r="C14" s="703">
        <f>'現金流量表 (底稿)'!C14</f>
        <v>0</v>
      </c>
      <c r="D14" s="703">
        <f>'現金流量表 (底稿)'!D14</f>
        <v>0</v>
      </c>
      <c r="E14" s="703">
        <f>'現金流量表 (底稿)'!E14</f>
        <v>0</v>
      </c>
      <c r="F14" s="703">
        <f>'現金流量表 (底稿)'!F14</f>
        <v>0</v>
      </c>
      <c r="G14" s="703">
        <f>'現金流量表 (底稿)'!G14</f>
        <v>0</v>
      </c>
      <c r="H14" s="703">
        <f>'現金流量表 (底稿)'!H14</f>
        <v>0</v>
      </c>
      <c r="I14" s="703">
        <f>'現金流量表 (底稿)'!I14</f>
        <v>0</v>
      </c>
      <c r="J14" s="703">
        <f>'現金流量表 (底稿)'!J14</f>
        <v>0</v>
      </c>
      <c r="K14" s="703">
        <f>'現金流量表 (底稿)'!K14</f>
        <v>0</v>
      </c>
      <c r="L14" s="703">
        <f>'現金流量表 (底稿)'!L14</f>
        <v>0</v>
      </c>
      <c r="M14" s="703">
        <f>'現金流量表 (底稿)'!M14</f>
        <v>0</v>
      </c>
      <c r="N14" s="703">
        <f>'現金流量表 (底稿)'!N14</f>
        <v>0</v>
      </c>
      <c r="O14" s="703">
        <f t="shared" si="0"/>
        <v>0</v>
      </c>
    </row>
    <row r="15" spans="1:15" s="702" customFormat="1" ht="15.75" customHeight="1">
      <c r="A15" s="702" t="s">
        <v>1692</v>
      </c>
      <c r="C15" s="703">
        <f>'現金流量表 (底稿)'!C15</f>
        <v>-19862872</v>
      </c>
      <c r="D15" s="703">
        <f>'現金流量表 (底稿)'!D15</f>
        <v>49813224</v>
      </c>
      <c r="E15" s="703">
        <f>'現金流量表 (底稿)'!E15</f>
        <v>-13601015</v>
      </c>
      <c r="F15" s="703">
        <f>'現金流量表 (底稿)'!F15</f>
        <v>333725</v>
      </c>
      <c r="G15" s="703">
        <f>'現金流量表 (底稿)'!G15</f>
        <v>1569986</v>
      </c>
      <c r="H15" s="703">
        <f>'現金流量表 (底稿)'!H15</f>
        <v>5486330</v>
      </c>
      <c r="I15" s="703">
        <f>'現金流量表 (底稿)'!I15</f>
        <v>-30689313</v>
      </c>
      <c r="J15" s="703">
        <f>'現金流量表 (底稿)'!J15</f>
        <v>-35014339</v>
      </c>
      <c r="K15" s="703">
        <f>'現金流量表 (底稿)'!K15</f>
        <v>0</v>
      </c>
      <c r="L15" s="703">
        <f>'現金流量表 (底稿)'!L15</f>
        <v>0</v>
      </c>
      <c r="M15" s="703">
        <f>'現金流量表 (底稿)'!M15</f>
        <v>0</v>
      </c>
      <c r="N15" s="703">
        <f>'現金流量表 (底稿)'!N15</f>
        <v>0</v>
      </c>
      <c r="O15" s="703">
        <f t="shared" si="0"/>
        <v>-41964274</v>
      </c>
    </row>
    <row r="16" spans="1:15" s="702" customFormat="1" ht="15.75" customHeight="1">
      <c r="A16" s="702" t="s">
        <v>1693</v>
      </c>
      <c r="C16" s="703">
        <f>'現金流量表 (底稿)'!C16</f>
        <v>-23777387</v>
      </c>
      <c r="D16" s="703">
        <f>'現金流量表 (底稿)'!D16</f>
        <v>-816708</v>
      </c>
      <c r="E16" s="703">
        <f>'現金流量表 (底稿)'!E16</f>
        <v>-884046.0000000149</v>
      </c>
      <c r="F16" s="703">
        <f>'現金流量表 (底稿)'!F16</f>
        <v>-9278724</v>
      </c>
      <c r="G16" s="703">
        <f>'現金流量表 (底稿)'!G16</f>
        <v>-12750917</v>
      </c>
      <c r="H16" s="703">
        <f>'現金流量表 (底稿)'!H16</f>
        <v>22774585</v>
      </c>
      <c r="I16" s="703">
        <f>'現金流量表 (底稿)'!I16</f>
        <v>-10245790</v>
      </c>
      <c r="J16" s="703">
        <f>'現金流量表 (底稿)'!J16</f>
        <v>-2296278</v>
      </c>
      <c r="K16" s="703">
        <f>'現金流量表 (底稿)'!K16</f>
        <v>0</v>
      </c>
      <c r="L16" s="703">
        <f>'現金流量表 (底稿)'!L16</f>
        <v>0</v>
      </c>
      <c r="M16" s="703">
        <f>'現金流量表 (底稿)'!M16</f>
        <v>0</v>
      </c>
      <c r="N16" s="703">
        <f>'現金流量表 (底稿)'!N16</f>
        <v>0</v>
      </c>
      <c r="O16" s="703">
        <f t="shared" si="0"/>
        <v>-37275265.000000015</v>
      </c>
    </row>
    <row r="17" spans="1:15" s="702" customFormat="1" ht="15.75" customHeight="1">
      <c r="A17" s="702" t="s">
        <v>1694</v>
      </c>
      <c r="C17" s="703">
        <f>'現金流量表 (底稿)'!C17</f>
        <v>0</v>
      </c>
      <c r="D17" s="703">
        <f>'現金流量表 (底稿)'!D17</f>
        <v>0</v>
      </c>
      <c r="E17" s="703">
        <f>'現金流量表 (底稿)'!E17</f>
        <v>0</v>
      </c>
      <c r="F17" s="703">
        <f>'現金流量表 (底稿)'!F17</f>
        <v>0</v>
      </c>
      <c r="G17" s="703">
        <f>'現金流量表 (底稿)'!G17</f>
        <v>0</v>
      </c>
      <c r="H17" s="703">
        <f>'現金流量表 (底稿)'!H17</f>
        <v>0</v>
      </c>
      <c r="I17" s="703">
        <f>'現金流量表 (底稿)'!I17</f>
        <v>0</v>
      </c>
      <c r="J17" s="703">
        <f>'現金流量表 (底稿)'!J17</f>
        <v>0</v>
      </c>
      <c r="K17" s="703">
        <f>'現金流量表 (底稿)'!K17</f>
        <v>0</v>
      </c>
      <c r="L17" s="703">
        <f>'現金流量表 (底稿)'!L17</f>
        <v>0</v>
      </c>
      <c r="M17" s="703">
        <f>'現金流量表 (底稿)'!M17</f>
        <v>0</v>
      </c>
      <c r="N17" s="703">
        <f>'現金流量表 (底稿)'!N17</f>
        <v>0</v>
      </c>
      <c r="O17" s="703">
        <f t="shared" si="0"/>
        <v>0</v>
      </c>
    </row>
    <row r="18" spans="1:15" s="702" customFormat="1" ht="15.75" customHeight="1">
      <c r="A18" s="702" t="s">
        <v>1695</v>
      </c>
      <c r="C18" s="703">
        <f>'現金流量表 (底稿)'!C18</f>
        <v>-400007</v>
      </c>
      <c r="D18" s="703">
        <f>'現金流量表 (底稿)'!D18</f>
        <v>281659</v>
      </c>
      <c r="E18" s="703">
        <f>'現金流量表 (底稿)'!E18</f>
        <v>104864</v>
      </c>
      <c r="F18" s="703">
        <f>'現金流量表 (底稿)'!F18</f>
        <v>-209363</v>
      </c>
      <c r="G18" s="703">
        <f>'現金流量表 (底稿)'!G18</f>
        <v>60287</v>
      </c>
      <c r="H18" s="703">
        <f>'現金流量表 (底稿)'!H18</f>
        <v>420168</v>
      </c>
      <c r="I18" s="703">
        <f>'現金流量表 (底稿)'!I18</f>
        <v>156288</v>
      </c>
      <c r="J18" s="703">
        <f>'現金流量表 (底稿)'!J18</f>
        <v>-22090</v>
      </c>
      <c r="K18" s="703">
        <f>'現金流量表 (底稿)'!K18</f>
        <v>0</v>
      </c>
      <c r="L18" s="703">
        <f>'現金流量表 (底稿)'!L18</f>
        <v>0</v>
      </c>
      <c r="M18" s="703">
        <f>'現金流量表 (底稿)'!M18</f>
        <v>0</v>
      </c>
      <c r="N18" s="703">
        <f>'現金流量表 (底稿)'!N18</f>
        <v>0</v>
      </c>
      <c r="O18" s="703">
        <f t="shared" si="0"/>
        <v>391806</v>
      </c>
    </row>
    <row r="19" spans="1:15" s="702" customFormat="1" ht="15.75" customHeight="1">
      <c r="A19" s="702" t="s">
        <v>1696</v>
      </c>
      <c r="C19" s="703">
        <f>'現金流量表 (底稿)'!C19</f>
        <v>-2683957</v>
      </c>
      <c r="D19" s="703">
        <f>'現金流量表 (底稿)'!D19</f>
        <v>3086988</v>
      </c>
      <c r="E19" s="703">
        <f>'現金流量表 (底稿)'!E19</f>
        <v>-2206316</v>
      </c>
      <c r="F19" s="703">
        <f>'現金流量表 (底稿)'!F19</f>
        <v>1943005</v>
      </c>
      <c r="G19" s="703">
        <f>'現金流量表 (底稿)'!G19</f>
        <v>-2319453</v>
      </c>
      <c r="H19" s="703">
        <f>'現金流量表 (底稿)'!H19</f>
        <v>2579938</v>
      </c>
      <c r="I19" s="703">
        <f>'現金流量表 (底稿)'!I19</f>
        <v>-3361105</v>
      </c>
      <c r="J19" s="703">
        <f>'現金流量表 (底稿)'!J19</f>
        <v>1265351</v>
      </c>
      <c r="K19" s="703">
        <f>'現金流量表 (底稿)'!K19</f>
        <v>0</v>
      </c>
      <c r="L19" s="703">
        <f>'現金流量表 (底稿)'!L19</f>
        <v>0</v>
      </c>
      <c r="M19" s="703">
        <f>'現金流量表 (底稿)'!M19</f>
        <v>0</v>
      </c>
      <c r="N19" s="703">
        <f>'現金流量表 (底稿)'!N19</f>
        <v>0</v>
      </c>
      <c r="O19" s="703">
        <f t="shared" si="0"/>
        <v>-1695549</v>
      </c>
    </row>
    <row r="20" spans="1:15" s="702" customFormat="1" ht="15.75" customHeight="1">
      <c r="A20" s="702" t="s">
        <v>1697</v>
      </c>
      <c r="B20" s="707"/>
      <c r="C20" s="703">
        <f>'現金流量表 (底稿)'!C20</f>
        <v>52490034</v>
      </c>
      <c r="D20" s="703">
        <f>'現金流量表 (底稿)'!D20</f>
        <v>-12476008</v>
      </c>
      <c r="E20" s="703">
        <f>'現金流量表 (底稿)'!E20</f>
        <v>-63351356</v>
      </c>
      <c r="F20" s="703">
        <f>'現金流量表 (底稿)'!F20</f>
        <v>67351267</v>
      </c>
      <c r="G20" s="703">
        <f>'現金流量表 (底稿)'!G20</f>
        <v>-72182230</v>
      </c>
      <c r="H20" s="703">
        <f>'現金流量表 (底稿)'!H20</f>
        <v>-8807597</v>
      </c>
      <c r="I20" s="703">
        <f>'現金流量表 (底稿)'!I20</f>
        <v>53920567</v>
      </c>
      <c r="J20" s="703">
        <f>'現金流量表 (底稿)'!J20</f>
        <v>-11537425</v>
      </c>
      <c r="K20" s="703">
        <f>'現金流量表 (底稿)'!K20</f>
        <v>0</v>
      </c>
      <c r="L20" s="703">
        <f>'現金流量表 (底稿)'!L20</f>
        <v>0</v>
      </c>
      <c r="M20" s="703">
        <f>'現金流量表 (底稿)'!M20</f>
        <v>0</v>
      </c>
      <c r="N20" s="703">
        <f>'現金流量表 (底稿)'!N20</f>
        <v>0</v>
      </c>
      <c r="O20" s="703">
        <f t="shared" si="0"/>
        <v>5407252</v>
      </c>
    </row>
    <row r="21" spans="1:15" s="702" customFormat="1" ht="15.75" customHeight="1">
      <c r="A21" s="702" t="s">
        <v>1698</v>
      </c>
      <c r="B21" s="707"/>
      <c r="C21" s="703">
        <f>'現金流量表 (底稿)'!C21</f>
        <v>-11476022</v>
      </c>
      <c r="D21" s="703">
        <f>'現金流量表 (底稿)'!D21</f>
        <v>4387228</v>
      </c>
      <c r="E21" s="703">
        <f>'現金流量表 (底稿)'!E21</f>
        <v>632416</v>
      </c>
      <c r="F21" s="703">
        <f>'現金流量表 (底稿)'!F21</f>
        <v>1911761</v>
      </c>
      <c r="G21" s="703">
        <f>'現金流量表 (底稿)'!G21</f>
        <v>3394011</v>
      </c>
      <c r="H21" s="703">
        <f>'現金流量表 (底稿)'!H21</f>
        <v>-1551886</v>
      </c>
      <c r="I21" s="703">
        <f>'現金流量表 (底稿)'!I21</f>
        <v>3290628</v>
      </c>
      <c r="J21" s="703">
        <f>'現金流量表 (底稿)'!J21</f>
        <v>1846415</v>
      </c>
      <c r="K21" s="703">
        <f>'現金流量表 (底稿)'!K21</f>
        <v>0</v>
      </c>
      <c r="L21" s="703">
        <f>'現金流量表 (底稿)'!L21</f>
        <v>0</v>
      </c>
      <c r="M21" s="703">
        <f>'現金流量表 (底稿)'!M21</f>
        <v>0</v>
      </c>
      <c r="N21" s="703">
        <f>'現金流量表 (底稿)'!N21</f>
        <v>0</v>
      </c>
      <c r="O21" s="703">
        <f t="shared" si="0"/>
        <v>2434551</v>
      </c>
    </row>
    <row r="22" spans="1:15" s="702" customFormat="1" ht="15.75" customHeight="1">
      <c r="A22" s="702" t="s">
        <v>1699</v>
      </c>
      <c r="C22" s="703">
        <f>'現金流量表 (底稿)'!C22</f>
        <v>-1063231</v>
      </c>
      <c r="D22" s="703">
        <f>'現金流量表 (底稿)'!D22</f>
        <v>531727</v>
      </c>
      <c r="E22" s="703">
        <f>'現金流量表 (底稿)'!E22</f>
        <v>499387</v>
      </c>
      <c r="F22" s="703">
        <f>'現金流量表 (底稿)'!F22</f>
        <v>3536873</v>
      </c>
      <c r="G22" s="703">
        <f>'現金流量表 (底稿)'!G22</f>
        <v>-3397187</v>
      </c>
      <c r="H22" s="703">
        <f>'現金流量表 (底稿)'!H22</f>
        <v>-1131689</v>
      </c>
      <c r="I22" s="703">
        <f>'現金流量表 (底稿)'!I22</f>
        <v>978377</v>
      </c>
      <c r="J22" s="703">
        <f>'現金流量表 (底稿)'!J22</f>
        <v>-264304</v>
      </c>
      <c r="K22" s="703">
        <f>'現金流量表 (底稿)'!K22</f>
        <v>0</v>
      </c>
      <c r="L22" s="703">
        <f>'現金流量表 (底稿)'!L22</f>
        <v>0</v>
      </c>
      <c r="M22" s="703">
        <f>'現金流量表 (底稿)'!M22</f>
        <v>0</v>
      </c>
      <c r="N22" s="703">
        <f>'現金流量表 (底稿)'!N22</f>
        <v>0</v>
      </c>
      <c r="O22" s="703">
        <f t="shared" si="0"/>
        <v>-310047</v>
      </c>
    </row>
    <row r="23" spans="1:15" s="702" customFormat="1" ht="15.75" customHeight="1">
      <c r="A23" s="702" t="s">
        <v>1700</v>
      </c>
      <c r="C23" s="703">
        <f>'現金流量表 (底稿)'!C23</f>
        <v>122830</v>
      </c>
      <c r="D23" s="703">
        <f>'現金流量表 (底稿)'!D23</f>
        <v>718075</v>
      </c>
      <c r="E23" s="703">
        <f>'現金流量表 (底稿)'!E23</f>
        <v>573006</v>
      </c>
      <c r="F23" s="703">
        <f>'現金流量表 (底稿)'!F23</f>
        <v>1517971.9999999981</v>
      </c>
      <c r="G23" s="703">
        <f>'現金流量表 (底稿)'!G23</f>
        <v>-1053758.9999999981</v>
      </c>
      <c r="H23" s="703">
        <f>'現金流量表 (底稿)'!H23</f>
        <v>364235.99999999814</v>
      </c>
      <c r="I23" s="703">
        <f>'現金流量表 (底稿)'!I23</f>
        <v>-253838.99999999814</v>
      </c>
      <c r="J23" s="703">
        <f>'現金流量表 (底稿)'!J23</f>
        <v>413607</v>
      </c>
      <c r="K23" s="703">
        <f>'現金流量表 (底稿)'!K23</f>
        <v>0</v>
      </c>
      <c r="L23" s="703">
        <f>'現金流量表 (底稿)'!L23</f>
        <v>0</v>
      </c>
      <c r="M23" s="703">
        <f>'現金流量表 (底稿)'!M23</f>
        <v>0</v>
      </c>
      <c r="N23" s="703">
        <f>'現金流量表 (底稿)'!N23</f>
        <v>0</v>
      </c>
      <c r="O23" s="703">
        <f t="shared" si="0"/>
        <v>2402128</v>
      </c>
    </row>
    <row r="24" spans="1:15" s="707" customFormat="1" ht="15.75" customHeight="1">
      <c r="A24" s="707" t="s">
        <v>1701</v>
      </c>
      <c r="C24" s="703">
        <f t="shared" ref="C24:M24" si="1">SUM(C7:C23)</f>
        <v>-9757210</v>
      </c>
      <c r="D24" s="703">
        <f t="shared" si="1"/>
        <v>39024487</v>
      </c>
      <c r="E24" s="703">
        <f t="shared" si="1"/>
        <v>-82136125.000000015</v>
      </c>
      <c r="F24" s="703">
        <f t="shared" si="1"/>
        <v>67138447</v>
      </c>
      <c r="G24" s="703">
        <f t="shared" si="1"/>
        <v>-85861885</v>
      </c>
      <c r="H24" s="703">
        <f t="shared" si="1"/>
        <v>24106713</v>
      </c>
      <c r="I24" s="703">
        <f t="shared" si="1"/>
        <v>12481178.000000002</v>
      </c>
      <c r="J24" s="703">
        <f t="shared" si="1"/>
        <v>-42058013</v>
      </c>
      <c r="K24" s="703">
        <f t="shared" si="1"/>
        <v>0</v>
      </c>
      <c r="L24" s="703">
        <f t="shared" si="1"/>
        <v>0</v>
      </c>
      <c r="M24" s="703">
        <f t="shared" si="1"/>
        <v>0</v>
      </c>
      <c r="N24" s="703">
        <f>SUM(N7:N23)</f>
        <v>0</v>
      </c>
      <c r="O24" s="703">
        <f>SUM(C24:N24)</f>
        <v>-77062408.000000015</v>
      </c>
    </row>
    <row r="25" spans="1:15" s="707" customFormat="1" ht="15.75" customHeight="1">
      <c r="A25" s="707" t="s">
        <v>1702</v>
      </c>
      <c r="C25" s="703"/>
      <c r="D25" s="703"/>
      <c r="E25" s="703"/>
      <c r="F25" s="703"/>
      <c r="G25" s="703"/>
      <c r="H25" s="703"/>
      <c r="I25" s="703"/>
      <c r="J25" s="703"/>
      <c r="K25" s="703"/>
      <c r="L25" s="703"/>
      <c r="M25" s="703"/>
      <c r="N25" s="703"/>
      <c r="O25" s="703"/>
    </row>
    <row r="26" spans="1:15" s="702" customFormat="1" ht="15.75" customHeight="1">
      <c r="A26" s="702" t="s">
        <v>466</v>
      </c>
      <c r="C26" s="703">
        <f>'現金流量表 (底稿)'!C26</f>
        <v>0</v>
      </c>
      <c r="D26" s="703">
        <f>'現金流量表 (底稿)'!D26</f>
        <v>0</v>
      </c>
      <c r="E26" s="703">
        <f>'現金流量表 (底稿)'!E26</f>
        <v>0</v>
      </c>
      <c r="F26" s="703">
        <f>'現金流量表 (底稿)'!F26</f>
        <v>0</v>
      </c>
      <c r="G26" s="703">
        <f>'現金流量表 (底稿)'!G26</f>
        <v>0</v>
      </c>
      <c r="H26" s="703">
        <f>'現金流量表 (底稿)'!H26</f>
        <v>0</v>
      </c>
      <c r="I26" s="703">
        <f>'現金流量表 (底稿)'!I26</f>
        <v>0</v>
      </c>
      <c r="J26" s="703">
        <f>'現金流量表 (底稿)'!J26</f>
        <v>0</v>
      </c>
      <c r="K26" s="703">
        <f>'現金流量表 (底稿)'!K26</f>
        <v>0</v>
      </c>
      <c r="L26" s="703">
        <f>'現金流量表 (底稿)'!L26</f>
        <v>0</v>
      </c>
      <c r="M26" s="703">
        <f>'現金流量表 (底稿)'!M26</f>
        <v>0</v>
      </c>
      <c r="N26" s="702">
        <f>'現金流量表 (底稿)'!N26</f>
        <v>0</v>
      </c>
      <c r="O26" s="703">
        <f t="shared" ref="O26:O31" si="2">SUM(C26:N26)</f>
        <v>0</v>
      </c>
    </row>
    <row r="27" spans="1:15" s="702" customFormat="1" ht="15.75" customHeight="1">
      <c r="A27" s="702" t="s">
        <v>467</v>
      </c>
      <c r="C27" s="703">
        <f>'現金流量表 (底稿)'!C27</f>
        <v>0</v>
      </c>
      <c r="D27" s="703">
        <f>'現金流量表 (底稿)'!D27</f>
        <v>0</v>
      </c>
      <c r="E27" s="703">
        <f>'現金流量表 (底稿)'!E27</f>
        <v>0</v>
      </c>
      <c r="F27" s="703">
        <f>'現金流量表 (底稿)'!F27</f>
        <v>0</v>
      </c>
      <c r="G27" s="703">
        <f>'現金流量表 (底稿)'!G27</f>
        <v>0</v>
      </c>
      <c r="H27" s="703">
        <f>'現金流量表 (底稿)'!H27</f>
        <v>0</v>
      </c>
      <c r="I27" s="703">
        <f>'現金流量表 (底稿)'!I27</f>
        <v>0</v>
      </c>
      <c r="J27" s="703">
        <f>'現金流量表 (底稿)'!J27</f>
        <v>0</v>
      </c>
      <c r="K27" s="703">
        <f>'現金流量表 (底稿)'!K27</f>
        <v>0</v>
      </c>
      <c r="L27" s="703">
        <f>'現金流量表 (底稿)'!L27</f>
        <v>0</v>
      </c>
      <c r="M27" s="703">
        <f>'現金流量表 (底稿)'!M27</f>
        <v>0</v>
      </c>
      <c r="N27" s="702">
        <f>'現金流量表 (底稿)'!N27</f>
        <v>0</v>
      </c>
      <c r="O27" s="703">
        <f t="shared" si="2"/>
        <v>0</v>
      </c>
    </row>
    <row r="28" spans="1:15" s="702" customFormat="1" ht="15.75" customHeight="1">
      <c r="A28" s="702" t="s">
        <v>468</v>
      </c>
      <c r="C28" s="703">
        <f>'現金流量表 (底稿)'!C28</f>
        <v>0</v>
      </c>
      <c r="D28" s="703">
        <f>'現金流量表 (底稿)'!D28</f>
        <v>0</v>
      </c>
      <c r="E28" s="703">
        <f>'現金流量表 (底稿)'!E28</f>
        <v>0</v>
      </c>
      <c r="F28" s="703">
        <f>'現金流量表 (底稿)'!F28</f>
        <v>0</v>
      </c>
      <c r="G28" s="703">
        <f>'現金流量表 (底稿)'!G28</f>
        <v>0</v>
      </c>
      <c r="H28" s="703">
        <f>'現金流量表 (底稿)'!H28</f>
        <v>0</v>
      </c>
      <c r="I28" s="703">
        <f>'現金流量表 (底稿)'!I28</f>
        <v>0</v>
      </c>
      <c r="J28" s="703">
        <f>'現金流量表 (底稿)'!J28</f>
        <v>0</v>
      </c>
      <c r="K28" s="703">
        <f>'現金流量表 (底稿)'!K28</f>
        <v>0</v>
      </c>
      <c r="L28" s="703">
        <f>'現金流量表 (底稿)'!L28</f>
        <v>0</v>
      </c>
      <c r="M28" s="703">
        <f>'現金流量表 (底稿)'!M28</f>
        <v>0</v>
      </c>
      <c r="N28" s="702">
        <f>'現金流量表 (底稿)'!N28</f>
        <v>0</v>
      </c>
      <c r="O28" s="703">
        <f t="shared" si="2"/>
        <v>0</v>
      </c>
    </row>
    <row r="29" spans="1:15" s="702" customFormat="1" ht="15.75" customHeight="1">
      <c r="A29" s="702" t="s">
        <v>1703</v>
      </c>
      <c r="C29" s="703">
        <f>'現金流量表 (底稿)'!C29</f>
        <v>0</v>
      </c>
      <c r="D29" s="703">
        <f>'現金流量表 (底稿)'!D29</f>
        <v>0</v>
      </c>
      <c r="E29" s="703">
        <f>'現金流量表 (底稿)'!E29</f>
        <v>0</v>
      </c>
      <c r="F29" s="703">
        <f>'現金流量表 (底稿)'!F29</f>
        <v>0</v>
      </c>
      <c r="G29" s="703">
        <f>'現金流量表 (底稿)'!G29</f>
        <v>0</v>
      </c>
      <c r="H29" s="703">
        <f>'現金流量表 (底稿)'!H29</f>
        <v>0</v>
      </c>
      <c r="I29" s="703">
        <f>'現金流量表 (底稿)'!I29</f>
        <v>0</v>
      </c>
      <c r="J29" s="703">
        <f>'現金流量表 (底稿)'!J29</f>
        <v>0</v>
      </c>
      <c r="K29" s="703">
        <f>'現金流量表 (底稿)'!K29</f>
        <v>0</v>
      </c>
      <c r="L29" s="703">
        <f>'現金流量表 (底稿)'!L29</f>
        <v>0</v>
      </c>
      <c r="M29" s="703">
        <f>'現金流量表 (底稿)'!M29</f>
        <v>0</v>
      </c>
      <c r="N29" s="703">
        <f>'現金流量表 (底稿)'!N29</f>
        <v>0</v>
      </c>
      <c r="O29" s="703">
        <f t="shared" si="2"/>
        <v>0</v>
      </c>
    </row>
    <row r="30" spans="1:15" s="702" customFormat="1" ht="15.75" customHeight="1">
      <c r="A30" s="702" t="s">
        <v>1704</v>
      </c>
      <c r="C30" s="703">
        <f>'現金流量表 (底稿)'!C30</f>
        <v>-324000</v>
      </c>
      <c r="D30" s="703">
        <f>'現金流量表 (底稿)'!D30</f>
        <v>-87000</v>
      </c>
      <c r="E30" s="702">
        <f>'現金流量表 (底稿)'!E30</f>
        <v>-429000</v>
      </c>
      <c r="F30" s="702">
        <f>'現金流量表 (底稿)'!F30</f>
        <v>-1627141</v>
      </c>
      <c r="G30" s="702">
        <f>'現金流量表 (底稿)'!G30</f>
        <v>-520000</v>
      </c>
      <c r="H30" s="703">
        <f>'現金流量表 (底稿)'!H30</f>
        <v>-965000</v>
      </c>
      <c r="I30" s="703">
        <f>'現金流量表 (底稿)'!I30</f>
        <v>-45000</v>
      </c>
      <c r="J30" s="703">
        <f>'現金流量表 (底稿)'!J30</f>
        <v>-294000</v>
      </c>
      <c r="K30" s="709">
        <f>'現金流量表 (底稿)'!K30</f>
        <v>0</v>
      </c>
      <c r="L30" s="703">
        <f>'現金流量表 (底稿)'!L30</f>
        <v>0</v>
      </c>
      <c r="M30" s="703">
        <f>'現金流量表 (底稿)'!M30</f>
        <v>0</v>
      </c>
      <c r="N30" s="703">
        <f>'現金流量表 (底稿)'!N30</f>
        <v>0</v>
      </c>
      <c r="O30" s="703">
        <f t="shared" si="2"/>
        <v>-4291141</v>
      </c>
    </row>
    <row r="31" spans="1:15" s="702" customFormat="1" ht="15.75" customHeight="1">
      <c r="A31" s="702" t="s">
        <v>1705</v>
      </c>
      <c r="C31" s="703">
        <f>'現金流量表 (底稿)'!C31</f>
        <v>0</v>
      </c>
      <c r="D31" s="703">
        <f>'現金流量表 (底稿)'!D31</f>
        <v>0</v>
      </c>
      <c r="E31" s="703">
        <f>'現金流量表 (底稿)'!E31</f>
        <v>0</v>
      </c>
      <c r="F31" s="703">
        <f>'現金流量表 (底稿)'!F31</f>
        <v>0</v>
      </c>
      <c r="G31" s="703">
        <f>'現金流量表 (底稿)'!G31</f>
        <v>0</v>
      </c>
      <c r="H31" s="703">
        <f>'現金流量表 (底稿)'!H31</f>
        <v>0</v>
      </c>
      <c r="I31" s="703">
        <f>'現金流量表 (底稿)'!I31</f>
        <v>0</v>
      </c>
      <c r="J31" s="703">
        <f>'現金流量表 (底稿)'!J31</f>
        <v>0</v>
      </c>
      <c r="K31" s="703">
        <f>'現金流量表 (底稿)'!K31</f>
        <v>0</v>
      </c>
      <c r="L31" s="703">
        <f>'現金流量表 (底稿)'!L31</f>
        <v>0</v>
      </c>
      <c r="M31" s="703">
        <f>'現金流量表 (底稿)'!M31</f>
        <v>0</v>
      </c>
      <c r="N31" s="703">
        <f>'現金流量表 (底稿)'!N31</f>
        <v>0</v>
      </c>
      <c r="O31" s="703">
        <f t="shared" si="2"/>
        <v>0</v>
      </c>
    </row>
    <row r="32" spans="1:15" s="702" customFormat="1" ht="15.75" customHeight="1">
      <c r="A32" s="702" t="s">
        <v>1706</v>
      </c>
      <c r="C32" s="703">
        <f>'現金流量表 (底稿)'!C32</f>
        <v>0</v>
      </c>
      <c r="D32" s="703">
        <f>'現金流量表 (底稿)'!D32</f>
        <v>0</v>
      </c>
      <c r="E32" s="703">
        <f>'現金流量表 (底稿)'!E32</f>
        <v>0</v>
      </c>
      <c r="F32" s="703">
        <f>'現金流量表 (底稿)'!F32</f>
        <v>0</v>
      </c>
      <c r="G32" s="703">
        <f>'現金流量表 (底稿)'!G32</f>
        <v>-28950</v>
      </c>
      <c r="H32" s="703">
        <f>'現金流量表 (底稿)'!H32</f>
        <v>0</v>
      </c>
      <c r="I32" s="703">
        <f>'現金流量表 (底稿)'!I32</f>
        <v>0</v>
      </c>
      <c r="J32" s="703">
        <f>'現金流量表 (底稿)'!J32</f>
        <v>-450514</v>
      </c>
      <c r="K32" s="703">
        <f>'現金流量表 (底稿)'!K32</f>
        <v>0</v>
      </c>
      <c r="L32" s="703">
        <f>'現金流量表 (底稿)'!L32</f>
        <v>0</v>
      </c>
      <c r="M32" s="703">
        <f>'現金流量表 (底稿)'!M32</f>
        <v>0</v>
      </c>
      <c r="N32" s="703">
        <f>'現金流量表 (底稿)'!N32</f>
        <v>0</v>
      </c>
      <c r="O32" s="703"/>
    </row>
    <row r="33" spans="1:15" s="707" customFormat="1" ht="15.75" customHeight="1">
      <c r="A33" s="707" t="s">
        <v>1707</v>
      </c>
      <c r="C33" s="703">
        <f>SUM(C26:C32)</f>
        <v>-324000</v>
      </c>
      <c r="D33" s="703">
        <f t="shared" ref="D33:M33" si="3">SUM(D26:D32)</f>
        <v>-87000</v>
      </c>
      <c r="E33" s="703">
        <f>SUM(E26:E32)</f>
        <v>-429000</v>
      </c>
      <c r="F33" s="703">
        <f t="shared" si="3"/>
        <v>-1627141</v>
      </c>
      <c r="G33" s="703">
        <f t="shared" si="3"/>
        <v>-548950</v>
      </c>
      <c r="H33" s="703">
        <f t="shared" si="3"/>
        <v>-965000</v>
      </c>
      <c r="I33" s="703">
        <f t="shared" si="3"/>
        <v>-45000</v>
      </c>
      <c r="J33" s="703">
        <f t="shared" si="3"/>
        <v>-744514</v>
      </c>
      <c r="K33" s="703">
        <f t="shared" si="3"/>
        <v>0</v>
      </c>
      <c r="L33" s="703">
        <f t="shared" si="3"/>
        <v>0</v>
      </c>
      <c r="M33" s="703">
        <f t="shared" si="3"/>
        <v>0</v>
      </c>
      <c r="N33" s="703">
        <f>SUM(N26:N32)</f>
        <v>0</v>
      </c>
      <c r="O33" s="703">
        <f>SUM(C33:N33)</f>
        <v>-4770605</v>
      </c>
    </row>
    <row r="34" spans="1:15" s="707" customFormat="1" ht="15.75" customHeight="1">
      <c r="A34" s="707" t="s">
        <v>1708</v>
      </c>
      <c r="C34" s="703"/>
      <c r="D34" s="703"/>
      <c r="E34" s="703"/>
      <c r="F34" s="703"/>
      <c r="G34" s="703"/>
      <c r="H34" s="703"/>
      <c r="I34" s="703"/>
      <c r="J34" s="703"/>
      <c r="K34" s="703"/>
      <c r="L34" s="703"/>
      <c r="M34" s="703"/>
      <c r="N34" s="703"/>
      <c r="O34" s="703"/>
    </row>
    <row r="35" spans="1:15" s="702" customFormat="1" ht="15.75" customHeight="1">
      <c r="A35" s="702" t="s">
        <v>1709</v>
      </c>
      <c r="C35" s="703">
        <f>'現金流量表 (底稿)'!C35</f>
        <v>37000000</v>
      </c>
      <c r="D35" s="703">
        <f>'現金流量表 (底稿)'!D35</f>
        <v>0</v>
      </c>
      <c r="E35" s="703">
        <f>'現金流量表 (底稿)'!E35</f>
        <v>10110358</v>
      </c>
      <c r="F35" s="703">
        <f>'現金流量表 (底稿)'!F35</f>
        <v>-30042706</v>
      </c>
      <c r="G35" s="702">
        <f>'現金流量表 (底稿)'!G35</f>
        <v>43015517</v>
      </c>
      <c r="H35" s="703">
        <f>'現金流量表 (底稿)'!H35</f>
        <v>-12621139</v>
      </c>
      <c r="I35" s="703">
        <f>'現金流量表 (底稿)'!I35</f>
        <v>8007462</v>
      </c>
      <c r="J35" s="703">
        <f>'現金流量表 (底稿)'!J35</f>
        <v>5678417</v>
      </c>
      <c r="K35" s="703">
        <f>'現金流量表 (底稿)'!K35</f>
        <v>0</v>
      </c>
      <c r="L35" s="703">
        <f>'現金流量表 (底稿)'!L35</f>
        <v>0</v>
      </c>
      <c r="M35" s="703">
        <f>'現金流量表 (底稿)'!M35</f>
        <v>0</v>
      </c>
      <c r="N35" s="703">
        <f>'現金流量表 (底稿)'!N35</f>
        <v>0</v>
      </c>
      <c r="O35" s="703">
        <f>SUM(C35:N35)</f>
        <v>61147909</v>
      </c>
    </row>
    <row r="36" spans="1:15" s="702" customFormat="1" ht="15.75" customHeight="1">
      <c r="A36" s="702" t="s">
        <v>1710</v>
      </c>
      <c r="C36" s="703">
        <f>'現金流量表 (底稿)'!C36</f>
        <v>15013</v>
      </c>
      <c r="D36" s="703">
        <f>'現金流量表 (底稿)'!D36</f>
        <v>10448</v>
      </c>
      <c r="E36" s="703">
        <f>'現金流量表 (底稿)'!E36</f>
        <v>5716</v>
      </c>
      <c r="F36" s="703">
        <f>'現金流量表 (底稿)'!F36</f>
        <v>9325</v>
      </c>
      <c r="G36" s="702">
        <f>'現金流量表 (底稿)'!G36</f>
        <v>722</v>
      </c>
      <c r="H36" s="703">
        <f>'現金流量表 (底稿)'!H36</f>
        <v>2260</v>
      </c>
      <c r="I36" s="703">
        <f>'現金流量表 (底稿)'!I36</f>
        <v>5606</v>
      </c>
      <c r="J36" s="703">
        <f>'現金流量表 (底稿)'!J36</f>
        <v>11228</v>
      </c>
      <c r="K36" s="703">
        <f>'現金流量表 (底稿)'!K36</f>
        <v>0</v>
      </c>
      <c r="L36" s="703">
        <f>'現金流量表 (底稿)'!L36</f>
        <v>0</v>
      </c>
      <c r="M36" s="703">
        <f>'現金流量表 (底稿)'!M36</f>
        <v>0</v>
      </c>
      <c r="N36" s="703">
        <f>'現金流量表 (底稿)'!N36</f>
        <v>0</v>
      </c>
      <c r="O36" s="703">
        <f>SUM(C36:N36)</f>
        <v>60318</v>
      </c>
    </row>
    <row r="37" spans="1:15" s="707" customFormat="1" ht="15.75" customHeight="1">
      <c r="A37" s="707" t="s">
        <v>1711</v>
      </c>
      <c r="C37" s="703">
        <f t="shared" ref="C37:M37" si="4">SUM(C35:C36)</f>
        <v>37015013</v>
      </c>
      <c r="D37" s="703">
        <f t="shared" si="4"/>
        <v>10448</v>
      </c>
      <c r="E37" s="703">
        <f t="shared" si="4"/>
        <v>10116074</v>
      </c>
      <c r="F37" s="703">
        <f t="shared" si="4"/>
        <v>-30033381</v>
      </c>
      <c r="G37" s="703">
        <f t="shared" si="4"/>
        <v>43016239</v>
      </c>
      <c r="H37" s="703">
        <f t="shared" si="4"/>
        <v>-12618879</v>
      </c>
      <c r="I37" s="703">
        <f t="shared" si="4"/>
        <v>8013068</v>
      </c>
      <c r="J37" s="703">
        <f t="shared" si="4"/>
        <v>5689645</v>
      </c>
      <c r="K37" s="703">
        <f t="shared" si="4"/>
        <v>0</v>
      </c>
      <c r="L37" s="703">
        <f t="shared" si="4"/>
        <v>0</v>
      </c>
      <c r="M37" s="703">
        <f t="shared" si="4"/>
        <v>0</v>
      </c>
      <c r="N37" s="703">
        <f>SUM(N35:N36)</f>
        <v>0</v>
      </c>
      <c r="O37" s="703">
        <f>SUM(C37:N37)</f>
        <v>61208227</v>
      </c>
    </row>
    <row r="38" spans="1:15" s="702" customFormat="1" ht="15.75" customHeight="1">
      <c r="C38" s="703"/>
      <c r="D38" s="703"/>
      <c r="E38" s="703"/>
      <c r="F38" s="703"/>
      <c r="G38" s="703"/>
      <c r="H38" s="703"/>
      <c r="I38" s="703"/>
      <c r="J38" s="703"/>
      <c r="K38" s="703"/>
      <c r="L38" s="703"/>
      <c r="M38" s="703"/>
      <c r="N38" s="703"/>
      <c r="O38" s="703"/>
    </row>
    <row r="39" spans="1:15" s="707" customFormat="1" ht="15.75" customHeight="1">
      <c r="A39" s="707" t="s">
        <v>1712</v>
      </c>
      <c r="C39" s="703">
        <f t="shared" ref="C39:O39" si="5">C24+C33+C37</f>
        <v>26933803</v>
      </c>
      <c r="D39" s="703">
        <f t="shared" si="5"/>
        <v>38947935</v>
      </c>
      <c r="E39" s="703">
        <f t="shared" si="5"/>
        <v>-72449051.000000015</v>
      </c>
      <c r="F39" s="703">
        <f t="shared" si="5"/>
        <v>35477925</v>
      </c>
      <c r="G39" s="703">
        <f t="shared" si="5"/>
        <v>-43394596</v>
      </c>
      <c r="H39" s="703">
        <f t="shared" si="5"/>
        <v>10522834</v>
      </c>
      <c r="I39" s="703">
        <f t="shared" si="5"/>
        <v>20449246</v>
      </c>
      <c r="J39" s="703">
        <f t="shared" si="5"/>
        <v>-37112882</v>
      </c>
      <c r="K39" s="703">
        <f t="shared" si="5"/>
        <v>0</v>
      </c>
      <c r="L39" s="703">
        <f t="shared" si="5"/>
        <v>0</v>
      </c>
      <c r="M39" s="703">
        <f t="shared" si="5"/>
        <v>0</v>
      </c>
      <c r="N39" s="703">
        <f t="shared" si="5"/>
        <v>0</v>
      </c>
      <c r="O39" s="703">
        <f t="shared" si="5"/>
        <v>-20624786.000000015</v>
      </c>
    </row>
    <row r="40" spans="1:15" s="707" customFormat="1" ht="15.75" customHeight="1">
      <c r="A40" s="707" t="s">
        <v>1713</v>
      </c>
      <c r="C40" s="703">
        <v>79160289.670000002</v>
      </c>
      <c r="D40" s="703">
        <f>C41</f>
        <v>106094092.67</v>
      </c>
      <c r="E40" s="703">
        <f>D41</f>
        <v>145042027.67000002</v>
      </c>
      <c r="F40" s="703">
        <f>E41</f>
        <v>72592976.670000002</v>
      </c>
      <c r="G40" s="703">
        <f>F41</f>
        <v>108070901.67</v>
      </c>
      <c r="H40" s="703">
        <f t="shared" ref="H40:N40" si="6">G41</f>
        <v>64676305.670000002</v>
      </c>
      <c r="I40" s="703">
        <f t="shared" si="6"/>
        <v>75199139.670000002</v>
      </c>
      <c r="J40" s="703">
        <f>I41</f>
        <v>95648385.670000002</v>
      </c>
      <c r="K40" s="703">
        <f t="shared" si="6"/>
        <v>58535503.670000002</v>
      </c>
      <c r="L40" s="703">
        <f t="shared" si="6"/>
        <v>58535503.670000002</v>
      </c>
      <c r="M40" s="703">
        <f t="shared" si="6"/>
        <v>58535503.670000002</v>
      </c>
      <c r="N40" s="703">
        <f t="shared" si="6"/>
        <v>58535503.670000002</v>
      </c>
      <c r="O40" s="703">
        <f>C40</f>
        <v>79160289.670000002</v>
      </c>
    </row>
    <row r="41" spans="1:15" s="707" customFormat="1" ht="15.75" customHeight="1">
      <c r="A41" s="707" t="s">
        <v>1714</v>
      </c>
      <c r="C41" s="703">
        <f>C39+C40</f>
        <v>106094092.67</v>
      </c>
      <c r="D41" s="703">
        <f>D39+D40</f>
        <v>145042027.67000002</v>
      </c>
      <c r="E41" s="703">
        <f>E39+E40</f>
        <v>72592976.670000002</v>
      </c>
      <c r="F41" s="703">
        <f>F39+F40</f>
        <v>108070901.67</v>
      </c>
      <c r="G41" s="703">
        <f t="shared" ref="G41:O41" si="7">G39+G40</f>
        <v>64676305.670000002</v>
      </c>
      <c r="H41" s="703">
        <f t="shared" si="7"/>
        <v>75199139.670000002</v>
      </c>
      <c r="I41" s="703">
        <f t="shared" si="7"/>
        <v>95648385.670000002</v>
      </c>
      <c r="J41" s="703">
        <f>J39+J40</f>
        <v>58535503.670000002</v>
      </c>
      <c r="K41" s="703">
        <f t="shared" si="7"/>
        <v>58535503.670000002</v>
      </c>
      <c r="L41" s="703">
        <f t="shared" si="7"/>
        <v>58535503.670000002</v>
      </c>
      <c r="M41" s="703">
        <f t="shared" si="7"/>
        <v>58535503.670000002</v>
      </c>
      <c r="N41" s="703">
        <f t="shared" si="7"/>
        <v>58535503.670000002</v>
      </c>
      <c r="O41" s="703">
        <f t="shared" si="7"/>
        <v>58535503.669999987</v>
      </c>
    </row>
    <row r="42" spans="1:15" s="702" customFormat="1" ht="8.25" customHeight="1">
      <c r="C42" s="703"/>
      <c r="D42" s="703"/>
      <c r="E42" s="703"/>
      <c r="F42" s="703"/>
      <c r="G42" s="703"/>
      <c r="H42" s="703"/>
      <c r="I42" s="703"/>
      <c r="J42" s="703"/>
      <c r="K42" s="703"/>
      <c r="L42" s="703"/>
      <c r="M42" s="703"/>
      <c r="N42" s="703"/>
      <c r="O42" s="703"/>
    </row>
    <row r="43" spans="1:15" s="702" customFormat="1" ht="8.25" customHeight="1">
      <c r="C43" s="703"/>
      <c r="D43" s="703"/>
      <c r="E43" s="703"/>
      <c r="F43" s="703"/>
      <c r="G43" s="703"/>
      <c r="H43" s="703"/>
      <c r="I43" s="703"/>
      <c r="J43" s="703"/>
      <c r="K43" s="703"/>
      <c r="L43" s="703"/>
      <c r="M43" s="703"/>
      <c r="N43" s="703"/>
      <c r="O43" s="703"/>
    </row>
    <row r="44" spans="1:15" s="702" customFormat="1" ht="8.25" customHeight="1">
      <c r="C44" s="703"/>
      <c r="D44" s="703"/>
      <c r="E44" s="703"/>
      <c r="F44" s="703"/>
      <c r="G44" s="703"/>
      <c r="H44" s="703"/>
      <c r="I44" s="703"/>
      <c r="J44" s="703"/>
      <c r="K44" s="703"/>
      <c r="L44" s="703"/>
      <c r="M44" s="703"/>
      <c r="N44" s="703"/>
      <c r="O44" s="703"/>
    </row>
    <row r="45" spans="1:15" s="702" customFormat="1" ht="15.75" customHeight="1">
      <c r="A45" s="707" t="s">
        <v>1715</v>
      </c>
      <c r="C45" s="703"/>
      <c r="D45" s="703"/>
      <c r="E45" s="703"/>
      <c r="F45" s="703"/>
      <c r="G45" s="703"/>
      <c r="H45" s="703"/>
      <c r="I45" s="703"/>
      <c r="J45" s="703"/>
      <c r="K45" s="703"/>
      <c r="L45" s="703"/>
      <c r="M45" s="703"/>
      <c r="N45" s="703"/>
      <c r="O45" s="703"/>
    </row>
    <row r="46" spans="1:15" s="702" customFormat="1" ht="15.75" customHeight="1">
      <c r="C46" s="703"/>
      <c r="D46" s="703"/>
      <c r="E46" s="703"/>
      <c r="F46" s="703"/>
      <c r="G46" s="703"/>
      <c r="H46" s="703"/>
      <c r="I46" s="703"/>
      <c r="J46" s="703"/>
      <c r="K46" s="703"/>
      <c r="L46" s="703"/>
      <c r="M46" s="703"/>
      <c r="N46" s="703"/>
      <c r="O46" s="703"/>
    </row>
    <row r="47" spans="1:15" s="702" customFormat="1" ht="15.75" customHeight="1">
      <c r="A47" s="707" t="s">
        <v>1716</v>
      </c>
      <c r="C47" s="703"/>
      <c r="D47" s="703"/>
      <c r="E47" s="703"/>
      <c r="F47" s="703"/>
      <c r="G47" s="703"/>
      <c r="H47" s="703"/>
      <c r="I47" s="703"/>
      <c r="J47" s="703"/>
      <c r="K47" s="703"/>
      <c r="L47" s="703"/>
      <c r="M47" s="703"/>
      <c r="N47" s="703"/>
      <c r="O47" s="703"/>
    </row>
    <row r="48" spans="1:15" s="702" customFormat="1" ht="15.75" customHeight="1">
      <c r="A48" s="702" t="s">
        <v>1717</v>
      </c>
      <c r="C48" s="703">
        <f>'現金流量表 (底稿)'!C48</f>
        <v>106094092.67</v>
      </c>
      <c r="D48" s="703">
        <f>'現金流量表 (底稿)'!D48</f>
        <v>145042027.66999999</v>
      </c>
      <c r="E48" s="703">
        <f>'現金流量表 (底稿)'!E48</f>
        <v>72592976.670000002</v>
      </c>
      <c r="F48" s="703">
        <f>'現金流量表 (底稿)'!F48</f>
        <v>108070901.67</v>
      </c>
      <c r="G48" s="703">
        <f>'現金流量表 (底稿)'!G48</f>
        <v>64676305.670000002</v>
      </c>
      <c r="H48" s="703">
        <f>'現金流量表 (底稿)'!H48</f>
        <v>75199139.670000002</v>
      </c>
      <c r="I48" s="703">
        <f>'現金流量表 (底稿)'!I48</f>
        <v>95648385.670000002</v>
      </c>
      <c r="J48" s="703">
        <f>'現金流量表 (底稿)'!J48</f>
        <v>58535503.670000002</v>
      </c>
      <c r="K48" s="703">
        <f>'現金流量表 (底稿)'!K48</f>
        <v>0</v>
      </c>
      <c r="L48" s="703">
        <f>'現金流量表 (底稿)'!L48</f>
        <v>0</v>
      </c>
      <c r="M48" s="703">
        <f>'現金流量表 (底稿)'!M48</f>
        <v>0</v>
      </c>
      <c r="N48" s="703">
        <f>'現金流量表 (底稿)'!N48</f>
        <v>0</v>
      </c>
      <c r="O48" s="703">
        <f>TWN_BS!C6</f>
        <v>58535503.670000002</v>
      </c>
    </row>
    <row r="49" spans="1:19" s="702" customFormat="1" ht="15.75" customHeight="1">
      <c r="A49" s="702" t="s">
        <v>1718</v>
      </c>
      <c r="C49" s="703">
        <f t="shared" ref="C49:J49" si="8">C41-C48</f>
        <v>0</v>
      </c>
      <c r="D49" s="703">
        <f t="shared" si="8"/>
        <v>0</v>
      </c>
      <c r="E49" s="703">
        <f t="shared" si="8"/>
        <v>0</v>
      </c>
      <c r="F49" s="703">
        <f t="shared" si="8"/>
        <v>0</v>
      </c>
      <c r="G49" s="703">
        <f t="shared" si="8"/>
        <v>0</v>
      </c>
      <c r="H49" s="703">
        <f t="shared" si="8"/>
        <v>0</v>
      </c>
      <c r="I49" s="703">
        <f t="shared" si="8"/>
        <v>0</v>
      </c>
      <c r="J49" s="703">
        <f t="shared" si="8"/>
        <v>0</v>
      </c>
      <c r="K49" s="703">
        <f>K41-K48</f>
        <v>58535503.670000002</v>
      </c>
      <c r="L49" s="703">
        <f>L41-L48</f>
        <v>58535503.670000002</v>
      </c>
      <c r="M49" s="703">
        <f>M41-M48</f>
        <v>58535503.670000002</v>
      </c>
      <c r="N49" s="703">
        <f>N41-N48</f>
        <v>58535503.670000002</v>
      </c>
      <c r="O49" s="703">
        <f>O41-O48</f>
        <v>0</v>
      </c>
    </row>
    <row r="50" spans="1:19" ht="27" customHeight="1">
      <c r="A50" s="702"/>
      <c r="B50" s="702"/>
      <c r="C50" s="703"/>
      <c r="D50" s="703"/>
      <c r="E50" s="703"/>
      <c r="F50" s="703"/>
      <c r="G50" s="703"/>
      <c r="H50" s="703"/>
      <c r="I50" s="703"/>
      <c r="J50" s="703"/>
      <c r="K50" s="703"/>
      <c r="L50" s="703"/>
      <c r="M50" s="703"/>
      <c r="N50" s="703"/>
      <c r="O50" s="703"/>
      <c r="P50" s="702"/>
      <c r="Q50" s="702"/>
      <c r="R50" s="702"/>
      <c r="S50" s="702"/>
    </row>
    <row r="51" spans="1:19" ht="27" customHeight="1">
      <c r="A51" s="701"/>
    </row>
    <row r="52" spans="1:19" ht="27" customHeight="1">
      <c r="A52" s="701"/>
    </row>
    <row r="53" spans="1:19" ht="27" customHeight="1">
      <c r="A53" s="701"/>
    </row>
    <row r="54" spans="1:19" ht="27" customHeight="1">
      <c r="A54" s="701"/>
    </row>
    <row r="55" spans="1:19" ht="27" customHeight="1">
      <c r="A55" s="701"/>
    </row>
    <row r="56" spans="1:19" ht="27" customHeight="1">
      <c r="A56" s="701"/>
    </row>
    <row r="57" spans="1:19" ht="27" customHeight="1">
      <c r="A57" s="701"/>
    </row>
    <row r="58" spans="1:19" ht="27" customHeight="1">
      <c r="A58" s="701"/>
    </row>
    <row r="59" spans="1:19" ht="27" customHeight="1">
      <c r="A59" s="701"/>
    </row>
    <row r="60" spans="1:19">
      <c r="A60" s="701"/>
    </row>
    <row r="61" spans="1:19">
      <c r="A61" s="701"/>
    </row>
    <row r="62" spans="1:19">
      <c r="A62" s="701"/>
    </row>
    <row r="63" spans="1:19">
      <c r="A63" s="701"/>
    </row>
    <row r="64" spans="1:19">
      <c r="A64" s="701"/>
    </row>
    <row r="65" spans="1:1">
      <c r="A65" s="701"/>
    </row>
    <row r="66" spans="1:1">
      <c r="A66" s="701"/>
    </row>
    <row r="67" spans="1:1">
      <c r="A67" s="701"/>
    </row>
    <row r="68" spans="1:1">
      <c r="A68" s="701"/>
    </row>
    <row r="69" spans="1:1">
      <c r="A69" s="701"/>
    </row>
    <row r="70" spans="1:1">
      <c r="A70" s="701"/>
    </row>
    <row r="71" spans="1:1">
      <c r="A71" s="701"/>
    </row>
    <row r="72" spans="1:1">
      <c r="A72" s="701"/>
    </row>
    <row r="73" spans="1:1">
      <c r="A73" s="701"/>
    </row>
    <row r="74" spans="1:1">
      <c r="A74" s="701"/>
    </row>
    <row r="75" spans="1:1">
      <c r="A75" s="701"/>
    </row>
    <row r="76" spans="1:1">
      <c r="A76" s="701"/>
    </row>
  </sheetData>
  <mergeCells count="4">
    <mergeCell ref="N4:O4"/>
    <mergeCell ref="A1:B1"/>
    <mergeCell ref="A2:B2"/>
    <mergeCell ref="A3:B3"/>
  </mergeCells>
  <phoneticPr fontId="40" type="noConversion"/>
  <printOptions horizontalCentered="1" gridLines="1"/>
  <pageMargins left="0" right="0" top="0.27559055118110237" bottom="0.19685039370078741" header="0.15748031496062992" footer="0.15748031496062992"/>
  <pageSetup paperSize="9" scale="57" orientation="landscape" horizontalDpi="4294967293" r:id="rId1"/>
  <headerFooter alignWithMargins="0">
    <oddHeader>&amp;R&amp;F--&amp;A</oddHeader>
    <oddFooter>&amp;RP.7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455D0-2567-374F-9918-94B26AC760B4}">
  <dimension ref="A1:O49"/>
  <sheetViews>
    <sheetView workbookViewId="0">
      <selection sqref="A1:XFD1048576"/>
    </sheetView>
  </sheetViews>
  <sheetFormatPr baseColWidth="10" defaultRowHeight="13"/>
  <sheetData>
    <row r="1" spans="1:15">
      <c r="A1" t="s">
        <v>444</v>
      </c>
    </row>
    <row r="2" spans="1:15">
      <c r="A2" t="s">
        <v>2367</v>
      </c>
    </row>
    <row r="3" spans="1:15">
      <c r="A3" t="s">
        <v>2368</v>
      </c>
    </row>
    <row r="4" spans="1:15">
      <c r="N4" t="s">
        <v>2369</v>
      </c>
    </row>
    <row r="5" spans="1:15">
      <c r="C5" t="s">
        <v>887</v>
      </c>
      <c r="D5" t="s">
        <v>355</v>
      </c>
      <c r="E5" t="s">
        <v>356</v>
      </c>
      <c r="F5" t="s">
        <v>357</v>
      </c>
      <c r="G5" t="s">
        <v>358</v>
      </c>
      <c r="H5" t="s">
        <v>359</v>
      </c>
      <c r="I5" t="s">
        <v>360</v>
      </c>
      <c r="J5" t="s">
        <v>361</v>
      </c>
      <c r="K5" t="s">
        <v>362</v>
      </c>
      <c r="L5" t="s">
        <v>363</v>
      </c>
      <c r="M5" t="s">
        <v>364</v>
      </c>
      <c r="N5" t="s">
        <v>365</v>
      </c>
      <c r="O5" t="s">
        <v>2370</v>
      </c>
    </row>
    <row r="6" spans="1:15">
      <c r="A6" t="s">
        <v>2371</v>
      </c>
    </row>
    <row r="7" spans="1:15">
      <c r="A7" t="s">
        <v>462</v>
      </c>
      <c r="C7">
        <v>-7756173</v>
      </c>
      <c r="D7">
        <v>-10972456</v>
      </c>
      <c r="E7">
        <v>2058472</v>
      </c>
      <c r="F7">
        <v>-900330</v>
      </c>
      <c r="G7">
        <v>-1699644</v>
      </c>
      <c r="H7">
        <v>4012267</v>
      </c>
      <c r="I7">
        <v>-645828</v>
      </c>
      <c r="J7">
        <v>2289840</v>
      </c>
      <c r="K7">
        <v>0</v>
      </c>
      <c r="L7">
        <v>0</v>
      </c>
      <c r="M7">
        <v>0</v>
      </c>
      <c r="N7">
        <v>0</v>
      </c>
      <c r="O7">
        <v>-13613852</v>
      </c>
    </row>
    <row r="8" spans="1:15">
      <c r="A8" t="s">
        <v>463</v>
      </c>
    </row>
    <row r="9" spans="1:15">
      <c r="A9" t="s">
        <v>464</v>
      </c>
      <c r="C9">
        <v>1557581</v>
      </c>
      <c r="D9">
        <v>1490042</v>
      </c>
      <c r="E9">
        <v>1453247</v>
      </c>
      <c r="F9">
        <v>1395883</v>
      </c>
      <c r="G9">
        <v>1333059</v>
      </c>
      <c r="H9">
        <v>1346740</v>
      </c>
      <c r="I9">
        <v>1278786</v>
      </c>
      <c r="J9">
        <v>1139616</v>
      </c>
      <c r="K9">
        <v>0</v>
      </c>
      <c r="L9">
        <v>0</v>
      </c>
      <c r="M9">
        <v>0</v>
      </c>
      <c r="N9">
        <v>0</v>
      </c>
      <c r="O9">
        <v>10994954</v>
      </c>
    </row>
    <row r="10" spans="1:15">
      <c r="A10" t="s">
        <v>465</v>
      </c>
      <c r="C10">
        <v>217245</v>
      </c>
      <c r="D10">
        <v>217245</v>
      </c>
      <c r="E10">
        <v>41771</v>
      </c>
      <c r="F10">
        <v>128296</v>
      </c>
      <c r="G10">
        <v>129502</v>
      </c>
      <c r="H10">
        <v>84343</v>
      </c>
      <c r="I10">
        <v>83989</v>
      </c>
      <c r="J10">
        <v>97610</v>
      </c>
      <c r="K10">
        <v>0</v>
      </c>
      <c r="L10">
        <v>0</v>
      </c>
      <c r="M10">
        <v>0</v>
      </c>
      <c r="N10">
        <v>0</v>
      </c>
      <c r="O10">
        <v>1000001</v>
      </c>
    </row>
    <row r="11" spans="1:15">
      <c r="A11" t="s">
        <v>2372</v>
      </c>
      <c r="C11">
        <v>2874749</v>
      </c>
      <c r="D11">
        <v>2763471</v>
      </c>
      <c r="E11">
        <v>-7456555</v>
      </c>
      <c r="F11">
        <v>-591918</v>
      </c>
      <c r="G11">
        <v>1054460</v>
      </c>
      <c r="H11">
        <v>-1470722</v>
      </c>
      <c r="I11">
        <v>-2031582</v>
      </c>
      <c r="J11">
        <v>23984</v>
      </c>
      <c r="K11">
        <v>0</v>
      </c>
      <c r="L11">
        <v>0</v>
      </c>
      <c r="M11">
        <v>0</v>
      </c>
      <c r="N11">
        <v>0</v>
      </c>
      <c r="O11">
        <v>-4834113</v>
      </c>
    </row>
    <row r="12" spans="1:15">
      <c r="A12" t="s">
        <v>2373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2374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2375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2376</v>
      </c>
      <c r="C15">
        <v>-19862872</v>
      </c>
      <c r="D15">
        <v>49813224</v>
      </c>
      <c r="E15">
        <v>-13601015</v>
      </c>
      <c r="F15">
        <v>333725</v>
      </c>
      <c r="G15">
        <v>1569986</v>
      </c>
      <c r="H15">
        <v>5486330</v>
      </c>
      <c r="I15">
        <v>-30689313</v>
      </c>
      <c r="J15">
        <v>-35014339</v>
      </c>
      <c r="K15">
        <v>0</v>
      </c>
      <c r="L15">
        <v>0</v>
      </c>
      <c r="M15">
        <v>0</v>
      </c>
      <c r="N15">
        <v>0</v>
      </c>
      <c r="O15">
        <v>-41964274</v>
      </c>
    </row>
    <row r="16" spans="1:15">
      <c r="A16" t="s">
        <v>2377</v>
      </c>
      <c r="C16">
        <v>-23777387</v>
      </c>
      <c r="D16">
        <v>-816708</v>
      </c>
      <c r="E16">
        <v>-884046.0000000149</v>
      </c>
      <c r="F16">
        <v>-9278724</v>
      </c>
      <c r="G16">
        <v>-12750917</v>
      </c>
      <c r="H16">
        <v>22774585</v>
      </c>
      <c r="I16">
        <v>-10245790</v>
      </c>
      <c r="J16">
        <v>-2296278</v>
      </c>
      <c r="K16">
        <v>0</v>
      </c>
      <c r="L16">
        <v>0</v>
      </c>
      <c r="M16">
        <v>0</v>
      </c>
      <c r="N16">
        <v>0</v>
      </c>
      <c r="O16">
        <v>-37275265.000000015</v>
      </c>
    </row>
    <row r="17" spans="1:15">
      <c r="A17" t="s">
        <v>2378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2379</v>
      </c>
      <c r="C18">
        <v>-400007</v>
      </c>
      <c r="D18">
        <v>281659</v>
      </c>
      <c r="E18">
        <v>104864</v>
      </c>
      <c r="F18">
        <v>-209363</v>
      </c>
      <c r="G18">
        <v>60287</v>
      </c>
      <c r="H18">
        <v>420168</v>
      </c>
      <c r="I18">
        <v>156288</v>
      </c>
      <c r="J18">
        <v>-22090</v>
      </c>
      <c r="K18">
        <v>0</v>
      </c>
      <c r="L18">
        <v>0</v>
      </c>
      <c r="M18">
        <v>0</v>
      </c>
      <c r="N18">
        <v>0</v>
      </c>
      <c r="O18">
        <v>391806</v>
      </c>
    </row>
    <row r="19" spans="1:15">
      <c r="A19" t="s">
        <v>2380</v>
      </c>
      <c r="C19">
        <v>-2683957</v>
      </c>
      <c r="D19">
        <v>3086988</v>
      </c>
      <c r="E19">
        <v>-2206316</v>
      </c>
      <c r="F19">
        <v>1943005</v>
      </c>
      <c r="G19">
        <v>-2319453</v>
      </c>
      <c r="H19">
        <v>2579938</v>
      </c>
      <c r="I19">
        <v>-3361105</v>
      </c>
      <c r="J19">
        <v>1265351</v>
      </c>
      <c r="K19">
        <v>0</v>
      </c>
      <c r="L19">
        <v>0</v>
      </c>
      <c r="M19">
        <v>0</v>
      </c>
      <c r="N19">
        <v>0</v>
      </c>
      <c r="O19">
        <v>-1695549</v>
      </c>
    </row>
    <row r="20" spans="1:15">
      <c r="A20" t="s">
        <v>2381</v>
      </c>
      <c r="C20">
        <v>52490034</v>
      </c>
      <c r="D20">
        <v>-12476008</v>
      </c>
      <c r="E20">
        <v>-63351356</v>
      </c>
      <c r="F20">
        <v>67351267</v>
      </c>
      <c r="G20">
        <v>-72182230</v>
      </c>
      <c r="H20">
        <v>-8807597</v>
      </c>
      <c r="I20">
        <v>53920567</v>
      </c>
      <c r="J20">
        <v>-11537425</v>
      </c>
      <c r="K20">
        <v>0</v>
      </c>
      <c r="L20">
        <v>0</v>
      </c>
      <c r="M20">
        <v>0</v>
      </c>
      <c r="N20">
        <v>0</v>
      </c>
      <c r="O20">
        <v>5407252</v>
      </c>
    </row>
    <row r="21" spans="1:15">
      <c r="A21" t="s">
        <v>2382</v>
      </c>
      <c r="C21">
        <v>-11476022</v>
      </c>
      <c r="D21">
        <v>4387228</v>
      </c>
      <c r="E21">
        <v>632416</v>
      </c>
      <c r="F21">
        <v>1911761</v>
      </c>
      <c r="G21">
        <v>3394011</v>
      </c>
      <c r="H21">
        <v>-1551886</v>
      </c>
      <c r="I21">
        <v>3290628</v>
      </c>
      <c r="J21">
        <v>1846415</v>
      </c>
      <c r="K21">
        <v>0</v>
      </c>
      <c r="L21">
        <v>0</v>
      </c>
      <c r="M21">
        <v>0</v>
      </c>
      <c r="N21">
        <v>0</v>
      </c>
      <c r="O21">
        <v>2434551</v>
      </c>
    </row>
    <row r="22" spans="1:15">
      <c r="A22" t="s">
        <v>2383</v>
      </c>
      <c r="C22">
        <v>-1063231</v>
      </c>
      <c r="D22">
        <v>531727</v>
      </c>
      <c r="E22">
        <v>499387</v>
      </c>
      <c r="F22">
        <v>3536873</v>
      </c>
      <c r="G22">
        <v>-3397187</v>
      </c>
      <c r="H22">
        <v>-1131689</v>
      </c>
      <c r="I22">
        <v>978377</v>
      </c>
      <c r="J22">
        <v>-264304</v>
      </c>
      <c r="K22">
        <v>0</v>
      </c>
      <c r="L22">
        <v>0</v>
      </c>
      <c r="M22">
        <v>0</v>
      </c>
      <c r="N22">
        <v>0</v>
      </c>
      <c r="O22">
        <v>-310047</v>
      </c>
    </row>
    <row r="23" spans="1:15">
      <c r="A23" t="s">
        <v>2384</v>
      </c>
      <c r="C23">
        <v>122830</v>
      </c>
      <c r="D23">
        <v>718075</v>
      </c>
      <c r="E23">
        <v>573006</v>
      </c>
      <c r="F23">
        <v>1517971.9999999981</v>
      </c>
      <c r="G23">
        <v>-1053758.9999999981</v>
      </c>
      <c r="H23">
        <v>364235.99999999814</v>
      </c>
      <c r="I23">
        <v>-253838.99999999814</v>
      </c>
      <c r="J23">
        <v>413607</v>
      </c>
      <c r="K23">
        <v>0</v>
      </c>
      <c r="L23">
        <v>0</v>
      </c>
      <c r="M23">
        <v>0</v>
      </c>
      <c r="N23">
        <v>0</v>
      </c>
      <c r="O23">
        <v>2402128</v>
      </c>
    </row>
    <row r="24" spans="1:15">
      <c r="A24" t="s">
        <v>2385</v>
      </c>
      <c r="C24">
        <v>-9757210</v>
      </c>
      <c r="D24">
        <v>39024487</v>
      </c>
      <c r="E24">
        <v>-82136125.000000015</v>
      </c>
      <c r="F24">
        <v>67138447</v>
      </c>
      <c r="G24">
        <v>-85861885</v>
      </c>
      <c r="H24">
        <v>24106713</v>
      </c>
      <c r="I24">
        <v>12481178.000000002</v>
      </c>
      <c r="J24">
        <v>-42058013</v>
      </c>
      <c r="K24">
        <v>0</v>
      </c>
      <c r="L24">
        <v>0</v>
      </c>
      <c r="M24">
        <v>0</v>
      </c>
      <c r="N24">
        <v>0</v>
      </c>
      <c r="O24">
        <v>-77062408.000000015</v>
      </c>
    </row>
    <row r="25" spans="1:15">
      <c r="A25" t="s">
        <v>2386</v>
      </c>
    </row>
    <row r="26" spans="1:15">
      <c r="A26" t="s">
        <v>466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467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468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2387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2388</v>
      </c>
      <c r="C30">
        <v>-324000</v>
      </c>
      <c r="D30">
        <v>-87000</v>
      </c>
      <c r="E30">
        <v>-429000</v>
      </c>
      <c r="F30">
        <v>-1627141</v>
      </c>
      <c r="G30">
        <v>-520000</v>
      </c>
      <c r="H30">
        <v>-965000</v>
      </c>
      <c r="I30">
        <v>-45000</v>
      </c>
      <c r="J30">
        <v>-294000</v>
      </c>
      <c r="K30">
        <v>0</v>
      </c>
      <c r="L30">
        <v>0</v>
      </c>
      <c r="M30">
        <v>0</v>
      </c>
      <c r="N30">
        <v>0</v>
      </c>
      <c r="O30">
        <v>-4291141</v>
      </c>
    </row>
    <row r="31" spans="1:15">
      <c r="A31" t="s">
        <v>2389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2390</v>
      </c>
      <c r="C32">
        <v>0</v>
      </c>
      <c r="D32">
        <v>0</v>
      </c>
      <c r="E32">
        <v>0</v>
      </c>
      <c r="F32">
        <v>0</v>
      </c>
      <c r="G32">
        <v>-28950</v>
      </c>
      <c r="H32">
        <v>0</v>
      </c>
      <c r="I32">
        <v>0</v>
      </c>
      <c r="J32">
        <v>-450514</v>
      </c>
      <c r="K32">
        <v>0</v>
      </c>
      <c r="L32">
        <v>0</v>
      </c>
      <c r="M32">
        <v>0</v>
      </c>
      <c r="N32">
        <v>0</v>
      </c>
    </row>
    <row r="33" spans="1:15">
      <c r="A33" t="s">
        <v>2391</v>
      </c>
      <c r="C33">
        <v>-324000</v>
      </c>
      <c r="D33">
        <v>-87000</v>
      </c>
      <c r="E33">
        <v>-429000</v>
      </c>
      <c r="F33">
        <v>-1627141</v>
      </c>
      <c r="G33">
        <v>-548950</v>
      </c>
      <c r="H33">
        <v>-965000</v>
      </c>
      <c r="I33">
        <v>-45000</v>
      </c>
      <c r="J33">
        <v>-744514</v>
      </c>
      <c r="K33">
        <v>0</v>
      </c>
      <c r="L33">
        <v>0</v>
      </c>
      <c r="M33">
        <v>0</v>
      </c>
      <c r="N33">
        <v>0</v>
      </c>
      <c r="O33">
        <v>-4770605</v>
      </c>
    </row>
    <row r="34" spans="1:15">
      <c r="A34" t="s">
        <v>2392</v>
      </c>
    </row>
    <row r="35" spans="1:15">
      <c r="A35" t="s">
        <v>2393</v>
      </c>
      <c r="C35">
        <v>37000000</v>
      </c>
      <c r="D35">
        <v>0</v>
      </c>
      <c r="E35">
        <v>10110358</v>
      </c>
      <c r="F35">
        <v>-30042706</v>
      </c>
      <c r="G35">
        <v>43015517</v>
      </c>
      <c r="H35">
        <v>-12621139</v>
      </c>
      <c r="I35">
        <v>8007462</v>
      </c>
      <c r="J35">
        <v>5678417</v>
      </c>
      <c r="K35">
        <v>0</v>
      </c>
      <c r="L35">
        <v>0</v>
      </c>
      <c r="M35">
        <v>0</v>
      </c>
      <c r="N35">
        <v>0</v>
      </c>
      <c r="O35">
        <v>61147909</v>
      </c>
    </row>
    <row r="36" spans="1:15">
      <c r="A36" t="s">
        <v>2394</v>
      </c>
      <c r="C36">
        <v>15013</v>
      </c>
      <c r="D36">
        <v>10448</v>
      </c>
      <c r="E36">
        <v>5716</v>
      </c>
      <c r="F36">
        <v>9325</v>
      </c>
      <c r="G36">
        <v>722</v>
      </c>
      <c r="H36">
        <v>2260</v>
      </c>
      <c r="I36">
        <v>5606</v>
      </c>
      <c r="J36">
        <v>11228</v>
      </c>
      <c r="K36">
        <v>0</v>
      </c>
      <c r="L36">
        <v>0</v>
      </c>
      <c r="M36">
        <v>0</v>
      </c>
      <c r="N36">
        <v>0</v>
      </c>
      <c r="O36">
        <v>60318</v>
      </c>
    </row>
    <row r="37" spans="1:15">
      <c r="A37" t="s">
        <v>2395</v>
      </c>
      <c r="C37">
        <v>37015013</v>
      </c>
      <c r="D37">
        <v>10448</v>
      </c>
      <c r="E37">
        <v>10116074</v>
      </c>
      <c r="F37">
        <v>-30033381</v>
      </c>
      <c r="G37">
        <v>43016239</v>
      </c>
      <c r="H37">
        <v>-12618879</v>
      </c>
      <c r="I37">
        <v>8013068</v>
      </c>
      <c r="J37">
        <v>5689645</v>
      </c>
      <c r="K37">
        <v>0</v>
      </c>
      <c r="L37">
        <v>0</v>
      </c>
      <c r="M37">
        <v>0</v>
      </c>
      <c r="N37">
        <v>0</v>
      </c>
      <c r="O37">
        <v>61208227</v>
      </c>
    </row>
    <row r="39" spans="1:15">
      <c r="A39" t="s">
        <v>2396</v>
      </c>
      <c r="C39">
        <v>26933803</v>
      </c>
      <c r="D39">
        <v>38947935</v>
      </c>
      <c r="E39">
        <v>-72449051.000000015</v>
      </c>
      <c r="F39">
        <v>35477925</v>
      </c>
      <c r="G39">
        <v>-43394596</v>
      </c>
      <c r="H39">
        <v>10522834</v>
      </c>
      <c r="I39">
        <v>20449246</v>
      </c>
      <c r="J39">
        <v>-37112882</v>
      </c>
      <c r="K39">
        <v>0</v>
      </c>
      <c r="L39">
        <v>0</v>
      </c>
      <c r="M39">
        <v>0</v>
      </c>
      <c r="N39">
        <v>0</v>
      </c>
      <c r="O39">
        <v>-20624786.000000015</v>
      </c>
    </row>
    <row r="40" spans="1:15">
      <c r="A40" t="s">
        <v>2397</v>
      </c>
      <c r="C40">
        <v>79160289.670000002</v>
      </c>
      <c r="D40">
        <v>106094092.67</v>
      </c>
      <c r="E40">
        <v>145042027.67000002</v>
      </c>
      <c r="F40">
        <v>72592976.670000002</v>
      </c>
      <c r="G40">
        <v>108070901.67</v>
      </c>
      <c r="H40">
        <v>64676305.670000002</v>
      </c>
      <c r="I40">
        <v>75199139.670000002</v>
      </c>
      <c r="J40">
        <v>95648385.670000002</v>
      </c>
      <c r="K40">
        <v>58535503.670000002</v>
      </c>
      <c r="L40">
        <v>58535503.670000002</v>
      </c>
      <c r="M40">
        <v>58535503.670000002</v>
      </c>
      <c r="N40">
        <v>58535503.670000002</v>
      </c>
      <c r="O40">
        <v>79160289.670000002</v>
      </c>
    </row>
    <row r="41" spans="1:15">
      <c r="A41" t="s">
        <v>2398</v>
      </c>
      <c r="C41">
        <v>106094092.67</v>
      </c>
      <c r="D41">
        <v>145042027.67000002</v>
      </c>
      <c r="E41">
        <v>72592976.670000002</v>
      </c>
      <c r="F41">
        <v>108070901.67</v>
      </c>
      <c r="G41">
        <v>64676305.670000002</v>
      </c>
      <c r="H41">
        <v>75199139.670000002</v>
      </c>
      <c r="I41">
        <v>95648385.670000002</v>
      </c>
      <c r="J41">
        <v>58535503.670000002</v>
      </c>
      <c r="K41">
        <v>58535503.670000002</v>
      </c>
      <c r="L41">
        <v>58535503.670000002</v>
      </c>
      <c r="M41">
        <v>58535503.670000002</v>
      </c>
      <c r="N41">
        <v>58535503.670000002</v>
      </c>
      <c r="O41">
        <v>58535503.669999987</v>
      </c>
    </row>
    <row r="45" spans="1:15">
      <c r="A45" t="s">
        <v>2399</v>
      </c>
    </row>
    <row r="47" spans="1:15">
      <c r="A47" t="s">
        <v>2400</v>
      </c>
    </row>
    <row r="48" spans="1:15">
      <c r="A48" t="s">
        <v>2401</v>
      </c>
      <c r="C48">
        <v>106094092.67</v>
      </c>
      <c r="D48">
        <v>145042027.66999999</v>
      </c>
      <c r="E48">
        <v>72592976.670000002</v>
      </c>
      <c r="F48">
        <v>108070901.67</v>
      </c>
      <c r="G48">
        <v>64676305.670000002</v>
      </c>
      <c r="H48">
        <v>75199139.670000002</v>
      </c>
      <c r="I48">
        <v>95648385.670000002</v>
      </c>
      <c r="J48">
        <v>58535503.670000002</v>
      </c>
      <c r="K48">
        <v>0</v>
      </c>
      <c r="L48">
        <v>0</v>
      </c>
      <c r="M48">
        <v>0</v>
      </c>
      <c r="N48">
        <v>0</v>
      </c>
      <c r="O48">
        <v>58535503.670000002</v>
      </c>
    </row>
    <row r="49" spans="1:15">
      <c r="A49" t="s">
        <v>2402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58535503.670000002</v>
      </c>
      <c r="L49">
        <v>58535503.670000002</v>
      </c>
      <c r="M49">
        <v>58535503.670000002</v>
      </c>
      <c r="N49">
        <v>58535503.670000002</v>
      </c>
      <c r="O49">
        <v>0</v>
      </c>
    </row>
  </sheetData>
  <phoneticPr fontId="18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3"/>
  </sheetPr>
  <dimension ref="A1:Q49"/>
  <sheetViews>
    <sheetView view="pageBreakPreview" zoomScale="90" zoomScaleSheetLayoutView="90" workbookViewId="0">
      <pane xSplit="2" ySplit="6" topLeftCell="I37" activePane="bottomRight" state="frozen"/>
      <selection pane="topRight" activeCell="C1" sqref="C1"/>
      <selection pane="bottomLeft" activeCell="A7" sqref="A7"/>
      <selection pane="bottomRight" activeCell="J49" sqref="J49"/>
    </sheetView>
  </sheetViews>
  <sheetFormatPr baseColWidth="10" defaultColWidth="9.796875" defaultRowHeight="21.75" customHeight="1" outlineLevelCol="1"/>
  <cols>
    <col min="1" max="1" width="30.19921875" style="404" customWidth="1"/>
    <col min="2" max="2" width="1.19921875" style="404" customWidth="1"/>
    <col min="3" max="3" width="14" style="404" bestFit="1" customWidth="1"/>
    <col min="4" max="4" width="12.796875" style="404" customWidth="1"/>
    <col min="5" max="6" width="14" style="404" customWidth="1"/>
    <col min="7" max="10" width="15.796875" style="404" customWidth="1"/>
    <col min="11" max="14" width="17.19921875" style="404" hidden="1" customWidth="1" outlineLevel="1"/>
    <col min="15" max="15" width="14" style="404" bestFit="1" customWidth="1" collapsed="1"/>
    <col min="16" max="16" width="4.796875" style="404" customWidth="1"/>
    <col min="17" max="16384" width="9.796875" style="404"/>
  </cols>
  <sheetData>
    <row r="1" spans="1:17" ht="21.75" customHeight="1">
      <c r="A1" s="1208" t="s">
        <v>1794</v>
      </c>
      <c r="B1" s="1208"/>
    </row>
    <row r="2" spans="1:17" ht="21.75" customHeight="1">
      <c r="A2" s="1208" t="s">
        <v>1795</v>
      </c>
      <c r="B2" s="1208"/>
    </row>
    <row r="3" spans="1:17" ht="21.75" customHeight="1">
      <c r="A3" s="1208" t="s">
        <v>1796</v>
      </c>
      <c r="B3" s="1208"/>
    </row>
    <row r="4" spans="1:17" ht="21.75" customHeight="1">
      <c r="A4" s="404" t="s">
        <v>1797</v>
      </c>
      <c r="N4" s="1208" t="s">
        <v>1798</v>
      </c>
      <c r="O4" s="1208"/>
    </row>
    <row r="5" spans="1:17" s="524" customFormat="1" ht="21.75" customHeight="1">
      <c r="C5" s="524" t="s">
        <v>887</v>
      </c>
      <c r="D5" s="524" t="s">
        <v>355</v>
      </c>
      <c r="E5" s="524" t="s">
        <v>356</v>
      </c>
      <c r="F5" s="524" t="s">
        <v>2029</v>
      </c>
      <c r="G5" s="524" t="s">
        <v>358</v>
      </c>
      <c r="H5" s="524" t="s">
        <v>2052</v>
      </c>
      <c r="I5" s="524" t="s">
        <v>1252</v>
      </c>
      <c r="J5" s="524" t="s">
        <v>361</v>
      </c>
      <c r="K5" s="524" t="s">
        <v>362</v>
      </c>
      <c r="L5" s="524" t="s">
        <v>363</v>
      </c>
      <c r="M5" s="524" t="s">
        <v>364</v>
      </c>
      <c r="N5" s="524" t="s">
        <v>365</v>
      </c>
      <c r="O5" s="524" t="s">
        <v>2112</v>
      </c>
    </row>
    <row r="6" spans="1:17" ht="21.75" customHeight="1">
      <c r="A6" s="404" t="s">
        <v>1799</v>
      </c>
    </row>
    <row r="7" spans="1:17" ht="21.75" customHeight="1">
      <c r="A7" s="914" t="s">
        <v>462</v>
      </c>
      <c r="C7" s="600">
        <f>IS明細!D273</f>
        <v>-7756173</v>
      </c>
      <c r="D7" s="600">
        <f>IS明細!F273</f>
        <v>-10972456</v>
      </c>
      <c r="E7" s="600">
        <v>2058472</v>
      </c>
      <c r="F7" s="600">
        <v>-900330</v>
      </c>
      <c r="G7" s="600">
        <v>-1699644</v>
      </c>
      <c r="H7" s="600">
        <v>4012267</v>
      </c>
      <c r="I7" s="600">
        <v>-645828</v>
      </c>
      <c r="J7" s="600">
        <f>IS明細!R273</f>
        <v>2289840</v>
      </c>
      <c r="K7" s="600">
        <f>IS明細!T273</f>
        <v>0</v>
      </c>
      <c r="L7" s="600">
        <f>IS明細!V273</f>
        <v>0</v>
      </c>
      <c r="M7" s="600">
        <f>IS明細!X273</f>
        <v>0</v>
      </c>
      <c r="N7" s="600">
        <f>IS明細!Z273</f>
        <v>0</v>
      </c>
      <c r="O7" s="600">
        <f>SUM(C7:N7)</f>
        <v>-13613852</v>
      </c>
      <c r="P7" s="600"/>
      <c r="Q7" s="404" t="s">
        <v>1843</v>
      </c>
    </row>
    <row r="8" spans="1:17" ht="21.75" customHeight="1">
      <c r="A8" s="404" t="s">
        <v>463</v>
      </c>
      <c r="C8" s="600"/>
      <c r="D8" s="600"/>
      <c r="E8" s="600"/>
      <c r="F8" s="600"/>
      <c r="G8" s="600"/>
      <c r="H8" s="600"/>
      <c r="I8" s="600"/>
      <c r="J8" s="600"/>
      <c r="K8" s="600"/>
      <c r="L8" s="600"/>
      <c r="M8" s="600"/>
      <c r="N8" s="600"/>
      <c r="O8" s="600"/>
      <c r="P8" s="600"/>
    </row>
    <row r="9" spans="1:17" ht="21.75" customHeight="1">
      <c r="A9" s="914" t="s">
        <v>464</v>
      </c>
      <c r="C9" s="600">
        <f>IS明細!D58+IS明細!D117+IS明細!D157+IS明細!D193</f>
        <v>1557581</v>
      </c>
      <c r="D9" s="600">
        <f>IS明細!F58+IS明細!F117+IS明細!F157+IS明細!F193</f>
        <v>1490042</v>
      </c>
      <c r="E9" s="600">
        <v>1453247</v>
      </c>
      <c r="F9" s="600">
        <v>1395883</v>
      </c>
      <c r="G9" s="600">
        <v>1333059</v>
      </c>
      <c r="H9" s="600">
        <v>1346740</v>
      </c>
      <c r="I9" s="600">
        <v>1278786</v>
      </c>
      <c r="J9" s="600">
        <f>IS明細!R58+IS明細!R117+IS明細!R157+IS明細!R193</f>
        <v>1139616</v>
      </c>
      <c r="K9" s="600">
        <f>IS明細!T58+IS明細!T117+IS明細!T157+IS明細!T193</f>
        <v>0</v>
      </c>
      <c r="L9" s="600">
        <f>IS明細!V58+IS明細!V117+IS明細!V157+IS明細!V193</f>
        <v>0</v>
      </c>
      <c r="M9" s="600">
        <f>IS明細!X58+IS明細!X117+IS明細!X157+IS明細!X193</f>
        <v>0</v>
      </c>
      <c r="N9" s="600">
        <f>IS明細!Z58+IS明細!Z117+IS明細!Z157+IS明細!Z193</f>
        <v>0</v>
      </c>
      <c r="O9" s="600">
        <f t="shared" ref="O9:O33" si="0">SUM(C9:N9)</f>
        <v>10994954</v>
      </c>
      <c r="P9" s="600"/>
      <c r="Q9" s="404" t="s">
        <v>1844</v>
      </c>
    </row>
    <row r="10" spans="1:17" ht="21.75" customHeight="1">
      <c r="A10" s="914" t="s">
        <v>465</v>
      </c>
      <c r="C10" s="600">
        <f>IS明細!D59+IS明細!D118+IS明細!D158+IS明細!D194</f>
        <v>217245</v>
      </c>
      <c r="D10" s="600">
        <f>IS明細!F59+IS明細!F118+IS明細!F158+IS明細!F194</f>
        <v>217245</v>
      </c>
      <c r="E10" s="600">
        <v>41771</v>
      </c>
      <c r="F10" s="600">
        <v>128296</v>
      </c>
      <c r="G10" s="600">
        <v>129502</v>
      </c>
      <c r="H10" s="600">
        <v>84343</v>
      </c>
      <c r="I10" s="600">
        <v>83989</v>
      </c>
      <c r="J10" s="600">
        <f>IS明細!R59+IS明細!R118+IS明細!R158+IS明細!R194</f>
        <v>97610</v>
      </c>
      <c r="K10" s="600">
        <f>IS明細!T59+IS明細!T118+IS明細!T158+IS明細!T194</f>
        <v>0</v>
      </c>
      <c r="L10" s="600">
        <f>IS明細!V59+IS明細!V118+IS明細!V158+IS明細!V194</f>
        <v>0</v>
      </c>
      <c r="M10" s="600">
        <f>IS明細!X59+IS明細!X118+IS明細!X158+IS明細!X194</f>
        <v>0</v>
      </c>
      <c r="N10" s="600">
        <f>IS明細!Z59+IS明細!Z118+IS明細!Z158+IS明細!Z194</f>
        <v>0</v>
      </c>
      <c r="O10" s="600">
        <f t="shared" si="0"/>
        <v>1000001</v>
      </c>
      <c r="P10" s="600"/>
      <c r="Q10" s="404" t="s">
        <v>1845</v>
      </c>
    </row>
    <row r="11" spans="1:17" ht="21.75" customHeight="1">
      <c r="A11" s="914" t="s">
        <v>1800</v>
      </c>
      <c r="C11" s="600">
        <f>IS明細!D77</f>
        <v>2874749</v>
      </c>
      <c r="D11" s="600">
        <f>IS明細!F77</f>
        <v>2763471</v>
      </c>
      <c r="E11" s="600">
        <v>-7456555</v>
      </c>
      <c r="F11" s="600">
        <v>-591918</v>
      </c>
      <c r="G11" s="600">
        <v>1054460</v>
      </c>
      <c r="H11" s="600">
        <v>-1470722</v>
      </c>
      <c r="I11" s="600">
        <v>-2031582</v>
      </c>
      <c r="J11" s="600">
        <f>IS明細!R77</f>
        <v>23984</v>
      </c>
      <c r="K11" s="600">
        <f>IS明細!T77</f>
        <v>0</v>
      </c>
      <c r="L11" s="600">
        <f>IS明細!V77</f>
        <v>0</v>
      </c>
      <c r="M11" s="600">
        <f>IS明細!X77</f>
        <v>0</v>
      </c>
      <c r="N11" s="600">
        <f>IS明細!Z77</f>
        <v>0</v>
      </c>
      <c r="O11" s="600">
        <f t="shared" si="0"/>
        <v>-4834113</v>
      </c>
      <c r="P11" s="600"/>
      <c r="Q11" s="404" t="s">
        <v>1846</v>
      </c>
    </row>
    <row r="12" spans="1:17" ht="21.75" customHeight="1">
      <c r="A12" s="914" t="s">
        <v>1801</v>
      </c>
      <c r="C12" s="600">
        <f>IS明細!D78</f>
        <v>0</v>
      </c>
      <c r="D12" s="600">
        <f>IS明細!F78</f>
        <v>0</v>
      </c>
      <c r="E12" s="600">
        <v>0</v>
      </c>
      <c r="F12" s="600">
        <v>0</v>
      </c>
      <c r="G12" s="600">
        <v>0</v>
      </c>
      <c r="H12" s="600">
        <v>0</v>
      </c>
      <c r="I12" s="600">
        <v>0</v>
      </c>
      <c r="J12" s="600">
        <f>IS明細!R78</f>
        <v>0</v>
      </c>
      <c r="K12" s="600">
        <f>IS明細!T78</f>
        <v>0</v>
      </c>
      <c r="L12" s="600">
        <f>IS明細!V78</f>
        <v>0</v>
      </c>
      <c r="M12" s="600">
        <f>IS明細!X78</f>
        <v>0</v>
      </c>
      <c r="N12" s="600">
        <f>IS明細!Z78</f>
        <v>0</v>
      </c>
      <c r="O12" s="600">
        <f t="shared" si="0"/>
        <v>0</v>
      </c>
      <c r="P12" s="600"/>
      <c r="Q12" s="404" t="s">
        <v>1847</v>
      </c>
    </row>
    <row r="13" spans="1:17" ht="21.75" customHeight="1">
      <c r="A13" s="914" t="s">
        <v>350</v>
      </c>
      <c r="C13" s="600">
        <f>-IS明細!D236</f>
        <v>0</v>
      </c>
      <c r="D13" s="600">
        <f>-IS明細!F236</f>
        <v>0</v>
      </c>
      <c r="E13" s="600">
        <v>0</v>
      </c>
      <c r="F13" s="600">
        <v>0</v>
      </c>
      <c r="G13" s="600">
        <v>0</v>
      </c>
      <c r="H13" s="600">
        <v>0</v>
      </c>
      <c r="I13" s="600">
        <v>0</v>
      </c>
      <c r="J13" s="600">
        <f>-IS明細!R236</f>
        <v>0</v>
      </c>
      <c r="K13" s="600">
        <f>-IS明細!T236</f>
        <v>0</v>
      </c>
      <c r="L13" s="600">
        <f>-IS明細!V236</f>
        <v>0</v>
      </c>
      <c r="M13" s="600">
        <f>-IS明細!X236</f>
        <v>0</v>
      </c>
      <c r="N13" s="600">
        <f>-IS明細!Z236</f>
        <v>0</v>
      </c>
      <c r="O13" s="600">
        <f t="shared" si="0"/>
        <v>0</v>
      </c>
      <c r="P13" s="600"/>
      <c r="Q13" s="966" t="s">
        <v>1848</v>
      </c>
    </row>
    <row r="14" spans="1:17" ht="21.75" customHeight="1">
      <c r="A14" s="914" t="s">
        <v>531</v>
      </c>
      <c r="C14" s="600">
        <f>IS明細!D248-IS明細!D221</f>
        <v>0</v>
      </c>
      <c r="D14" s="600">
        <f>IS明細!F248-IS明細!F221</f>
        <v>0</v>
      </c>
      <c r="E14" s="600">
        <v>0</v>
      </c>
      <c r="F14" s="600">
        <v>0</v>
      </c>
      <c r="G14" s="600">
        <v>0</v>
      </c>
      <c r="H14" s="600">
        <v>0</v>
      </c>
      <c r="I14" s="600">
        <v>0</v>
      </c>
      <c r="J14" s="600">
        <f>IS明細!R248-IS明細!R221</f>
        <v>0</v>
      </c>
      <c r="K14" s="600">
        <f>IS明細!T248-IS明細!T221</f>
        <v>0</v>
      </c>
      <c r="L14" s="600">
        <f>IS明細!V248-IS明細!V221</f>
        <v>0</v>
      </c>
      <c r="M14" s="600">
        <f>IS明細!X248-IS明細!X221</f>
        <v>0</v>
      </c>
      <c r="N14" s="600">
        <f>IS明細!Z248-IS明細!Z221</f>
        <v>0</v>
      </c>
      <c r="O14" s="600">
        <f t="shared" si="0"/>
        <v>0</v>
      </c>
      <c r="P14" s="600"/>
      <c r="Q14" s="404" t="s">
        <v>1849</v>
      </c>
    </row>
    <row r="15" spans="1:17" ht="21.75" customHeight="1">
      <c r="A15" s="404" t="s">
        <v>351</v>
      </c>
      <c r="C15" s="600">
        <v>-19862872</v>
      </c>
      <c r="D15" s="600">
        <v>49813224</v>
      </c>
      <c r="E15" s="600">
        <v>-13601015</v>
      </c>
      <c r="F15" s="600">
        <v>333725</v>
      </c>
      <c r="G15" s="600">
        <v>1569986</v>
      </c>
      <c r="H15" s="600">
        <v>5486330</v>
      </c>
      <c r="I15" s="600">
        <v>-30689313</v>
      </c>
      <c r="J15" s="600">
        <f>-(TWN_BS!$G$9+TWN_BS!$G$10+TWN_BS!$G$11)</f>
        <v>-35014339</v>
      </c>
      <c r="K15" s="600">
        <v>0</v>
      </c>
      <c r="L15" s="600">
        <v>0</v>
      </c>
      <c r="M15" s="600">
        <v>0</v>
      </c>
      <c r="N15" s="600">
        <v>0</v>
      </c>
      <c r="O15" s="600">
        <f t="shared" si="0"/>
        <v>-41964274</v>
      </c>
      <c r="P15" s="600"/>
      <c r="Q15" s="966" t="s">
        <v>1850</v>
      </c>
    </row>
    <row r="16" spans="1:17" ht="21.75" customHeight="1">
      <c r="A16" s="404" t="s">
        <v>1802</v>
      </c>
      <c r="C16" s="967">
        <v>-23777387</v>
      </c>
      <c r="D16" s="967">
        <v>-816708</v>
      </c>
      <c r="E16" s="967">
        <v>-884046.0000000149</v>
      </c>
      <c r="F16" s="967">
        <v>-9278724</v>
      </c>
      <c r="G16" s="967">
        <v>-12750917</v>
      </c>
      <c r="H16" s="967">
        <v>22774585</v>
      </c>
      <c r="I16" s="967">
        <v>-10245790</v>
      </c>
      <c r="J16" s="967">
        <f>-TWN_BS!$G$12-J11-J12</f>
        <v>-2296278</v>
      </c>
      <c r="K16" s="967">
        <v>0</v>
      </c>
      <c r="L16" s="967">
        <v>0</v>
      </c>
      <c r="M16" s="967">
        <v>0</v>
      </c>
      <c r="N16" s="967">
        <v>0</v>
      </c>
      <c r="O16" s="600">
        <f t="shared" si="0"/>
        <v>-37275265.000000015</v>
      </c>
      <c r="P16" s="600"/>
      <c r="Q16" s="966" t="s">
        <v>1851</v>
      </c>
    </row>
    <row r="17" spans="1:17" ht="21.75" customHeight="1">
      <c r="A17" s="404" t="s">
        <v>1803</v>
      </c>
      <c r="C17" s="600">
        <v>0</v>
      </c>
      <c r="D17" s="600">
        <v>0</v>
      </c>
      <c r="E17" s="600">
        <v>0</v>
      </c>
      <c r="F17" s="600">
        <v>0</v>
      </c>
      <c r="G17" s="600">
        <v>0</v>
      </c>
      <c r="H17" s="600">
        <v>0</v>
      </c>
      <c r="I17" s="600">
        <v>0</v>
      </c>
      <c r="J17" s="600">
        <f>-TWN_BS!$G$7-TWN_BS!$G$8</f>
        <v>0</v>
      </c>
      <c r="K17" s="600">
        <v>0</v>
      </c>
      <c r="L17" s="600">
        <v>0</v>
      </c>
      <c r="M17" s="600">
        <v>0</v>
      </c>
      <c r="N17" s="600">
        <v>0</v>
      </c>
      <c r="O17" s="600">
        <f t="shared" si="0"/>
        <v>0</v>
      </c>
      <c r="P17" s="600"/>
      <c r="Q17" s="966" t="s">
        <v>1852</v>
      </c>
    </row>
    <row r="18" spans="1:17" ht="21.75" customHeight="1">
      <c r="A18" s="404" t="s">
        <v>1804</v>
      </c>
      <c r="C18" s="600">
        <v>-400007</v>
      </c>
      <c r="D18" s="600">
        <v>281659</v>
      </c>
      <c r="E18" s="600">
        <v>104864</v>
      </c>
      <c r="F18" s="600">
        <v>-209363</v>
      </c>
      <c r="G18" s="600">
        <v>60287</v>
      </c>
      <c r="H18" s="600">
        <v>420168</v>
      </c>
      <c r="I18" s="600">
        <v>156288</v>
      </c>
      <c r="J18" s="600">
        <f>-TWN_BS!$G$13</f>
        <v>-22090</v>
      </c>
      <c r="K18" s="600">
        <v>0</v>
      </c>
      <c r="L18" s="600">
        <v>0</v>
      </c>
      <c r="M18" s="600">
        <v>0</v>
      </c>
      <c r="N18" s="600">
        <v>0</v>
      </c>
      <c r="O18" s="600">
        <f t="shared" si="0"/>
        <v>391806</v>
      </c>
      <c r="P18" s="600"/>
      <c r="Q18" s="966" t="s">
        <v>1853</v>
      </c>
    </row>
    <row r="19" spans="1:17" ht="21.75" customHeight="1">
      <c r="A19" s="404" t="s">
        <v>1805</v>
      </c>
      <c r="C19" s="600">
        <v>-2683957</v>
      </c>
      <c r="D19" s="600">
        <v>3086988</v>
      </c>
      <c r="E19" s="600">
        <v>-2206316</v>
      </c>
      <c r="F19" s="600">
        <v>1943005</v>
      </c>
      <c r="G19" s="600">
        <v>-2319453</v>
      </c>
      <c r="H19" s="600">
        <v>2579938</v>
      </c>
      <c r="I19" s="600">
        <v>-3361105</v>
      </c>
      <c r="J19" s="600">
        <f>-TWN_BS!$G$14-TWN_BS!$G$15-TWN_BS!$G$37</f>
        <v>1265351</v>
      </c>
      <c r="K19" s="600">
        <v>0</v>
      </c>
      <c r="L19" s="600">
        <v>0</v>
      </c>
      <c r="M19" s="600">
        <v>0</v>
      </c>
      <c r="N19" s="600">
        <v>0</v>
      </c>
      <c r="O19" s="600">
        <f t="shared" si="0"/>
        <v>-1695549</v>
      </c>
      <c r="P19" s="600"/>
      <c r="Q19" s="966" t="s">
        <v>1854</v>
      </c>
    </row>
    <row r="20" spans="1:17" ht="21.75" customHeight="1">
      <c r="A20" s="404" t="s">
        <v>1806</v>
      </c>
      <c r="C20" s="600">
        <v>52490034</v>
      </c>
      <c r="D20" s="600">
        <v>-12476008</v>
      </c>
      <c r="E20" s="600">
        <v>-63351356</v>
      </c>
      <c r="F20" s="600">
        <v>67351267</v>
      </c>
      <c r="G20" s="600">
        <v>-72182230</v>
      </c>
      <c r="H20" s="600">
        <v>-8807597</v>
      </c>
      <c r="I20" s="600">
        <v>53920567</v>
      </c>
      <c r="J20" s="600">
        <f>TWN_BS!$O$7+TWN_BS!$O$8</f>
        <v>-11537425</v>
      </c>
      <c r="K20" s="600">
        <v>0</v>
      </c>
      <c r="L20" s="600">
        <v>0</v>
      </c>
      <c r="M20" s="600">
        <v>0</v>
      </c>
      <c r="N20" s="600">
        <v>0</v>
      </c>
      <c r="O20" s="600">
        <f t="shared" si="0"/>
        <v>5407252</v>
      </c>
      <c r="P20" s="600"/>
      <c r="Q20" s="404" t="s">
        <v>1855</v>
      </c>
    </row>
    <row r="21" spans="1:17" ht="21.75" customHeight="1">
      <c r="A21" s="404" t="s">
        <v>352</v>
      </c>
      <c r="C21" s="600">
        <v>-11476022</v>
      </c>
      <c r="D21" s="600">
        <v>4387228</v>
      </c>
      <c r="E21" s="600">
        <v>632416</v>
      </c>
      <c r="F21" s="600">
        <v>1911761</v>
      </c>
      <c r="G21" s="600">
        <v>3394011</v>
      </c>
      <c r="H21" s="600">
        <v>-1551886</v>
      </c>
      <c r="I21" s="600">
        <v>3290628</v>
      </c>
      <c r="J21" s="600">
        <f>TWN_BS!$O$9</f>
        <v>1846415</v>
      </c>
      <c r="K21" s="600">
        <v>0</v>
      </c>
      <c r="L21" s="600">
        <v>0</v>
      </c>
      <c r="M21" s="600">
        <v>0</v>
      </c>
      <c r="N21" s="600">
        <v>0</v>
      </c>
      <c r="O21" s="600">
        <f t="shared" si="0"/>
        <v>2434551</v>
      </c>
      <c r="P21" s="600"/>
      <c r="Q21" s="404" t="s">
        <v>1856</v>
      </c>
    </row>
    <row r="22" spans="1:17" ht="21.75" customHeight="1">
      <c r="A22" s="404" t="s">
        <v>1807</v>
      </c>
      <c r="C22" s="600">
        <v>-1063231</v>
      </c>
      <c r="D22" s="600">
        <v>531727</v>
      </c>
      <c r="E22" s="600">
        <v>499387</v>
      </c>
      <c r="F22" s="600">
        <v>3536873</v>
      </c>
      <c r="G22" s="600">
        <v>-3397187</v>
      </c>
      <c r="H22" s="600">
        <v>-1131689</v>
      </c>
      <c r="I22" s="600">
        <v>978377</v>
      </c>
      <c r="J22" s="600">
        <f>TWN_BS!$O$10</f>
        <v>-264304</v>
      </c>
      <c r="K22" s="600">
        <v>0</v>
      </c>
      <c r="L22" s="600">
        <v>0</v>
      </c>
      <c r="M22" s="600">
        <v>0</v>
      </c>
      <c r="N22" s="600">
        <v>0</v>
      </c>
      <c r="O22" s="600">
        <f t="shared" si="0"/>
        <v>-310047</v>
      </c>
      <c r="P22" s="600"/>
      <c r="Q22" s="404" t="s">
        <v>1857</v>
      </c>
    </row>
    <row r="23" spans="1:17" ht="21.75" customHeight="1">
      <c r="A23" s="404" t="s">
        <v>1808</v>
      </c>
      <c r="C23" s="600">
        <v>122830</v>
      </c>
      <c r="D23" s="600">
        <v>718075</v>
      </c>
      <c r="E23" s="600">
        <v>573006</v>
      </c>
      <c r="F23" s="600">
        <v>1517971.9999999981</v>
      </c>
      <c r="G23" s="600">
        <v>-1053758.9999999981</v>
      </c>
      <c r="H23" s="600">
        <v>364235.99999999814</v>
      </c>
      <c r="I23" s="600">
        <v>-253838.99999999814</v>
      </c>
      <c r="J23" s="600">
        <f>TWN_BS!$O$11</f>
        <v>413607</v>
      </c>
      <c r="K23" s="600">
        <v>0</v>
      </c>
      <c r="L23" s="600">
        <v>0</v>
      </c>
      <c r="M23" s="600">
        <v>0</v>
      </c>
      <c r="N23" s="600">
        <v>0</v>
      </c>
      <c r="O23" s="600">
        <f t="shared" si="0"/>
        <v>2402128</v>
      </c>
      <c r="P23" s="600"/>
      <c r="Q23" s="404" t="s">
        <v>1858</v>
      </c>
    </row>
    <row r="24" spans="1:17" ht="21.75" customHeight="1">
      <c r="A24" s="914" t="s">
        <v>1809</v>
      </c>
      <c r="C24" s="600">
        <f t="shared" ref="C24" si="1">SUM(C7:C23)</f>
        <v>-9757210</v>
      </c>
      <c r="D24" s="600">
        <f>SUM(D7:D23)</f>
        <v>39024487</v>
      </c>
      <c r="E24" s="600">
        <v>-82136125.000000015</v>
      </c>
      <c r="F24" s="600">
        <v>67138447</v>
      </c>
      <c r="G24" s="600">
        <v>-85861885</v>
      </c>
      <c r="H24" s="600">
        <v>24106713</v>
      </c>
      <c r="I24" s="600">
        <v>12481178.000000002</v>
      </c>
      <c r="J24" s="600">
        <f t="shared" ref="J24:M24" si="2">SUM(J7:J23)</f>
        <v>-42058013</v>
      </c>
      <c r="K24" s="600">
        <f t="shared" si="2"/>
        <v>0</v>
      </c>
      <c r="L24" s="600">
        <f t="shared" si="2"/>
        <v>0</v>
      </c>
      <c r="M24" s="600">
        <f t="shared" si="2"/>
        <v>0</v>
      </c>
      <c r="N24" s="600">
        <f t="shared" ref="N24" si="3">SUM(N7:N23)</f>
        <v>0</v>
      </c>
      <c r="O24" s="600">
        <f t="shared" si="0"/>
        <v>-77062408.000000015</v>
      </c>
      <c r="P24" s="600"/>
      <c r="Q24" s="404" t="s">
        <v>1859</v>
      </c>
    </row>
    <row r="25" spans="1:17" ht="21.75" customHeight="1">
      <c r="A25" s="404" t="s">
        <v>1810</v>
      </c>
      <c r="C25" s="600"/>
      <c r="D25" s="600"/>
      <c r="E25" s="600"/>
      <c r="F25" s="600"/>
      <c r="G25" s="600"/>
      <c r="H25" s="600"/>
      <c r="I25" s="600"/>
      <c r="J25" s="600"/>
      <c r="K25" s="600"/>
      <c r="L25" s="600"/>
      <c r="M25" s="600"/>
      <c r="N25" s="600"/>
      <c r="O25" s="600"/>
      <c r="P25" s="600"/>
    </row>
    <row r="26" spans="1:17" ht="21.75" customHeight="1">
      <c r="A26" s="404" t="s">
        <v>466</v>
      </c>
      <c r="C26" s="600">
        <v>0</v>
      </c>
      <c r="D26" s="600">
        <v>0</v>
      </c>
      <c r="E26" s="600">
        <v>0</v>
      </c>
      <c r="F26" s="600">
        <v>0</v>
      </c>
      <c r="G26" s="600">
        <v>0</v>
      </c>
      <c r="H26" s="600">
        <v>0</v>
      </c>
      <c r="I26" s="600">
        <v>0</v>
      </c>
      <c r="J26" s="600">
        <v>0</v>
      </c>
      <c r="K26" s="600">
        <v>0</v>
      </c>
      <c r="L26" s="600">
        <v>0</v>
      </c>
      <c r="M26" s="600">
        <v>0</v>
      </c>
      <c r="N26" s="600">
        <v>0</v>
      </c>
      <c r="O26" s="600">
        <f t="shared" si="0"/>
        <v>0</v>
      </c>
      <c r="P26" s="600"/>
    </row>
    <row r="27" spans="1:17" ht="21.75" customHeight="1">
      <c r="A27" s="404" t="s">
        <v>467</v>
      </c>
      <c r="C27" s="600">
        <v>0</v>
      </c>
      <c r="D27" s="600">
        <v>0</v>
      </c>
      <c r="E27" s="600">
        <v>0</v>
      </c>
      <c r="F27" s="600">
        <v>0</v>
      </c>
      <c r="G27" s="600">
        <v>0</v>
      </c>
      <c r="H27" s="600">
        <v>0</v>
      </c>
      <c r="I27" s="600">
        <v>0</v>
      </c>
      <c r="J27" s="600">
        <v>0</v>
      </c>
      <c r="K27" s="600">
        <v>0</v>
      </c>
      <c r="L27" s="600">
        <v>0</v>
      </c>
      <c r="M27" s="600">
        <v>0</v>
      </c>
      <c r="N27" s="600">
        <v>0</v>
      </c>
      <c r="O27" s="600">
        <f t="shared" si="0"/>
        <v>0</v>
      </c>
      <c r="P27" s="600"/>
    </row>
    <row r="28" spans="1:17" ht="21.75" customHeight="1">
      <c r="A28" s="404" t="s">
        <v>468</v>
      </c>
      <c r="C28" s="600">
        <v>0</v>
      </c>
      <c r="D28" s="600">
        <v>0</v>
      </c>
      <c r="E28" s="600">
        <v>0</v>
      </c>
      <c r="F28" s="600">
        <v>0</v>
      </c>
      <c r="G28" s="600">
        <v>0</v>
      </c>
      <c r="H28" s="600">
        <v>0</v>
      </c>
      <c r="I28" s="600">
        <v>0</v>
      </c>
      <c r="J28" s="600">
        <v>0</v>
      </c>
      <c r="K28" s="600">
        <v>0</v>
      </c>
      <c r="L28" s="600">
        <v>0</v>
      </c>
      <c r="M28" s="600">
        <v>0</v>
      </c>
      <c r="N28" s="600">
        <v>0</v>
      </c>
      <c r="O28" s="600">
        <f t="shared" si="0"/>
        <v>0</v>
      </c>
      <c r="P28" s="600"/>
    </row>
    <row r="29" spans="1:17" ht="21.75" customHeight="1">
      <c r="A29" s="404" t="s">
        <v>1811</v>
      </c>
      <c r="C29" s="600">
        <v>0</v>
      </c>
      <c r="D29" s="600">
        <v>0</v>
      </c>
      <c r="E29" s="600">
        <v>0</v>
      </c>
      <c r="F29" s="600">
        <v>0</v>
      </c>
      <c r="G29" s="600">
        <v>0</v>
      </c>
      <c r="H29" s="600">
        <v>0</v>
      </c>
      <c r="I29" s="600">
        <v>0</v>
      </c>
      <c r="J29" s="600">
        <v>0</v>
      </c>
      <c r="K29" s="600">
        <v>0</v>
      </c>
      <c r="L29" s="600">
        <v>0</v>
      </c>
      <c r="M29" s="600">
        <v>0</v>
      </c>
      <c r="N29" s="600">
        <v>0</v>
      </c>
      <c r="O29" s="600">
        <f t="shared" si="0"/>
        <v>0</v>
      </c>
      <c r="P29" s="600"/>
    </row>
    <row r="30" spans="1:17" ht="21.75" customHeight="1">
      <c r="A30" s="404" t="s">
        <v>1812</v>
      </c>
      <c r="C30" s="600">
        <v>-324000</v>
      </c>
      <c r="D30" s="600">
        <v>-87000</v>
      </c>
      <c r="E30" s="600">
        <v>-429000</v>
      </c>
      <c r="F30" s="600">
        <v>-1627141</v>
      </c>
      <c r="G30" s="600">
        <v>-520000</v>
      </c>
      <c r="H30" s="600">
        <v>-965000</v>
      </c>
      <c r="I30" s="600">
        <v>-45000</v>
      </c>
      <c r="J30" s="600">
        <f>-TWN_BS!$G$21-TWN_BS!$G$22-TWN_BS!$G$23-TWN_BS!$G$24-TWN_BS!$G$25-TWN_BS!$G$26-TWN_BS!$G$27-TWN_BS!$G$28-TWN_BS!$G$30</f>
        <v>-294000</v>
      </c>
      <c r="K30" s="600">
        <v>0</v>
      </c>
      <c r="L30" s="600">
        <v>0</v>
      </c>
      <c r="M30" s="600">
        <v>0</v>
      </c>
      <c r="N30" s="600">
        <v>0</v>
      </c>
      <c r="O30" s="600">
        <f t="shared" si="0"/>
        <v>-4291141</v>
      </c>
      <c r="P30" s="600"/>
      <c r="Q30" s="966" t="s">
        <v>1860</v>
      </c>
    </row>
    <row r="31" spans="1:17" ht="21.75" customHeight="1">
      <c r="A31" s="404" t="s">
        <v>1813</v>
      </c>
      <c r="C31" s="600">
        <v>0</v>
      </c>
      <c r="D31" s="600">
        <v>0</v>
      </c>
      <c r="E31" s="600">
        <v>0</v>
      </c>
      <c r="F31" s="600">
        <v>0</v>
      </c>
      <c r="G31" s="600">
        <v>0</v>
      </c>
      <c r="H31" s="600">
        <v>0</v>
      </c>
      <c r="I31" s="600">
        <v>0</v>
      </c>
      <c r="J31" s="600">
        <f>-TWN_BS!$G$35</f>
        <v>0</v>
      </c>
      <c r="K31" s="600">
        <v>0</v>
      </c>
      <c r="L31" s="600">
        <v>0</v>
      </c>
      <c r="M31" s="600">
        <v>0</v>
      </c>
      <c r="N31" s="600">
        <v>0</v>
      </c>
      <c r="O31" s="600">
        <f t="shared" si="0"/>
        <v>0</v>
      </c>
      <c r="P31" s="600"/>
      <c r="Q31" s="966" t="s">
        <v>1861</v>
      </c>
    </row>
    <row r="32" spans="1:17" ht="21.75" customHeight="1">
      <c r="A32" s="404" t="s">
        <v>1814</v>
      </c>
      <c r="C32" s="967">
        <v>0</v>
      </c>
      <c r="D32" s="967">
        <v>0</v>
      </c>
      <c r="E32" s="967">
        <v>0</v>
      </c>
      <c r="F32" s="967">
        <v>0</v>
      </c>
      <c r="G32" s="1124">
        <v>-28950</v>
      </c>
      <c r="H32" s="967">
        <v>0</v>
      </c>
      <c r="I32" s="967">
        <v>0</v>
      </c>
      <c r="J32" s="967">
        <f>-TWN_BS!$G$36-J10</f>
        <v>-450514</v>
      </c>
      <c r="K32" s="967">
        <v>0</v>
      </c>
      <c r="L32" s="967">
        <v>0</v>
      </c>
      <c r="M32" s="967">
        <v>0</v>
      </c>
      <c r="N32" s="967">
        <v>0</v>
      </c>
      <c r="O32" s="600">
        <f t="shared" si="0"/>
        <v>-479464</v>
      </c>
      <c r="P32" s="600"/>
      <c r="Q32" s="966" t="s">
        <v>1862</v>
      </c>
    </row>
    <row r="33" spans="1:17" ht="21.75" customHeight="1">
      <c r="A33" s="914" t="s">
        <v>1815</v>
      </c>
      <c r="C33" s="600">
        <f t="shared" ref="C33:M33" si="4">SUM(C26:C32)</f>
        <v>-324000</v>
      </c>
      <c r="D33" s="600">
        <f t="shared" si="4"/>
        <v>-87000</v>
      </c>
      <c r="E33" s="600">
        <v>-429000</v>
      </c>
      <c r="F33" s="600">
        <v>-1627141</v>
      </c>
      <c r="G33" s="600">
        <v>-548950</v>
      </c>
      <c r="H33" s="600">
        <v>-965000</v>
      </c>
      <c r="I33" s="600">
        <v>-45000</v>
      </c>
      <c r="J33" s="600">
        <f t="shared" si="4"/>
        <v>-744514</v>
      </c>
      <c r="K33" s="600">
        <f t="shared" si="4"/>
        <v>0</v>
      </c>
      <c r="L33" s="600">
        <f t="shared" si="4"/>
        <v>0</v>
      </c>
      <c r="M33" s="600">
        <f t="shared" si="4"/>
        <v>0</v>
      </c>
      <c r="N33" s="600">
        <f>SUM(N26:N32)</f>
        <v>0</v>
      </c>
      <c r="O33" s="600">
        <f t="shared" si="0"/>
        <v>-4770605</v>
      </c>
      <c r="P33" s="600"/>
      <c r="Q33" s="404" t="s">
        <v>1863</v>
      </c>
    </row>
    <row r="34" spans="1:17" ht="21.75" customHeight="1">
      <c r="A34" s="404" t="s">
        <v>1816</v>
      </c>
      <c r="C34" s="600"/>
      <c r="D34" s="600"/>
      <c r="E34" s="600"/>
      <c r="F34" s="600"/>
      <c r="G34" s="600"/>
      <c r="H34" s="600"/>
      <c r="I34" s="600"/>
      <c r="J34" s="600"/>
      <c r="K34" s="600"/>
      <c r="L34" s="600"/>
      <c r="M34" s="600"/>
      <c r="N34" s="600"/>
      <c r="O34" s="600"/>
      <c r="P34" s="600"/>
    </row>
    <row r="35" spans="1:17" ht="21.75" customHeight="1">
      <c r="A35" s="404" t="s">
        <v>1817</v>
      </c>
      <c r="C35" s="600">
        <v>37000000</v>
      </c>
      <c r="D35" s="600">
        <v>0</v>
      </c>
      <c r="E35" s="600">
        <v>10110358</v>
      </c>
      <c r="F35" s="600">
        <v>-30042706</v>
      </c>
      <c r="G35" s="600">
        <v>43015517</v>
      </c>
      <c r="H35" s="600">
        <v>-12621139</v>
      </c>
      <c r="I35" s="600">
        <v>8007462</v>
      </c>
      <c r="J35" s="600">
        <f>TWN_BS!$O$6</f>
        <v>5678417</v>
      </c>
      <c r="K35" s="600">
        <v>0</v>
      </c>
      <c r="L35" s="600">
        <v>0</v>
      </c>
      <c r="M35" s="600">
        <v>0</v>
      </c>
      <c r="N35" s="600">
        <v>0</v>
      </c>
      <c r="O35" s="600">
        <f>SUM(C35:N35)</f>
        <v>61147909</v>
      </c>
      <c r="P35" s="600"/>
      <c r="Q35" s="404" t="s">
        <v>1864</v>
      </c>
    </row>
    <row r="36" spans="1:17" ht="21.75" customHeight="1">
      <c r="A36" s="404" t="s">
        <v>1818</v>
      </c>
      <c r="C36" s="600">
        <v>15013</v>
      </c>
      <c r="D36" s="600">
        <v>10448</v>
      </c>
      <c r="E36" s="600">
        <v>5716</v>
      </c>
      <c r="F36" s="600">
        <v>9325</v>
      </c>
      <c r="G36" s="600">
        <v>722</v>
      </c>
      <c r="H36" s="600">
        <v>2260</v>
      </c>
      <c r="I36" s="600">
        <v>5606</v>
      </c>
      <c r="J36" s="600">
        <f>TWN_BS!$O$16+TWN_BS!$O$17</f>
        <v>11228</v>
      </c>
      <c r="K36" s="600">
        <v>0</v>
      </c>
      <c r="L36" s="600">
        <v>0</v>
      </c>
      <c r="M36" s="600">
        <v>0</v>
      </c>
      <c r="N36" s="600">
        <v>0</v>
      </c>
      <c r="O36" s="600">
        <f>SUM(C36:N36)</f>
        <v>60318</v>
      </c>
      <c r="P36" s="600"/>
      <c r="Q36" s="404" t="s">
        <v>1865</v>
      </c>
    </row>
    <row r="37" spans="1:17" ht="21.75" customHeight="1">
      <c r="A37" s="914" t="s">
        <v>1819</v>
      </c>
      <c r="C37" s="600">
        <f t="shared" ref="C37:M37" si="5">SUM(C35:C36)</f>
        <v>37015013</v>
      </c>
      <c r="D37" s="600">
        <f t="shared" si="5"/>
        <v>10448</v>
      </c>
      <c r="E37" s="600">
        <v>10116074</v>
      </c>
      <c r="F37" s="600">
        <v>-30033381</v>
      </c>
      <c r="G37" s="600">
        <v>43016239</v>
      </c>
      <c r="H37" s="600">
        <v>-12618879</v>
      </c>
      <c r="I37" s="600">
        <v>8013068</v>
      </c>
      <c r="J37" s="600">
        <f t="shared" si="5"/>
        <v>5689645</v>
      </c>
      <c r="K37" s="600">
        <f t="shared" si="5"/>
        <v>0</v>
      </c>
      <c r="L37" s="600">
        <f t="shared" si="5"/>
        <v>0</v>
      </c>
      <c r="M37" s="600">
        <f t="shared" si="5"/>
        <v>0</v>
      </c>
      <c r="N37" s="600">
        <f>SUM(N35:N36)</f>
        <v>0</v>
      </c>
      <c r="O37" s="600">
        <f>SUM(C37:N37)</f>
        <v>61208227</v>
      </c>
      <c r="P37" s="600"/>
      <c r="Q37" s="404" t="s">
        <v>1866</v>
      </c>
    </row>
    <row r="38" spans="1:17" ht="21.75" customHeight="1">
      <c r="C38" s="600"/>
      <c r="D38" s="600"/>
      <c r="E38" s="600"/>
      <c r="F38" s="600"/>
      <c r="G38" s="600"/>
      <c r="H38" s="600"/>
      <c r="I38" s="600"/>
      <c r="J38" s="600"/>
      <c r="K38" s="600"/>
      <c r="L38" s="600"/>
      <c r="M38" s="600"/>
      <c r="N38" s="600"/>
      <c r="O38" s="600"/>
      <c r="P38" s="600"/>
    </row>
    <row r="39" spans="1:17" ht="21.75" customHeight="1">
      <c r="A39" s="914" t="s">
        <v>1820</v>
      </c>
      <c r="C39" s="600">
        <f t="shared" ref="C39:M39" si="6">C24+C33+C37</f>
        <v>26933803</v>
      </c>
      <c r="D39" s="600">
        <f t="shared" si="6"/>
        <v>38947935</v>
      </c>
      <c r="E39" s="600">
        <v>-72449051.000000015</v>
      </c>
      <c r="F39" s="600">
        <v>35477925</v>
      </c>
      <c r="G39" s="600">
        <v>-43394596</v>
      </c>
      <c r="H39" s="600">
        <v>10522834</v>
      </c>
      <c r="I39" s="600">
        <v>20449246</v>
      </c>
      <c r="J39" s="600">
        <f t="shared" si="6"/>
        <v>-37112882</v>
      </c>
      <c r="K39" s="600">
        <f t="shared" si="6"/>
        <v>0</v>
      </c>
      <c r="L39" s="600">
        <f t="shared" si="6"/>
        <v>0</v>
      </c>
      <c r="M39" s="600">
        <f t="shared" si="6"/>
        <v>0</v>
      </c>
      <c r="N39" s="600">
        <f>N24+N33+N37</f>
        <v>0</v>
      </c>
      <c r="O39" s="600">
        <f>O24+O33+O37</f>
        <v>-20624786.000000015</v>
      </c>
      <c r="P39" s="600"/>
      <c r="Q39" s="404" t="s">
        <v>1867</v>
      </c>
    </row>
    <row r="40" spans="1:17" ht="21.75" customHeight="1">
      <c r="A40" s="914" t="s">
        <v>1821</v>
      </c>
      <c r="C40" s="600">
        <v>79160289.670000002</v>
      </c>
      <c r="D40" s="600">
        <f>C41</f>
        <v>106094092.67</v>
      </c>
      <c r="E40" s="600">
        <v>145042027.67000002</v>
      </c>
      <c r="F40" s="600">
        <v>72592976.670000002</v>
      </c>
      <c r="G40" s="600">
        <v>108070901.67</v>
      </c>
      <c r="H40" s="600">
        <v>64676305.670000002</v>
      </c>
      <c r="I40" s="600">
        <v>75199139.670000002</v>
      </c>
      <c r="J40" s="600">
        <f t="shared" ref="J40:N46" si="7">I41</f>
        <v>95648385.670000002</v>
      </c>
      <c r="K40" s="600">
        <f t="shared" si="7"/>
        <v>58535503.670000002</v>
      </c>
      <c r="L40" s="600">
        <f t="shared" si="7"/>
        <v>58535503.670000002</v>
      </c>
      <c r="M40" s="600">
        <f t="shared" si="7"/>
        <v>58535503.670000002</v>
      </c>
      <c r="N40" s="600">
        <f t="shared" si="7"/>
        <v>58535503.670000002</v>
      </c>
      <c r="O40" s="600">
        <f>C40</f>
        <v>79160289.670000002</v>
      </c>
      <c r="P40" s="600"/>
    </row>
    <row r="41" spans="1:17" ht="21.75" customHeight="1">
      <c r="A41" s="914" t="s">
        <v>1822</v>
      </c>
      <c r="C41" s="600">
        <f t="shared" ref="C41:M41" si="8">C39+C40</f>
        <v>106094092.67</v>
      </c>
      <c r="D41" s="600">
        <f t="shared" si="8"/>
        <v>145042027.67000002</v>
      </c>
      <c r="E41" s="600">
        <v>72592976.670000002</v>
      </c>
      <c r="F41" s="600">
        <v>108070901.67</v>
      </c>
      <c r="G41" s="600">
        <v>64676305.670000002</v>
      </c>
      <c r="H41" s="600">
        <v>75199139.670000002</v>
      </c>
      <c r="I41" s="600">
        <v>95648385.670000002</v>
      </c>
      <c r="J41" s="600">
        <f t="shared" si="8"/>
        <v>58535503.670000002</v>
      </c>
      <c r="K41" s="600">
        <f t="shared" si="8"/>
        <v>58535503.670000002</v>
      </c>
      <c r="L41" s="600">
        <f t="shared" si="8"/>
        <v>58535503.670000002</v>
      </c>
      <c r="M41" s="600">
        <f t="shared" si="8"/>
        <v>58535503.670000002</v>
      </c>
      <c r="N41" s="600">
        <f>N39+N40</f>
        <v>58535503.670000002</v>
      </c>
      <c r="O41" s="600">
        <f>O39+O40</f>
        <v>58535503.669999987</v>
      </c>
      <c r="P41" s="600"/>
      <c r="Q41" s="404" t="s">
        <v>1868</v>
      </c>
    </row>
    <row r="42" spans="1:17" ht="21.75" hidden="1" customHeight="1">
      <c r="A42" s="914"/>
      <c r="C42" s="600"/>
      <c r="D42" s="600">
        <f>C43</f>
        <v>0</v>
      </c>
      <c r="E42" s="600">
        <v>145042027.67000002</v>
      </c>
      <c r="F42" s="600">
        <v>217635004.34000003</v>
      </c>
      <c r="G42" s="600">
        <v>325705906.01000005</v>
      </c>
      <c r="H42" s="600">
        <v>390382211.68000007</v>
      </c>
      <c r="I42" s="600">
        <v>465581351.35000008</v>
      </c>
      <c r="J42" s="600">
        <f t="shared" si="7"/>
        <v>561229737.0200001</v>
      </c>
      <c r="K42" s="600">
        <f t="shared" si="7"/>
        <v>619765240.69000006</v>
      </c>
      <c r="L42" s="600">
        <f t="shared" si="7"/>
        <v>678300744.36000001</v>
      </c>
      <c r="M42" s="600">
        <f t="shared" si="7"/>
        <v>736836248.02999997</v>
      </c>
      <c r="N42" s="600">
        <f t="shared" si="7"/>
        <v>795371751.69999993</v>
      </c>
      <c r="O42" s="600"/>
      <c r="P42" s="600"/>
    </row>
    <row r="43" spans="1:17" ht="21.75" hidden="1" customHeight="1">
      <c r="A43" s="914"/>
      <c r="C43" s="600"/>
      <c r="D43" s="600">
        <f t="shared" ref="D43:M43" si="9">D41+D42</f>
        <v>145042027.67000002</v>
      </c>
      <c r="E43" s="600">
        <v>217635004.34000003</v>
      </c>
      <c r="F43" s="600">
        <v>325705906.01000005</v>
      </c>
      <c r="G43" s="600">
        <v>390382211.68000007</v>
      </c>
      <c r="H43" s="600">
        <v>465581351.35000008</v>
      </c>
      <c r="I43" s="600">
        <v>561229737.0200001</v>
      </c>
      <c r="J43" s="600">
        <f t="shared" si="9"/>
        <v>619765240.69000006</v>
      </c>
      <c r="K43" s="600">
        <f t="shared" si="9"/>
        <v>678300744.36000001</v>
      </c>
      <c r="L43" s="600">
        <f t="shared" si="9"/>
        <v>736836248.02999997</v>
      </c>
      <c r="M43" s="600">
        <f t="shared" si="9"/>
        <v>795371751.69999993</v>
      </c>
      <c r="N43" s="600">
        <f t="shared" ref="N43" si="10">N41+N42</f>
        <v>853907255.36999989</v>
      </c>
      <c r="O43" s="600"/>
      <c r="P43" s="600"/>
    </row>
    <row r="44" spans="1:17" ht="21.75" hidden="1" customHeight="1">
      <c r="A44" s="914"/>
      <c r="C44" s="600"/>
      <c r="D44" s="600">
        <f>C45</f>
        <v>0</v>
      </c>
      <c r="E44" s="600">
        <v>145042027.67000002</v>
      </c>
      <c r="F44" s="600">
        <v>362677032.01000005</v>
      </c>
      <c r="G44" s="600">
        <v>688382938.0200001</v>
      </c>
      <c r="H44" s="600">
        <v>1078765149.7000003</v>
      </c>
      <c r="I44" s="600">
        <v>1544346501.0500004</v>
      </c>
      <c r="J44" s="600">
        <f t="shared" si="7"/>
        <v>2105576238.0700006</v>
      </c>
      <c r="K44" s="600">
        <f t="shared" si="7"/>
        <v>2725341478.7600007</v>
      </c>
      <c r="L44" s="600">
        <f t="shared" si="7"/>
        <v>3403642223.1200008</v>
      </c>
      <c r="M44" s="600">
        <f t="shared" si="7"/>
        <v>4140478471.1500006</v>
      </c>
      <c r="N44" s="600">
        <f t="shared" si="7"/>
        <v>4935850222.8500004</v>
      </c>
      <c r="O44" s="600"/>
      <c r="P44" s="600"/>
    </row>
    <row r="45" spans="1:17" ht="21.75" hidden="1" customHeight="1">
      <c r="A45" s="914" t="s">
        <v>1823</v>
      </c>
      <c r="C45" s="600">
        <v>0</v>
      </c>
      <c r="D45" s="600">
        <f t="shared" ref="D45:M45" si="11">D43+D44</f>
        <v>145042027.67000002</v>
      </c>
      <c r="E45" s="600">
        <v>362677032.01000005</v>
      </c>
      <c r="F45" s="600">
        <v>688382938.0200001</v>
      </c>
      <c r="G45" s="600">
        <v>1078765149.7000003</v>
      </c>
      <c r="H45" s="600">
        <v>1544346501.0500004</v>
      </c>
      <c r="I45" s="600">
        <v>2105576238.0700006</v>
      </c>
      <c r="J45" s="600">
        <f t="shared" si="11"/>
        <v>2725341478.7600007</v>
      </c>
      <c r="K45" s="600">
        <f t="shared" si="11"/>
        <v>3403642223.1200008</v>
      </c>
      <c r="L45" s="600">
        <f t="shared" si="11"/>
        <v>4140478471.1500006</v>
      </c>
      <c r="M45" s="600">
        <f t="shared" si="11"/>
        <v>4935850222.8500004</v>
      </c>
      <c r="N45" s="600">
        <f t="shared" ref="N45" si="12">N43+N44</f>
        <v>5789757478.2200003</v>
      </c>
      <c r="O45" s="600"/>
      <c r="P45" s="600"/>
    </row>
    <row r="46" spans="1:17" ht="21.75" hidden="1" customHeight="1">
      <c r="A46" s="914"/>
      <c r="C46" s="600"/>
      <c r="D46" s="600">
        <f>C47</f>
        <v>0</v>
      </c>
      <c r="E46" s="600">
        <v>145042027.67000002</v>
      </c>
      <c r="F46" s="600">
        <v>507719059.68000007</v>
      </c>
      <c r="G46" s="600">
        <v>1196101997.7000003</v>
      </c>
      <c r="H46" s="600">
        <v>2274867147.4000006</v>
      </c>
      <c r="I46" s="600">
        <v>3819213648.4500008</v>
      </c>
      <c r="J46" s="600">
        <f t="shared" si="7"/>
        <v>5924789886.5200014</v>
      </c>
      <c r="K46" s="600">
        <f t="shared" si="7"/>
        <v>8650131365.2800026</v>
      </c>
      <c r="L46" s="600">
        <f t="shared" si="7"/>
        <v>12053773588.400003</v>
      </c>
      <c r="M46" s="600">
        <f t="shared" si="7"/>
        <v>16194252059.550003</v>
      </c>
      <c r="N46" s="600">
        <f t="shared" si="7"/>
        <v>21130102282.400002</v>
      </c>
      <c r="O46" s="600"/>
      <c r="P46" s="600"/>
    </row>
    <row r="47" spans="1:17" ht="21.75" customHeight="1">
      <c r="A47" s="914" t="s">
        <v>1824</v>
      </c>
      <c r="C47" s="600"/>
      <c r="D47" s="600">
        <f t="shared" ref="D47:M47" si="13">D45+D46</f>
        <v>145042027.67000002</v>
      </c>
      <c r="E47" s="600">
        <v>507719059.68000007</v>
      </c>
      <c r="F47" s="600">
        <v>1196101997.7000003</v>
      </c>
      <c r="G47" s="600">
        <v>2274867147.4000006</v>
      </c>
      <c r="H47" s="600">
        <v>3819213648.4500008</v>
      </c>
      <c r="I47" s="600">
        <v>5924789886.5200014</v>
      </c>
      <c r="J47" s="600">
        <f t="shared" si="13"/>
        <v>8650131365.2800026</v>
      </c>
      <c r="K47" s="600">
        <f t="shared" si="13"/>
        <v>12053773588.400003</v>
      </c>
      <c r="L47" s="600">
        <f t="shared" si="13"/>
        <v>16194252059.550003</v>
      </c>
      <c r="M47" s="600">
        <f t="shared" si="13"/>
        <v>21130102282.400002</v>
      </c>
      <c r="N47" s="600">
        <f t="shared" ref="N47" si="14">N45+N46</f>
        <v>26919859760.620003</v>
      </c>
      <c r="O47" s="600"/>
      <c r="P47" s="600"/>
      <c r="Q47" s="404" t="s">
        <v>1871</v>
      </c>
    </row>
    <row r="48" spans="1:17" ht="21.75" customHeight="1">
      <c r="A48" s="404" t="s">
        <v>1825</v>
      </c>
      <c r="C48" s="600">
        <v>106094092.67</v>
      </c>
      <c r="D48" s="600">
        <v>145042027.66999999</v>
      </c>
      <c r="E48" s="600">
        <v>72592976.670000002</v>
      </c>
      <c r="F48" s="600">
        <v>108070901.67</v>
      </c>
      <c r="G48" s="600">
        <v>64676305.670000002</v>
      </c>
      <c r="H48" s="600">
        <v>75199139.670000002</v>
      </c>
      <c r="I48" s="600">
        <v>95648385.670000002</v>
      </c>
      <c r="J48" s="600">
        <f>TWN_BS!C6</f>
        <v>58535503.670000002</v>
      </c>
      <c r="K48" s="600">
        <v>0</v>
      </c>
      <c r="L48" s="600">
        <v>0</v>
      </c>
      <c r="M48" s="600">
        <v>0</v>
      </c>
      <c r="N48" s="600">
        <v>0</v>
      </c>
      <c r="O48" s="600"/>
      <c r="P48" s="600"/>
      <c r="Q48" s="404" t="s">
        <v>1870</v>
      </c>
    </row>
    <row r="49" spans="1:17" ht="21.75" customHeight="1">
      <c r="A49" s="404" t="s">
        <v>1826</v>
      </c>
      <c r="C49" s="600">
        <f t="shared" ref="C49:M49" si="15">C41-C48</f>
        <v>0</v>
      </c>
      <c r="D49" s="600">
        <f t="shared" si="15"/>
        <v>0</v>
      </c>
      <c r="E49" s="600">
        <v>0</v>
      </c>
      <c r="F49" s="600">
        <v>0</v>
      </c>
      <c r="G49" s="600">
        <v>0</v>
      </c>
      <c r="H49" s="600">
        <v>0</v>
      </c>
      <c r="I49" s="600">
        <v>0</v>
      </c>
      <c r="J49" s="600">
        <f t="shared" si="15"/>
        <v>0</v>
      </c>
      <c r="K49" s="600">
        <f t="shared" si="15"/>
        <v>58535503.670000002</v>
      </c>
      <c r="L49" s="600">
        <f t="shared" si="15"/>
        <v>58535503.670000002</v>
      </c>
      <c r="M49" s="600">
        <f t="shared" si="15"/>
        <v>58535503.670000002</v>
      </c>
      <c r="N49" s="600">
        <f t="shared" ref="N49" si="16">N41-N48</f>
        <v>58535503.670000002</v>
      </c>
      <c r="O49" s="600"/>
      <c r="P49" s="600"/>
      <c r="Q49" s="404" t="s">
        <v>1869</v>
      </c>
    </row>
  </sheetData>
  <mergeCells count="4">
    <mergeCell ref="N4:O4"/>
    <mergeCell ref="A1:B1"/>
    <mergeCell ref="A2:B2"/>
    <mergeCell ref="A3:B3"/>
  </mergeCells>
  <phoneticPr fontId="40" type="noConversion"/>
  <printOptions horizontalCentered="1" gridLines="1"/>
  <pageMargins left="0" right="0" top="0.27559055118110237" bottom="0.19685039370078741" header="0.15748031496062992" footer="0.15748031496062992"/>
  <pageSetup paperSize="9" scale="57" orientation="landscape" horizontalDpi="4294967293" r:id="rId1"/>
  <headerFooter alignWithMargins="0">
    <oddHeader>&amp;R&amp;F--&amp;A</oddHeader>
    <oddFooter>&amp;RP.7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3">
    <tabColor indexed="29"/>
    <pageSetUpPr fitToPage="1"/>
  </sheetPr>
  <dimension ref="A1:P64"/>
  <sheetViews>
    <sheetView zoomScale="80" zoomScaleNormal="80" zoomScaleSheetLayoutView="100" workbookViewId="0">
      <pane xSplit="2" topLeftCell="C1" activePane="topRight" state="frozen"/>
      <selection pane="topRight" activeCell="J39" sqref="J39"/>
    </sheetView>
  </sheetViews>
  <sheetFormatPr baseColWidth="10" defaultColWidth="9.19921875" defaultRowHeight="21.75" customHeight="1"/>
  <cols>
    <col min="1" max="1" width="41" style="404" bestFit="1" customWidth="1"/>
    <col min="2" max="2" width="2.59765625" style="404" customWidth="1"/>
    <col min="3" max="3" width="16" style="404" bestFit="1" customWidth="1"/>
    <col min="4" max="7" width="17.19921875" style="404" bestFit="1" customWidth="1"/>
    <col min="8" max="8" width="20.796875" style="404" bestFit="1" customWidth="1"/>
    <col min="9" max="9" width="19.796875" style="404" customWidth="1"/>
    <col min="10" max="10" width="19.19921875" style="404" bestFit="1" customWidth="1"/>
    <col min="11" max="13" width="17.19921875" style="404" hidden="1" customWidth="1"/>
    <col min="14" max="14" width="17.59765625" style="404" hidden="1" customWidth="1"/>
    <col min="15" max="15" width="15.796875" style="404" bestFit="1" customWidth="1"/>
    <col min="16" max="16" width="12.19921875" style="404" customWidth="1"/>
    <col min="17" max="17" width="12.796875" style="404" bestFit="1" customWidth="1"/>
    <col min="18" max="18" width="13.19921875" style="404" customWidth="1"/>
    <col min="19" max="19" width="11.19921875" style="404" customWidth="1"/>
    <col min="20" max="16384" width="9.19921875" style="404"/>
  </cols>
  <sheetData>
    <row r="1" spans="1:16" s="623" customFormat="1" ht="24.75" customHeight="1">
      <c r="A1" s="620" t="s">
        <v>1827</v>
      </c>
      <c r="B1" s="621"/>
      <c r="C1" s="621"/>
      <c r="D1" s="622"/>
    </row>
    <row r="2" spans="1:16" s="623" customFormat="1" ht="21.75" customHeight="1">
      <c r="A2" s="624" t="s">
        <v>576</v>
      </c>
      <c r="B2" s="625">
        <v>42369</v>
      </c>
      <c r="C2" s="626" t="s">
        <v>1235</v>
      </c>
      <c r="D2" s="626" t="s">
        <v>1236</v>
      </c>
      <c r="E2" s="626" t="s">
        <v>1237</v>
      </c>
      <c r="F2" s="626" t="s">
        <v>1238</v>
      </c>
      <c r="G2" s="626" t="s">
        <v>1239</v>
      </c>
      <c r="H2" s="626" t="s">
        <v>1671</v>
      </c>
      <c r="I2" s="626" t="s">
        <v>1672</v>
      </c>
      <c r="J2" s="626" t="s">
        <v>1673</v>
      </c>
      <c r="K2" s="626" t="s">
        <v>1674</v>
      </c>
      <c r="L2" s="626" t="s">
        <v>1262</v>
      </c>
      <c r="M2" s="626" t="s">
        <v>1675</v>
      </c>
      <c r="N2" s="626" t="s">
        <v>1676</v>
      </c>
      <c r="O2" s="627"/>
    </row>
    <row r="3" spans="1:16" s="623" customFormat="1" ht="21.75" customHeight="1">
      <c r="A3" s="624" t="s">
        <v>559</v>
      </c>
      <c r="B3" s="628">
        <v>91470436</v>
      </c>
      <c r="C3" s="629">
        <f>BS!E126</f>
        <v>108372251</v>
      </c>
      <c r="D3" s="629">
        <v>113757211</v>
      </c>
      <c r="E3" s="629">
        <f>BS!G126</f>
        <v>105267862</v>
      </c>
      <c r="F3" s="629">
        <f>BS!H126</f>
        <v>113288653</v>
      </c>
      <c r="G3" s="629">
        <f>BS!I126</f>
        <v>112385911</v>
      </c>
      <c r="H3" s="629">
        <f>BS!J126</f>
        <v>99552435</v>
      </c>
      <c r="I3" s="629">
        <f>BS!K126</f>
        <v>108807256</v>
      </c>
      <c r="J3" s="629">
        <f>BS!L126</f>
        <v>104585105</v>
      </c>
      <c r="K3" s="629">
        <f>BS!M126</f>
        <v>0</v>
      </c>
      <c r="L3" s="629">
        <f>BS!N126</f>
        <v>0</v>
      </c>
      <c r="M3" s="629">
        <f>BS!O126</f>
        <v>0</v>
      </c>
      <c r="N3" s="629">
        <f>BS!P126</f>
        <v>0</v>
      </c>
      <c r="O3" s="630">
        <f>J3-I3</f>
        <v>-4222151</v>
      </c>
    </row>
    <row r="4" spans="1:16" s="623" customFormat="1" ht="21.75" customHeight="1">
      <c r="A4" s="624" t="s">
        <v>560</v>
      </c>
      <c r="B4" s="628">
        <v>352133</v>
      </c>
      <c r="C4" s="629">
        <f>BS!E122</f>
        <v>354126</v>
      </c>
      <c r="D4" s="629">
        <v>354126</v>
      </c>
      <c r="E4" s="629">
        <f>BS!G122</f>
        <v>150039</v>
      </c>
      <c r="F4" s="629">
        <f>BS!H122</f>
        <v>150039</v>
      </c>
      <c r="G4" s="629">
        <f>BS!I122</f>
        <v>199539</v>
      </c>
      <c r="H4" s="629">
        <f>BS!J122</f>
        <v>199539</v>
      </c>
      <c r="I4" s="629">
        <f>BS!K122</f>
        <v>199539</v>
      </c>
      <c r="J4" s="629">
        <f>BS!L122</f>
        <v>199539</v>
      </c>
      <c r="K4" s="629">
        <f>BS!M122</f>
        <v>0</v>
      </c>
      <c r="L4" s="629">
        <f>BS!N122</f>
        <v>0</v>
      </c>
      <c r="M4" s="629">
        <f>BS!O122</f>
        <v>0</v>
      </c>
      <c r="N4" s="629">
        <f>BS!P122</f>
        <v>0</v>
      </c>
      <c r="O4" s="630">
        <f t="shared" ref="O4:O12" si="0">J4-I4</f>
        <v>0</v>
      </c>
    </row>
    <row r="5" spans="1:16" s="623" customFormat="1" ht="21.75" customHeight="1">
      <c r="A5" s="624" t="s">
        <v>561</v>
      </c>
      <c r="B5" s="628">
        <v>67245</v>
      </c>
      <c r="C5" s="629">
        <f>BS!E124</f>
        <v>67245</v>
      </c>
      <c r="D5" s="629">
        <v>74270</v>
      </c>
      <c r="E5" s="629">
        <f>BS!G124</f>
        <v>313702</v>
      </c>
      <c r="F5" s="629">
        <f>BS!H124</f>
        <v>682218</v>
      </c>
      <c r="G5" s="629">
        <f>BS!I124</f>
        <v>677423</v>
      </c>
      <c r="H5" s="629">
        <f>BS!J124</f>
        <v>889828</v>
      </c>
      <c r="I5" s="629">
        <f>BS!K124</f>
        <v>440017</v>
      </c>
      <c r="J5" s="629">
        <f>BS!L124</f>
        <v>334245</v>
      </c>
      <c r="K5" s="629">
        <f>BS!M124</f>
        <v>0</v>
      </c>
      <c r="L5" s="629">
        <f>BS!N124</f>
        <v>0</v>
      </c>
      <c r="M5" s="629">
        <f>BS!O124</f>
        <v>0</v>
      </c>
      <c r="N5" s="629">
        <f>BS!P124</f>
        <v>0</v>
      </c>
      <c r="O5" s="630">
        <f t="shared" si="0"/>
        <v>-105772</v>
      </c>
    </row>
    <row r="6" spans="1:16" s="623" customFormat="1" ht="21.75" customHeight="1">
      <c r="A6" s="624" t="s">
        <v>562</v>
      </c>
      <c r="B6" s="628">
        <v>6707443</v>
      </c>
      <c r="C6" s="629">
        <f>BS!E123</f>
        <v>12626785</v>
      </c>
      <c r="D6" s="629">
        <v>12187622</v>
      </c>
      <c r="E6" s="629">
        <f>BS!G123</f>
        <v>18434721</v>
      </c>
      <c r="F6" s="629">
        <f>BS!H123</f>
        <v>19231771</v>
      </c>
      <c r="G6" s="629">
        <f>BS!I123</f>
        <v>23094945</v>
      </c>
      <c r="H6" s="629">
        <f>BS!J123</f>
        <v>19863891</v>
      </c>
      <c r="I6" s="629">
        <f>BS!K123</f>
        <v>20781840</v>
      </c>
      <c r="J6" s="629">
        <f>BS!L123</f>
        <v>30532465</v>
      </c>
      <c r="K6" s="629">
        <f>BS!M123</f>
        <v>0</v>
      </c>
      <c r="L6" s="629">
        <f>BS!N123</f>
        <v>0</v>
      </c>
      <c r="M6" s="629">
        <f>BS!O123</f>
        <v>0</v>
      </c>
      <c r="N6" s="629">
        <f>BS!P123</f>
        <v>0</v>
      </c>
      <c r="O6" s="630">
        <f t="shared" si="0"/>
        <v>9750625</v>
      </c>
    </row>
    <row r="7" spans="1:16" s="623" customFormat="1" ht="21.75" customHeight="1">
      <c r="A7" s="624" t="s">
        <v>1677</v>
      </c>
      <c r="B7" s="628">
        <v>30466343.239999998</v>
      </c>
      <c r="C7" s="629">
        <f>BS!E125</f>
        <v>30677286.239999998</v>
      </c>
      <c r="D7" s="629">
        <v>30540446.239999998</v>
      </c>
      <c r="E7" s="629">
        <f>BS!G125</f>
        <v>32374919.239999998</v>
      </c>
      <c r="F7" s="629">
        <f>BS!H125</f>
        <v>31075695.239999998</v>
      </c>
      <c r="G7" s="629">
        <f>BS!I125</f>
        <v>43784749.240000002</v>
      </c>
      <c r="H7" s="629">
        <f>BS!J125</f>
        <v>35930703.240000002</v>
      </c>
      <c r="I7" s="629">
        <f>BS!K125</f>
        <v>32877028.239999998</v>
      </c>
      <c r="J7" s="629">
        <f>BS!L125</f>
        <v>34239687.240000002</v>
      </c>
      <c r="K7" s="629">
        <f>BS!M125</f>
        <v>0</v>
      </c>
      <c r="L7" s="629">
        <f>BS!N125</f>
        <v>0</v>
      </c>
      <c r="M7" s="629">
        <f>BS!O125</f>
        <v>0</v>
      </c>
      <c r="N7" s="629">
        <f>BS!P125</f>
        <v>0</v>
      </c>
      <c r="O7" s="630">
        <f t="shared" si="0"/>
        <v>1362659.0000000037</v>
      </c>
    </row>
    <row r="8" spans="1:16" s="623" customFormat="1" ht="21.75" customHeight="1">
      <c r="A8" s="631" t="s">
        <v>1678</v>
      </c>
      <c r="B8" s="632">
        <v>129063600.23999999</v>
      </c>
      <c r="C8" s="633">
        <f t="shared" ref="C8" si="1">SUM(C3:C7)</f>
        <v>152097693.24000001</v>
      </c>
      <c r="D8" s="633">
        <f t="shared" ref="D8:N8" si="2">SUM(D3:D7)</f>
        <v>156913675.24000001</v>
      </c>
      <c r="E8" s="633">
        <f t="shared" si="2"/>
        <v>156541243.24000001</v>
      </c>
      <c r="F8" s="633">
        <f t="shared" si="2"/>
        <v>164428376.24000001</v>
      </c>
      <c r="G8" s="633">
        <f t="shared" si="2"/>
        <v>180142567.24000001</v>
      </c>
      <c r="H8" s="633">
        <f t="shared" si="2"/>
        <v>156436396.24000001</v>
      </c>
      <c r="I8" s="633">
        <f t="shared" si="2"/>
        <v>163105680.24000001</v>
      </c>
      <c r="J8" s="633">
        <f t="shared" si="2"/>
        <v>169891041.24000001</v>
      </c>
      <c r="K8" s="633">
        <f t="shared" si="2"/>
        <v>0</v>
      </c>
      <c r="L8" s="633">
        <f t="shared" si="2"/>
        <v>0</v>
      </c>
      <c r="M8" s="633">
        <f t="shared" si="2"/>
        <v>0</v>
      </c>
      <c r="N8" s="633">
        <f t="shared" si="2"/>
        <v>0</v>
      </c>
      <c r="O8" s="630">
        <f t="shared" si="0"/>
        <v>6785361</v>
      </c>
    </row>
    <row r="9" spans="1:16" s="623" customFormat="1" ht="21.75" customHeight="1">
      <c r="A9" s="624" t="s">
        <v>1679</v>
      </c>
      <c r="B9" s="628">
        <v>3557557</v>
      </c>
      <c r="C9" s="629">
        <f>BS!E130</f>
        <v>4314479</v>
      </c>
      <c r="D9" s="629">
        <v>315205</v>
      </c>
      <c r="E9" s="629">
        <f>BS!G130</f>
        <v>1571683</v>
      </c>
      <c r="F9" s="629">
        <f>BS!H130</f>
        <v>2963274</v>
      </c>
      <c r="G9" s="629">
        <f>BS!I130</f>
        <v>0</v>
      </c>
      <c r="H9" s="629">
        <f>BS!J130</f>
        <v>931586</v>
      </c>
      <c r="I9" s="629">
        <f>BS!K130</f>
        <v>4508092</v>
      </c>
      <c r="J9" s="629">
        <f>BS!L130</f>
        <v>19009</v>
      </c>
      <c r="K9" s="629">
        <f>BS!M130</f>
        <v>0</v>
      </c>
      <c r="L9" s="629">
        <f>BS!N130</f>
        <v>0</v>
      </c>
      <c r="M9" s="629">
        <f>BS!O130</f>
        <v>0</v>
      </c>
      <c r="N9" s="629">
        <f>BS!P130</f>
        <v>0</v>
      </c>
      <c r="O9" s="630">
        <f t="shared" si="0"/>
        <v>-4489083</v>
      </c>
    </row>
    <row r="10" spans="1:16" s="623" customFormat="1" ht="21.75" customHeight="1">
      <c r="A10" s="631" t="s">
        <v>1680</v>
      </c>
      <c r="B10" s="632">
        <v>132621157.23999999</v>
      </c>
      <c r="C10" s="629">
        <f t="shared" ref="C10" si="3">SUM(C8:C9)</f>
        <v>156412172.24000001</v>
      </c>
      <c r="D10" s="629">
        <f t="shared" ref="D10:N10" si="4">SUM(D8:D9)</f>
        <v>157228880.24000001</v>
      </c>
      <c r="E10" s="629">
        <f t="shared" si="4"/>
        <v>158112926.24000001</v>
      </c>
      <c r="F10" s="629">
        <f t="shared" si="4"/>
        <v>167391650.24000001</v>
      </c>
      <c r="G10" s="629">
        <f t="shared" si="4"/>
        <v>180142567.24000001</v>
      </c>
      <c r="H10" s="629">
        <f t="shared" si="4"/>
        <v>157367982.24000001</v>
      </c>
      <c r="I10" s="629">
        <f t="shared" si="4"/>
        <v>167613772.24000001</v>
      </c>
      <c r="J10" s="629">
        <f t="shared" si="4"/>
        <v>169910050.24000001</v>
      </c>
      <c r="K10" s="629">
        <f t="shared" si="4"/>
        <v>0</v>
      </c>
      <c r="L10" s="629">
        <f t="shared" si="4"/>
        <v>0</v>
      </c>
      <c r="M10" s="629">
        <f t="shared" si="4"/>
        <v>0</v>
      </c>
      <c r="N10" s="629">
        <f t="shared" si="4"/>
        <v>0</v>
      </c>
      <c r="O10" s="630">
        <f t="shared" si="0"/>
        <v>2296278</v>
      </c>
    </row>
    <row r="11" spans="1:16" s="630" customFormat="1" ht="21.75" customHeight="1">
      <c r="A11" s="634" t="s">
        <v>1681</v>
      </c>
      <c r="B11" s="635">
        <v>-24293393</v>
      </c>
      <c r="C11" s="636">
        <f>BS!E132</f>
        <v>-27168142</v>
      </c>
      <c r="D11" s="636">
        <f>BS!F132</f>
        <v>-29931613</v>
      </c>
      <c r="E11" s="636">
        <f>BS!G132</f>
        <v>-22475058</v>
      </c>
      <c r="F11" s="636">
        <f>BS!H132</f>
        <v>-21883140</v>
      </c>
      <c r="G11" s="636">
        <f>BS!I132</f>
        <v>-22937600</v>
      </c>
      <c r="H11" s="636">
        <f>BS!J132</f>
        <v>-21466878</v>
      </c>
      <c r="I11" s="636">
        <f>BS!K132</f>
        <v>-19435296</v>
      </c>
      <c r="J11" s="636">
        <f>BS!L132</f>
        <v>-19459280</v>
      </c>
      <c r="K11" s="636">
        <f>BS!M132</f>
        <v>0</v>
      </c>
      <c r="L11" s="636">
        <f>BS!N132</f>
        <v>0</v>
      </c>
      <c r="M11" s="636">
        <f>BS!O132</f>
        <v>0</v>
      </c>
      <c r="N11" s="636">
        <f>BS!P132</f>
        <v>0</v>
      </c>
      <c r="O11" s="630">
        <f t="shared" si="0"/>
        <v>-23984</v>
      </c>
    </row>
    <row r="12" spans="1:16" s="623" customFormat="1" ht="21.75" customHeight="1">
      <c r="A12" s="631" t="s">
        <v>1682</v>
      </c>
      <c r="B12" s="632">
        <v>108327764.23999999</v>
      </c>
      <c r="C12" s="637">
        <f t="shared" ref="C12" si="5">C11+C10</f>
        <v>129244030.24000001</v>
      </c>
      <c r="D12" s="637">
        <f t="shared" ref="D12:N12" si="6">D11+D10</f>
        <v>127297267.24000001</v>
      </c>
      <c r="E12" s="637">
        <f t="shared" si="6"/>
        <v>135637868.24000001</v>
      </c>
      <c r="F12" s="637">
        <f t="shared" si="6"/>
        <v>145508510.24000001</v>
      </c>
      <c r="G12" s="637">
        <f t="shared" si="6"/>
        <v>157204967.24000001</v>
      </c>
      <c r="H12" s="637">
        <f t="shared" si="6"/>
        <v>135901104.24000001</v>
      </c>
      <c r="I12" s="637">
        <f t="shared" si="6"/>
        <v>148178476.24000001</v>
      </c>
      <c r="J12" s="637">
        <f t="shared" si="6"/>
        <v>150450770.24000001</v>
      </c>
      <c r="K12" s="637">
        <f t="shared" si="6"/>
        <v>0</v>
      </c>
      <c r="L12" s="637">
        <f t="shared" si="6"/>
        <v>0</v>
      </c>
      <c r="M12" s="637">
        <f t="shared" si="6"/>
        <v>0</v>
      </c>
      <c r="N12" s="637">
        <f t="shared" si="6"/>
        <v>0</v>
      </c>
      <c r="O12" s="630">
        <f t="shared" si="0"/>
        <v>2272294</v>
      </c>
    </row>
    <row r="13" spans="1:16" s="623" customFormat="1" ht="21.75" customHeight="1">
      <c r="A13" s="638" t="s">
        <v>1683</v>
      </c>
      <c r="B13" s="639"/>
      <c r="C13" s="640">
        <f t="shared" ref="C13:M13" si="7">-C11/C8</f>
        <v>0.17862297199425953</v>
      </c>
      <c r="D13" s="640">
        <f t="shared" si="7"/>
        <v>0.19075209954912786</v>
      </c>
      <c r="E13" s="640">
        <f t="shared" si="7"/>
        <v>0.14357275779100934</v>
      </c>
      <c r="F13" s="640">
        <f t="shared" si="7"/>
        <v>0.13308615277000194</v>
      </c>
      <c r="G13" s="640">
        <f t="shared" si="7"/>
        <v>0.12733026042334977</v>
      </c>
      <c r="H13" s="640">
        <f t="shared" si="7"/>
        <v>0.13722431937812068</v>
      </c>
      <c r="I13" s="640">
        <f t="shared" si="7"/>
        <v>0.1191576894894289</v>
      </c>
      <c r="J13" s="640">
        <f t="shared" si="7"/>
        <v>0.11453976535767095</v>
      </c>
      <c r="K13" s="640" t="e">
        <f t="shared" si="7"/>
        <v>#DIV/0!</v>
      </c>
      <c r="L13" s="640" t="e">
        <f t="shared" si="7"/>
        <v>#DIV/0!</v>
      </c>
      <c r="M13" s="640" t="e">
        <f t="shared" si="7"/>
        <v>#DIV/0!</v>
      </c>
      <c r="N13" s="640" t="e">
        <f>-N11/N8</f>
        <v>#DIV/0!</v>
      </c>
    </row>
    <row r="14" spans="1:16" s="623" customFormat="1" ht="17.25" customHeight="1">
      <c r="A14" s="638"/>
      <c r="B14" s="639"/>
      <c r="C14" s="640"/>
      <c r="D14" s="640"/>
      <c r="E14" s="641"/>
      <c r="F14" s="641"/>
      <c r="G14" s="641"/>
      <c r="H14" s="641"/>
      <c r="I14" s="642"/>
      <c r="J14" s="643"/>
      <c r="K14" s="552"/>
      <c r="L14" s="644"/>
      <c r="M14" s="552"/>
      <c r="N14" s="645"/>
      <c r="O14" s="646"/>
      <c r="P14" s="643"/>
    </row>
    <row r="15" spans="1:16" s="623" customFormat="1" ht="21.75" customHeight="1">
      <c r="A15" s="623" t="s">
        <v>1684</v>
      </c>
      <c r="B15" s="521"/>
      <c r="C15" s="647">
        <f>C25/$H$25</f>
        <v>0.75650115536464035</v>
      </c>
      <c r="D15" s="647">
        <f>D25/$H$25</f>
        <v>4.653527404167071E-2</v>
      </c>
      <c r="E15" s="647">
        <f>E25/$H$25</f>
        <v>3.3449661970308353E-2</v>
      </c>
      <c r="F15" s="647">
        <f>F25/$H$25</f>
        <v>9.0682676337433155E-2</v>
      </c>
      <c r="G15" s="647">
        <f>G25/$H$25</f>
        <v>7.2831232285947428E-2</v>
      </c>
      <c r="H15" s="647">
        <f t="shared" ref="H15" si="8">H23/$H$23</f>
        <v>1</v>
      </c>
      <c r="I15" s="642"/>
      <c r="J15" s="648"/>
      <c r="K15" s="552"/>
      <c r="L15" s="644"/>
      <c r="M15" s="644"/>
    </row>
    <row r="16" spans="1:16" s="553" customFormat="1" ht="18">
      <c r="A16" s="649" t="s">
        <v>2113</v>
      </c>
      <c r="B16" s="650"/>
      <c r="C16" s="651" t="s">
        <v>588</v>
      </c>
      <c r="D16" s="651" t="s">
        <v>589</v>
      </c>
      <c r="E16" s="651" t="s">
        <v>590</v>
      </c>
      <c r="F16" s="651" t="s">
        <v>598</v>
      </c>
      <c r="G16" s="651" t="s">
        <v>591</v>
      </c>
      <c r="H16" s="651" t="s">
        <v>599</v>
      </c>
      <c r="I16" s="652"/>
      <c r="J16" s="652"/>
      <c r="K16" s="652"/>
      <c r="L16" s="652"/>
      <c r="M16" s="653"/>
    </row>
    <row r="17" spans="1:13" s="553" customFormat="1" ht="18.75" customHeight="1">
      <c r="A17" s="555" t="s">
        <v>534</v>
      </c>
      <c r="B17" s="654"/>
      <c r="C17" s="655" t="s">
        <v>600</v>
      </c>
      <c r="D17" s="655" t="s">
        <v>600</v>
      </c>
      <c r="E17" s="655" t="s">
        <v>600</v>
      </c>
      <c r="F17" s="655" t="s">
        <v>600</v>
      </c>
      <c r="G17" s="655" t="s">
        <v>600</v>
      </c>
      <c r="H17" s="655"/>
      <c r="I17" s="652"/>
      <c r="J17" s="652"/>
      <c r="K17" s="652"/>
      <c r="L17" s="652"/>
      <c r="M17" s="652"/>
    </row>
    <row r="18" spans="1:13" s="553" customFormat="1" ht="15.75" customHeight="1">
      <c r="A18" s="555" t="s">
        <v>565</v>
      </c>
      <c r="B18" s="654"/>
      <c r="C18" s="656">
        <v>80567009.450000003</v>
      </c>
      <c r="D18" s="656">
        <v>5610575.0199999996</v>
      </c>
      <c r="E18" s="656">
        <v>4522209</v>
      </c>
      <c r="F18" s="656">
        <v>5305036</v>
      </c>
      <c r="G18" s="657">
        <v>3441994.5300000003</v>
      </c>
      <c r="H18" s="616">
        <v>99446824</v>
      </c>
      <c r="I18" s="657"/>
      <c r="J18" s="652"/>
      <c r="K18" s="652"/>
      <c r="L18" s="652"/>
      <c r="M18" s="652"/>
    </row>
    <row r="19" spans="1:13" s="553" customFormat="1" ht="15.75" customHeight="1">
      <c r="A19" s="555" t="s">
        <v>560</v>
      </c>
      <c r="B19" s="654"/>
      <c r="C19" s="656">
        <v>0</v>
      </c>
      <c r="D19" s="656">
        <v>0</v>
      </c>
      <c r="E19" s="656">
        <v>0</v>
      </c>
      <c r="F19" s="656">
        <v>13892</v>
      </c>
      <c r="G19" s="657">
        <v>185097.8</v>
      </c>
      <c r="H19" s="616">
        <v>198989.8</v>
      </c>
      <c r="I19" s="652"/>
      <c r="J19" s="652"/>
      <c r="K19" s="652"/>
      <c r="L19" s="652"/>
      <c r="M19" s="652"/>
    </row>
    <row r="20" spans="1:13" s="553" customFormat="1" ht="15.75" customHeight="1">
      <c r="A20" s="555" t="s">
        <v>561</v>
      </c>
      <c r="B20" s="654"/>
      <c r="C20" s="656">
        <v>227763</v>
      </c>
      <c r="D20" s="656">
        <v>47999</v>
      </c>
      <c r="E20" s="656">
        <v>0</v>
      </c>
      <c r="F20" s="656">
        <v>36227</v>
      </c>
      <c r="G20" s="657">
        <v>-4387.9799999999959</v>
      </c>
      <c r="H20" s="616">
        <v>307601.02</v>
      </c>
      <c r="I20" s="657"/>
      <c r="J20" s="652"/>
      <c r="K20" s="652"/>
      <c r="L20" s="652"/>
      <c r="M20" s="652"/>
    </row>
    <row r="21" spans="1:13" s="553" customFormat="1" ht="15.75" customHeight="1" thickBot="1">
      <c r="A21" s="555" t="s">
        <v>562</v>
      </c>
      <c r="B21" s="654"/>
      <c r="C21" s="600">
        <v>21130810</v>
      </c>
      <c r="D21" s="656">
        <v>653999</v>
      </c>
      <c r="E21" s="656">
        <v>15283</v>
      </c>
      <c r="F21" s="656">
        <v>6030582</v>
      </c>
      <c r="G21" s="657">
        <v>2086930.57</v>
      </c>
      <c r="H21" s="616">
        <v>29917604.57</v>
      </c>
      <c r="I21" s="652"/>
      <c r="J21" s="652"/>
      <c r="K21" s="652"/>
      <c r="L21" s="652"/>
      <c r="M21" s="652"/>
    </row>
    <row r="22" spans="1:13" s="553" customFormat="1" ht="15.75" customHeight="1" thickBot="1">
      <c r="A22" s="555" t="s">
        <v>583</v>
      </c>
      <c r="B22" s="654"/>
      <c r="C22" s="656">
        <v>694825</v>
      </c>
      <c r="D22" s="656">
        <v>0</v>
      </c>
      <c r="E22" s="656">
        <v>0</v>
      </c>
      <c r="F22" s="656">
        <v>915491</v>
      </c>
      <c r="G22" s="658">
        <v>2844579.9899999998</v>
      </c>
      <c r="H22" s="616">
        <v>4454895.99</v>
      </c>
      <c r="I22" s="651" t="s">
        <v>587</v>
      </c>
      <c r="J22" s="659" t="s">
        <v>602</v>
      </c>
      <c r="K22" s="660"/>
      <c r="L22" s="657"/>
      <c r="M22" s="652"/>
    </row>
    <row r="23" spans="1:13" s="553" customFormat="1" ht="15.75" customHeight="1">
      <c r="A23" s="555" t="s">
        <v>584</v>
      </c>
      <c r="B23" s="654"/>
      <c r="C23" s="656">
        <v>0</v>
      </c>
      <c r="D23" s="656">
        <v>0</v>
      </c>
      <c r="E23" s="656">
        <v>0</v>
      </c>
      <c r="F23" s="656">
        <v>0</v>
      </c>
      <c r="G23" s="661">
        <v>134919.49</v>
      </c>
      <c r="H23" s="616">
        <v>134919.49</v>
      </c>
      <c r="I23" s="651"/>
      <c r="J23" s="651"/>
      <c r="K23" s="660"/>
      <c r="L23" s="652"/>
      <c r="M23" s="652"/>
    </row>
    <row r="24" spans="1:13" s="553" customFormat="1" ht="15.75" customHeight="1">
      <c r="A24" s="555" t="s">
        <v>944</v>
      </c>
      <c r="B24" s="654"/>
      <c r="C24" s="656">
        <v>0</v>
      </c>
      <c r="D24" s="656">
        <v>0</v>
      </c>
      <c r="E24" s="656">
        <v>0</v>
      </c>
      <c r="F24" s="656">
        <v>0</v>
      </c>
      <c r="G24" s="661">
        <v>1190521.01</v>
      </c>
      <c r="H24" s="616">
        <v>1190521.01</v>
      </c>
      <c r="I24" s="651"/>
      <c r="J24" s="651"/>
      <c r="K24" s="660"/>
      <c r="L24" s="652"/>
      <c r="M24" s="652"/>
    </row>
    <row r="25" spans="1:13" s="553" customFormat="1" ht="17.25" customHeight="1" thickBot="1">
      <c r="A25" s="555" t="s">
        <v>535</v>
      </c>
      <c r="B25" s="654"/>
      <c r="C25" s="662">
        <v>102620407.45</v>
      </c>
      <c r="D25" s="662">
        <v>6312573.0199999996</v>
      </c>
      <c r="E25" s="662">
        <v>4537492</v>
      </c>
      <c r="F25" s="662">
        <v>12301228</v>
      </c>
      <c r="G25" s="662">
        <v>9879655.4100000001</v>
      </c>
      <c r="H25" s="663">
        <v>135651355.88</v>
      </c>
      <c r="I25" s="664">
        <v>169891041.24000001</v>
      </c>
      <c r="J25" s="665">
        <v>-34239685.360000014</v>
      </c>
      <c r="K25" s="651"/>
      <c r="L25" s="652"/>
      <c r="M25" s="652"/>
    </row>
    <row r="26" spans="1:13" s="553" customFormat="1" ht="15.75" customHeight="1" thickTop="1">
      <c r="A26" s="555" t="s">
        <v>566</v>
      </c>
      <c r="B26" s="654"/>
      <c r="C26" s="666">
        <v>0</v>
      </c>
      <c r="D26" s="666">
        <v>0</v>
      </c>
      <c r="E26" s="667">
        <v>0.3</v>
      </c>
      <c r="F26" s="667">
        <v>0.5</v>
      </c>
      <c r="G26" s="667">
        <v>1</v>
      </c>
      <c r="H26" s="666"/>
      <c r="I26" s="652"/>
      <c r="J26" s="668">
        <v>34239687.240000002</v>
      </c>
      <c r="K26" s="651"/>
      <c r="L26" s="652"/>
      <c r="M26" s="652"/>
    </row>
    <row r="27" spans="1:13" s="553" customFormat="1" ht="16.5" customHeight="1">
      <c r="A27" s="553" t="s">
        <v>567</v>
      </c>
      <c r="C27" s="669">
        <v>0</v>
      </c>
      <c r="D27" s="669">
        <v>0</v>
      </c>
      <c r="E27" s="669">
        <v>1361248</v>
      </c>
      <c r="F27" s="669">
        <v>6150614</v>
      </c>
      <c r="G27" s="669">
        <v>9879655</v>
      </c>
      <c r="H27" s="656">
        <v>17391517</v>
      </c>
      <c r="I27" s="657"/>
      <c r="J27" s="670">
        <v>1.8799999877810478</v>
      </c>
      <c r="K27" s="657"/>
      <c r="L27" s="652"/>
      <c r="M27" s="652"/>
    </row>
    <row r="28" spans="1:13" s="553" customFormat="1" ht="16.5" customHeight="1">
      <c r="A28" s="671" t="s">
        <v>568</v>
      </c>
      <c r="B28" s="671"/>
      <c r="C28" s="669"/>
      <c r="D28" s="669"/>
      <c r="E28" s="669"/>
      <c r="F28" s="669"/>
      <c r="G28" s="669"/>
      <c r="H28" s="672">
        <v>1920128.68</v>
      </c>
      <c r="I28" s="657"/>
      <c r="J28" s="673"/>
      <c r="K28" s="652"/>
      <c r="L28" s="652"/>
      <c r="M28" s="652"/>
    </row>
    <row r="29" spans="1:13" s="553" customFormat="1" ht="15.75" customHeight="1">
      <c r="A29" s="671" t="s">
        <v>569</v>
      </c>
      <c r="B29" s="671"/>
      <c r="C29" s="669"/>
      <c r="D29" s="669"/>
      <c r="E29" s="669"/>
      <c r="F29" s="669"/>
      <c r="G29" s="669"/>
      <c r="H29" s="656">
        <v>19311645.68</v>
      </c>
      <c r="I29" s="657"/>
      <c r="J29" s="673"/>
      <c r="K29" s="673"/>
      <c r="L29" s="652"/>
      <c r="M29" s="652"/>
    </row>
    <row r="30" spans="1:13" s="553" customFormat="1" ht="15.75" customHeight="1">
      <c r="A30" s="671" t="s">
        <v>570</v>
      </c>
      <c r="B30" s="671"/>
      <c r="C30" s="669"/>
      <c r="D30" s="669"/>
      <c r="E30" s="669"/>
      <c r="F30" s="669"/>
      <c r="G30" s="652"/>
      <c r="H30" s="674">
        <v>19415722.440000001</v>
      </c>
      <c r="I30" s="657">
        <v>19435296.460000001</v>
      </c>
      <c r="J30" s="652" t="s">
        <v>579</v>
      </c>
      <c r="K30" s="657">
        <v>130228656.88000001</v>
      </c>
      <c r="L30" s="675">
        <v>0.14923978274542732</v>
      </c>
      <c r="M30" s="675"/>
    </row>
    <row r="31" spans="1:13" s="553" customFormat="1" ht="15.75" customHeight="1" thickBot="1">
      <c r="A31" s="671" t="s">
        <v>571</v>
      </c>
      <c r="B31" s="671"/>
      <c r="C31" s="669"/>
      <c r="D31" s="669"/>
      <c r="E31" s="669"/>
      <c r="F31" s="669"/>
      <c r="G31" s="667"/>
      <c r="H31" s="676">
        <v>104076.76000000164</v>
      </c>
      <c r="I31" s="677">
        <v>19459280.100000001</v>
      </c>
      <c r="J31" s="652" t="s">
        <v>580</v>
      </c>
      <c r="K31" s="657">
        <v>135651355.88</v>
      </c>
      <c r="L31" s="675">
        <v>0.14345068631097271</v>
      </c>
      <c r="M31" s="675"/>
    </row>
    <row r="32" spans="1:13" s="553" customFormat="1" ht="15.75" customHeight="1" thickTop="1" thickBot="1">
      <c r="A32" s="671" t="s">
        <v>572</v>
      </c>
      <c r="B32" s="671"/>
      <c r="C32" s="669"/>
      <c r="D32" s="669"/>
      <c r="E32" s="669"/>
      <c r="F32" s="669"/>
      <c r="G32" s="667"/>
      <c r="H32" s="678"/>
      <c r="I32" s="679">
        <v>23983.640000000596</v>
      </c>
      <c r="J32" s="652"/>
      <c r="K32" s="657"/>
      <c r="L32" s="652"/>
      <c r="M32" s="652"/>
    </row>
    <row r="33" spans="1:13" s="553" customFormat="1" ht="16.5" customHeight="1" thickTop="1">
      <c r="A33" s="680" t="s">
        <v>573</v>
      </c>
      <c r="B33" s="681"/>
      <c r="C33" s="682">
        <v>12345</v>
      </c>
      <c r="D33" s="682">
        <v>32417.02</v>
      </c>
      <c r="E33" s="682">
        <v>3571.3999999999996</v>
      </c>
      <c r="F33" s="682">
        <v>99301</v>
      </c>
      <c r="G33" s="683"/>
      <c r="H33" s="657">
        <v>147634.42000000001</v>
      </c>
      <c r="I33" s="652"/>
      <c r="J33" s="657"/>
      <c r="K33" s="652"/>
      <c r="L33" s="652"/>
      <c r="M33" s="652"/>
    </row>
    <row r="34" spans="1:13" s="553" customFormat="1" ht="16.5" customHeight="1">
      <c r="A34" s="680" t="s">
        <v>574</v>
      </c>
      <c r="B34" s="680"/>
      <c r="C34" s="682">
        <v>5739.22</v>
      </c>
      <c r="D34" s="682">
        <v>5199.6000000000004</v>
      </c>
      <c r="E34" s="682">
        <v>8635.1999999999989</v>
      </c>
      <c r="F34" s="682">
        <v>0</v>
      </c>
      <c r="G34" s="683"/>
      <c r="H34" s="657">
        <v>19574.019999999997</v>
      </c>
      <c r="I34" s="657"/>
      <c r="J34" s="652"/>
      <c r="K34" s="652"/>
      <c r="L34" s="652"/>
      <c r="M34" s="652"/>
    </row>
    <row r="35" spans="1:13" s="553" customFormat="1" ht="15.75" customHeight="1">
      <c r="A35" s="680" t="s">
        <v>571</v>
      </c>
      <c r="B35" s="680"/>
      <c r="C35" s="684">
        <v>-6605.78</v>
      </c>
      <c r="D35" s="684">
        <v>-27217.42</v>
      </c>
      <c r="E35" s="684">
        <v>5063.7999999999993</v>
      </c>
      <c r="F35" s="684">
        <v>-99301</v>
      </c>
      <c r="G35" s="683"/>
      <c r="H35" s="685">
        <v>-128060.40000000002</v>
      </c>
      <c r="I35" s="686"/>
      <c r="J35" s="652"/>
      <c r="K35" s="652"/>
      <c r="L35" s="652"/>
      <c r="M35" s="652"/>
    </row>
    <row r="36" spans="1:13" s="623" customFormat="1" ht="21.75" customHeight="1" thickBot="1">
      <c r="A36" s="521" t="s">
        <v>575</v>
      </c>
      <c r="B36" s="521"/>
      <c r="C36" s="683"/>
      <c r="D36" s="683"/>
      <c r="E36" s="683"/>
      <c r="F36" s="683"/>
      <c r="G36" s="683"/>
      <c r="H36" s="687">
        <v>-23983.639999998384</v>
      </c>
      <c r="I36" s="657"/>
      <c r="J36" s="683"/>
      <c r="K36" s="652"/>
      <c r="L36" s="673"/>
      <c r="M36" s="673"/>
    </row>
    <row r="37" spans="1:13" s="623" customFormat="1" ht="21.75" customHeight="1" thickTop="1">
      <c r="A37" s="521"/>
      <c r="B37" s="521"/>
      <c r="C37" s="683"/>
      <c r="D37" s="683"/>
      <c r="E37" s="683"/>
      <c r="F37" s="683"/>
      <c r="G37" s="683"/>
      <c r="H37" s="683"/>
      <c r="I37" s="657"/>
      <c r="J37" s="683"/>
      <c r="K37" s="652"/>
      <c r="L37" s="673"/>
      <c r="M37" s="673"/>
    </row>
    <row r="38" spans="1:13" s="623" customFormat="1" ht="21.75" customHeight="1">
      <c r="A38" s="688"/>
      <c r="B38" s="688"/>
      <c r="C38" s="968">
        <v>8</v>
      </c>
      <c r="D38" s="968">
        <v>7</v>
      </c>
      <c r="E38" s="968">
        <v>6</v>
      </c>
      <c r="F38" s="968">
        <v>5</v>
      </c>
      <c r="G38" s="968">
        <v>4</v>
      </c>
      <c r="H38" s="968">
        <v>3</v>
      </c>
      <c r="I38" s="968">
        <v>2</v>
      </c>
      <c r="J38" s="969">
        <v>42978</v>
      </c>
      <c r="K38" s="969"/>
      <c r="L38" s="689"/>
      <c r="M38" s="689"/>
    </row>
    <row r="39" spans="1:13" s="691" customFormat="1" ht="21.75" customHeight="1" thickBot="1">
      <c r="A39" s="690" t="s">
        <v>1250</v>
      </c>
      <c r="B39" s="688"/>
      <c r="C39" s="970" t="s">
        <v>2094</v>
      </c>
      <c r="D39" s="971" t="s">
        <v>2095</v>
      </c>
      <c r="E39" s="971" t="s">
        <v>2096</v>
      </c>
      <c r="F39" s="971" t="s">
        <v>2097</v>
      </c>
      <c r="G39" s="972" t="s">
        <v>2098</v>
      </c>
      <c r="H39" s="972" t="s">
        <v>2099</v>
      </c>
      <c r="I39" s="973" t="s">
        <v>2100</v>
      </c>
      <c r="J39" s="974" t="s">
        <v>2101</v>
      </c>
      <c r="K39" s="971" t="s">
        <v>2073</v>
      </c>
      <c r="L39" s="558"/>
      <c r="M39" s="558"/>
    </row>
    <row r="40" spans="1:13" s="691" customFormat="1" ht="21.75" customHeight="1">
      <c r="A40" s="692" t="s">
        <v>2061</v>
      </c>
      <c r="B40" s="688"/>
      <c r="C40" s="1160">
        <v>0</v>
      </c>
      <c r="D40" s="975">
        <v>80428</v>
      </c>
      <c r="E40" s="975"/>
      <c r="F40" s="975"/>
      <c r="G40" s="975"/>
      <c r="H40" s="975"/>
      <c r="I40" s="976"/>
      <c r="J40" s="977">
        <f t="shared" ref="J40:J50" si="9">SUM(C40:I40)</f>
        <v>80428</v>
      </c>
      <c r="K40" s="978">
        <v>3555</v>
      </c>
      <c r="L40" s="693"/>
      <c r="M40" s="693"/>
    </row>
    <row r="41" spans="1:13" s="691" customFormat="1" ht="21.75" customHeight="1">
      <c r="A41" s="692" t="s">
        <v>577</v>
      </c>
      <c r="B41" s="638"/>
      <c r="C41" s="1160">
        <v>108863861</v>
      </c>
      <c r="D41" s="975">
        <v>43716537</v>
      </c>
      <c r="E41" s="975"/>
      <c r="F41" s="975"/>
      <c r="G41" s="975"/>
      <c r="H41" s="975"/>
      <c r="I41" s="976"/>
      <c r="J41" s="977">
        <f t="shared" si="9"/>
        <v>152580398</v>
      </c>
      <c r="K41" s="978">
        <v>345892</v>
      </c>
      <c r="L41" s="693"/>
      <c r="M41" s="693"/>
    </row>
    <row r="42" spans="1:13" s="691" customFormat="1" ht="21.75" customHeight="1">
      <c r="A42" s="692" t="s">
        <v>2030</v>
      </c>
      <c r="B42" s="638"/>
      <c r="C42" s="1160">
        <v>0</v>
      </c>
      <c r="D42" s="975">
        <v>0</v>
      </c>
      <c r="E42" s="975">
        <v>9009</v>
      </c>
      <c r="F42" s="975"/>
      <c r="G42" s="975"/>
      <c r="H42" s="975"/>
      <c r="I42" s="976"/>
      <c r="J42" s="977">
        <f t="shared" si="9"/>
        <v>9009</v>
      </c>
      <c r="K42" s="978">
        <v>306612</v>
      </c>
      <c r="L42" s="693"/>
      <c r="M42" s="693"/>
    </row>
    <row r="43" spans="1:13" s="691" customFormat="1" ht="21.75" customHeight="1">
      <c r="A43" s="692" t="s">
        <v>1752</v>
      </c>
      <c r="B43" s="638"/>
      <c r="C43" s="1160">
        <v>5487761</v>
      </c>
      <c r="D43" s="975">
        <v>3478890</v>
      </c>
      <c r="E43" s="975"/>
      <c r="F43" s="975">
        <v>3555</v>
      </c>
      <c r="G43" s="975"/>
      <c r="H43" s="975"/>
      <c r="I43" s="976"/>
      <c r="J43" s="977">
        <f t="shared" si="9"/>
        <v>8970206</v>
      </c>
      <c r="K43" s="978">
        <v>263550</v>
      </c>
      <c r="L43" s="693"/>
      <c r="M43" s="693"/>
    </row>
    <row r="44" spans="1:13" s="691" customFormat="1" ht="21.75" customHeight="1">
      <c r="A44" s="692" t="s">
        <v>563</v>
      </c>
      <c r="B44" s="638"/>
      <c r="C44" s="1160">
        <v>40358060</v>
      </c>
      <c r="D44" s="975">
        <v>0</v>
      </c>
      <c r="E44" s="975"/>
      <c r="F44" s="975"/>
      <c r="G44" s="975"/>
      <c r="H44" s="975"/>
      <c r="I44" s="976"/>
      <c r="J44" s="977">
        <f t="shared" si="9"/>
        <v>40358060</v>
      </c>
      <c r="K44" s="978"/>
      <c r="L44" s="693"/>
      <c r="M44" s="693"/>
    </row>
    <row r="45" spans="1:13" s="691" customFormat="1" ht="21.75" customHeight="1">
      <c r="A45" s="692" t="s">
        <v>1263</v>
      </c>
      <c r="B45" s="638"/>
      <c r="C45" s="1160">
        <v>755945</v>
      </c>
      <c r="D45" s="975">
        <v>142038</v>
      </c>
      <c r="E45" s="975"/>
      <c r="F45" s="975"/>
      <c r="G45" s="975"/>
      <c r="H45" s="975"/>
      <c r="I45" s="976"/>
      <c r="J45" s="977">
        <f t="shared" si="9"/>
        <v>897983</v>
      </c>
      <c r="K45" s="978">
        <v>263550</v>
      </c>
      <c r="L45" s="693"/>
      <c r="M45" s="693"/>
    </row>
    <row r="46" spans="1:13" s="691" customFormat="1" ht="21.75" customHeight="1">
      <c r="A46" s="692" t="s">
        <v>2091</v>
      </c>
      <c r="B46" s="638"/>
      <c r="C46" s="1160">
        <v>115718</v>
      </c>
      <c r="D46" s="975">
        <v>0</v>
      </c>
      <c r="E46" s="975"/>
      <c r="F46" s="975"/>
      <c r="G46" s="975"/>
      <c r="H46" s="975"/>
      <c r="I46" s="976"/>
      <c r="J46" s="977">
        <f t="shared" si="9"/>
        <v>115718</v>
      </c>
      <c r="K46" s="978"/>
      <c r="L46" s="693"/>
      <c r="M46" s="693"/>
    </row>
    <row r="47" spans="1:13" s="691" customFormat="1" ht="21.75" customHeight="1">
      <c r="A47" s="692" t="s">
        <v>2092</v>
      </c>
      <c r="B47" s="638"/>
      <c r="C47" s="1160">
        <v>291466</v>
      </c>
      <c r="D47" s="975">
        <v>0</v>
      </c>
      <c r="E47" s="975"/>
      <c r="F47" s="975"/>
      <c r="G47" s="975"/>
      <c r="H47" s="975"/>
      <c r="I47" s="976"/>
      <c r="J47" s="977">
        <f t="shared" si="9"/>
        <v>291466</v>
      </c>
      <c r="K47" s="978"/>
      <c r="L47" s="693"/>
      <c r="M47" s="693"/>
    </row>
    <row r="48" spans="1:13" s="691" customFormat="1" ht="21.75" customHeight="1">
      <c r="A48" s="692" t="s">
        <v>881</v>
      </c>
      <c r="B48" s="638"/>
      <c r="C48" s="1160">
        <v>7183640</v>
      </c>
      <c r="D48" s="975">
        <v>8419196</v>
      </c>
      <c r="E48" s="975">
        <v>3651223</v>
      </c>
      <c r="F48" s="975"/>
      <c r="G48" s="975"/>
      <c r="H48" s="975"/>
      <c r="I48" s="976"/>
      <c r="J48" s="977">
        <f t="shared" si="9"/>
        <v>19254059</v>
      </c>
      <c r="K48" s="978"/>
      <c r="L48" s="693"/>
      <c r="M48" s="693"/>
    </row>
    <row r="49" spans="1:13" s="691" customFormat="1" ht="21.75" customHeight="1">
      <c r="A49" s="692" t="s">
        <v>2093</v>
      </c>
      <c r="B49" s="638"/>
      <c r="C49" s="1160">
        <v>82950</v>
      </c>
      <c r="D49" s="975">
        <v>0</v>
      </c>
      <c r="E49" s="975"/>
      <c r="F49" s="975"/>
      <c r="G49" s="975"/>
      <c r="H49" s="975"/>
      <c r="I49" s="976"/>
      <c r="J49" s="977">
        <f t="shared" si="9"/>
        <v>82950</v>
      </c>
      <c r="K49" s="978"/>
      <c r="L49" s="693"/>
      <c r="M49" s="693"/>
    </row>
    <row r="50" spans="1:13" s="691" customFormat="1" ht="21.75" customHeight="1">
      <c r="A50" s="692" t="s">
        <v>1240</v>
      </c>
      <c r="B50" s="638"/>
      <c r="C50" s="1160">
        <v>56700</v>
      </c>
      <c r="D50" s="975"/>
      <c r="E50" s="975"/>
      <c r="F50" s="975"/>
      <c r="G50" s="975"/>
      <c r="H50" s="975"/>
      <c r="I50" s="976"/>
      <c r="J50" s="977">
        <f t="shared" si="9"/>
        <v>56700</v>
      </c>
      <c r="K50" s="978"/>
      <c r="L50" s="541"/>
      <c r="M50" s="693"/>
    </row>
    <row r="51" spans="1:13" ht="21.75" customHeight="1" thickBot="1">
      <c r="A51" s="692" t="s">
        <v>1251</v>
      </c>
      <c r="C51" s="979">
        <f t="shared" ref="C51:J51" si="10">SUM(C40:C50)</f>
        <v>163196101</v>
      </c>
      <c r="D51" s="979">
        <f t="shared" si="10"/>
        <v>55837089</v>
      </c>
      <c r="E51" s="979">
        <f t="shared" si="10"/>
        <v>3660232</v>
      </c>
      <c r="F51" s="979">
        <f t="shared" si="10"/>
        <v>3555</v>
      </c>
      <c r="G51" s="979">
        <f t="shared" si="10"/>
        <v>0</v>
      </c>
      <c r="H51" s="979">
        <f t="shared" si="10"/>
        <v>0</v>
      </c>
      <c r="I51" s="979">
        <f t="shared" si="10"/>
        <v>0</v>
      </c>
      <c r="J51" s="979">
        <f t="shared" si="10"/>
        <v>222696977</v>
      </c>
      <c r="K51" s="980">
        <f t="shared" ref="K51" si="11">SUM(K40:K50)</f>
        <v>1183159</v>
      </c>
      <c r="L51" s="541"/>
    </row>
    <row r="52" spans="1:13" ht="21.75" customHeight="1" thickTop="1">
      <c r="A52" s="692"/>
      <c r="C52" s="981"/>
      <c r="D52" s="180"/>
      <c r="E52" s="180"/>
      <c r="F52" s="180"/>
      <c r="G52" s="180"/>
      <c r="H52" s="180"/>
      <c r="I52" s="982" t="s">
        <v>2102</v>
      </c>
      <c r="J52" s="983">
        <v>-1062429</v>
      </c>
      <c r="K52" s="981"/>
      <c r="L52" s="541"/>
    </row>
    <row r="53" spans="1:13" ht="21.75" customHeight="1">
      <c r="A53" s="694"/>
      <c r="C53" s="981"/>
      <c r="D53" s="180"/>
      <c r="E53" s="180"/>
      <c r="F53" s="180"/>
      <c r="G53" s="180"/>
      <c r="H53" s="180"/>
      <c r="I53" s="982" t="s">
        <v>2103</v>
      </c>
      <c r="J53" s="172">
        <v>1</v>
      </c>
      <c r="K53" s="981"/>
      <c r="L53" s="541"/>
    </row>
    <row r="54" spans="1:13" s="691" customFormat="1" ht="21.75" customHeight="1" thickBot="1">
      <c r="A54" s="694"/>
      <c r="B54" s="638"/>
      <c r="C54" s="981"/>
      <c r="D54" s="180"/>
      <c r="E54" s="180"/>
      <c r="F54" s="180"/>
      <c r="G54" s="180"/>
      <c r="H54" s="180"/>
      <c r="I54" s="982" t="s">
        <v>2104</v>
      </c>
      <c r="J54" s="984">
        <f>SUM(J51:J53)</f>
        <v>221634549</v>
      </c>
      <c r="K54" s="981"/>
      <c r="L54" s="541"/>
      <c r="M54" s="541"/>
    </row>
    <row r="55" spans="1:13" s="691" customFormat="1" ht="21.75" customHeight="1" thickTop="1">
      <c r="A55" s="1161"/>
      <c r="B55" s="638"/>
      <c r="C55" s="981"/>
      <c r="D55" s="981"/>
      <c r="E55" s="981"/>
      <c r="F55" s="981"/>
      <c r="G55" s="981"/>
      <c r="H55" s="981"/>
      <c r="I55" s="981"/>
      <c r="J55" s="981"/>
      <c r="K55" s="981"/>
      <c r="L55" s="541"/>
      <c r="M55" s="541"/>
    </row>
    <row r="56" spans="1:13" s="691" customFormat="1" ht="21.75" customHeight="1">
      <c r="A56" s="1161"/>
      <c r="B56" s="638"/>
      <c r="C56" s="981"/>
      <c r="D56" s="981"/>
      <c r="E56" s="981"/>
      <c r="F56" s="981"/>
      <c r="G56" s="981"/>
      <c r="H56" s="981"/>
      <c r="I56" s="981"/>
      <c r="J56" s="981"/>
      <c r="K56" s="981"/>
      <c r="L56" s="541"/>
      <c r="M56" s="541"/>
    </row>
    <row r="57" spans="1:13" s="691" customFormat="1" ht="21.75" customHeight="1">
      <c r="A57" s="1161"/>
      <c r="C57" s="180"/>
      <c r="D57" s="180"/>
      <c r="E57" s="180"/>
      <c r="F57" s="180"/>
      <c r="G57" s="180"/>
      <c r="H57" s="180"/>
      <c r="I57" s="180"/>
      <c r="J57" s="180"/>
      <c r="K57" s="981"/>
      <c r="L57" s="541"/>
      <c r="M57" s="541"/>
    </row>
    <row r="58" spans="1:13" ht="21.75" customHeight="1">
      <c r="A58" s="1162" t="s">
        <v>2105</v>
      </c>
      <c r="C58" s="985">
        <v>0</v>
      </c>
      <c r="D58" s="986">
        <v>0</v>
      </c>
      <c r="E58" s="986">
        <v>0</v>
      </c>
      <c r="F58" s="986">
        <v>0</v>
      </c>
      <c r="G58" s="986">
        <v>0.1</v>
      </c>
      <c r="H58" s="986">
        <v>0.25</v>
      </c>
      <c r="I58" s="986">
        <v>0.5</v>
      </c>
      <c r="J58" s="987"/>
      <c r="K58" s="981"/>
      <c r="L58" s="541"/>
    </row>
    <row r="59" spans="1:13" ht="21.75" customHeight="1">
      <c r="A59" s="1162" t="s">
        <v>2106</v>
      </c>
      <c r="C59" s="988">
        <f>C51*C58</f>
        <v>0</v>
      </c>
      <c r="D59" s="988">
        <f t="shared" ref="D59:I59" si="12">D51*D58</f>
        <v>0</v>
      </c>
      <c r="E59" s="988">
        <f t="shared" si="12"/>
        <v>0</v>
      </c>
      <c r="F59" s="988">
        <f t="shared" si="12"/>
        <v>0</v>
      </c>
      <c r="G59" s="988">
        <f t="shared" si="12"/>
        <v>0</v>
      </c>
      <c r="H59" s="988">
        <f t="shared" si="12"/>
        <v>0</v>
      </c>
      <c r="I59" s="988">
        <f t="shared" si="12"/>
        <v>0</v>
      </c>
      <c r="J59" s="989">
        <f>SUM(C59:I59)</f>
        <v>0</v>
      </c>
      <c r="K59" s="981"/>
    </row>
    <row r="60" spans="1:13" ht="21.75" customHeight="1">
      <c r="A60" s="1163" t="s">
        <v>2107</v>
      </c>
      <c r="C60" s="981"/>
      <c r="D60" s="981" t="s">
        <v>2111</v>
      </c>
      <c r="E60" s="180"/>
      <c r="F60" s="180"/>
      <c r="G60" s="981"/>
      <c r="H60" s="180"/>
      <c r="I60" s="180"/>
      <c r="J60" s="989">
        <v>0</v>
      </c>
      <c r="K60" s="981"/>
    </row>
    <row r="61" spans="1:13" ht="21.75" customHeight="1" thickBot="1">
      <c r="A61" s="1162" t="s">
        <v>2108</v>
      </c>
      <c r="C61" s="981"/>
      <c r="D61" s="981"/>
      <c r="E61" s="990"/>
      <c r="F61" s="180"/>
      <c r="G61" s="180"/>
      <c r="H61" s="180"/>
      <c r="I61" s="990"/>
      <c r="J61" s="1139">
        <f>J59-J60</f>
        <v>0</v>
      </c>
      <c r="K61" s="981"/>
    </row>
    <row r="62" spans="1:13" ht="21.75" customHeight="1" thickTop="1">
      <c r="A62" s="1161"/>
    </row>
    <row r="63" spans="1:13" ht="21.75" customHeight="1">
      <c r="A63" s="1161" t="s">
        <v>2109</v>
      </c>
    </row>
    <row r="64" spans="1:13" ht="21.75" customHeight="1">
      <c r="A64" s="1161" t="s">
        <v>2110</v>
      </c>
    </row>
  </sheetData>
  <phoneticPr fontId="54" type="noConversion"/>
  <printOptions horizontalCentered="1" gridLines="1"/>
  <pageMargins left="0.15748031496062992" right="0.15748031496062992" top="0.37" bottom="0.3" header="0.15" footer="0.14000000000000001"/>
  <pageSetup paperSize="9" scale="43" orientation="landscape" r:id="rId1"/>
  <headerFooter alignWithMargins="0">
    <oddHeader>&amp;R&amp;F--&amp;A</oddHeader>
    <oddFooter>&amp;RP.11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indexed="36"/>
    <pageSetUpPr fitToPage="1"/>
  </sheetPr>
  <dimension ref="A1:N14"/>
  <sheetViews>
    <sheetView zoomScale="80" zoomScaleNormal="80" workbookViewId="0">
      <pane xSplit="1" ySplit="3" topLeftCell="G4" activePane="bottomRight" state="frozen"/>
      <selection pane="topRight" activeCell="B1" sqref="B1"/>
      <selection pane="bottomLeft" activeCell="A4" sqref="A4"/>
      <selection pane="bottomRight" activeCell="O9" sqref="O9"/>
    </sheetView>
  </sheetViews>
  <sheetFormatPr baseColWidth="10" defaultColWidth="9.19921875" defaultRowHeight="18" outlineLevelCol="1"/>
  <cols>
    <col min="1" max="1" width="27.796875" style="605" bestFit="1" customWidth="1"/>
    <col min="2" max="9" width="17.796875" style="605" customWidth="1"/>
    <col min="10" max="13" width="17.796875" style="605" hidden="1" customWidth="1" outlineLevel="1"/>
    <col min="14" max="14" width="17.19921875" style="605" customWidth="1" collapsed="1"/>
    <col min="15" max="16" width="17.19921875" style="605" customWidth="1"/>
    <col min="17" max="16384" width="9.19921875" style="605"/>
  </cols>
  <sheetData>
    <row r="1" spans="1:13">
      <c r="A1" s="604" t="s">
        <v>1648</v>
      </c>
    </row>
    <row r="2" spans="1:13">
      <c r="A2" s="604"/>
      <c r="C2" s="606"/>
      <c r="D2" s="606"/>
      <c r="E2" s="606"/>
      <c r="F2" s="606"/>
      <c r="G2" s="606"/>
      <c r="H2" s="606"/>
      <c r="I2" s="606"/>
      <c r="J2" s="606"/>
      <c r="K2" s="606"/>
      <c r="L2" s="606"/>
      <c r="M2" s="606"/>
    </row>
    <row r="3" spans="1:13" ht="22.5" customHeight="1">
      <c r="A3" s="606" t="s">
        <v>1827</v>
      </c>
      <c r="B3" s="606" t="s">
        <v>1649</v>
      </c>
      <c r="C3" s="606" t="s">
        <v>1650</v>
      </c>
      <c r="D3" s="606" t="s">
        <v>1651</v>
      </c>
      <c r="E3" s="606" t="s">
        <v>1652</v>
      </c>
      <c r="F3" s="606" t="s">
        <v>1653</v>
      </c>
      <c r="G3" s="606" t="s">
        <v>1654</v>
      </c>
      <c r="H3" s="606" t="s">
        <v>1655</v>
      </c>
      <c r="I3" s="606" t="s">
        <v>1656</v>
      </c>
      <c r="J3" s="606" t="s">
        <v>1657</v>
      </c>
      <c r="K3" s="606" t="s">
        <v>1658</v>
      </c>
      <c r="L3" s="606" t="s">
        <v>1659</v>
      </c>
      <c r="M3" s="606" t="s">
        <v>1660</v>
      </c>
    </row>
    <row r="4" spans="1:13" ht="31.5" customHeight="1">
      <c r="A4" s="605" t="s">
        <v>1661</v>
      </c>
      <c r="B4" s="1097">
        <v>31.898579719878136</v>
      </c>
      <c r="C4" s="1098">
        <v>30.97721384287501</v>
      </c>
      <c r="D4" s="614">
        <v>30.78271483992658</v>
      </c>
      <c r="E4" s="608">
        <v>30.348298411013893</v>
      </c>
      <c r="F4" s="608">
        <v>30.106804301532822</v>
      </c>
      <c r="G4" s="608">
        <v>30.091425316820107</v>
      </c>
      <c r="H4" s="608">
        <v>30.395330040347723</v>
      </c>
      <c r="I4" s="608">
        <v>30.222519226602216</v>
      </c>
      <c r="J4" s="607"/>
      <c r="K4" s="607"/>
      <c r="L4" s="607"/>
      <c r="M4" s="607"/>
    </row>
    <row r="5" spans="1:13" ht="15.75" hidden="1" customHeight="1">
      <c r="A5" s="605" t="s">
        <v>1662</v>
      </c>
      <c r="J5" s="609"/>
      <c r="K5" s="609"/>
      <c r="L5" s="609"/>
      <c r="M5" s="609"/>
    </row>
    <row r="6" spans="1:13" ht="15.75" hidden="1" customHeight="1">
      <c r="A6" s="605" t="s">
        <v>1663</v>
      </c>
      <c r="J6" s="609"/>
      <c r="K6" s="609"/>
      <c r="L6" s="609"/>
      <c r="M6" s="609"/>
    </row>
    <row r="7" spans="1:13" ht="15.75" hidden="1" customHeight="1">
      <c r="A7" s="605" t="s">
        <v>1664</v>
      </c>
      <c r="J7" s="609"/>
      <c r="K7" s="609"/>
      <c r="L7" s="609"/>
      <c r="M7" s="609"/>
    </row>
    <row r="8" spans="1:13" ht="20.25" customHeight="1">
      <c r="J8" s="609"/>
      <c r="K8" s="609"/>
      <c r="L8" s="609"/>
      <c r="M8" s="609"/>
    </row>
    <row r="9" spans="1:13" ht="24" customHeight="1">
      <c r="A9" s="610" t="s">
        <v>1665</v>
      </c>
      <c r="J9" s="609"/>
      <c r="K9" s="609"/>
      <c r="L9" s="609"/>
      <c r="M9" s="609"/>
    </row>
    <row r="10" spans="1:13" ht="31.5" customHeight="1">
      <c r="A10" s="610" t="s">
        <v>1666</v>
      </c>
      <c r="B10" s="605">
        <f>製造費用明細!E44-IS明細!D39</f>
        <v>3126489</v>
      </c>
      <c r="C10" s="605">
        <f>製造費用明細!F44-IS明細!F39</f>
        <v>3444038</v>
      </c>
      <c r="D10" s="605">
        <f>製造費用明細!G44-IS明細!H39</f>
        <v>3187980</v>
      </c>
      <c r="E10" s="605">
        <f>製造費用明細!H44-IS明細!J39</f>
        <v>3361489</v>
      </c>
      <c r="F10" s="605">
        <f>製造費用明細!I44-IS明細!L39</f>
        <v>2893233</v>
      </c>
      <c r="G10" s="605">
        <f>製造費用明細!J44-IS明細!N39</f>
        <v>3087333</v>
      </c>
      <c r="H10" s="605">
        <f>製造費用明細!K44-IS明細!P39</f>
        <v>3051936</v>
      </c>
      <c r="I10" s="605">
        <f>製造費用明細!L44-IS明細!R39</f>
        <v>3692795</v>
      </c>
      <c r="J10" s="605">
        <f>製造費用明細!M44-IS明細!T39</f>
        <v>0</v>
      </c>
      <c r="K10" s="611">
        <f>製造費用明細!N44-IS明細!V39</f>
        <v>0</v>
      </c>
      <c r="L10" s="611">
        <f>製造費用明細!O44-IS明細!X39</f>
        <v>0</v>
      </c>
      <c r="M10" s="611">
        <f>製造費用明細!P44-IS明細!Z39</f>
        <v>0</v>
      </c>
    </row>
    <row r="11" spans="1:13" ht="31.5" customHeight="1">
      <c r="A11" s="610" t="s">
        <v>1667</v>
      </c>
      <c r="B11" s="554">
        <f>-IS明細!D76</f>
        <v>0</v>
      </c>
      <c r="C11" s="554">
        <f>-IS明細!F76</f>
        <v>0</v>
      </c>
      <c r="D11" s="554">
        <f>-IS明細!H76</f>
        <v>0</v>
      </c>
      <c r="E11" s="554">
        <f>-IS明細!J76</f>
        <v>0</v>
      </c>
      <c r="F11" s="554">
        <f>-IS明細!L76</f>
        <v>0</v>
      </c>
      <c r="G11" s="554">
        <f>-IS明細!N76</f>
        <v>0</v>
      </c>
      <c r="H11" s="554">
        <f>-IS明細!P76</f>
        <v>0</v>
      </c>
      <c r="I11" s="554">
        <f>-IS明細!R76</f>
        <v>0</v>
      </c>
      <c r="J11" s="554">
        <f>-IS明細!R76</f>
        <v>0</v>
      </c>
      <c r="K11" s="611">
        <f>-IS明細!V76</f>
        <v>0</v>
      </c>
      <c r="L11" s="611">
        <f>-IS明細!X76</f>
        <v>0</v>
      </c>
      <c r="M11" s="611">
        <f>-IS明細!Z76</f>
        <v>0</v>
      </c>
    </row>
    <row r="12" spans="1:13" ht="31.5" customHeight="1">
      <c r="A12" s="605" t="s">
        <v>1668</v>
      </c>
      <c r="B12" s="612">
        <f t="shared" ref="B12:M12" si="0">SUM(B9:B11)</f>
        <v>3126489</v>
      </c>
      <c r="C12" s="612">
        <f t="shared" si="0"/>
        <v>3444038</v>
      </c>
      <c r="D12" s="612">
        <f t="shared" si="0"/>
        <v>3187980</v>
      </c>
      <c r="E12" s="612">
        <f t="shared" si="0"/>
        <v>3361489</v>
      </c>
      <c r="F12" s="612">
        <f t="shared" si="0"/>
        <v>2893233</v>
      </c>
      <c r="G12" s="612">
        <f t="shared" si="0"/>
        <v>3087333</v>
      </c>
      <c r="H12" s="612">
        <f t="shared" si="0"/>
        <v>3051936</v>
      </c>
      <c r="I12" s="612">
        <f t="shared" si="0"/>
        <v>3692795</v>
      </c>
      <c r="J12" s="612">
        <f t="shared" si="0"/>
        <v>0</v>
      </c>
      <c r="K12" s="613">
        <f t="shared" si="0"/>
        <v>0</v>
      </c>
      <c r="L12" s="613">
        <f t="shared" si="0"/>
        <v>0</v>
      </c>
      <c r="M12" s="613">
        <f t="shared" si="0"/>
        <v>0</v>
      </c>
    </row>
    <row r="13" spans="1:13" ht="31.5" customHeight="1">
      <c r="A13" s="605" t="s">
        <v>1669</v>
      </c>
      <c r="B13" s="617">
        <v>724926.4</v>
      </c>
      <c r="C13" s="614">
        <v>536634.72</v>
      </c>
      <c r="D13" s="614">
        <v>670096.69999999995</v>
      </c>
      <c r="E13" s="614">
        <v>756239.3</v>
      </c>
      <c r="F13" s="614">
        <v>538332.73</v>
      </c>
      <c r="G13" s="615">
        <v>926502.77</v>
      </c>
      <c r="H13" s="616">
        <v>1027198.3999999999</v>
      </c>
      <c r="I13" s="615">
        <v>969336.3666666667</v>
      </c>
      <c r="J13" s="615"/>
      <c r="K13" s="617"/>
      <c r="L13" s="611"/>
      <c r="M13" s="611"/>
    </row>
    <row r="14" spans="1:13" ht="31.5" customHeight="1">
      <c r="A14" s="605" t="s">
        <v>1670</v>
      </c>
      <c r="B14" s="618">
        <f t="shared" ref="B14:M14" si="1">B12/B13</f>
        <v>4.3128364479483707</v>
      </c>
      <c r="C14" s="618">
        <f t="shared" si="1"/>
        <v>6.4178441529090779</v>
      </c>
      <c r="D14" s="618">
        <f t="shared" si="1"/>
        <v>4.7574924634011779</v>
      </c>
      <c r="E14" s="618">
        <f t="shared" si="1"/>
        <v>4.4450070235704491</v>
      </c>
      <c r="F14" s="618">
        <f t="shared" si="1"/>
        <v>5.3744326487449499</v>
      </c>
      <c r="G14" s="618">
        <f t="shared" si="1"/>
        <v>3.3322436801780957</v>
      </c>
      <c r="H14" s="618">
        <f t="shared" si="1"/>
        <v>2.9711261232494133</v>
      </c>
      <c r="I14" s="618">
        <f t="shared" si="1"/>
        <v>3.809611531133104</v>
      </c>
      <c r="J14" s="618" t="e">
        <f t="shared" si="1"/>
        <v>#DIV/0!</v>
      </c>
      <c r="K14" s="619" t="e">
        <f t="shared" si="1"/>
        <v>#DIV/0!</v>
      </c>
      <c r="L14" s="619" t="e">
        <f t="shared" si="1"/>
        <v>#DIV/0!</v>
      </c>
      <c r="M14" s="619" t="e">
        <f t="shared" si="1"/>
        <v>#DIV/0!</v>
      </c>
    </row>
  </sheetData>
  <phoneticPr fontId="40" type="noConversion"/>
  <pageMargins left="0.28999999999999998" right="0.16" top="1" bottom="1" header="0.5" footer="0.5"/>
  <pageSetup paperSize="9" orientation="landscape" r:id="rId1"/>
  <headerFooter alignWithMargins="0">
    <oddHeader>&amp;R&amp;F--&amp;A</oddHead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6">
    <tabColor indexed="48"/>
  </sheetPr>
  <dimension ref="A1:X560"/>
  <sheetViews>
    <sheetView zoomScale="124" zoomScaleNormal="124" workbookViewId="0">
      <selection activeCell="D4" sqref="D4"/>
    </sheetView>
  </sheetViews>
  <sheetFormatPr baseColWidth="10" defaultColWidth="9.19921875" defaultRowHeight="15" customHeight="1"/>
  <cols>
    <col min="1" max="1" width="4.796875" style="403" bestFit="1" customWidth="1"/>
    <col min="2" max="2" width="11.59765625" style="403" bestFit="1" customWidth="1"/>
    <col min="3" max="3" width="38.796875" style="403" customWidth="1"/>
    <col min="4" max="4" width="16.796875" style="403" customWidth="1"/>
    <col min="5" max="5" width="15.3984375" style="403" customWidth="1"/>
    <col min="6" max="6" width="8.3984375" style="404" bestFit="1" customWidth="1"/>
    <col min="7" max="7" width="2.3984375" style="404" customWidth="1"/>
    <col min="8" max="8" width="5.19921875" style="403" customWidth="1"/>
    <col min="9" max="9" width="11.59765625" style="403" bestFit="1" customWidth="1"/>
    <col min="10" max="10" width="25.19921875" style="403" customWidth="1"/>
    <col min="11" max="11" width="15.19921875" style="403" customWidth="1"/>
    <col min="12" max="12" width="13.3984375" style="403" customWidth="1"/>
    <col min="13" max="13" width="13.3984375" style="404" bestFit="1" customWidth="1"/>
    <col min="14" max="14" width="10.19921875" style="404" customWidth="1"/>
    <col min="15" max="16" width="10.19921875" style="403" customWidth="1"/>
    <col min="17" max="17" width="10.59765625" style="403" customWidth="1"/>
    <col min="18" max="18" width="9.19921875" style="403"/>
    <col min="19" max="19" width="10.19921875" style="403" customWidth="1"/>
    <col min="20" max="21" width="12.796875" style="403" bestFit="1" customWidth="1"/>
    <col min="22" max="22" width="10.19921875" style="403" customWidth="1"/>
    <col min="23" max="16384" width="9.19921875" style="403"/>
  </cols>
  <sheetData>
    <row r="1" spans="1:24" ht="18.75" customHeight="1">
      <c r="A1" s="1209" t="s">
        <v>2114</v>
      </c>
      <c r="B1" s="1209"/>
      <c r="C1" s="1209"/>
      <c r="D1" s="1209" t="s">
        <v>1152</v>
      </c>
      <c r="E1" s="1209"/>
      <c r="F1" s="1209"/>
      <c r="H1" s="1210" t="str">
        <f>A1</f>
        <v>2017 August</v>
      </c>
      <c r="I1" s="1210"/>
      <c r="J1" s="1210"/>
      <c r="K1" s="1210" t="s">
        <v>1153</v>
      </c>
      <c r="L1" s="1210"/>
      <c r="M1" s="1210"/>
    </row>
    <row r="2" spans="1:24" ht="15.75" customHeight="1">
      <c r="A2" s="557" t="s">
        <v>512</v>
      </c>
      <c r="B2" s="557" t="s">
        <v>438</v>
      </c>
      <c r="C2" s="557" t="s">
        <v>439</v>
      </c>
      <c r="D2" s="524" t="s">
        <v>1631</v>
      </c>
      <c r="E2" s="596" t="s">
        <v>1632</v>
      </c>
      <c r="F2" s="524" t="s">
        <v>1633</v>
      </c>
      <c r="H2" s="557" t="s">
        <v>512</v>
      </c>
      <c r="I2" s="557" t="s">
        <v>438</v>
      </c>
      <c r="J2" s="557" t="s">
        <v>439</v>
      </c>
      <c r="K2" s="524" t="s">
        <v>1631</v>
      </c>
      <c r="L2" s="596" t="s">
        <v>1632</v>
      </c>
      <c r="M2" s="524" t="s">
        <v>1633</v>
      </c>
    </row>
    <row r="3" spans="1:24" ht="18.75" customHeight="1">
      <c r="A3" s="542">
        <v>1</v>
      </c>
      <c r="B3" s="391" t="s">
        <v>549</v>
      </c>
      <c r="C3" s="391" t="s">
        <v>563</v>
      </c>
      <c r="D3" s="560">
        <v>64105578</v>
      </c>
      <c r="E3" s="560">
        <v>7934926</v>
      </c>
      <c r="F3" s="597">
        <f>E3/D3*100</f>
        <v>12.377902590629477</v>
      </c>
      <c r="H3" s="598">
        <v>20</v>
      </c>
      <c r="I3" s="391" t="s">
        <v>2115</v>
      </c>
      <c r="J3" s="391" t="s">
        <v>2116</v>
      </c>
      <c r="K3" s="560">
        <v>20492</v>
      </c>
      <c r="L3" s="560">
        <v>-1458</v>
      </c>
      <c r="M3" s="561">
        <f>L3/K3*100</f>
        <v>-7.1149716962717156</v>
      </c>
    </row>
    <row r="4" spans="1:24" ht="18.75" customHeight="1">
      <c r="A4" s="542">
        <v>3</v>
      </c>
      <c r="B4" s="391" t="s">
        <v>2062</v>
      </c>
      <c r="C4" s="391" t="s">
        <v>1752</v>
      </c>
      <c r="D4" s="560">
        <v>5487761</v>
      </c>
      <c r="E4" s="560">
        <v>1303295</v>
      </c>
      <c r="F4" s="597">
        <f t="shared" ref="F4:F12" si="0">E4/D4*100</f>
        <v>23.749120998527452</v>
      </c>
      <c r="H4" s="598">
        <v>22</v>
      </c>
      <c r="I4" s="391" t="s">
        <v>2117</v>
      </c>
      <c r="J4" s="391" t="s">
        <v>2118</v>
      </c>
      <c r="K4" s="560">
        <v>2570</v>
      </c>
      <c r="L4" s="560">
        <v>1090</v>
      </c>
      <c r="M4" s="561">
        <f>-L4/K4*100</f>
        <v>-42.412451361867703</v>
      </c>
      <c r="O4" s="567"/>
      <c r="P4" s="567"/>
      <c r="Q4" s="567"/>
      <c r="R4" s="599"/>
      <c r="S4" s="567"/>
      <c r="T4" s="567"/>
      <c r="U4" s="567"/>
      <c r="V4" s="567"/>
      <c r="W4" s="567"/>
      <c r="X4" s="567"/>
    </row>
    <row r="5" spans="1:24" ht="18.75" customHeight="1">
      <c r="A5" s="542">
        <v>2</v>
      </c>
      <c r="B5" s="391" t="s">
        <v>880</v>
      </c>
      <c r="C5" s="391" t="s">
        <v>881</v>
      </c>
      <c r="D5" s="560">
        <v>6841562</v>
      </c>
      <c r="E5" s="560">
        <v>565548</v>
      </c>
      <c r="F5" s="597">
        <f t="shared" si="0"/>
        <v>8.2663578872777883</v>
      </c>
      <c r="H5" s="598">
        <v>19</v>
      </c>
      <c r="I5" s="391" t="s">
        <v>2119</v>
      </c>
      <c r="J5" s="391" t="s">
        <v>2120</v>
      </c>
      <c r="K5" s="560">
        <v>22956</v>
      </c>
      <c r="L5" s="560">
        <v>2292</v>
      </c>
      <c r="M5" s="561">
        <f>L5/K5*100</f>
        <v>9.9843178254051228</v>
      </c>
    </row>
    <row r="6" spans="1:24" s="404" customFormat="1" ht="18.75" customHeight="1">
      <c r="A6" s="542">
        <v>4</v>
      </c>
      <c r="B6" s="391" t="s">
        <v>2131</v>
      </c>
      <c r="C6" s="391" t="s">
        <v>2132</v>
      </c>
      <c r="D6" s="560">
        <v>1390810</v>
      </c>
      <c r="E6" s="560">
        <v>334555</v>
      </c>
      <c r="F6" s="597">
        <f t="shared" si="0"/>
        <v>24.054687556172301</v>
      </c>
      <c r="H6" s="598">
        <v>21</v>
      </c>
      <c r="I6" s="391" t="s">
        <v>2121</v>
      </c>
      <c r="J6" s="391" t="s">
        <v>2122</v>
      </c>
      <c r="K6" s="560">
        <v>20341</v>
      </c>
      <c r="L6" s="560">
        <v>3991</v>
      </c>
      <c r="M6" s="561">
        <f>L6/K6*100</f>
        <v>19.620470969962145</v>
      </c>
    </row>
    <row r="7" spans="1:24" ht="18.75" customHeight="1">
      <c r="A7" s="542">
        <v>5</v>
      </c>
      <c r="B7" s="391" t="s">
        <v>1271</v>
      </c>
      <c r="C7" s="391" t="s">
        <v>1263</v>
      </c>
      <c r="D7" s="560">
        <v>755945</v>
      </c>
      <c r="E7" s="560">
        <v>193241</v>
      </c>
      <c r="F7" s="597">
        <f t="shared" si="0"/>
        <v>25.562838566297813</v>
      </c>
      <c r="H7" s="598">
        <v>18</v>
      </c>
      <c r="I7" s="391" t="s">
        <v>2123</v>
      </c>
      <c r="J7" s="391" t="s">
        <v>2124</v>
      </c>
      <c r="K7" s="560">
        <v>26093</v>
      </c>
      <c r="L7" s="560">
        <v>4321</v>
      </c>
      <c r="M7" s="561">
        <f>L7/K7*100</f>
        <v>16.559996934043614</v>
      </c>
    </row>
    <row r="8" spans="1:24" s="404" customFormat="1" ht="18.75" customHeight="1">
      <c r="A8" s="542">
        <v>7</v>
      </c>
      <c r="B8" s="391" t="s">
        <v>2133</v>
      </c>
      <c r="C8" s="391" t="s">
        <v>2057</v>
      </c>
      <c r="D8" s="560">
        <v>575657</v>
      </c>
      <c r="E8" s="560">
        <v>192215</v>
      </c>
      <c r="F8" s="597">
        <f t="shared" si="0"/>
        <v>33.390543327015912</v>
      </c>
      <c r="H8" s="598">
        <v>9</v>
      </c>
      <c r="I8" s="391" t="s">
        <v>2125</v>
      </c>
      <c r="J8" s="391" t="s">
        <v>2126</v>
      </c>
      <c r="K8" s="560">
        <v>315664</v>
      </c>
      <c r="L8" s="560">
        <v>11843</v>
      </c>
      <c r="M8" s="561">
        <f t="shared" ref="M8:M12" si="1">L8/K8*100</f>
        <v>3.7517740382178517</v>
      </c>
    </row>
    <row r="9" spans="1:24" s="404" customFormat="1" ht="18.75" customHeight="1">
      <c r="A9" s="542">
        <v>8</v>
      </c>
      <c r="B9" s="391" t="s">
        <v>2134</v>
      </c>
      <c r="C9" s="391" t="s">
        <v>2135</v>
      </c>
      <c r="D9" s="560">
        <v>414159</v>
      </c>
      <c r="E9" s="560">
        <v>137939</v>
      </c>
      <c r="F9" s="597">
        <f t="shared" si="0"/>
        <v>33.305807672898574</v>
      </c>
      <c r="H9" s="598">
        <v>17</v>
      </c>
      <c r="I9" s="391" t="s">
        <v>2031</v>
      </c>
      <c r="J9" s="391" t="s">
        <v>1240</v>
      </c>
      <c r="K9" s="560">
        <v>54000</v>
      </c>
      <c r="L9" s="560">
        <v>11852</v>
      </c>
      <c r="M9" s="561">
        <f t="shared" si="1"/>
        <v>21.948148148148146</v>
      </c>
    </row>
    <row r="10" spans="1:24" ht="18.75" customHeight="1">
      <c r="A10" s="542">
        <v>10</v>
      </c>
      <c r="B10" s="391" t="s">
        <v>2136</v>
      </c>
      <c r="C10" s="391" t="s">
        <v>2092</v>
      </c>
      <c r="D10" s="560">
        <v>291466</v>
      </c>
      <c r="E10" s="560">
        <v>110748</v>
      </c>
      <c r="F10" s="597">
        <f t="shared" si="0"/>
        <v>37.99688471382597</v>
      </c>
      <c r="H10" s="598">
        <v>16</v>
      </c>
      <c r="I10" s="542" t="s">
        <v>2127</v>
      </c>
      <c r="J10" s="542" t="s">
        <v>2093</v>
      </c>
      <c r="K10" s="600">
        <v>79000</v>
      </c>
      <c r="L10" s="600">
        <v>12505</v>
      </c>
      <c r="M10" s="561">
        <f t="shared" si="1"/>
        <v>15.829113924050633</v>
      </c>
    </row>
    <row r="11" spans="1:24" ht="18.75" customHeight="1">
      <c r="A11" s="542">
        <v>6</v>
      </c>
      <c r="B11" s="391" t="s">
        <v>2001</v>
      </c>
      <c r="C11" s="391" t="s">
        <v>2002</v>
      </c>
      <c r="D11" s="560">
        <v>693105</v>
      </c>
      <c r="E11" s="560">
        <v>83103</v>
      </c>
      <c r="F11" s="597">
        <f t="shared" si="0"/>
        <v>11.989958231436795</v>
      </c>
      <c r="H11" s="598">
        <v>14</v>
      </c>
      <c r="I11" s="542" t="s">
        <v>2128</v>
      </c>
      <c r="J11" s="542" t="s">
        <v>2129</v>
      </c>
      <c r="K11" s="600">
        <v>185794</v>
      </c>
      <c r="L11" s="600">
        <v>50079</v>
      </c>
      <c r="M11" s="561">
        <f t="shared" si="1"/>
        <v>26.954045878768962</v>
      </c>
    </row>
    <row r="12" spans="1:24" ht="18.75" customHeight="1">
      <c r="A12" s="542">
        <v>11</v>
      </c>
      <c r="B12" s="391" t="s">
        <v>2137</v>
      </c>
      <c r="C12" s="391" t="s">
        <v>2138</v>
      </c>
      <c r="D12" s="560">
        <v>282697</v>
      </c>
      <c r="E12" s="560">
        <v>73440</v>
      </c>
      <c r="F12" s="597">
        <f t="shared" si="0"/>
        <v>25.978344305033303</v>
      </c>
      <c r="H12" s="598">
        <v>15</v>
      </c>
      <c r="I12" s="404" t="s">
        <v>2130</v>
      </c>
      <c r="J12" s="404" t="s">
        <v>2091</v>
      </c>
      <c r="K12" s="601">
        <v>115718</v>
      </c>
      <c r="L12" s="600">
        <v>53313</v>
      </c>
      <c r="M12" s="561">
        <f t="shared" si="1"/>
        <v>46.071484125200918</v>
      </c>
    </row>
    <row r="13" spans="1:24" ht="15" customHeight="1">
      <c r="B13" s="542"/>
      <c r="D13" s="594"/>
      <c r="E13" s="594"/>
    </row>
    <row r="14" spans="1:24" ht="15" customHeight="1">
      <c r="D14" s="594"/>
      <c r="E14" s="594"/>
    </row>
    <row r="15" spans="1:24" ht="15" customHeight="1">
      <c r="D15" s="594"/>
      <c r="E15" s="594"/>
    </row>
    <row r="16" spans="1:24" ht="20.25" customHeight="1">
      <c r="A16" s="1209" t="str">
        <f>A1</f>
        <v>2017 August</v>
      </c>
      <c r="B16" s="1209"/>
      <c r="C16" s="1209"/>
      <c r="D16" s="1209" t="s">
        <v>1646</v>
      </c>
      <c r="E16" s="1209"/>
      <c r="F16" s="1209"/>
      <c r="H16" s="1210" t="str">
        <f>A1</f>
        <v>2017 August</v>
      </c>
      <c r="I16" s="1210"/>
      <c r="J16" s="1210"/>
      <c r="K16" s="1210" t="s">
        <v>1647</v>
      </c>
      <c r="L16" s="1210"/>
      <c r="M16" s="1210"/>
    </row>
    <row r="17" spans="1:24" ht="20.25" customHeight="1">
      <c r="A17" s="557" t="s">
        <v>512</v>
      </c>
      <c r="B17" s="557" t="s">
        <v>438</v>
      </c>
      <c r="C17" s="557" t="s">
        <v>439</v>
      </c>
      <c r="D17" s="524" t="s">
        <v>1631</v>
      </c>
      <c r="E17" s="524" t="s">
        <v>1632</v>
      </c>
      <c r="F17" s="596" t="s">
        <v>1633</v>
      </c>
      <c r="H17" s="557" t="s">
        <v>512</v>
      </c>
      <c r="I17" s="557" t="s">
        <v>438</v>
      </c>
      <c r="J17" s="557" t="s">
        <v>439</v>
      </c>
      <c r="K17" s="524" t="s">
        <v>1631</v>
      </c>
      <c r="L17" s="524" t="s">
        <v>1632</v>
      </c>
      <c r="M17" s="596" t="s">
        <v>1633</v>
      </c>
    </row>
    <row r="18" spans="1:24" ht="20.25" customHeight="1">
      <c r="A18" s="542">
        <v>15</v>
      </c>
      <c r="B18" s="391" t="s">
        <v>2130</v>
      </c>
      <c r="C18" s="391" t="s">
        <v>2091</v>
      </c>
      <c r="D18" s="560">
        <v>115718</v>
      </c>
      <c r="E18" s="560">
        <v>53313</v>
      </c>
      <c r="F18" s="561">
        <f t="shared" ref="F18:F26" si="2">E18/D18*100</f>
        <v>46.071484125200918</v>
      </c>
      <c r="H18" s="598">
        <v>20</v>
      </c>
      <c r="I18" s="391" t="s">
        <v>2115</v>
      </c>
      <c r="J18" s="391" t="s">
        <v>2116</v>
      </c>
      <c r="K18" s="560">
        <v>20492</v>
      </c>
      <c r="L18" s="560">
        <v>-1458</v>
      </c>
      <c r="M18" s="561">
        <f>L18/K18*100</f>
        <v>-7.1149716962717156</v>
      </c>
    </row>
    <row r="19" spans="1:24" ht="20.25" customHeight="1">
      <c r="A19" s="542">
        <v>22</v>
      </c>
      <c r="B19" s="391" t="s">
        <v>2117</v>
      </c>
      <c r="C19" s="391" t="s">
        <v>2118</v>
      </c>
      <c r="D19" s="560">
        <v>2570</v>
      </c>
      <c r="E19" s="560">
        <v>1090</v>
      </c>
      <c r="F19" s="561">
        <f t="shared" si="2"/>
        <v>42.412451361867703</v>
      </c>
      <c r="H19" s="598">
        <v>9</v>
      </c>
      <c r="I19" s="391" t="s">
        <v>2125</v>
      </c>
      <c r="J19" s="391" t="s">
        <v>2126</v>
      </c>
      <c r="K19" s="560">
        <v>315664</v>
      </c>
      <c r="L19" s="560">
        <v>11843</v>
      </c>
      <c r="M19" s="561">
        <f t="shared" ref="M19:M27" si="3">L19/K19*100</f>
        <v>3.7517740382178517</v>
      </c>
      <c r="O19" s="567"/>
      <c r="P19" s="567"/>
      <c r="Q19" s="567"/>
      <c r="R19" s="599"/>
      <c r="S19" s="567"/>
      <c r="T19" s="567"/>
      <c r="U19" s="567"/>
      <c r="V19" s="567"/>
      <c r="W19" s="567"/>
      <c r="X19" s="567"/>
    </row>
    <row r="20" spans="1:24" ht="20.25" customHeight="1">
      <c r="A20" s="542">
        <v>10</v>
      </c>
      <c r="B20" s="391" t="s">
        <v>2136</v>
      </c>
      <c r="C20" s="391" t="s">
        <v>2092</v>
      </c>
      <c r="D20" s="560">
        <v>291466</v>
      </c>
      <c r="E20" s="560">
        <v>110748</v>
      </c>
      <c r="F20" s="561">
        <f t="shared" si="2"/>
        <v>37.99688471382597</v>
      </c>
      <c r="H20" s="598">
        <v>2</v>
      </c>
      <c r="I20" s="391" t="s">
        <v>880</v>
      </c>
      <c r="J20" s="391" t="s">
        <v>881</v>
      </c>
      <c r="K20" s="560">
        <v>6841562</v>
      </c>
      <c r="L20" s="560">
        <v>565548</v>
      </c>
      <c r="M20" s="561">
        <f>-L20/K20*100</f>
        <v>-8.2663578872777883</v>
      </c>
    </row>
    <row r="21" spans="1:24" s="404" customFormat="1" ht="20.25" customHeight="1">
      <c r="A21" s="542">
        <v>7</v>
      </c>
      <c r="B21" s="391" t="s">
        <v>2133</v>
      </c>
      <c r="C21" s="391" t="s">
        <v>2057</v>
      </c>
      <c r="D21" s="560">
        <v>575657</v>
      </c>
      <c r="E21" s="560">
        <v>192215</v>
      </c>
      <c r="F21" s="561">
        <f t="shared" si="2"/>
        <v>33.390543327015912</v>
      </c>
      <c r="H21" s="598">
        <v>19</v>
      </c>
      <c r="I21" s="391" t="s">
        <v>2119</v>
      </c>
      <c r="J21" s="391" t="s">
        <v>2120</v>
      </c>
      <c r="K21" s="560">
        <v>22956</v>
      </c>
      <c r="L21" s="560">
        <v>2292</v>
      </c>
      <c r="M21" s="561">
        <f t="shared" si="3"/>
        <v>9.9843178254051228</v>
      </c>
    </row>
    <row r="22" spans="1:24" ht="20.25" customHeight="1">
      <c r="A22" s="542">
        <v>8</v>
      </c>
      <c r="B22" s="391" t="s">
        <v>2134</v>
      </c>
      <c r="C22" s="391" t="s">
        <v>2135</v>
      </c>
      <c r="D22" s="560">
        <v>414159</v>
      </c>
      <c r="E22" s="560">
        <v>137939</v>
      </c>
      <c r="F22" s="561">
        <f t="shared" si="2"/>
        <v>33.305807672898574</v>
      </c>
      <c r="H22" s="598">
        <v>6</v>
      </c>
      <c r="I22" s="391" t="s">
        <v>2001</v>
      </c>
      <c r="J22" s="391" t="s">
        <v>2002</v>
      </c>
      <c r="K22" s="560">
        <v>693105</v>
      </c>
      <c r="L22" s="560">
        <v>83103</v>
      </c>
      <c r="M22" s="561">
        <f t="shared" si="3"/>
        <v>11.989958231436795</v>
      </c>
    </row>
    <row r="23" spans="1:24" s="404" customFormat="1" ht="20.25" customHeight="1">
      <c r="A23" s="542">
        <v>13</v>
      </c>
      <c r="B23" s="391" t="s">
        <v>2139</v>
      </c>
      <c r="C23" s="391" t="s">
        <v>2140</v>
      </c>
      <c r="D23" s="560">
        <v>218328</v>
      </c>
      <c r="E23" s="560">
        <v>71105</v>
      </c>
      <c r="F23" s="561">
        <f t="shared" si="2"/>
        <v>32.567971126012239</v>
      </c>
      <c r="H23" s="598">
        <v>1</v>
      </c>
      <c r="I23" s="391" t="s">
        <v>549</v>
      </c>
      <c r="J23" s="391" t="s">
        <v>563</v>
      </c>
      <c r="K23" s="560">
        <v>64105578</v>
      </c>
      <c r="L23" s="560">
        <v>7934926</v>
      </c>
      <c r="M23" s="561">
        <f t="shared" si="3"/>
        <v>12.377902590629477</v>
      </c>
    </row>
    <row r="24" spans="1:24" s="404" customFormat="1" ht="20.25" customHeight="1">
      <c r="A24" s="542">
        <v>14</v>
      </c>
      <c r="B24" s="391" t="s">
        <v>2128</v>
      </c>
      <c r="C24" s="391" t="s">
        <v>2129</v>
      </c>
      <c r="D24" s="560">
        <v>185794</v>
      </c>
      <c r="E24" s="560">
        <v>50079</v>
      </c>
      <c r="F24" s="561">
        <f t="shared" si="2"/>
        <v>26.954045878768962</v>
      </c>
      <c r="H24" s="598">
        <v>16</v>
      </c>
      <c r="I24" s="542" t="s">
        <v>2127</v>
      </c>
      <c r="J24" s="542" t="s">
        <v>2093</v>
      </c>
      <c r="K24" s="560">
        <v>79000</v>
      </c>
      <c r="L24" s="560">
        <v>12505</v>
      </c>
      <c r="M24" s="561">
        <f t="shared" si="3"/>
        <v>15.829113924050633</v>
      </c>
    </row>
    <row r="25" spans="1:24" ht="20.25" customHeight="1">
      <c r="A25" s="542">
        <v>11</v>
      </c>
      <c r="B25" s="391" t="s">
        <v>2137</v>
      </c>
      <c r="C25" s="391" t="s">
        <v>2138</v>
      </c>
      <c r="D25" s="560">
        <v>282697</v>
      </c>
      <c r="E25" s="560">
        <v>73440</v>
      </c>
      <c r="F25" s="561">
        <f t="shared" si="2"/>
        <v>25.978344305033303</v>
      </c>
      <c r="H25" s="598">
        <v>18</v>
      </c>
      <c r="I25" s="542" t="s">
        <v>2123</v>
      </c>
      <c r="J25" s="542" t="s">
        <v>2124</v>
      </c>
      <c r="K25" s="600">
        <v>26093</v>
      </c>
      <c r="L25" s="600">
        <v>4321</v>
      </c>
      <c r="M25" s="561">
        <f t="shared" si="3"/>
        <v>16.559996934043614</v>
      </c>
    </row>
    <row r="26" spans="1:24" ht="20.25" customHeight="1">
      <c r="A26" s="542">
        <v>5</v>
      </c>
      <c r="B26" s="391" t="s">
        <v>1271</v>
      </c>
      <c r="C26" s="391" t="s">
        <v>1263</v>
      </c>
      <c r="D26" s="560">
        <v>755945</v>
      </c>
      <c r="E26" s="560">
        <v>193241</v>
      </c>
      <c r="F26" s="561">
        <f t="shared" si="2"/>
        <v>25.562838566297813</v>
      </c>
      <c r="H26" s="598">
        <v>21</v>
      </c>
      <c r="I26" s="542" t="s">
        <v>2121</v>
      </c>
      <c r="J26" s="542" t="s">
        <v>2122</v>
      </c>
      <c r="K26" s="600">
        <v>20341</v>
      </c>
      <c r="L26" s="600">
        <v>3991</v>
      </c>
      <c r="M26" s="561">
        <f t="shared" si="3"/>
        <v>19.620470969962145</v>
      </c>
    </row>
    <row r="27" spans="1:24" ht="20.25" customHeight="1">
      <c r="A27" s="542">
        <v>4</v>
      </c>
      <c r="B27" s="391" t="s">
        <v>2131</v>
      </c>
      <c r="C27" s="391" t="s">
        <v>2132</v>
      </c>
      <c r="D27" s="560">
        <v>1390810</v>
      </c>
      <c r="E27" s="560">
        <v>334555</v>
      </c>
      <c r="F27" s="561">
        <f>E27/D27*100</f>
        <v>24.054687556172301</v>
      </c>
      <c r="H27" s="598">
        <v>17</v>
      </c>
      <c r="I27" s="404" t="s">
        <v>2031</v>
      </c>
      <c r="J27" s="404" t="s">
        <v>1240</v>
      </c>
      <c r="K27" s="602">
        <v>54000</v>
      </c>
      <c r="L27" s="600">
        <v>11852</v>
      </c>
      <c r="M27" s="561">
        <f t="shared" si="3"/>
        <v>21.948148148148146</v>
      </c>
    </row>
    <row r="28" spans="1:24" ht="15" customHeight="1">
      <c r="D28" s="594"/>
      <c r="E28" s="594"/>
      <c r="F28" s="561"/>
    </row>
    <row r="29" spans="1:24" ht="15" customHeight="1">
      <c r="B29" s="404"/>
      <c r="C29" s="404"/>
      <c r="D29" s="603"/>
      <c r="E29" s="600"/>
    </row>
    <row r="30" spans="1:24" ht="15" customHeight="1">
      <c r="A30" s="595"/>
      <c r="B30" s="595"/>
      <c r="C30" s="595"/>
      <c r="D30" s="595"/>
      <c r="E30" s="595"/>
      <c r="F30" s="595"/>
      <c r="G30" s="595"/>
      <c r="H30" s="595"/>
      <c r="I30" s="595"/>
      <c r="J30" s="595"/>
      <c r="K30" s="595"/>
      <c r="L30" s="595"/>
      <c r="M30" s="595"/>
      <c r="N30" s="595"/>
      <c r="O30" s="595"/>
    </row>
    <row r="31" spans="1:24" ht="15" customHeight="1">
      <c r="A31" s="595"/>
      <c r="B31" s="595"/>
      <c r="C31" s="595"/>
      <c r="D31" s="595"/>
      <c r="E31" s="595"/>
      <c r="F31" s="595"/>
      <c r="G31" s="595"/>
      <c r="H31" s="595"/>
      <c r="I31" s="595"/>
      <c r="J31" s="595"/>
      <c r="K31" s="595"/>
      <c r="L31" s="595"/>
      <c r="M31" s="595"/>
      <c r="N31" s="595"/>
      <c r="O31" s="595"/>
    </row>
    <row r="32" spans="1:24" ht="15" customHeight="1">
      <c r="A32" s="595"/>
      <c r="B32" s="595"/>
      <c r="C32" s="595"/>
      <c r="D32" s="595"/>
      <c r="E32" s="595"/>
      <c r="F32" s="595"/>
      <c r="G32" s="595"/>
      <c r="H32" s="595"/>
      <c r="I32" s="595"/>
      <c r="J32" s="595"/>
      <c r="K32" s="595"/>
      <c r="L32" s="595"/>
      <c r="M32" s="595"/>
      <c r="N32" s="595"/>
      <c r="O32" s="595"/>
    </row>
    <row r="33" spans="1:15" ht="15" customHeight="1">
      <c r="A33" s="595"/>
      <c r="B33" s="595"/>
      <c r="C33" s="595"/>
      <c r="D33" s="595"/>
      <c r="E33" s="595"/>
      <c r="F33" s="595"/>
      <c r="G33" s="595"/>
      <c r="H33" s="595"/>
      <c r="I33" s="595"/>
      <c r="J33" s="595"/>
      <c r="K33" s="595"/>
      <c r="L33" s="595"/>
      <c r="M33" s="595"/>
      <c r="N33" s="595"/>
      <c r="O33" s="595"/>
    </row>
    <row r="34" spans="1:15" ht="15" customHeight="1">
      <c r="A34" s="595"/>
      <c r="B34" s="595"/>
      <c r="C34" s="595"/>
      <c r="D34" s="595"/>
      <c r="E34" s="595"/>
      <c r="F34" s="595"/>
      <c r="G34" s="595"/>
      <c r="H34" s="595"/>
      <c r="I34" s="595"/>
      <c r="J34" s="595"/>
      <c r="K34" s="595"/>
      <c r="L34" s="595"/>
      <c r="M34" s="595"/>
      <c r="N34" s="595"/>
      <c r="O34" s="595"/>
    </row>
    <row r="35" spans="1:15" ht="15" customHeight="1">
      <c r="A35" s="595"/>
      <c r="B35" s="595"/>
      <c r="C35" s="595"/>
      <c r="D35" s="595"/>
      <c r="E35" s="595"/>
      <c r="F35" s="595"/>
      <c r="G35" s="595"/>
      <c r="H35" s="595"/>
      <c r="I35" s="595"/>
      <c r="J35" s="595"/>
      <c r="K35" s="595"/>
      <c r="L35" s="595"/>
      <c r="M35" s="595"/>
      <c r="N35" s="595"/>
      <c r="O35" s="595"/>
    </row>
    <row r="36" spans="1:15" ht="15" customHeight="1">
      <c r="A36" s="595"/>
      <c r="B36" s="595"/>
      <c r="C36" s="595"/>
      <c r="D36" s="595"/>
      <c r="E36" s="595"/>
      <c r="F36" s="595"/>
      <c r="G36" s="595"/>
      <c r="H36" s="595"/>
      <c r="I36" s="595"/>
      <c r="J36" s="595"/>
      <c r="K36" s="595"/>
      <c r="L36" s="595"/>
      <c r="M36" s="595"/>
      <c r="N36" s="595"/>
      <c r="O36" s="595"/>
    </row>
    <row r="37" spans="1:15" ht="15" customHeight="1">
      <c r="A37" s="595"/>
      <c r="B37" s="595"/>
      <c r="C37" s="595"/>
      <c r="D37" s="595"/>
      <c r="E37" s="595"/>
      <c r="F37" s="595"/>
      <c r="G37" s="595"/>
      <c r="H37" s="595"/>
      <c r="I37" s="595"/>
      <c r="J37" s="595"/>
      <c r="K37" s="595"/>
      <c r="L37" s="595"/>
      <c r="M37" s="595"/>
      <c r="N37" s="595"/>
      <c r="O37" s="595"/>
    </row>
    <row r="38" spans="1:15" ht="15" customHeight="1">
      <c r="A38" s="595"/>
      <c r="B38" s="595"/>
      <c r="C38" s="595"/>
      <c r="D38" s="595"/>
      <c r="E38" s="595"/>
      <c r="F38" s="595"/>
      <c r="G38" s="595"/>
      <c r="H38" s="595"/>
      <c r="I38" s="595"/>
      <c r="J38" s="595"/>
      <c r="K38" s="595"/>
      <c r="L38" s="595"/>
      <c r="M38" s="595"/>
      <c r="N38" s="595"/>
      <c r="O38" s="595"/>
    </row>
    <row r="39" spans="1:15" ht="15" customHeight="1">
      <c r="A39" s="595"/>
      <c r="B39" s="595"/>
      <c r="C39" s="595"/>
      <c r="D39" s="595"/>
      <c r="E39" s="595"/>
      <c r="F39" s="595"/>
      <c r="G39" s="595"/>
      <c r="H39" s="595"/>
      <c r="I39" s="595"/>
      <c r="J39" s="595"/>
      <c r="K39" s="595"/>
      <c r="L39" s="595"/>
      <c r="M39" s="595"/>
      <c r="N39" s="595"/>
      <c r="O39" s="595"/>
    </row>
    <row r="40" spans="1:15" ht="15" customHeight="1">
      <c r="A40" s="595"/>
      <c r="B40" s="595"/>
      <c r="C40" s="595"/>
      <c r="D40" s="595"/>
      <c r="E40" s="595"/>
      <c r="F40" s="595"/>
      <c r="G40" s="595"/>
      <c r="H40" s="595"/>
      <c r="I40" s="595"/>
      <c r="J40" s="595"/>
      <c r="K40" s="595"/>
      <c r="L40" s="595"/>
      <c r="M40" s="595"/>
      <c r="N40" s="595"/>
      <c r="O40" s="595"/>
    </row>
    <row r="41" spans="1:15" ht="15" customHeight="1">
      <c r="A41" s="595"/>
      <c r="B41" s="595"/>
      <c r="C41" s="595"/>
      <c r="D41" s="595"/>
      <c r="E41" s="595"/>
      <c r="F41" s="595"/>
      <c r="G41" s="595"/>
      <c r="H41" s="595"/>
      <c r="I41" s="595"/>
      <c r="J41" s="595"/>
      <c r="K41" s="595"/>
      <c r="L41" s="595"/>
      <c r="M41" s="595"/>
      <c r="N41" s="595"/>
      <c r="O41" s="595"/>
    </row>
    <row r="42" spans="1:15" ht="15" customHeight="1">
      <c r="A42" s="595"/>
      <c r="B42" s="595"/>
      <c r="C42" s="595"/>
      <c r="D42" s="595"/>
      <c r="E42" s="595"/>
      <c r="F42" s="595"/>
      <c r="G42" s="595"/>
      <c r="H42" s="595"/>
      <c r="I42" s="595"/>
      <c r="J42" s="595"/>
      <c r="K42" s="595"/>
      <c r="L42" s="595"/>
      <c r="M42" s="595"/>
      <c r="N42" s="595"/>
      <c r="O42" s="595"/>
    </row>
    <row r="43" spans="1:15" ht="15" customHeight="1">
      <c r="A43" s="595"/>
      <c r="B43" s="595"/>
      <c r="C43" s="595"/>
      <c r="D43" s="595"/>
      <c r="E43" s="595"/>
      <c r="F43" s="595"/>
      <c r="G43" s="595"/>
      <c r="H43" s="595"/>
      <c r="I43" s="595"/>
      <c r="J43" s="595"/>
      <c r="K43" s="595"/>
      <c r="L43" s="595"/>
      <c r="M43" s="595"/>
      <c r="N43" s="595"/>
      <c r="O43" s="595"/>
    </row>
    <row r="44" spans="1:15" ht="15" customHeight="1">
      <c r="A44" s="595"/>
      <c r="B44" s="595"/>
      <c r="C44" s="595"/>
      <c r="D44" s="595"/>
      <c r="E44" s="595"/>
      <c r="F44" s="595"/>
      <c r="G44" s="595"/>
      <c r="H44" s="595"/>
      <c r="I44" s="595"/>
      <c r="J44" s="595"/>
      <c r="K44" s="595"/>
      <c r="L44" s="595"/>
      <c r="M44" s="595"/>
      <c r="N44" s="595"/>
      <c r="O44" s="595"/>
    </row>
    <row r="45" spans="1:15" ht="15" customHeight="1">
      <c r="A45" s="595"/>
      <c r="B45" s="595"/>
      <c r="C45" s="595"/>
      <c r="D45" s="595"/>
      <c r="E45" s="595"/>
      <c r="F45" s="595"/>
      <c r="G45" s="595"/>
      <c r="H45" s="595"/>
      <c r="I45" s="595"/>
      <c r="J45" s="595"/>
      <c r="K45" s="595"/>
      <c r="L45" s="595"/>
      <c r="M45" s="595"/>
      <c r="N45" s="595"/>
      <c r="O45" s="595"/>
    </row>
    <row r="46" spans="1:15" ht="15" customHeight="1">
      <c r="A46" s="595"/>
      <c r="B46" s="595"/>
      <c r="C46" s="595"/>
      <c r="D46" s="595"/>
      <c r="E46" s="595"/>
      <c r="F46" s="595"/>
      <c r="G46" s="595"/>
      <c r="H46" s="595"/>
      <c r="I46" s="595"/>
      <c r="J46" s="595"/>
      <c r="K46" s="595"/>
      <c r="L46" s="595"/>
      <c r="M46" s="595"/>
      <c r="N46" s="595"/>
      <c r="O46" s="595"/>
    </row>
    <row r="47" spans="1:15" ht="15" customHeight="1">
      <c r="A47" s="595"/>
      <c r="B47" s="595"/>
      <c r="C47" s="595"/>
      <c r="D47" s="595"/>
      <c r="E47" s="595"/>
      <c r="F47" s="595"/>
      <c r="G47" s="595"/>
      <c r="H47" s="595"/>
      <c r="I47" s="595"/>
      <c r="J47" s="595"/>
      <c r="K47" s="595"/>
      <c r="L47" s="595"/>
      <c r="M47" s="595"/>
      <c r="N47" s="595"/>
      <c r="O47" s="595"/>
    </row>
    <row r="48" spans="1:15" ht="15" customHeight="1">
      <c r="A48" s="595"/>
      <c r="B48" s="595"/>
      <c r="C48" s="595"/>
      <c r="D48" s="595"/>
      <c r="E48" s="595"/>
      <c r="F48" s="595"/>
      <c r="G48" s="595"/>
      <c r="H48" s="595"/>
      <c r="I48" s="595"/>
      <c r="J48" s="595"/>
      <c r="K48" s="595"/>
      <c r="L48" s="595"/>
      <c r="M48" s="595"/>
      <c r="N48" s="595"/>
      <c r="O48" s="595"/>
    </row>
    <row r="49" spans="1:15" ht="15" customHeight="1">
      <c r="A49" s="595"/>
      <c r="B49" s="595"/>
      <c r="C49" s="595"/>
      <c r="D49" s="595"/>
      <c r="E49" s="595"/>
      <c r="F49" s="595"/>
      <c r="G49" s="595"/>
      <c r="H49" s="595"/>
      <c r="I49" s="595"/>
      <c r="J49" s="595"/>
      <c r="K49" s="595"/>
      <c r="L49" s="595"/>
      <c r="M49" s="595"/>
      <c r="N49" s="595"/>
      <c r="O49" s="595"/>
    </row>
    <row r="50" spans="1:15" ht="15" customHeight="1">
      <c r="A50" s="595"/>
      <c r="B50" s="595"/>
      <c r="C50" s="595"/>
      <c r="D50" s="595"/>
      <c r="E50" s="595"/>
      <c r="F50" s="595"/>
      <c r="G50" s="595"/>
      <c r="H50" s="595"/>
      <c r="I50" s="595"/>
      <c r="J50" s="595"/>
      <c r="K50" s="595"/>
      <c r="L50" s="595"/>
      <c r="M50" s="595"/>
      <c r="N50" s="595"/>
      <c r="O50" s="595"/>
    </row>
    <row r="51" spans="1:15" ht="15" customHeight="1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</row>
    <row r="52" spans="1:15" ht="15" customHeight="1">
      <c r="A52" s="595"/>
      <c r="B52" s="595"/>
      <c r="C52" s="595"/>
      <c r="D52" s="595"/>
      <c r="E52" s="595"/>
      <c r="F52" s="595"/>
      <c r="G52" s="595"/>
      <c r="H52" s="595"/>
      <c r="I52" s="595"/>
      <c r="J52" s="595"/>
      <c r="K52" s="595"/>
      <c r="L52" s="595"/>
      <c r="M52" s="595"/>
      <c r="N52" s="595"/>
      <c r="O52" s="595"/>
    </row>
    <row r="53" spans="1:15" ht="15" customHeight="1">
      <c r="A53" s="595"/>
      <c r="B53" s="595"/>
      <c r="C53" s="595"/>
      <c r="D53" s="595"/>
      <c r="E53" s="595"/>
      <c r="F53" s="595"/>
      <c r="G53" s="595"/>
      <c r="H53" s="595"/>
      <c r="I53" s="595"/>
      <c r="J53" s="595"/>
      <c r="K53" s="595"/>
      <c r="L53" s="595"/>
      <c r="M53" s="595"/>
      <c r="N53" s="595"/>
      <c r="O53" s="595"/>
    </row>
    <row r="54" spans="1:15" ht="15" customHeight="1">
      <c r="A54" s="595"/>
      <c r="B54" s="595"/>
      <c r="C54" s="595"/>
      <c r="D54" s="595"/>
      <c r="E54" s="595"/>
      <c r="F54" s="595"/>
      <c r="G54" s="595"/>
      <c r="H54" s="595"/>
      <c r="I54" s="595"/>
      <c r="J54" s="595"/>
      <c r="K54" s="595"/>
      <c r="L54" s="595"/>
      <c r="M54" s="595"/>
      <c r="N54" s="595"/>
      <c r="O54" s="595"/>
    </row>
    <row r="55" spans="1:15" ht="15" customHeight="1">
      <c r="A55" s="595"/>
      <c r="B55" s="595"/>
      <c r="C55" s="595"/>
      <c r="D55" s="595"/>
      <c r="E55" s="595"/>
      <c r="F55" s="595"/>
      <c r="G55" s="595"/>
      <c r="H55" s="595"/>
      <c r="I55" s="595"/>
      <c r="J55" s="595"/>
      <c r="K55" s="595"/>
      <c r="L55" s="595"/>
      <c r="M55" s="595"/>
      <c r="N55" s="595"/>
      <c r="O55" s="595"/>
    </row>
    <row r="56" spans="1:15" ht="15" customHeight="1">
      <c r="A56" s="595"/>
      <c r="B56" s="595"/>
      <c r="C56" s="595"/>
      <c r="D56" s="595"/>
      <c r="E56" s="595"/>
      <c r="F56" s="595"/>
      <c r="G56" s="595"/>
      <c r="H56" s="595"/>
      <c r="I56" s="595"/>
      <c r="J56" s="595"/>
      <c r="K56" s="595"/>
      <c r="L56" s="595"/>
      <c r="M56" s="595"/>
      <c r="N56" s="595"/>
      <c r="O56" s="595"/>
    </row>
    <row r="57" spans="1:15" ht="15" customHeight="1">
      <c r="A57" s="595"/>
      <c r="B57" s="595"/>
      <c r="C57" s="595"/>
      <c r="D57" s="595"/>
      <c r="E57" s="595"/>
      <c r="F57" s="595"/>
      <c r="G57" s="595"/>
      <c r="H57" s="595"/>
      <c r="I57" s="595"/>
      <c r="J57" s="595"/>
      <c r="K57" s="595"/>
      <c r="L57" s="595"/>
      <c r="M57" s="595"/>
      <c r="N57" s="595"/>
      <c r="O57" s="595"/>
    </row>
    <row r="58" spans="1:15" ht="15" customHeight="1">
      <c r="A58" s="595"/>
      <c r="B58" s="595"/>
      <c r="C58" s="595"/>
      <c r="D58" s="595"/>
      <c r="E58" s="595"/>
      <c r="F58" s="595"/>
      <c r="G58" s="595"/>
      <c r="H58" s="595"/>
      <c r="I58" s="595"/>
      <c r="J58" s="595"/>
      <c r="K58" s="595"/>
      <c r="L58" s="595"/>
      <c r="M58" s="595"/>
      <c r="N58" s="595"/>
      <c r="O58" s="595"/>
    </row>
    <row r="59" spans="1:15" ht="15" customHeight="1">
      <c r="A59" s="595"/>
      <c r="B59" s="595"/>
      <c r="C59" s="595"/>
      <c r="D59" s="595"/>
      <c r="E59" s="595"/>
      <c r="F59" s="595"/>
      <c r="G59" s="595"/>
      <c r="H59" s="595"/>
      <c r="I59" s="595"/>
      <c r="J59" s="595"/>
      <c r="K59" s="595"/>
      <c r="L59" s="595"/>
      <c r="M59" s="595"/>
      <c r="N59" s="595"/>
      <c r="O59" s="595"/>
    </row>
    <row r="60" spans="1:15" ht="15" customHeight="1">
      <c r="A60" s="595"/>
      <c r="B60" s="595"/>
      <c r="C60" s="595"/>
      <c r="D60" s="595"/>
      <c r="E60" s="595"/>
      <c r="F60" s="595"/>
      <c r="G60" s="595"/>
      <c r="H60" s="595"/>
      <c r="I60" s="595"/>
      <c r="J60" s="595"/>
      <c r="K60" s="595"/>
      <c r="L60" s="595"/>
      <c r="M60" s="595"/>
      <c r="N60" s="595"/>
      <c r="O60" s="595"/>
    </row>
    <row r="61" spans="1:15" ht="15" customHeight="1">
      <c r="A61" s="595"/>
      <c r="B61" s="595"/>
      <c r="C61" s="595"/>
      <c r="D61" s="595"/>
      <c r="E61" s="595"/>
      <c r="F61" s="595"/>
      <c r="G61" s="595"/>
      <c r="H61" s="595"/>
      <c r="I61" s="595"/>
      <c r="J61" s="595"/>
      <c r="K61" s="595"/>
      <c r="L61" s="595"/>
      <c r="M61" s="595"/>
      <c r="N61" s="595"/>
      <c r="O61" s="595"/>
    </row>
    <row r="62" spans="1:15" ht="15" customHeight="1">
      <c r="A62" s="595"/>
      <c r="B62" s="595"/>
      <c r="C62" s="595"/>
      <c r="D62" s="595"/>
      <c r="E62" s="595"/>
      <c r="F62" s="595"/>
      <c r="G62" s="595"/>
      <c r="H62" s="595"/>
      <c r="I62" s="595"/>
      <c r="J62" s="595"/>
      <c r="K62" s="595"/>
      <c r="L62" s="595"/>
      <c r="M62" s="595"/>
      <c r="N62" s="595"/>
      <c r="O62" s="595"/>
    </row>
    <row r="63" spans="1:15" ht="15" customHeight="1">
      <c r="A63" s="595"/>
      <c r="B63" s="595"/>
      <c r="C63" s="595"/>
      <c r="D63" s="595"/>
      <c r="E63" s="595"/>
      <c r="F63" s="595"/>
      <c r="G63" s="595"/>
      <c r="H63" s="595"/>
      <c r="I63" s="595"/>
      <c r="J63" s="595"/>
      <c r="K63" s="595"/>
      <c r="L63" s="595"/>
      <c r="M63" s="595"/>
      <c r="N63" s="595"/>
      <c r="O63" s="595"/>
    </row>
    <row r="64" spans="1:15" ht="15" customHeight="1">
      <c r="A64" s="595"/>
      <c r="B64" s="595"/>
      <c r="C64" s="595"/>
      <c r="D64" s="595"/>
      <c r="E64" s="595"/>
      <c r="F64" s="595"/>
      <c r="G64" s="595"/>
      <c r="H64" s="595"/>
      <c r="I64" s="595"/>
      <c r="J64" s="595"/>
      <c r="K64" s="595"/>
      <c r="L64" s="595"/>
      <c r="M64" s="595"/>
      <c r="N64" s="595"/>
      <c r="O64" s="595"/>
    </row>
    <row r="65" spans="1:15" ht="15" customHeight="1">
      <c r="A65" s="595"/>
      <c r="B65" s="595"/>
      <c r="C65" s="595"/>
      <c r="D65" s="595"/>
      <c r="E65" s="595"/>
      <c r="F65" s="595"/>
      <c r="G65" s="595"/>
      <c r="H65" s="595"/>
      <c r="I65" s="595"/>
      <c r="J65" s="595"/>
      <c r="K65" s="595"/>
      <c r="L65" s="595"/>
      <c r="M65" s="595"/>
      <c r="N65" s="595"/>
      <c r="O65" s="595"/>
    </row>
    <row r="66" spans="1:15" ht="15" customHeight="1">
      <c r="A66" s="595"/>
      <c r="B66" s="595"/>
      <c r="C66" s="595"/>
      <c r="D66" s="595"/>
      <c r="E66" s="595"/>
      <c r="F66" s="595"/>
      <c r="G66" s="595"/>
      <c r="H66" s="595"/>
      <c r="I66" s="595"/>
      <c r="J66" s="595"/>
      <c r="K66" s="595"/>
      <c r="L66" s="595"/>
      <c r="M66" s="595"/>
      <c r="N66" s="595"/>
      <c r="O66" s="595"/>
    </row>
    <row r="67" spans="1:15" ht="15" customHeight="1">
      <c r="A67" s="595"/>
      <c r="B67" s="595"/>
      <c r="C67" s="595"/>
      <c r="D67" s="595"/>
      <c r="E67" s="595"/>
      <c r="F67" s="595"/>
      <c r="G67" s="595"/>
      <c r="H67" s="595"/>
      <c r="I67" s="595"/>
      <c r="J67" s="595"/>
      <c r="K67" s="595"/>
      <c r="L67" s="595"/>
      <c r="M67" s="595"/>
      <c r="N67" s="595"/>
      <c r="O67" s="595"/>
    </row>
    <row r="68" spans="1:15" ht="15" customHeight="1">
      <c r="A68" s="595"/>
      <c r="B68" s="595"/>
      <c r="C68" s="595"/>
      <c r="D68" s="595"/>
      <c r="E68" s="595"/>
      <c r="F68" s="595"/>
      <c r="G68" s="595"/>
      <c r="H68" s="595"/>
      <c r="I68" s="595"/>
      <c r="J68" s="595"/>
      <c r="K68" s="595"/>
      <c r="L68" s="595"/>
      <c r="M68" s="595"/>
      <c r="N68" s="595"/>
      <c r="O68" s="595"/>
    </row>
    <row r="69" spans="1:15" ht="15" customHeight="1">
      <c r="A69" s="595"/>
      <c r="B69" s="595"/>
      <c r="C69" s="595"/>
      <c r="D69" s="595"/>
      <c r="E69" s="595"/>
      <c r="F69" s="595"/>
      <c r="G69" s="595"/>
      <c r="H69" s="595"/>
      <c r="I69" s="595"/>
      <c r="J69" s="595"/>
      <c r="K69" s="595"/>
      <c r="L69" s="595"/>
      <c r="M69" s="595"/>
      <c r="N69" s="595"/>
      <c r="O69" s="595"/>
    </row>
    <row r="70" spans="1:15" ht="15" customHeight="1">
      <c r="A70" s="595"/>
      <c r="B70" s="595"/>
      <c r="C70" s="595"/>
      <c r="D70" s="595"/>
      <c r="E70" s="595"/>
      <c r="F70" s="595"/>
      <c r="G70" s="595"/>
      <c r="H70" s="595"/>
      <c r="I70" s="595"/>
      <c r="J70" s="595"/>
      <c r="K70" s="595"/>
      <c r="L70" s="595"/>
      <c r="M70" s="595"/>
      <c r="N70" s="595"/>
      <c r="O70" s="595"/>
    </row>
    <row r="71" spans="1:15" ht="15" customHeight="1">
      <c r="A71" s="595"/>
      <c r="B71" s="595"/>
      <c r="C71" s="595"/>
      <c r="D71" s="595"/>
      <c r="E71" s="595"/>
      <c r="F71" s="595"/>
      <c r="G71" s="595"/>
      <c r="H71" s="595"/>
      <c r="I71" s="595"/>
      <c r="J71" s="595"/>
      <c r="K71" s="595"/>
      <c r="L71" s="595"/>
      <c r="M71" s="595"/>
      <c r="N71" s="595"/>
      <c r="O71" s="595"/>
    </row>
    <row r="72" spans="1:15" ht="15" customHeight="1">
      <c r="A72" s="595"/>
      <c r="B72" s="595"/>
      <c r="C72" s="595"/>
      <c r="D72" s="595"/>
      <c r="E72" s="595"/>
      <c r="F72" s="595"/>
      <c r="G72" s="595"/>
      <c r="H72" s="595"/>
      <c r="I72" s="595"/>
      <c r="J72" s="595"/>
      <c r="K72" s="595"/>
      <c r="L72" s="595"/>
      <c r="M72" s="595"/>
      <c r="N72" s="595"/>
      <c r="O72" s="595"/>
    </row>
    <row r="73" spans="1:15" ht="15" customHeight="1">
      <c r="A73" s="595"/>
      <c r="B73" s="595"/>
      <c r="C73" s="595"/>
      <c r="D73" s="595"/>
      <c r="E73" s="595"/>
      <c r="F73" s="595"/>
      <c r="G73" s="595"/>
      <c r="H73" s="595"/>
      <c r="I73" s="595"/>
      <c r="J73" s="595"/>
      <c r="K73" s="595"/>
      <c r="L73" s="595"/>
      <c r="M73" s="595"/>
      <c r="N73" s="595"/>
      <c r="O73" s="595"/>
    </row>
    <row r="74" spans="1:15" ht="15" customHeight="1">
      <c r="A74" s="595"/>
      <c r="B74" s="595"/>
      <c r="C74" s="595"/>
      <c r="D74" s="595"/>
      <c r="E74" s="595"/>
      <c r="F74" s="595"/>
      <c r="G74" s="595"/>
      <c r="H74" s="595"/>
      <c r="I74" s="595"/>
      <c r="J74" s="595"/>
      <c r="K74" s="595"/>
      <c r="L74" s="595"/>
      <c r="M74" s="595"/>
      <c r="N74" s="595"/>
      <c r="O74" s="595"/>
    </row>
    <row r="75" spans="1:15" ht="15" customHeight="1">
      <c r="A75" s="595"/>
      <c r="B75" s="595"/>
      <c r="C75" s="595"/>
      <c r="D75" s="595"/>
      <c r="E75" s="595"/>
      <c r="F75" s="595"/>
      <c r="G75" s="595"/>
      <c r="H75" s="595"/>
      <c r="I75" s="595"/>
      <c r="J75" s="595"/>
      <c r="K75" s="595"/>
      <c r="L75" s="595"/>
      <c r="M75" s="595"/>
      <c r="N75" s="595"/>
      <c r="O75" s="595"/>
    </row>
    <row r="76" spans="1:15" ht="15" customHeight="1">
      <c r="A76" s="595"/>
      <c r="B76" s="595"/>
      <c r="C76" s="595"/>
      <c r="D76" s="595"/>
      <c r="E76" s="595"/>
      <c r="F76" s="595"/>
      <c r="G76" s="595"/>
      <c r="H76" s="595"/>
      <c r="I76" s="595"/>
      <c r="J76" s="595"/>
      <c r="K76" s="595"/>
      <c r="L76" s="595"/>
      <c r="M76" s="595"/>
      <c r="N76" s="595"/>
      <c r="O76" s="595"/>
    </row>
    <row r="77" spans="1:15" ht="15" customHeight="1">
      <c r="A77" s="595"/>
      <c r="B77" s="595"/>
      <c r="C77" s="595"/>
      <c r="D77" s="595"/>
      <c r="E77" s="595"/>
      <c r="F77" s="595"/>
      <c r="G77" s="595"/>
      <c r="H77" s="595"/>
      <c r="I77" s="595"/>
      <c r="J77" s="595"/>
      <c r="K77" s="595"/>
      <c r="L77" s="595"/>
      <c r="M77" s="595"/>
      <c r="N77" s="595"/>
      <c r="O77" s="595"/>
    </row>
    <row r="78" spans="1:15" ht="15" customHeight="1">
      <c r="A78" s="595"/>
      <c r="B78" s="595"/>
      <c r="C78" s="595"/>
      <c r="D78" s="595"/>
      <c r="E78" s="595"/>
      <c r="F78" s="595"/>
      <c r="G78" s="595"/>
      <c r="H78" s="595"/>
      <c r="I78" s="595"/>
      <c r="J78" s="595"/>
      <c r="K78" s="595"/>
      <c r="L78" s="595"/>
      <c r="M78" s="595"/>
      <c r="N78" s="595"/>
      <c r="O78" s="595"/>
    </row>
    <row r="79" spans="1:15" ht="15" customHeight="1">
      <c r="A79" s="595"/>
      <c r="B79" s="595"/>
      <c r="C79" s="595"/>
      <c r="D79" s="595"/>
      <c r="E79" s="595"/>
      <c r="F79" s="595"/>
      <c r="G79" s="595"/>
      <c r="H79" s="595"/>
      <c r="I79" s="595"/>
      <c r="J79" s="595"/>
      <c r="K79" s="595"/>
      <c r="L79" s="595"/>
      <c r="M79" s="595"/>
      <c r="N79" s="595"/>
      <c r="O79" s="595"/>
    </row>
    <row r="80" spans="1:15" ht="15" customHeight="1">
      <c r="A80" s="595"/>
      <c r="B80" s="595"/>
      <c r="C80" s="595"/>
      <c r="D80" s="595"/>
      <c r="E80" s="595"/>
      <c r="F80" s="595"/>
      <c r="G80" s="595"/>
      <c r="H80" s="595"/>
      <c r="I80" s="595"/>
      <c r="J80" s="595"/>
      <c r="K80" s="595"/>
      <c r="L80" s="595"/>
      <c r="M80" s="595"/>
      <c r="N80" s="595"/>
      <c r="O80" s="595"/>
    </row>
    <row r="81" spans="1:15" ht="15" customHeight="1">
      <c r="A81" s="595"/>
      <c r="B81" s="595"/>
      <c r="C81" s="595"/>
      <c r="D81" s="595"/>
      <c r="E81" s="595"/>
      <c r="F81" s="595"/>
      <c r="G81" s="595"/>
      <c r="H81" s="595"/>
      <c r="I81" s="595"/>
      <c r="J81" s="595"/>
      <c r="K81" s="595"/>
      <c r="L81" s="595"/>
      <c r="M81" s="595"/>
      <c r="N81" s="595"/>
      <c r="O81" s="595"/>
    </row>
    <row r="82" spans="1:15" ht="15" customHeight="1">
      <c r="A82" s="595"/>
      <c r="B82" s="595"/>
      <c r="C82" s="595"/>
      <c r="D82" s="595"/>
      <c r="E82" s="595"/>
      <c r="F82" s="595"/>
      <c r="G82" s="595"/>
      <c r="H82" s="595"/>
      <c r="I82" s="595"/>
      <c r="J82" s="595"/>
      <c r="K82" s="595"/>
      <c r="L82" s="595"/>
      <c r="M82" s="595"/>
      <c r="N82" s="595"/>
      <c r="O82" s="595"/>
    </row>
    <row r="83" spans="1:15" ht="15" customHeight="1">
      <c r="A83" s="595"/>
      <c r="B83" s="595"/>
      <c r="C83" s="595"/>
      <c r="D83" s="595"/>
      <c r="E83" s="595"/>
      <c r="F83" s="595"/>
      <c r="G83" s="595"/>
      <c r="H83" s="595"/>
      <c r="I83" s="595"/>
      <c r="J83" s="595"/>
      <c r="K83" s="595"/>
      <c r="L83" s="595"/>
      <c r="M83" s="595"/>
      <c r="N83" s="595"/>
      <c r="O83" s="595"/>
    </row>
    <row r="84" spans="1:15" ht="15" customHeight="1">
      <c r="A84" s="595"/>
      <c r="B84" s="595"/>
      <c r="C84" s="595"/>
      <c r="D84" s="595"/>
      <c r="E84" s="595"/>
      <c r="F84" s="595"/>
      <c r="G84" s="595"/>
      <c r="H84" s="595"/>
      <c r="I84" s="595"/>
      <c r="J84" s="595"/>
      <c r="K84" s="595"/>
      <c r="L84" s="595"/>
      <c r="M84" s="595"/>
      <c r="N84" s="595"/>
      <c r="O84" s="595"/>
    </row>
    <row r="85" spans="1:15" ht="15" customHeight="1">
      <c r="A85" s="595"/>
      <c r="B85" s="595"/>
      <c r="C85" s="595"/>
      <c r="D85" s="595"/>
      <c r="E85" s="595"/>
      <c r="F85" s="595"/>
      <c r="G85" s="595"/>
      <c r="H85" s="595"/>
      <c r="I85" s="595"/>
      <c r="J85" s="595"/>
      <c r="K85" s="595"/>
      <c r="L85" s="595"/>
      <c r="M85" s="595"/>
      <c r="N85" s="595"/>
      <c r="O85" s="595"/>
    </row>
    <row r="86" spans="1:15" ht="15" customHeight="1">
      <c r="A86" s="595"/>
      <c r="B86" s="595"/>
      <c r="C86" s="595"/>
      <c r="D86" s="595"/>
      <c r="E86" s="595"/>
      <c r="F86" s="595"/>
      <c r="G86" s="595"/>
      <c r="H86" s="595"/>
      <c r="I86" s="595"/>
      <c r="J86" s="595"/>
      <c r="K86" s="595"/>
      <c r="L86" s="595"/>
      <c r="M86" s="595"/>
      <c r="N86" s="595"/>
      <c r="O86" s="595"/>
    </row>
    <row r="87" spans="1:15" ht="15" customHeight="1">
      <c r="A87" s="595"/>
      <c r="B87" s="595"/>
      <c r="C87" s="595"/>
      <c r="D87" s="595"/>
      <c r="E87" s="595"/>
      <c r="F87" s="595"/>
      <c r="G87" s="595"/>
      <c r="H87" s="595"/>
      <c r="I87" s="595"/>
      <c r="J87" s="595"/>
      <c r="K87" s="595"/>
      <c r="L87" s="595"/>
      <c r="M87" s="595"/>
      <c r="N87" s="595"/>
      <c r="O87" s="595"/>
    </row>
    <row r="88" spans="1:15" ht="15" customHeight="1">
      <c r="A88" s="595"/>
      <c r="B88" s="595"/>
      <c r="C88" s="595"/>
      <c r="D88" s="595"/>
      <c r="E88" s="595"/>
      <c r="F88" s="595"/>
      <c r="G88" s="595"/>
      <c r="H88" s="595"/>
      <c r="I88" s="595"/>
      <c r="J88" s="595"/>
      <c r="K88" s="595"/>
      <c r="L88" s="595"/>
      <c r="M88" s="595"/>
      <c r="N88" s="595"/>
      <c r="O88" s="595"/>
    </row>
    <row r="89" spans="1:15" ht="15" customHeight="1">
      <c r="A89" s="595"/>
      <c r="B89" s="595"/>
      <c r="C89" s="595"/>
      <c r="D89" s="595"/>
      <c r="E89" s="595"/>
      <c r="F89" s="595"/>
      <c r="G89" s="595"/>
      <c r="H89" s="595"/>
      <c r="I89" s="595"/>
      <c r="J89" s="595"/>
      <c r="K89" s="595"/>
      <c r="L89" s="595"/>
      <c r="M89" s="595"/>
      <c r="N89" s="595"/>
      <c r="O89" s="595"/>
    </row>
    <row r="90" spans="1:15" ht="15" customHeight="1">
      <c r="A90" s="595"/>
      <c r="B90" s="595"/>
      <c r="C90" s="595"/>
      <c r="D90" s="595"/>
      <c r="E90" s="595"/>
      <c r="F90" s="595"/>
      <c r="G90" s="595"/>
      <c r="H90" s="595"/>
      <c r="I90" s="595"/>
      <c r="J90" s="595"/>
      <c r="K90" s="595"/>
      <c r="L90" s="595"/>
      <c r="M90" s="595"/>
      <c r="N90" s="595"/>
      <c r="O90" s="595"/>
    </row>
    <row r="91" spans="1:15" ht="15" customHeight="1">
      <c r="A91" s="595"/>
      <c r="B91" s="595"/>
      <c r="C91" s="595"/>
      <c r="D91" s="595"/>
      <c r="E91" s="595"/>
      <c r="F91" s="595"/>
      <c r="G91" s="595"/>
      <c r="H91" s="595"/>
      <c r="I91" s="595"/>
      <c r="J91" s="595"/>
      <c r="K91" s="595"/>
      <c r="L91" s="595"/>
      <c r="M91" s="595"/>
      <c r="N91" s="595"/>
      <c r="O91" s="595"/>
    </row>
    <row r="92" spans="1:15" ht="15" customHeight="1">
      <c r="A92" s="595"/>
      <c r="B92" s="595"/>
      <c r="C92" s="595"/>
      <c r="D92" s="595"/>
      <c r="E92" s="595"/>
      <c r="F92" s="595"/>
      <c r="G92" s="595"/>
      <c r="H92" s="595"/>
      <c r="I92" s="595"/>
      <c r="J92" s="595"/>
      <c r="K92" s="595"/>
      <c r="L92" s="595"/>
      <c r="M92" s="595"/>
      <c r="N92" s="595"/>
      <c r="O92" s="595"/>
    </row>
    <row r="93" spans="1:15" ht="15" customHeight="1">
      <c r="A93" s="595"/>
      <c r="B93" s="595"/>
      <c r="C93" s="595"/>
      <c r="D93" s="595"/>
      <c r="E93" s="595"/>
      <c r="F93" s="595"/>
      <c r="G93" s="595"/>
      <c r="H93" s="595"/>
      <c r="I93" s="595"/>
      <c r="J93" s="595"/>
      <c r="K93" s="595"/>
      <c r="L93" s="595"/>
      <c r="M93" s="595"/>
      <c r="N93" s="595"/>
      <c r="O93" s="595"/>
    </row>
    <row r="94" spans="1:15" ht="15" customHeight="1">
      <c r="A94" s="595"/>
      <c r="B94" s="595"/>
      <c r="C94" s="595"/>
      <c r="D94" s="595"/>
      <c r="E94" s="595"/>
      <c r="F94" s="595"/>
      <c r="G94" s="595"/>
      <c r="H94" s="595"/>
      <c r="I94" s="595"/>
      <c r="J94" s="595"/>
      <c r="K94" s="595"/>
      <c r="L94" s="595"/>
      <c r="M94" s="595"/>
      <c r="N94" s="595"/>
      <c r="O94" s="595"/>
    </row>
    <row r="95" spans="1:15" ht="15" customHeight="1">
      <c r="A95" s="595"/>
      <c r="B95" s="595"/>
      <c r="C95" s="595"/>
      <c r="D95" s="595"/>
      <c r="E95" s="595"/>
      <c r="F95" s="595"/>
      <c r="G95" s="595"/>
      <c r="H95" s="595"/>
      <c r="I95" s="595"/>
      <c r="J95" s="595"/>
      <c r="K95" s="595"/>
      <c r="L95" s="595"/>
      <c r="M95" s="595"/>
      <c r="N95" s="595"/>
      <c r="O95" s="595"/>
    </row>
    <row r="96" spans="1:15" ht="15" customHeight="1">
      <c r="A96" s="595"/>
      <c r="B96" s="595"/>
      <c r="C96" s="595"/>
      <c r="D96" s="595"/>
      <c r="E96" s="595"/>
      <c r="F96" s="595"/>
      <c r="G96" s="595"/>
      <c r="H96" s="595"/>
      <c r="I96" s="595"/>
      <c r="J96" s="595"/>
      <c r="K96" s="595"/>
      <c r="L96" s="595"/>
      <c r="M96" s="595"/>
      <c r="N96" s="595"/>
      <c r="O96" s="595"/>
    </row>
    <row r="97" spans="1:15" ht="15" customHeight="1">
      <c r="A97" s="595"/>
      <c r="B97" s="595"/>
      <c r="C97" s="595"/>
      <c r="D97" s="595"/>
      <c r="E97" s="595"/>
      <c r="F97" s="595"/>
      <c r="G97" s="595"/>
      <c r="H97" s="595"/>
      <c r="I97" s="595"/>
      <c r="J97" s="595"/>
      <c r="K97" s="595"/>
      <c r="L97" s="595"/>
      <c r="M97" s="595"/>
      <c r="N97" s="595"/>
      <c r="O97" s="595"/>
    </row>
    <row r="98" spans="1:15" ht="15" customHeight="1">
      <c r="A98" s="595"/>
      <c r="B98" s="595"/>
      <c r="C98" s="595"/>
      <c r="D98" s="595"/>
      <c r="E98" s="595"/>
      <c r="F98" s="595"/>
      <c r="G98" s="595"/>
      <c r="H98" s="595"/>
      <c r="I98" s="595"/>
      <c r="J98" s="595"/>
      <c r="K98" s="595"/>
      <c r="L98" s="595"/>
      <c r="M98" s="595"/>
      <c r="N98" s="595"/>
      <c r="O98" s="595"/>
    </row>
    <row r="99" spans="1:15" ht="15" customHeight="1">
      <c r="A99" s="595"/>
      <c r="B99" s="595"/>
      <c r="C99" s="595"/>
      <c r="D99" s="595"/>
      <c r="E99" s="595"/>
      <c r="F99" s="595"/>
      <c r="G99" s="595"/>
      <c r="H99" s="595"/>
      <c r="I99" s="595"/>
      <c r="J99" s="595"/>
      <c r="K99" s="595"/>
      <c r="L99" s="595"/>
      <c r="M99" s="595"/>
      <c r="N99" s="595"/>
      <c r="O99" s="595"/>
    </row>
    <row r="100" spans="1:15" ht="15" customHeight="1">
      <c r="A100" s="595"/>
      <c r="B100" s="595"/>
      <c r="C100" s="595"/>
      <c r="D100" s="595"/>
      <c r="E100" s="595"/>
      <c r="F100" s="595"/>
      <c r="G100" s="595"/>
      <c r="H100" s="595"/>
      <c r="I100" s="595"/>
      <c r="J100" s="595"/>
      <c r="K100" s="595"/>
      <c r="L100" s="595"/>
      <c r="M100" s="595"/>
      <c r="N100" s="595"/>
      <c r="O100" s="595"/>
    </row>
    <row r="101" spans="1:15" ht="15" customHeight="1">
      <c r="A101" s="595"/>
      <c r="B101" s="595"/>
      <c r="C101" s="595"/>
      <c r="D101" s="595"/>
      <c r="E101" s="595"/>
      <c r="F101" s="595"/>
      <c r="G101" s="595"/>
      <c r="H101" s="595"/>
      <c r="I101" s="595"/>
      <c r="J101" s="595"/>
      <c r="K101" s="595"/>
      <c r="L101" s="595"/>
      <c r="M101" s="595"/>
      <c r="N101" s="595"/>
      <c r="O101" s="595"/>
    </row>
    <row r="102" spans="1:15" ht="15" customHeight="1">
      <c r="A102" s="595"/>
      <c r="B102" s="595"/>
      <c r="C102" s="595"/>
      <c r="D102" s="595"/>
      <c r="E102" s="595"/>
      <c r="F102" s="595"/>
      <c r="G102" s="595"/>
      <c r="H102" s="595"/>
      <c r="I102" s="595"/>
      <c r="J102" s="595"/>
      <c r="K102" s="595"/>
      <c r="L102" s="595"/>
      <c r="M102" s="595"/>
      <c r="N102" s="595"/>
      <c r="O102" s="595"/>
    </row>
    <row r="103" spans="1:15" ht="15" customHeight="1">
      <c r="A103" s="595"/>
      <c r="B103" s="595"/>
      <c r="C103" s="595"/>
      <c r="D103" s="595"/>
      <c r="E103" s="595"/>
      <c r="F103" s="595"/>
      <c r="G103" s="595"/>
      <c r="H103" s="595"/>
      <c r="I103" s="595"/>
      <c r="J103" s="595"/>
      <c r="K103" s="595"/>
      <c r="L103" s="595"/>
      <c r="M103" s="595"/>
      <c r="N103" s="595"/>
      <c r="O103" s="595"/>
    </row>
    <row r="104" spans="1:15" ht="15" customHeight="1">
      <c r="A104" s="595"/>
      <c r="B104" s="595"/>
      <c r="C104" s="595"/>
      <c r="D104" s="595"/>
      <c r="E104" s="595"/>
      <c r="F104" s="595"/>
      <c r="G104" s="595"/>
      <c r="H104" s="595"/>
      <c r="I104" s="595"/>
      <c r="J104" s="595"/>
      <c r="K104" s="595"/>
      <c r="L104" s="595"/>
      <c r="M104" s="595"/>
      <c r="N104" s="595"/>
      <c r="O104" s="595"/>
    </row>
    <row r="105" spans="1:15" ht="15" customHeight="1">
      <c r="A105" s="595"/>
      <c r="B105" s="595"/>
      <c r="C105" s="595"/>
      <c r="D105" s="595"/>
      <c r="E105" s="595"/>
      <c r="F105" s="595"/>
      <c r="G105" s="595"/>
      <c r="H105" s="595"/>
      <c r="I105" s="595"/>
      <c r="J105" s="595"/>
      <c r="K105" s="595"/>
      <c r="L105" s="595"/>
      <c r="M105" s="595"/>
      <c r="N105" s="595"/>
      <c r="O105" s="595"/>
    </row>
    <row r="106" spans="1:15" ht="15" customHeight="1">
      <c r="A106" s="595"/>
      <c r="B106" s="595"/>
      <c r="C106" s="595"/>
      <c r="D106" s="595"/>
      <c r="E106" s="595"/>
      <c r="F106" s="595"/>
      <c r="G106" s="595"/>
      <c r="H106" s="595"/>
      <c r="I106" s="595"/>
      <c r="J106" s="595"/>
      <c r="K106" s="595"/>
      <c r="L106" s="595"/>
      <c r="M106" s="595"/>
      <c r="N106" s="595"/>
      <c r="O106" s="595"/>
    </row>
    <row r="107" spans="1:15" ht="15" customHeight="1">
      <c r="A107" s="595"/>
      <c r="B107" s="595"/>
      <c r="C107" s="595"/>
      <c r="D107" s="595"/>
      <c r="E107" s="595"/>
      <c r="F107" s="595"/>
      <c r="G107" s="595"/>
      <c r="H107" s="595"/>
      <c r="I107" s="595"/>
      <c r="J107" s="595"/>
      <c r="K107" s="595"/>
      <c r="L107" s="595"/>
      <c r="M107" s="595"/>
      <c r="N107" s="595"/>
      <c r="O107" s="595"/>
    </row>
    <row r="108" spans="1:15" ht="15" customHeight="1">
      <c r="A108" s="595"/>
      <c r="B108" s="595"/>
      <c r="C108" s="595"/>
      <c r="D108" s="595"/>
      <c r="E108" s="595"/>
      <c r="F108" s="595"/>
      <c r="G108" s="595"/>
      <c r="H108" s="595"/>
      <c r="I108" s="595"/>
      <c r="J108" s="595"/>
      <c r="K108" s="595"/>
      <c r="L108" s="595"/>
      <c r="M108" s="595"/>
      <c r="N108" s="595"/>
      <c r="O108" s="595"/>
    </row>
    <row r="109" spans="1:15" ht="15" customHeight="1">
      <c r="A109" s="595"/>
      <c r="B109" s="595"/>
      <c r="C109" s="595"/>
      <c r="D109" s="595"/>
      <c r="E109" s="595"/>
      <c r="F109" s="595"/>
      <c r="G109" s="595"/>
      <c r="H109" s="595"/>
      <c r="I109" s="595"/>
      <c r="J109" s="595"/>
      <c r="K109" s="595"/>
      <c r="L109" s="595"/>
      <c r="M109" s="595"/>
      <c r="N109" s="595"/>
      <c r="O109" s="595"/>
    </row>
    <row r="110" spans="1:15" ht="15" customHeight="1">
      <c r="A110" s="595"/>
      <c r="B110" s="595"/>
      <c r="C110" s="595"/>
      <c r="D110" s="595"/>
      <c r="E110" s="595"/>
      <c r="F110" s="595"/>
      <c r="G110" s="595"/>
      <c r="H110" s="595"/>
      <c r="I110" s="595"/>
      <c r="J110" s="595"/>
      <c r="K110" s="595"/>
      <c r="L110" s="595"/>
      <c r="M110" s="595"/>
      <c r="N110" s="595"/>
      <c r="O110" s="595"/>
    </row>
    <row r="111" spans="1:15" ht="15" customHeight="1">
      <c r="A111" s="595"/>
      <c r="B111" s="595"/>
      <c r="C111" s="595"/>
      <c r="D111" s="595"/>
      <c r="E111" s="595"/>
      <c r="F111" s="595"/>
      <c r="G111" s="595"/>
      <c r="H111" s="595"/>
      <c r="I111" s="595"/>
      <c r="J111" s="595"/>
      <c r="K111" s="595"/>
      <c r="L111" s="595"/>
      <c r="M111" s="595"/>
      <c r="N111" s="595"/>
      <c r="O111" s="595"/>
    </row>
    <row r="112" spans="1:15" ht="15" customHeight="1">
      <c r="A112" s="595"/>
      <c r="B112" s="595"/>
      <c r="C112" s="595"/>
      <c r="D112" s="595"/>
      <c r="E112" s="595"/>
      <c r="F112" s="595"/>
      <c r="G112" s="595"/>
      <c r="H112" s="595"/>
      <c r="I112" s="595"/>
      <c r="J112" s="595"/>
      <c r="K112" s="595"/>
      <c r="L112" s="595"/>
      <c r="M112" s="595"/>
      <c r="N112" s="595"/>
      <c r="O112" s="595"/>
    </row>
    <row r="113" spans="1:15" ht="15" customHeight="1">
      <c r="A113" s="595"/>
      <c r="B113" s="595"/>
      <c r="C113" s="595"/>
      <c r="D113" s="595"/>
      <c r="E113" s="595"/>
      <c r="F113" s="595"/>
      <c r="G113" s="595"/>
      <c r="H113" s="595"/>
      <c r="I113" s="595"/>
      <c r="J113" s="595"/>
      <c r="K113" s="595"/>
      <c r="L113" s="595"/>
      <c r="M113" s="595"/>
      <c r="N113" s="595"/>
      <c r="O113" s="595"/>
    </row>
    <row r="114" spans="1:15" ht="15" customHeight="1">
      <c r="A114" s="595"/>
      <c r="B114" s="595"/>
      <c r="C114" s="595"/>
      <c r="D114" s="595"/>
      <c r="E114" s="595"/>
      <c r="F114" s="595"/>
      <c r="G114" s="595"/>
      <c r="H114" s="595"/>
      <c r="I114" s="595"/>
      <c r="J114" s="595"/>
      <c r="K114" s="595"/>
      <c r="L114" s="595"/>
      <c r="M114" s="595"/>
      <c r="N114" s="595"/>
      <c r="O114" s="595"/>
    </row>
    <row r="115" spans="1:15" ht="15" customHeight="1">
      <c r="A115" s="595"/>
      <c r="B115" s="595"/>
      <c r="C115" s="595"/>
      <c r="D115" s="595"/>
      <c r="E115" s="595"/>
      <c r="F115" s="595"/>
      <c r="G115" s="595"/>
      <c r="H115" s="595"/>
      <c r="I115" s="595"/>
      <c r="J115" s="595"/>
      <c r="K115" s="595"/>
      <c r="L115" s="595"/>
      <c r="M115" s="595"/>
      <c r="N115" s="595"/>
      <c r="O115" s="595"/>
    </row>
    <row r="116" spans="1:15" ht="15" customHeight="1">
      <c r="A116" s="595"/>
      <c r="B116" s="595"/>
      <c r="C116" s="595"/>
      <c r="D116" s="595"/>
      <c r="E116" s="595"/>
      <c r="F116" s="595"/>
      <c r="G116" s="595"/>
      <c r="H116" s="595"/>
      <c r="I116" s="595"/>
      <c r="J116" s="595"/>
      <c r="K116" s="595"/>
      <c r="L116" s="595"/>
      <c r="M116" s="595"/>
      <c r="N116" s="595"/>
      <c r="O116" s="595"/>
    </row>
    <row r="117" spans="1:15" ht="15" customHeight="1">
      <c r="A117" s="595"/>
      <c r="B117" s="595"/>
      <c r="C117" s="595"/>
      <c r="D117" s="595"/>
      <c r="E117" s="595"/>
      <c r="F117" s="595"/>
      <c r="G117" s="595"/>
      <c r="H117" s="595"/>
      <c r="I117" s="595"/>
      <c r="J117" s="595"/>
      <c r="K117" s="595"/>
      <c r="L117" s="595"/>
      <c r="M117" s="595"/>
      <c r="N117" s="595"/>
      <c r="O117" s="595"/>
    </row>
    <row r="118" spans="1:15" ht="15" customHeight="1">
      <c r="A118" s="595"/>
      <c r="B118" s="595"/>
      <c r="C118" s="595"/>
      <c r="D118" s="595"/>
      <c r="E118" s="595"/>
      <c r="F118" s="595"/>
      <c r="G118" s="595"/>
      <c r="H118" s="595"/>
      <c r="I118" s="595"/>
      <c r="J118" s="595"/>
      <c r="K118" s="595"/>
      <c r="L118" s="595"/>
      <c r="M118" s="595"/>
      <c r="N118" s="595"/>
      <c r="O118" s="595"/>
    </row>
    <row r="119" spans="1:15" ht="15" customHeight="1">
      <c r="A119" s="595"/>
      <c r="B119" s="595"/>
      <c r="C119" s="595"/>
      <c r="D119" s="595"/>
      <c r="E119" s="595"/>
      <c r="F119" s="595"/>
      <c r="G119" s="595"/>
      <c r="H119" s="595"/>
      <c r="I119" s="595"/>
      <c r="J119" s="595"/>
      <c r="K119" s="595"/>
      <c r="L119" s="595"/>
      <c r="M119" s="595"/>
      <c r="N119" s="595"/>
      <c r="O119" s="595"/>
    </row>
    <row r="120" spans="1:15" ht="15" customHeight="1">
      <c r="A120" s="595"/>
      <c r="B120" s="595"/>
      <c r="C120" s="595"/>
      <c r="D120" s="595"/>
      <c r="E120" s="595"/>
      <c r="F120" s="595"/>
      <c r="G120" s="595"/>
      <c r="H120" s="595"/>
      <c r="I120" s="595"/>
      <c r="J120" s="595"/>
      <c r="K120" s="595"/>
      <c r="L120" s="595"/>
      <c r="M120" s="595"/>
      <c r="N120" s="595"/>
      <c r="O120" s="595"/>
    </row>
    <row r="121" spans="1:15" ht="15" customHeight="1">
      <c r="A121" s="595"/>
      <c r="B121" s="595"/>
      <c r="C121" s="595"/>
      <c r="D121" s="595"/>
      <c r="E121" s="595"/>
      <c r="F121" s="595"/>
      <c r="G121" s="595"/>
      <c r="H121" s="595"/>
      <c r="I121" s="595"/>
      <c r="J121" s="595"/>
      <c r="K121" s="595"/>
      <c r="L121" s="595"/>
      <c r="M121" s="595"/>
      <c r="N121" s="595"/>
      <c r="O121" s="595"/>
    </row>
    <row r="122" spans="1:15" ht="15" customHeight="1">
      <c r="A122" s="595"/>
      <c r="B122" s="595"/>
      <c r="C122" s="595"/>
      <c r="D122" s="595"/>
      <c r="E122" s="595"/>
      <c r="F122" s="595"/>
      <c r="G122" s="595"/>
      <c r="H122" s="595"/>
      <c r="I122" s="595"/>
      <c r="J122" s="595"/>
      <c r="K122" s="595"/>
      <c r="L122" s="595"/>
      <c r="M122" s="595"/>
      <c r="N122" s="595"/>
      <c r="O122" s="595"/>
    </row>
    <row r="123" spans="1:15" ht="15" customHeight="1">
      <c r="A123" s="595"/>
      <c r="B123" s="595"/>
      <c r="C123" s="595"/>
      <c r="D123" s="595"/>
      <c r="E123" s="595"/>
      <c r="F123" s="595"/>
      <c r="G123" s="595"/>
      <c r="H123" s="595"/>
      <c r="I123" s="595"/>
      <c r="J123" s="595"/>
      <c r="K123" s="595"/>
      <c r="L123" s="595"/>
      <c r="M123" s="595"/>
      <c r="N123" s="595"/>
      <c r="O123" s="595"/>
    </row>
    <row r="124" spans="1:15" ht="15" customHeight="1">
      <c r="A124" s="595"/>
      <c r="B124" s="595"/>
      <c r="C124" s="595"/>
      <c r="D124" s="595"/>
      <c r="E124" s="595"/>
      <c r="F124" s="595"/>
      <c r="G124" s="595"/>
      <c r="H124" s="595"/>
      <c r="I124" s="595"/>
      <c r="J124" s="595"/>
      <c r="K124" s="595"/>
      <c r="L124" s="595"/>
      <c r="M124" s="595"/>
      <c r="N124" s="595"/>
      <c r="O124" s="595"/>
    </row>
    <row r="125" spans="1:15" ht="15" customHeight="1">
      <c r="A125" s="595"/>
      <c r="B125" s="595"/>
      <c r="C125" s="595"/>
      <c r="D125" s="595"/>
      <c r="E125" s="595"/>
      <c r="F125" s="595"/>
      <c r="G125" s="595"/>
      <c r="H125" s="595"/>
      <c r="I125" s="595"/>
      <c r="J125" s="595"/>
      <c r="K125" s="595"/>
      <c r="L125" s="595"/>
      <c r="M125" s="595"/>
      <c r="N125" s="595"/>
      <c r="O125" s="595"/>
    </row>
    <row r="126" spans="1:15" ht="15" customHeight="1">
      <c r="A126" s="595"/>
      <c r="B126" s="595"/>
      <c r="C126" s="595"/>
      <c r="D126" s="595"/>
      <c r="E126" s="595"/>
      <c r="F126" s="595"/>
      <c r="G126" s="595"/>
      <c r="H126" s="595"/>
      <c r="I126" s="595"/>
      <c r="J126" s="595"/>
      <c r="K126" s="595"/>
      <c r="L126" s="595"/>
      <c r="M126" s="595"/>
      <c r="N126" s="595"/>
      <c r="O126" s="595"/>
    </row>
    <row r="127" spans="1:15" ht="15" customHeight="1">
      <c r="A127" s="595"/>
      <c r="B127" s="595"/>
      <c r="C127" s="595"/>
      <c r="D127" s="595"/>
      <c r="E127" s="595"/>
      <c r="F127" s="595"/>
      <c r="G127" s="595"/>
      <c r="H127" s="595"/>
      <c r="I127" s="595"/>
      <c r="J127" s="595"/>
      <c r="K127" s="595"/>
      <c r="L127" s="595"/>
      <c r="M127" s="595"/>
      <c r="N127" s="595"/>
      <c r="O127" s="595"/>
    </row>
    <row r="128" spans="1:15" ht="15" customHeight="1">
      <c r="A128" s="595"/>
      <c r="B128" s="595"/>
      <c r="C128" s="595"/>
      <c r="D128" s="595"/>
      <c r="E128" s="595"/>
      <c r="F128" s="595"/>
      <c r="G128" s="595"/>
      <c r="H128" s="595"/>
      <c r="I128" s="595"/>
      <c r="J128" s="595"/>
      <c r="K128" s="595"/>
      <c r="L128" s="595"/>
      <c r="M128" s="595"/>
      <c r="N128" s="595"/>
      <c r="O128" s="595"/>
    </row>
    <row r="129" spans="1:15" ht="15" customHeight="1">
      <c r="A129" s="595"/>
      <c r="B129" s="595"/>
      <c r="C129" s="595"/>
      <c r="D129" s="595"/>
      <c r="E129" s="595"/>
      <c r="F129" s="595"/>
      <c r="G129" s="595"/>
      <c r="H129" s="595"/>
      <c r="I129" s="595"/>
      <c r="J129" s="595"/>
      <c r="K129" s="595"/>
      <c r="L129" s="595"/>
      <c r="M129" s="595"/>
      <c r="N129" s="595"/>
      <c r="O129" s="595"/>
    </row>
    <row r="130" spans="1:15" ht="15" customHeight="1">
      <c r="A130" s="595"/>
      <c r="B130" s="595"/>
      <c r="C130" s="595"/>
      <c r="D130" s="595"/>
      <c r="E130" s="595"/>
      <c r="F130" s="595"/>
      <c r="G130" s="595"/>
      <c r="H130" s="595"/>
      <c r="I130" s="595"/>
      <c r="J130" s="595"/>
      <c r="K130" s="595"/>
      <c r="L130" s="595"/>
      <c r="M130" s="595"/>
      <c r="N130" s="595"/>
      <c r="O130" s="595"/>
    </row>
    <row r="131" spans="1:15" ht="15" customHeight="1">
      <c r="A131" s="595"/>
      <c r="B131" s="595"/>
      <c r="C131" s="595"/>
      <c r="D131" s="595"/>
      <c r="E131" s="595"/>
      <c r="F131" s="595"/>
      <c r="G131" s="595"/>
      <c r="H131" s="595"/>
      <c r="I131" s="595"/>
      <c r="J131" s="595"/>
      <c r="K131" s="595"/>
      <c r="L131" s="595"/>
      <c r="M131" s="595"/>
      <c r="N131" s="595"/>
      <c r="O131" s="595"/>
    </row>
    <row r="132" spans="1:15" ht="15" customHeight="1">
      <c r="A132" s="595"/>
      <c r="B132" s="595"/>
      <c r="C132" s="595"/>
      <c r="D132" s="595"/>
      <c r="E132" s="595"/>
      <c r="F132" s="595"/>
      <c r="G132" s="595"/>
      <c r="H132" s="595"/>
      <c r="I132" s="595"/>
      <c r="J132" s="595"/>
      <c r="K132" s="595"/>
      <c r="L132" s="595"/>
      <c r="M132" s="595"/>
      <c r="N132" s="595"/>
      <c r="O132" s="595"/>
    </row>
    <row r="133" spans="1:15" ht="15" customHeight="1">
      <c r="A133" s="595"/>
      <c r="B133" s="595"/>
      <c r="C133" s="595"/>
      <c r="D133" s="595"/>
      <c r="E133" s="595"/>
      <c r="F133" s="595"/>
      <c r="G133" s="595"/>
      <c r="H133" s="595"/>
      <c r="I133" s="595"/>
      <c r="J133" s="595"/>
      <c r="K133" s="595"/>
      <c r="L133" s="595"/>
      <c r="M133" s="595"/>
      <c r="N133" s="595"/>
      <c r="O133" s="595"/>
    </row>
    <row r="134" spans="1:15" ht="15" customHeight="1">
      <c r="A134" s="595"/>
      <c r="B134" s="595"/>
      <c r="C134" s="595"/>
      <c r="D134" s="595"/>
      <c r="E134" s="595"/>
      <c r="F134" s="595"/>
      <c r="G134" s="595"/>
      <c r="H134" s="595"/>
      <c r="I134" s="595"/>
      <c r="J134" s="595"/>
      <c r="K134" s="595"/>
      <c r="L134" s="595"/>
      <c r="M134" s="595"/>
      <c r="N134" s="595"/>
      <c r="O134" s="595"/>
    </row>
    <row r="135" spans="1:15" ht="15" customHeight="1">
      <c r="A135" s="595"/>
      <c r="B135" s="595"/>
      <c r="C135" s="595"/>
      <c r="D135" s="595"/>
      <c r="E135" s="595"/>
      <c r="F135" s="595"/>
      <c r="G135" s="595"/>
      <c r="H135" s="595"/>
      <c r="I135" s="595"/>
      <c r="J135" s="595"/>
      <c r="K135" s="595"/>
      <c r="L135" s="595"/>
      <c r="M135" s="595"/>
      <c r="N135" s="595"/>
      <c r="O135" s="595"/>
    </row>
    <row r="136" spans="1:15" ht="15" customHeight="1">
      <c r="A136" s="595"/>
      <c r="B136" s="595"/>
      <c r="C136" s="595"/>
      <c r="D136" s="595"/>
      <c r="E136" s="595"/>
      <c r="F136" s="595"/>
      <c r="G136" s="595"/>
      <c r="H136" s="595"/>
      <c r="I136" s="595"/>
      <c r="J136" s="595"/>
      <c r="K136" s="595"/>
      <c r="L136" s="595"/>
      <c r="M136" s="595"/>
      <c r="N136" s="595"/>
      <c r="O136" s="595"/>
    </row>
    <row r="137" spans="1:15" ht="15" customHeight="1">
      <c r="A137" s="595"/>
      <c r="B137" s="595"/>
      <c r="C137" s="595"/>
      <c r="D137" s="595"/>
      <c r="E137" s="595"/>
      <c r="F137" s="595"/>
      <c r="G137" s="595"/>
      <c r="H137" s="595"/>
      <c r="I137" s="595"/>
      <c r="J137" s="595"/>
      <c r="K137" s="595"/>
      <c r="L137" s="595"/>
      <c r="M137" s="595"/>
      <c r="N137" s="595"/>
      <c r="O137" s="595"/>
    </row>
    <row r="138" spans="1:15" ht="15" customHeight="1">
      <c r="A138" s="595"/>
      <c r="B138" s="595"/>
      <c r="C138" s="595"/>
      <c r="D138" s="595"/>
      <c r="E138" s="595"/>
      <c r="F138" s="595"/>
      <c r="G138" s="595"/>
      <c r="H138" s="595"/>
      <c r="I138" s="595"/>
      <c r="J138" s="595"/>
      <c r="K138" s="595"/>
      <c r="L138" s="595"/>
      <c r="M138" s="595"/>
      <c r="N138" s="595"/>
      <c r="O138" s="595"/>
    </row>
    <row r="139" spans="1:15" ht="15" customHeight="1">
      <c r="A139" s="595"/>
      <c r="B139" s="595"/>
      <c r="C139" s="595"/>
      <c r="D139" s="595"/>
      <c r="E139" s="595"/>
      <c r="F139" s="595"/>
      <c r="G139" s="595"/>
      <c r="H139" s="595"/>
      <c r="I139" s="595"/>
      <c r="J139" s="595"/>
      <c r="K139" s="595"/>
      <c r="L139" s="595"/>
      <c r="M139" s="595"/>
      <c r="N139" s="595"/>
      <c r="O139" s="595"/>
    </row>
    <row r="140" spans="1:15" ht="15" customHeight="1">
      <c r="A140" s="595"/>
      <c r="B140" s="595"/>
      <c r="C140" s="595"/>
      <c r="D140" s="595"/>
      <c r="E140" s="595"/>
      <c r="F140" s="595"/>
      <c r="G140" s="595"/>
      <c r="H140" s="595"/>
      <c r="I140" s="595"/>
      <c r="J140" s="595"/>
      <c r="K140" s="595"/>
      <c r="L140" s="595"/>
      <c r="M140" s="595"/>
      <c r="N140" s="595"/>
      <c r="O140" s="595"/>
    </row>
    <row r="141" spans="1:15" ht="15" customHeight="1">
      <c r="A141" s="595"/>
      <c r="B141" s="595"/>
      <c r="C141" s="595"/>
      <c r="D141" s="595"/>
      <c r="E141" s="595"/>
      <c r="F141" s="595"/>
      <c r="G141" s="595"/>
      <c r="H141" s="595"/>
      <c r="I141" s="595"/>
      <c r="J141" s="595"/>
      <c r="K141" s="595"/>
      <c r="L141" s="595"/>
      <c r="M141" s="595"/>
      <c r="N141" s="595"/>
      <c r="O141" s="595"/>
    </row>
    <row r="142" spans="1:15" ht="15" customHeight="1">
      <c r="A142" s="595"/>
      <c r="B142" s="595"/>
      <c r="C142" s="595"/>
      <c r="D142" s="595"/>
      <c r="E142" s="595"/>
      <c r="F142" s="595"/>
      <c r="G142" s="595"/>
      <c r="H142" s="595"/>
      <c r="I142" s="595"/>
      <c r="J142" s="595"/>
      <c r="K142" s="595"/>
      <c r="L142" s="595"/>
      <c r="M142" s="595"/>
      <c r="N142" s="595"/>
      <c r="O142" s="595"/>
    </row>
    <row r="143" spans="1:15" ht="15" customHeight="1">
      <c r="A143" s="595"/>
      <c r="B143" s="595"/>
      <c r="C143" s="595"/>
      <c r="D143" s="595"/>
      <c r="E143" s="595"/>
      <c r="F143" s="595"/>
      <c r="G143" s="595"/>
      <c r="H143" s="595"/>
      <c r="I143" s="595"/>
      <c r="J143" s="595"/>
      <c r="K143" s="595"/>
      <c r="L143" s="595"/>
      <c r="M143" s="595"/>
      <c r="N143" s="595"/>
      <c r="O143" s="595"/>
    </row>
    <row r="144" spans="1:15" ht="15" customHeight="1">
      <c r="A144" s="595"/>
      <c r="B144" s="595"/>
      <c r="C144" s="595"/>
      <c r="D144" s="595"/>
      <c r="E144" s="595"/>
      <c r="F144" s="595"/>
      <c r="G144" s="595"/>
      <c r="H144" s="595"/>
      <c r="I144" s="595"/>
      <c r="J144" s="595"/>
      <c r="K144" s="595"/>
      <c r="L144" s="595"/>
      <c r="M144" s="595"/>
      <c r="N144" s="595"/>
      <c r="O144" s="595"/>
    </row>
    <row r="145" spans="1:15" ht="15" customHeight="1">
      <c r="A145" s="595"/>
      <c r="B145" s="595"/>
      <c r="C145" s="595"/>
      <c r="D145" s="595"/>
      <c r="E145" s="595"/>
      <c r="F145" s="595"/>
      <c r="G145" s="595"/>
      <c r="H145" s="595"/>
      <c r="I145" s="595"/>
      <c r="J145" s="595"/>
      <c r="K145" s="595"/>
      <c r="L145" s="595"/>
      <c r="M145" s="595"/>
      <c r="N145" s="595"/>
      <c r="O145" s="595"/>
    </row>
    <row r="146" spans="1:15" ht="15" customHeight="1">
      <c r="A146" s="595"/>
      <c r="B146" s="595"/>
      <c r="C146" s="595"/>
      <c r="D146" s="595"/>
      <c r="E146" s="595"/>
      <c r="F146" s="595"/>
      <c r="G146" s="595"/>
      <c r="H146" s="595"/>
      <c r="I146" s="595"/>
      <c r="J146" s="595"/>
      <c r="K146" s="595"/>
      <c r="L146" s="595"/>
      <c r="M146" s="595"/>
      <c r="N146" s="595"/>
      <c r="O146" s="595"/>
    </row>
    <row r="147" spans="1:15" ht="15" customHeight="1">
      <c r="A147" s="595"/>
      <c r="B147" s="595"/>
      <c r="C147" s="595"/>
      <c r="D147" s="595"/>
      <c r="E147" s="595"/>
      <c r="F147" s="595"/>
      <c r="G147" s="595"/>
      <c r="H147" s="595"/>
      <c r="I147" s="595"/>
      <c r="J147" s="595"/>
      <c r="K147" s="595"/>
      <c r="L147" s="595"/>
      <c r="M147" s="595"/>
      <c r="N147" s="595"/>
      <c r="O147" s="595"/>
    </row>
    <row r="148" spans="1:15" ht="15" customHeight="1">
      <c r="A148" s="595"/>
      <c r="B148" s="595"/>
      <c r="C148" s="595"/>
      <c r="D148" s="595"/>
      <c r="E148" s="595"/>
      <c r="F148" s="595"/>
      <c r="G148" s="595"/>
      <c r="H148" s="595"/>
      <c r="I148" s="595"/>
      <c r="J148" s="595"/>
      <c r="K148" s="595"/>
      <c r="L148" s="595"/>
      <c r="M148" s="595"/>
      <c r="N148" s="595"/>
      <c r="O148" s="595"/>
    </row>
    <row r="149" spans="1:15" ht="15" customHeight="1">
      <c r="A149" s="595"/>
      <c r="B149" s="595"/>
      <c r="C149" s="595"/>
      <c r="D149" s="595"/>
      <c r="E149" s="595"/>
      <c r="F149" s="595"/>
      <c r="G149" s="595"/>
      <c r="H149" s="595"/>
      <c r="I149" s="595"/>
      <c r="J149" s="595"/>
      <c r="K149" s="595"/>
      <c r="L149" s="595"/>
      <c r="M149" s="595"/>
      <c r="N149" s="595"/>
      <c r="O149" s="595"/>
    </row>
    <row r="150" spans="1:15" ht="15" customHeight="1">
      <c r="A150" s="595"/>
      <c r="B150" s="595"/>
      <c r="C150" s="595"/>
      <c r="D150" s="595"/>
      <c r="E150" s="595"/>
      <c r="F150" s="595"/>
      <c r="G150" s="595"/>
      <c r="H150" s="595"/>
      <c r="I150" s="595"/>
      <c r="J150" s="595"/>
      <c r="K150" s="595"/>
      <c r="L150" s="595"/>
      <c r="M150" s="595"/>
      <c r="N150" s="595"/>
      <c r="O150" s="595"/>
    </row>
    <row r="151" spans="1:15" ht="15" customHeight="1">
      <c r="A151" s="595"/>
      <c r="B151" s="595"/>
      <c r="C151" s="595"/>
      <c r="D151" s="595"/>
      <c r="E151" s="595"/>
      <c r="F151" s="595"/>
      <c r="G151" s="595"/>
      <c r="H151" s="595"/>
      <c r="I151" s="595"/>
      <c r="J151" s="595"/>
      <c r="K151" s="595"/>
      <c r="L151" s="595"/>
      <c r="M151" s="595"/>
      <c r="N151" s="595"/>
      <c r="O151" s="595"/>
    </row>
    <row r="152" spans="1:15" ht="15" customHeight="1">
      <c r="A152" s="595"/>
      <c r="B152" s="595"/>
      <c r="C152" s="595"/>
      <c r="D152" s="595"/>
      <c r="E152" s="595"/>
      <c r="F152" s="595"/>
      <c r="G152" s="595"/>
      <c r="H152" s="595"/>
      <c r="I152" s="595"/>
      <c r="J152" s="595"/>
      <c r="K152" s="595"/>
      <c r="L152" s="595"/>
      <c r="M152" s="595"/>
      <c r="N152" s="595"/>
      <c r="O152" s="595"/>
    </row>
    <row r="153" spans="1:15" ht="15" customHeight="1">
      <c r="A153" s="595"/>
      <c r="B153" s="595"/>
      <c r="C153" s="595"/>
      <c r="D153" s="595"/>
      <c r="E153" s="595"/>
      <c r="F153" s="595"/>
      <c r="G153" s="595"/>
      <c r="H153" s="595"/>
      <c r="I153" s="595"/>
      <c r="J153" s="595"/>
      <c r="K153" s="595"/>
      <c r="L153" s="595"/>
      <c r="M153" s="595"/>
      <c r="N153" s="595"/>
      <c r="O153" s="595"/>
    </row>
    <row r="154" spans="1:15" ht="15" customHeight="1">
      <c r="A154" s="595"/>
      <c r="B154" s="595"/>
      <c r="C154" s="595"/>
      <c r="D154" s="595"/>
      <c r="E154" s="595"/>
      <c r="F154" s="595"/>
      <c r="G154" s="595"/>
      <c r="H154" s="595"/>
      <c r="I154" s="595"/>
      <c r="J154" s="595"/>
      <c r="K154" s="595"/>
      <c r="L154" s="595"/>
      <c r="M154" s="595"/>
      <c r="N154" s="595"/>
      <c r="O154" s="595"/>
    </row>
    <row r="155" spans="1:15" ht="15" customHeight="1">
      <c r="A155" s="595"/>
      <c r="B155" s="595"/>
      <c r="C155" s="595"/>
      <c r="D155" s="595"/>
      <c r="E155" s="595"/>
      <c r="F155" s="595"/>
      <c r="G155" s="595"/>
      <c r="H155" s="595"/>
      <c r="I155" s="595"/>
      <c r="J155" s="595"/>
      <c r="K155" s="595"/>
      <c r="L155" s="595"/>
      <c r="M155" s="595"/>
      <c r="N155" s="595"/>
      <c r="O155" s="595"/>
    </row>
    <row r="156" spans="1:15" ht="15" customHeight="1">
      <c r="A156" s="595"/>
      <c r="B156" s="595"/>
      <c r="C156" s="595"/>
      <c r="D156" s="595"/>
      <c r="E156" s="595"/>
      <c r="F156" s="595"/>
      <c r="G156" s="595"/>
      <c r="H156" s="595"/>
      <c r="I156" s="595"/>
      <c r="J156" s="595"/>
      <c r="K156" s="595"/>
      <c r="L156" s="595"/>
      <c r="M156" s="595"/>
      <c r="N156" s="595"/>
      <c r="O156" s="595"/>
    </row>
    <row r="157" spans="1:15" ht="15" customHeight="1">
      <c r="A157" s="595"/>
      <c r="B157" s="595"/>
      <c r="C157" s="595"/>
      <c r="D157" s="595"/>
      <c r="E157" s="595"/>
      <c r="F157" s="595"/>
      <c r="G157" s="595"/>
      <c r="H157" s="595"/>
      <c r="I157" s="595"/>
      <c r="J157" s="595"/>
      <c r="K157" s="595"/>
      <c r="L157" s="595"/>
      <c r="M157" s="595"/>
      <c r="N157" s="595"/>
      <c r="O157" s="595"/>
    </row>
    <row r="158" spans="1:15" ht="15" customHeight="1">
      <c r="A158" s="595"/>
      <c r="B158" s="595"/>
      <c r="C158" s="595"/>
      <c r="D158" s="595"/>
      <c r="E158" s="595"/>
      <c r="F158" s="595"/>
      <c r="G158" s="595"/>
      <c r="H158" s="595"/>
      <c r="I158" s="595"/>
      <c r="J158" s="595"/>
      <c r="K158" s="595"/>
      <c r="L158" s="595"/>
      <c r="M158" s="595"/>
      <c r="N158" s="595"/>
      <c r="O158" s="595"/>
    </row>
    <row r="159" spans="1:15" ht="15" customHeight="1">
      <c r="A159" s="595"/>
      <c r="B159" s="595"/>
      <c r="C159" s="595"/>
      <c r="D159" s="595"/>
      <c r="E159" s="595"/>
      <c r="F159" s="595"/>
      <c r="G159" s="595"/>
      <c r="H159" s="595"/>
      <c r="I159" s="595"/>
      <c r="J159" s="595"/>
      <c r="K159" s="595"/>
      <c r="L159" s="595"/>
      <c r="M159" s="595"/>
      <c r="N159" s="595"/>
      <c r="O159" s="595"/>
    </row>
    <row r="160" spans="1:15" ht="15" customHeight="1">
      <c r="A160" s="595"/>
      <c r="B160" s="595"/>
      <c r="C160" s="595"/>
      <c r="D160" s="595"/>
      <c r="E160" s="595"/>
      <c r="F160" s="595"/>
      <c r="G160" s="595"/>
      <c r="H160" s="595"/>
      <c r="I160" s="595"/>
      <c r="J160" s="595"/>
      <c r="K160" s="595"/>
      <c r="L160" s="595"/>
      <c r="M160" s="595"/>
      <c r="N160" s="595"/>
      <c r="O160" s="595"/>
    </row>
    <row r="161" spans="1:15" ht="15" customHeight="1">
      <c r="A161" s="595"/>
      <c r="B161" s="595"/>
      <c r="C161" s="595"/>
      <c r="D161" s="595"/>
      <c r="E161" s="595"/>
      <c r="F161" s="595"/>
      <c r="G161" s="595"/>
      <c r="H161" s="595"/>
      <c r="I161" s="595"/>
      <c r="J161" s="595"/>
      <c r="K161" s="595"/>
      <c r="L161" s="595"/>
      <c r="M161" s="595"/>
      <c r="N161" s="595"/>
      <c r="O161" s="595"/>
    </row>
    <row r="162" spans="1:15" ht="15" customHeight="1">
      <c r="A162" s="595"/>
      <c r="B162" s="595"/>
      <c r="C162" s="595"/>
      <c r="D162" s="595"/>
      <c r="E162" s="595"/>
      <c r="F162" s="595"/>
      <c r="G162" s="595"/>
      <c r="H162" s="595"/>
      <c r="I162" s="595"/>
      <c r="J162" s="595"/>
      <c r="K162" s="595"/>
      <c r="L162" s="595"/>
      <c r="M162" s="595"/>
      <c r="N162" s="595"/>
      <c r="O162" s="595"/>
    </row>
    <row r="163" spans="1:15" ht="15" customHeight="1">
      <c r="A163" s="595"/>
      <c r="B163" s="595"/>
      <c r="C163" s="595"/>
      <c r="D163" s="595"/>
      <c r="E163" s="595"/>
      <c r="F163" s="595"/>
      <c r="G163" s="595"/>
      <c r="H163" s="595"/>
      <c r="I163" s="595"/>
      <c r="J163" s="595"/>
      <c r="K163" s="595"/>
      <c r="L163" s="595"/>
      <c r="M163" s="595"/>
      <c r="N163" s="595"/>
      <c r="O163" s="595"/>
    </row>
    <row r="164" spans="1:15" ht="15" customHeight="1">
      <c r="A164" s="595"/>
      <c r="B164" s="595"/>
      <c r="C164" s="595"/>
      <c r="D164" s="595"/>
      <c r="E164" s="595"/>
      <c r="F164" s="595"/>
      <c r="G164" s="595"/>
      <c r="H164" s="595"/>
      <c r="I164" s="595"/>
      <c r="J164" s="595"/>
      <c r="K164" s="595"/>
      <c r="L164" s="595"/>
      <c r="M164" s="595"/>
      <c r="N164" s="595"/>
      <c r="O164" s="595"/>
    </row>
    <row r="165" spans="1:15" ht="15" customHeight="1">
      <c r="A165" s="595"/>
      <c r="B165" s="595"/>
      <c r="C165" s="595"/>
      <c r="D165" s="595"/>
      <c r="E165" s="595"/>
      <c r="F165" s="595"/>
      <c r="G165" s="595"/>
      <c r="H165" s="595"/>
      <c r="I165" s="595"/>
      <c r="J165" s="595"/>
      <c r="K165" s="595"/>
      <c r="L165" s="595"/>
      <c r="M165" s="595"/>
      <c r="N165" s="595"/>
      <c r="O165" s="595"/>
    </row>
    <row r="166" spans="1:15" ht="15" customHeight="1">
      <c r="A166" s="595"/>
      <c r="B166" s="595"/>
      <c r="C166" s="595"/>
      <c r="D166" s="595"/>
      <c r="E166" s="595"/>
      <c r="F166" s="595"/>
      <c r="G166" s="595"/>
      <c r="H166" s="595"/>
      <c r="I166" s="595"/>
      <c r="J166" s="595"/>
      <c r="K166" s="595"/>
      <c r="L166" s="595"/>
      <c r="M166" s="595"/>
      <c r="N166" s="595"/>
      <c r="O166" s="595"/>
    </row>
    <row r="167" spans="1:15" ht="15" customHeight="1">
      <c r="A167" s="595"/>
      <c r="B167" s="595"/>
      <c r="C167" s="595"/>
      <c r="D167" s="595"/>
      <c r="E167" s="595"/>
      <c r="F167" s="595"/>
      <c r="G167" s="595"/>
      <c r="H167" s="595"/>
      <c r="I167" s="595"/>
      <c r="J167" s="595"/>
      <c r="K167" s="595"/>
      <c r="L167" s="595"/>
      <c r="M167" s="595"/>
      <c r="N167" s="595"/>
      <c r="O167" s="595"/>
    </row>
    <row r="168" spans="1:15" ht="15" customHeight="1">
      <c r="A168" s="595"/>
      <c r="B168" s="595"/>
      <c r="C168" s="595"/>
      <c r="D168" s="595"/>
      <c r="E168" s="595"/>
      <c r="F168" s="595"/>
      <c r="G168" s="595"/>
      <c r="H168" s="595"/>
      <c r="I168" s="595"/>
      <c r="J168" s="595"/>
      <c r="K168" s="595"/>
      <c r="L168" s="595"/>
      <c r="M168" s="595"/>
      <c r="N168" s="595"/>
      <c r="O168" s="595"/>
    </row>
    <row r="169" spans="1:15" ht="15" customHeight="1">
      <c r="A169" s="595"/>
      <c r="B169" s="595"/>
      <c r="C169" s="595"/>
      <c r="D169" s="595"/>
      <c r="E169" s="595"/>
      <c r="F169" s="595"/>
      <c r="G169" s="595"/>
      <c r="H169" s="595"/>
      <c r="I169" s="595"/>
      <c r="J169" s="595"/>
      <c r="K169" s="595"/>
      <c r="L169" s="595"/>
      <c r="M169" s="595"/>
      <c r="N169" s="595"/>
      <c r="O169" s="595"/>
    </row>
    <row r="170" spans="1:15" ht="15" customHeight="1">
      <c r="A170" s="595"/>
      <c r="B170" s="595"/>
      <c r="C170" s="595"/>
      <c r="D170" s="595"/>
      <c r="E170" s="595"/>
      <c r="F170" s="595"/>
      <c r="G170" s="595"/>
      <c r="H170" s="595"/>
      <c r="I170" s="595"/>
      <c r="J170" s="595"/>
      <c r="K170" s="595"/>
      <c r="L170" s="595"/>
      <c r="M170" s="595"/>
      <c r="N170" s="595"/>
      <c r="O170" s="595"/>
    </row>
    <row r="171" spans="1:15" ht="15" customHeight="1">
      <c r="A171" s="595"/>
      <c r="B171" s="595"/>
      <c r="C171" s="595"/>
      <c r="D171" s="595"/>
      <c r="E171" s="595"/>
      <c r="F171" s="595"/>
      <c r="G171" s="595"/>
      <c r="H171" s="595"/>
      <c r="I171" s="595"/>
      <c r="J171" s="595"/>
      <c r="K171" s="595"/>
      <c r="L171" s="595"/>
      <c r="M171" s="595"/>
      <c r="N171" s="595"/>
      <c r="O171" s="595"/>
    </row>
    <row r="172" spans="1:15" ht="15" customHeight="1">
      <c r="A172" s="595"/>
      <c r="B172" s="595"/>
      <c r="C172" s="595"/>
      <c r="D172" s="595"/>
      <c r="E172" s="595"/>
      <c r="F172" s="595"/>
      <c r="G172" s="595"/>
      <c r="H172" s="595"/>
      <c r="I172" s="595"/>
      <c r="J172" s="595"/>
      <c r="K172" s="595"/>
      <c r="L172" s="595"/>
      <c r="M172" s="595"/>
      <c r="N172" s="595"/>
      <c r="O172" s="595"/>
    </row>
    <row r="173" spans="1:15" ht="15" customHeight="1">
      <c r="A173" s="595"/>
      <c r="B173" s="595"/>
      <c r="C173" s="595"/>
      <c r="D173" s="595"/>
      <c r="E173" s="595"/>
      <c r="F173" s="595"/>
      <c r="G173" s="595"/>
      <c r="H173" s="595"/>
      <c r="I173" s="595"/>
      <c r="J173" s="595"/>
      <c r="K173" s="595"/>
      <c r="L173" s="595"/>
      <c r="M173" s="595"/>
      <c r="N173" s="595"/>
      <c r="O173" s="595"/>
    </row>
    <row r="174" spans="1:15" ht="15" customHeight="1">
      <c r="A174" s="595"/>
      <c r="B174" s="595"/>
      <c r="C174" s="595"/>
      <c r="D174" s="595"/>
      <c r="E174" s="595"/>
      <c r="F174" s="595"/>
      <c r="G174" s="595"/>
      <c r="H174" s="595"/>
      <c r="I174" s="595"/>
      <c r="J174" s="595"/>
      <c r="K174" s="595"/>
      <c r="L174" s="595"/>
      <c r="M174" s="595"/>
      <c r="N174" s="595"/>
      <c r="O174" s="595"/>
    </row>
    <row r="175" spans="1:15" ht="15" customHeight="1">
      <c r="A175" s="595"/>
      <c r="B175" s="595"/>
      <c r="C175" s="595"/>
      <c r="D175" s="595"/>
      <c r="E175" s="595"/>
      <c r="F175" s="595"/>
      <c r="G175" s="595"/>
      <c r="H175" s="595"/>
      <c r="I175" s="595"/>
      <c r="J175" s="595"/>
      <c r="K175" s="595"/>
      <c r="L175" s="595"/>
      <c r="M175" s="595"/>
      <c r="N175" s="595"/>
      <c r="O175" s="595"/>
    </row>
    <row r="176" spans="1:15" ht="15" customHeight="1">
      <c r="A176" s="595"/>
      <c r="B176" s="595"/>
      <c r="C176" s="595"/>
      <c r="D176" s="595"/>
      <c r="E176" s="595"/>
      <c r="F176" s="595"/>
      <c r="G176" s="595"/>
      <c r="H176" s="595"/>
      <c r="I176" s="595"/>
      <c r="J176" s="595"/>
      <c r="K176" s="595"/>
      <c r="L176" s="595"/>
      <c r="M176" s="595"/>
      <c r="N176" s="595"/>
      <c r="O176" s="595"/>
    </row>
    <row r="177" spans="1:15" ht="15" customHeight="1">
      <c r="A177" s="595"/>
      <c r="B177" s="595"/>
      <c r="C177" s="595"/>
      <c r="D177" s="595"/>
      <c r="E177" s="595"/>
      <c r="F177" s="595"/>
      <c r="G177" s="595"/>
      <c r="H177" s="595"/>
      <c r="I177" s="595"/>
      <c r="J177" s="595"/>
      <c r="K177" s="595"/>
      <c r="L177" s="595"/>
      <c r="M177" s="595"/>
      <c r="N177" s="595"/>
      <c r="O177" s="595"/>
    </row>
    <row r="178" spans="1:15" ht="15" customHeight="1">
      <c r="A178" s="595"/>
      <c r="B178" s="595"/>
      <c r="C178" s="595"/>
      <c r="D178" s="595"/>
      <c r="E178" s="595"/>
      <c r="F178" s="595"/>
      <c r="G178" s="595"/>
      <c r="H178" s="595"/>
      <c r="I178" s="595"/>
      <c r="J178" s="595"/>
      <c r="K178" s="595"/>
      <c r="L178" s="595"/>
      <c r="M178" s="595"/>
      <c r="N178" s="595"/>
      <c r="O178" s="595"/>
    </row>
    <row r="179" spans="1:15" ht="15" customHeight="1">
      <c r="A179" s="595"/>
      <c r="B179" s="595"/>
      <c r="C179" s="595"/>
      <c r="D179" s="595"/>
      <c r="E179" s="595"/>
      <c r="F179" s="595"/>
      <c r="G179" s="595"/>
      <c r="H179" s="595"/>
      <c r="I179" s="595"/>
      <c r="J179" s="595"/>
      <c r="K179" s="595"/>
      <c r="L179" s="595"/>
      <c r="M179" s="595"/>
      <c r="N179" s="595"/>
      <c r="O179" s="595"/>
    </row>
    <row r="180" spans="1:15" ht="15" customHeight="1">
      <c r="A180" s="595"/>
      <c r="B180" s="595"/>
      <c r="C180" s="595"/>
      <c r="D180" s="595"/>
      <c r="E180" s="595"/>
      <c r="F180" s="595"/>
      <c r="G180" s="595"/>
      <c r="H180" s="595"/>
      <c r="I180" s="595"/>
      <c r="J180" s="595"/>
      <c r="K180" s="595"/>
      <c r="L180" s="595"/>
      <c r="M180" s="595"/>
      <c r="N180" s="595"/>
      <c r="O180" s="595"/>
    </row>
    <row r="181" spans="1:15" ht="15" customHeight="1">
      <c r="A181" s="595"/>
      <c r="B181" s="595"/>
      <c r="C181" s="595"/>
      <c r="D181" s="595"/>
      <c r="E181" s="595"/>
      <c r="F181" s="595"/>
      <c r="G181" s="595"/>
      <c r="H181" s="595"/>
      <c r="I181" s="595"/>
      <c r="J181" s="595"/>
      <c r="K181" s="595"/>
      <c r="L181" s="595"/>
      <c r="M181" s="595"/>
      <c r="N181" s="595"/>
      <c r="O181" s="595"/>
    </row>
    <row r="182" spans="1:15" ht="15" customHeight="1">
      <c r="A182" s="595"/>
      <c r="B182" s="595"/>
      <c r="C182" s="595"/>
      <c r="D182" s="595"/>
      <c r="E182" s="595"/>
      <c r="F182" s="595"/>
      <c r="G182" s="595"/>
      <c r="H182" s="595"/>
      <c r="I182" s="595"/>
      <c r="J182" s="595"/>
      <c r="K182" s="595"/>
      <c r="L182" s="595"/>
      <c r="M182" s="595"/>
      <c r="N182" s="595"/>
      <c r="O182" s="595"/>
    </row>
    <row r="183" spans="1:15" ht="15" customHeight="1">
      <c r="A183" s="595"/>
      <c r="B183" s="595"/>
      <c r="C183" s="595"/>
      <c r="D183" s="595"/>
      <c r="E183" s="595"/>
      <c r="F183" s="595"/>
      <c r="G183" s="595"/>
      <c r="H183" s="595"/>
      <c r="I183" s="595"/>
      <c r="J183" s="595"/>
      <c r="K183" s="595"/>
      <c r="L183" s="595"/>
      <c r="M183" s="595"/>
      <c r="N183" s="595"/>
      <c r="O183" s="595"/>
    </row>
    <row r="184" spans="1:15" ht="15" customHeight="1">
      <c r="A184" s="595"/>
      <c r="B184" s="595"/>
      <c r="C184" s="595"/>
      <c r="D184" s="595"/>
      <c r="E184" s="595"/>
      <c r="F184" s="595"/>
      <c r="G184" s="595"/>
      <c r="H184" s="595"/>
      <c r="I184" s="595"/>
      <c r="J184" s="595"/>
      <c r="K184" s="595"/>
      <c r="L184" s="595"/>
      <c r="M184" s="595"/>
      <c r="N184" s="595"/>
      <c r="O184" s="595"/>
    </row>
    <row r="185" spans="1:15" ht="15" customHeight="1">
      <c r="A185" s="595"/>
      <c r="B185" s="595"/>
      <c r="C185" s="595"/>
      <c r="D185" s="595"/>
      <c r="E185" s="595"/>
      <c r="F185" s="595"/>
      <c r="G185" s="595"/>
      <c r="H185" s="595"/>
      <c r="I185" s="595"/>
      <c r="J185" s="595"/>
      <c r="K185" s="595"/>
      <c r="L185" s="595"/>
      <c r="M185" s="595"/>
      <c r="N185" s="595"/>
      <c r="O185" s="595"/>
    </row>
    <row r="186" spans="1:15" ht="15" customHeight="1">
      <c r="A186" s="595"/>
      <c r="B186" s="595"/>
      <c r="C186" s="595"/>
      <c r="D186" s="595"/>
      <c r="E186" s="595"/>
      <c r="F186" s="595"/>
      <c r="G186" s="595"/>
      <c r="H186" s="595"/>
      <c r="I186" s="595"/>
      <c r="J186" s="595"/>
      <c r="K186" s="595"/>
      <c r="L186" s="595"/>
      <c r="M186" s="595"/>
      <c r="N186" s="595"/>
      <c r="O186" s="595"/>
    </row>
    <row r="187" spans="1:15" ht="15" customHeight="1">
      <c r="A187" s="595"/>
      <c r="B187" s="595"/>
      <c r="C187" s="595"/>
      <c r="D187" s="595"/>
      <c r="E187" s="595"/>
      <c r="F187" s="595"/>
      <c r="G187" s="595"/>
      <c r="H187" s="595"/>
      <c r="I187" s="595"/>
      <c r="J187" s="595"/>
      <c r="K187" s="595"/>
      <c r="L187" s="595"/>
      <c r="M187" s="595"/>
      <c r="N187" s="595"/>
      <c r="O187" s="595"/>
    </row>
    <row r="188" spans="1:15" ht="15" customHeight="1">
      <c r="A188" s="595"/>
      <c r="B188" s="595"/>
      <c r="C188" s="595"/>
      <c r="D188" s="595"/>
      <c r="E188" s="595"/>
      <c r="F188" s="595"/>
      <c r="G188" s="595"/>
      <c r="H188" s="595"/>
      <c r="I188" s="595"/>
      <c r="J188" s="595"/>
      <c r="K188" s="595"/>
      <c r="L188" s="595"/>
      <c r="M188" s="595"/>
      <c r="N188" s="595"/>
      <c r="O188" s="595"/>
    </row>
    <row r="189" spans="1:15" ht="15" customHeight="1">
      <c r="A189" s="595"/>
      <c r="B189" s="595"/>
      <c r="C189" s="595"/>
      <c r="D189" s="595"/>
      <c r="E189" s="595"/>
      <c r="F189" s="595"/>
      <c r="G189" s="595"/>
      <c r="H189" s="595"/>
      <c r="I189" s="595"/>
      <c r="J189" s="595"/>
      <c r="K189" s="595"/>
      <c r="L189" s="595"/>
      <c r="M189" s="595"/>
      <c r="N189" s="595"/>
      <c r="O189" s="595"/>
    </row>
    <row r="190" spans="1:15" ht="15" customHeight="1">
      <c r="A190" s="595"/>
      <c r="B190" s="595"/>
      <c r="C190" s="595"/>
      <c r="D190" s="595"/>
      <c r="E190" s="595"/>
      <c r="F190" s="595"/>
      <c r="G190" s="595"/>
      <c r="H190" s="595"/>
      <c r="I190" s="595"/>
      <c r="J190" s="595"/>
      <c r="K190" s="595"/>
      <c r="L190" s="595"/>
      <c r="M190" s="595"/>
      <c r="N190" s="595"/>
      <c r="O190" s="595"/>
    </row>
    <row r="191" spans="1:15" ht="15" customHeight="1">
      <c r="A191" s="595"/>
      <c r="B191" s="595"/>
      <c r="C191" s="595"/>
      <c r="D191" s="595"/>
      <c r="E191" s="595"/>
      <c r="F191" s="595"/>
      <c r="G191" s="595"/>
      <c r="H191" s="595"/>
      <c r="I191" s="595"/>
      <c r="J191" s="595"/>
      <c r="K191" s="595"/>
      <c r="L191" s="595"/>
      <c r="M191" s="595"/>
      <c r="N191" s="595"/>
      <c r="O191" s="595"/>
    </row>
    <row r="192" spans="1:15" ht="15" customHeight="1">
      <c r="A192" s="595"/>
      <c r="B192" s="595"/>
      <c r="C192" s="595"/>
      <c r="D192" s="595"/>
      <c r="E192" s="595"/>
      <c r="F192" s="595"/>
      <c r="G192" s="595"/>
      <c r="H192" s="595"/>
      <c r="I192" s="595"/>
      <c r="J192" s="595"/>
      <c r="K192" s="595"/>
      <c r="L192" s="595"/>
      <c r="M192" s="595"/>
      <c r="N192" s="595"/>
      <c r="O192" s="595"/>
    </row>
    <row r="193" spans="1:15" ht="15" customHeight="1">
      <c r="A193" s="595"/>
      <c r="B193" s="595"/>
      <c r="C193" s="595"/>
      <c r="D193" s="595"/>
      <c r="E193" s="595"/>
      <c r="F193" s="595"/>
      <c r="G193" s="595"/>
      <c r="H193" s="595"/>
      <c r="I193" s="595"/>
      <c r="J193" s="595"/>
      <c r="K193" s="595"/>
      <c r="L193" s="595"/>
      <c r="M193" s="595"/>
      <c r="N193" s="595"/>
      <c r="O193" s="595"/>
    </row>
    <row r="194" spans="1:15" ht="15" customHeight="1">
      <c r="A194" s="595"/>
      <c r="B194" s="595"/>
      <c r="C194" s="595"/>
      <c r="D194" s="595"/>
      <c r="E194" s="595"/>
      <c r="F194" s="595"/>
      <c r="G194" s="595"/>
      <c r="H194" s="595"/>
      <c r="I194" s="595"/>
      <c r="J194" s="595"/>
      <c r="K194" s="595"/>
      <c r="L194" s="595"/>
      <c r="M194" s="595"/>
      <c r="N194" s="595"/>
      <c r="O194" s="595"/>
    </row>
    <row r="195" spans="1:15" ht="15" customHeight="1">
      <c r="A195" s="595"/>
      <c r="B195" s="595"/>
      <c r="C195" s="595"/>
      <c r="D195" s="595"/>
      <c r="E195" s="595"/>
      <c r="F195" s="595"/>
      <c r="G195" s="595"/>
      <c r="H195" s="595"/>
      <c r="I195" s="595"/>
      <c r="J195" s="595"/>
      <c r="K195" s="595"/>
      <c r="L195" s="595"/>
      <c r="M195" s="595"/>
      <c r="N195" s="595"/>
      <c r="O195" s="595"/>
    </row>
    <row r="196" spans="1:15" ht="15" customHeight="1">
      <c r="A196" s="595"/>
      <c r="B196" s="595"/>
      <c r="C196" s="595"/>
      <c r="D196" s="595"/>
      <c r="E196" s="595"/>
      <c r="F196" s="595"/>
      <c r="G196" s="595"/>
      <c r="H196" s="595"/>
      <c r="I196" s="595"/>
      <c r="J196" s="595"/>
      <c r="K196" s="595"/>
      <c r="L196" s="595"/>
      <c r="M196" s="595"/>
      <c r="N196" s="595"/>
      <c r="O196" s="595"/>
    </row>
    <row r="197" spans="1:15" ht="15" customHeight="1">
      <c r="A197" s="595"/>
      <c r="B197" s="595"/>
      <c r="C197" s="595"/>
      <c r="D197" s="595"/>
      <c r="E197" s="595"/>
      <c r="F197" s="595"/>
      <c r="G197" s="595"/>
      <c r="H197" s="595"/>
      <c r="I197" s="595"/>
      <c r="J197" s="595"/>
      <c r="K197" s="595"/>
      <c r="L197" s="595"/>
      <c r="M197" s="595"/>
      <c r="N197" s="595"/>
      <c r="O197" s="595"/>
    </row>
    <row r="198" spans="1:15" ht="15" customHeight="1">
      <c r="A198" s="595"/>
      <c r="B198" s="595"/>
      <c r="C198" s="595"/>
      <c r="D198" s="595"/>
      <c r="E198" s="595"/>
      <c r="F198" s="595"/>
      <c r="G198" s="595"/>
      <c r="H198" s="595"/>
      <c r="I198" s="595"/>
      <c r="J198" s="595"/>
      <c r="K198" s="595"/>
      <c r="L198" s="595"/>
      <c r="M198" s="595"/>
      <c r="N198" s="595"/>
      <c r="O198" s="595"/>
    </row>
    <row r="199" spans="1:15" ht="15" customHeight="1">
      <c r="A199" s="595"/>
      <c r="B199" s="595"/>
      <c r="C199" s="595"/>
      <c r="D199" s="595"/>
      <c r="E199" s="595"/>
      <c r="F199" s="595"/>
      <c r="G199" s="595"/>
      <c r="H199" s="595"/>
      <c r="I199" s="595"/>
      <c r="J199" s="595"/>
      <c r="K199" s="595"/>
      <c r="L199" s="595"/>
      <c r="M199" s="595"/>
      <c r="N199" s="595"/>
      <c r="O199" s="595"/>
    </row>
    <row r="200" spans="1:15" ht="15" customHeight="1">
      <c r="A200" s="595"/>
      <c r="B200" s="595"/>
      <c r="C200" s="595"/>
      <c r="D200" s="595"/>
      <c r="E200" s="595"/>
      <c r="F200" s="595"/>
      <c r="G200" s="595"/>
      <c r="H200" s="595"/>
      <c r="I200" s="595"/>
      <c r="J200" s="595"/>
      <c r="K200" s="595"/>
      <c r="L200" s="595"/>
      <c r="M200" s="595"/>
      <c r="N200" s="595"/>
      <c r="O200" s="595"/>
    </row>
    <row r="201" spans="1:15" ht="15" customHeight="1">
      <c r="A201" s="595"/>
      <c r="B201" s="595"/>
      <c r="C201" s="595"/>
      <c r="D201" s="595"/>
      <c r="E201" s="595"/>
      <c r="F201" s="595"/>
      <c r="G201" s="595"/>
      <c r="H201" s="595"/>
      <c r="I201" s="595"/>
      <c r="J201" s="595"/>
      <c r="K201" s="595"/>
      <c r="L201" s="595"/>
      <c r="M201" s="595"/>
      <c r="N201" s="595"/>
      <c r="O201" s="595"/>
    </row>
    <row r="202" spans="1:15" ht="15" customHeight="1">
      <c r="A202" s="595"/>
      <c r="B202" s="595"/>
      <c r="C202" s="595"/>
      <c r="D202" s="595"/>
      <c r="E202" s="595"/>
      <c r="F202" s="595"/>
      <c r="G202" s="595"/>
      <c r="H202" s="595"/>
      <c r="I202" s="595"/>
      <c r="J202" s="595"/>
      <c r="K202" s="595"/>
      <c r="L202" s="595"/>
      <c r="M202" s="595"/>
      <c r="N202" s="595"/>
      <c r="O202" s="595"/>
    </row>
    <row r="203" spans="1:15" ht="15" customHeight="1">
      <c r="A203" s="595"/>
      <c r="B203" s="595"/>
      <c r="C203" s="595"/>
      <c r="D203" s="595"/>
      <c r="E203" s="595"/>
      <c r="F203" s="595"/>
      <c r="G203" s="595"/>
      <c r="H203" s="595"/>
      <c r="I203" s="595"/>
      <c r="J203" s="595"/>
      <c r="K203" s="595"/>
      <c r="L203" s="595"/>
      <c r="M203" s="595"/>
      <c r="N203" s="595"/>
      <c r="O203" s="595"/>
    </row>
    <row r="204" spans="1:15" ht="15" customHeight="1">
      <c r="A204" s="595"/>
      <c r="B204" s="595"/>
      <c r="C204" s="595"/>
      <c r="D204" s="595"/>
      <c r="E204" s="595"/>
      <c r="F204" s="595"/>
      <c r="G204" s="595"/>
      <c r="H204" s="595"/>
      <c r="I204" s="595"/>
      <c r="J204" s="595"/>
      <c r="K204" s="595"/>
      <c r="L204" s="595"/>
      <c r="M204" s="595"/>
      <c r="N204" s="595"/>
      <c r="O204" s="595"/>
    </row>
    <row r="205" spans="1:15" ht="15" customHeight="1">
      <c r="A205" s="595"/>
      <c r="B205" s="595"/>
      <c r="C205" s="595"/>
      <c r="D205" s="595"/>
      <c r="E205" s="595"/>
      <c r="F205" s="595"/>
      <c r="G205" s="595"/>
      <c r="H205" s="595"/>
      <c r="I205" s="595"/>
      <c r="J205" s="595"/>
      <c r="K205" s="595"/>
      <c r="L205" s="595"/>
      <c r="M205" s="595"/>
      <c r="N205" s="595"/>
      <c r="O205" s="595"/>
    </row>
    <row r="206" spans="1:15" ht="15" customHeight="1">
      <c r="A206" s="595"/>
      <c r="B206" s="595"/>
      <c r="C206" s="595"/>
      <c r="D206" s="595"/>
      <c r="E206" s="595"/>
      <c r="F206" s="595"/>
      <c r="G206" s="595"/>
      <c r="H206" s="595"/>
      <c r="I206" s="595"/>
      <c r="J206" s="595"/>
      <c r="K206" s="595"/>
      <c r="L206" s="595"/>
      <c r="M206" s="595"/>
      <c r="N206" s="595"/>
      <c r="O206" s="595"/>
    </row>
    <row r="207" spans="1:15" ht="15" customHeight="1">
      <c r="A207" s="595"/>
      <c r="B207" s="595"/>
      <c r="C207" s="595"/>
      <c r="D207" s="595"/>
      <c r="E207" s="595"/>
      <c r="F207" s="595"/>
      <c r="G207" s="595"/>
      <c r="H207" s="595"/>
      <c r="I207" s="595"/>
      <c r="J207" s="595"/>
      <c r="K207" s="595"/>
      <c r="L207" s="595"/>
      <c r="M207" s="595"/>
      <c r="N207" s="595"/>
      <c r="O207" s="595"/>
    </row>
    <row r="208" spans="1:15" ht="15" customHeight="1">
      <c r="A208" s="595"/>
      <c r="B208" s="595"/>
      <c r="C208" s="595"/>
      <c r="D208" s="595"/>
      <c r="E208" s="595"/>
      <c r="F208" s="595"/>
      <c r="G208" s="595"/>
      <c r="H208" s="595"/>
      <c r="I208" s="595"/>
      <c r="J208" s="595"/>
      <c r="K208" s="595"/>
      <c r="L208" s="595"/>
      <c r="M208" s="595"/>
      <c r="N208" s="595"/>
      <c r="O208" s="595"/>
    </row>
    <row r="209" spans="1:15" ht="15" customHeight="1">
      <c r="A209" s="595"/>
      <c r="B209" s="595"/>
      <c r="C209" s="595"/>
      <c r="D209" s="595"/>
      <c r="E209" s="595"/>
      <c r="F209" s="595"/>
      <c r="G209" s="595"/>
      <c r="H209" s="595"/>
      <c r="I209" s="595"/>
      <c r="J209" s="595"/>
      <c r="K209" s="595"/>
      <c r="L209" s="595"/>
      <c r="M209" s="595"/>
      <c r="N209" s="595"/>
      <c r="O209" s="595"/>
    </row>
    <row r="210" spans="1:15" ht="15" customHeight="1">
      <c r="A210" s="595"/>
      <c r="B210" s="595"/>
      <c r="C210" s="595"/>
      <c r="D210" s="595"/>
      <c r="E210" s="595"/>
      <c r="F210" s="595"/>
      <c r="G210" s="595"/>
      <c r="H210" s="595"/>
      <c r="I210" s="595"/>
      <c r="J210" s="595"/>
      <c r="K210" s="595"/>
      <c r="L210" s="595"/>
      <c r="M210" s="595"/>
      <c r="N210" s="595"/>
      <c r="O210" s="595"/>
    </row>
    <row r="211" spans="1:15" ht="15" customHeight="1">
      <c r="A211" s="595"/>
      <c r="B211" s="595"/>
      <c r="C211" s="595"/>
      <c r="D211" s="595"/>
      <c r="E211" s="595"/>
      <c r="F211" s="595"/>
      <c r="G211" s="595"/>
      <c r="H211" s="595"/>
      <c r="I211" s="595"/>
      <c r="J211" s="595"/>
      <c r="K211" s="595"/>
      <c r="L211" s="595"/>
      <c r="M211" s="595"/>
      <c r="N211" s="595"/>
      <c r="O211" s="595"/>
    </row>
    <row r="212" spans="1:15" ht="15" customHeight="1">
      <c r="A212" s="595"/>
      <c r="B212" s="595"/>
      <c r="C212" s="595"/>
      <c r="D212" s="595"/>
      <c r="E212" s="595"/>
      <c r="F212" s="595"/>
      <c r="G212" s="595"/>
      <c r="H212" s="595"/>
      <c r="I212" s="595"/>
      <c r="J212" s="595"/>
      <c r="K212" s="595"/>
      <c r="L212" s="595"/>
      <c r="M212" s="595"/>
      <c r="N212" s="595"/>
      <c r="O212" s="595"/>
    </row>
    <row r="213" spans="1:15" ht="15" customHeight="1">
      <c r="A213" s="595"/>
      <c r="B213" s="595"/>
      <c r="C213" s="595"/>
      <c r="D213" s="595"/>
      <c r="E213" s="595"/>
      <c r="F213" s="595"/>
      <c r="G213" s="595"/>
      <c r="H213" s="595"/>
      <c r="I213" s="595"/>
      <c r="J213" s="595"/>
      <c r="K213" s="595"/>
      <c r="L213" s="595"/>
      <c r="M213" s="595"/>
      <c r="N213" s="595"/>
      <c r="O213" s="595"/>
    </row>
    <row r="214" spans="1:15" ht="15" customHeight="1">
      <c r="A214" s="595"/>
      <c r="B214" s="595"/>
      <c r="C214" s="595"/>
      <c r="D214" s="595"/>
      <c r="E214" s="595"/>
      <c r="F214" s="595"/>
      <c r="G214" s="595"/>
      <c r="H214" s="595"/>
      <c r="I214" s="595"/>
      <c r="J214" s="595"/>
      <c r="K214" s="595"/>
      <c r="L214" s="595"/>
      <c r="M214" s="595"/>
      <c r="N214" s="595"/>
      <c r="O214" s="595"/>
    </row>
    <row r="215" spans="1:15" ht="15" customHeight="1">
      <c r="A215" s="595"/>
      <c r="B215" s="595"/>
      <c r="C215" s="595"/>
      <c r="D215" s="595"/>
      <c r="E215" s="595"/>
      <c r="F215" s="595"/>
      <c r="G215" s="595"/>
      <c r="H215" s="595"/>
      <c r="I215" s="595"/>
      <c r="J215" s="595"/>
      <c r="K215" s="595"/>
      <c r="L215" s="595"/>
      <c r="M215" s="595"/>
      <c r="N215" s="595"/>
      <c r="O215" s="595"/>
    </row>
    <row r="216" spans="1:15" ht="15" customHeight="1">
      <c r="A216" s="595"/>
      <c r="B216" s="595"/>
      <c r="C216" s="595"/>
      <c r="D216" s="595"/>
      <c r="E216" s="595"/>
      <c r="F216" s="595"/>
      <c r="G216" s="595"/>
      <c r="H216" s="595"/>
      <c r="I216" s="595"/>
      <c r="J216" s="595"/>
      <c r="K216" s="595"/>
      <c r="L216" s="595"/>
      <c r="M216" s="595"/>
      <c r="N216" s="595"/>
      <c r="O216" s="595"/>
    </row>
    <row r="217" spans="1:15" ht="15" customHeight="1">
      <c r="A217" s="595"/>
      <c r="B217" s="595"/>
      <c r="C217" s="595"/>
      <c r="D217" s="595"/>
      <c r="E217" s="595"/>
      <c r="F217" s="595"/>
      <c r="G217" s="595"/>
      <c r="H217" s="595"/>
      <c r="I217" s="595"/>
      <c r="J217" s="595"/>
      <c r="K217" s="595"/>
      <c r="L217" s="595"/>
      <c r="M217" s="595"/>
      <c r="N217" s="595"/>
      <c r="O217" s="595"/>
    </row>
    <row r="218" spans="1:15" ht="15" customHeight="1">
      <c r="A218" s="595"/>
      <c r="B218" s="595"/>
      <c r="C218" s="595"/>
      <c r="D218" s="595"/>
      <c r="E218" s="595"/>
      <c r="F218" s="595"/>
      <c r="G218" s="595"/>
      <c r="H218" s="595"/>
      <c r="I218" s="595"/>
      <c r="J218" s="595"/>
      <c r="K218" s="595"/>
      <c r="L218" s="595"/>
      <c r="M218" s="595"/>
      <c r="N218" s="595"/>
      <c r="O218" s="595"/>
    </row>
    <row r="219" spans="1:15" ht="15" customHeight="1">
      <c r="A219" s="595"/>
      <c r="B219" s="595"/>
      <c r="C219" s="595"/>
      <c r="D219" s="595"/>
      <c r="E219" s="595"/>
      <c r="F219" s="595"/>
      <c r="G219" s="595"/>
      <c r="H219" s="595"/>
      <c r="I219" s="595"/>
      <c r="J219" s="595"/>
      <c r="K219" s="595"/>
      <c r="L219" s="595"/>
      <c r="M219" s="595"/>
      <c r="N219" s="595"/>
      <c r="O219" s="595"/>
    </row>
    <row r="220" spans="1:15" ht="15" customHeight="1">
      <c r="A220" s="595"/>
      <c r="B220" s="595"/>
      <c r="C220" s="595"/>
      <c r="D220" s="595"/>
      <c r="E220" s="595"/>
      <c r="F220" s="595"/>
      <c r="G220" s="595"/>
      <c r="H220" s="595"/>
      <c r="I220" s="595"/>
      <c r="J220" s="595"/>
      <c r="K220" s="595"/>
      <c r="L220" s="595"/>
      <c r="M220" s="595"/>
      <c r="N220" s="595"/>
      <c r="O220" s="595"/>
    </row>
    <row r="221" spans="1:15" ht="15" customHeight="1">
      <c r="A221" s="595"/>
      <c r="B221" s="595"/>
      <c r="C221" s="595"/>
      <c r="D221" s="595"/>
      <c r="E221" s="595"/>
      <c r="F221" s="595"/>
      <c r="G221" s="595"/>
      <c r="H221" s="595"/>
      <c r="I221" s="595"/>
      <c r="J221" s="595"/>
      <c r="K221" s="595"/>
      <c r="L221" s="595"/>
      <c r="M221" s="595"/>
      <c r="N221" s="595"/>
      <c r="O221" s="595"/>
    </row>
    <row r="222" spans="1:15" ht="15" customHeight="1">
      <c r="A222" s="595"/>
      <c r="B222" s="595"/>
      <c r="C222" s="595"/>
      <c r="D222" s="595"/>
      <c r="E222" s="595"/>
      <c r="F222" s="595"/>
      <c r="G222" s="595"/>
      <c r="H222" s="595"/>
      <c r="I222" s="595"/>
      <c r="J222" s="595"/>
      <c r="K222" s="595"/>
      <c r="L222" s="595"/>
      <c r="M222" s="595"/>
      <c r="N222" s="595"/>
      <c r="O222" s="595"/>
    </row>
    <row r="223" spans="1:15" ht="15" customHeight="1">
      <c r="A223" s="595"/>
      <c r="B223" s="595"/>
      <c r="C223" s="595"/>
      <c r="D223" s="595"/>
      <c r="E223" s="595"/>
      <c r="F223" s="595"/>
      <c r="G223" s="595"/>
      <c r="H223" s="595"/>
      <c r="I223" s="595"/>
      <c r="J223" s="595"/>
      <c r="K223" s="595"/>
      <c r="L223" s="595"/>
      <c r="M223" s="595"/>
      <c r="N223" s="595"/>
      <c r="O223" s="595"/>
    </row>
    <row r="224" spans="1:15" ht="15" customHeight="1">
      <c r="A224" s="595"/>
      <c r="B224" s="595"/>
      <c r="C224" s="595"/>
      <c r="D224" s="595"/>
      <c r="E224" s="595"/>
      <c r="F224" s="595"/>
      <c r="G224" s="595"/>
      <c r="H224" s="595"/>
      <c r="I224" s="595"/>
      <c r="J224" s="595"/>
      <c r="K224" s="595"/>
      <c r="L224" s="595"/>
      <c r="M224" s="595"/>
      <c r="N224" s="595"/>
      <c r="O224" s="595"/>
    </row>
    <row r="225" spans="1:15" ht="15" customHeight="1">
      <c r="A225" s="595"/>
      <c r="B225" s="595"/>
      <c r="C225" s="595"/>
      <c r="D225" s="595"/>
      <c r="E225" s="595"/>
      <c r="F225" s="595"/>
      <c r="G225" s="595"/>
      <c r="H225" s="595"/>
      <c r="I225" s="595"/>
      <c r="J225" s="595"/>
      <c r="K225" s="595"/>
      <c r="L225" s="595"/>
      <c r="M225" s="595"/>
      <c r="N225" s="595"/>
      <c r="O225" s="595"/>
    </row>
    <row r="226" spans="1:15" ht="15" customHeight="1">
      <c r="A226" s="595"/>
      <c r="B226" s="595"/>
      <c r="C226" s="595"/>
      <c r="D226" s="595"/>
      <c r="E226" s="595"/>
      <c r="F226" s="595"/>
      <c r="G226" s="595"/>
      <c r="H226" s="595"/>
      <c r="I226" s="595"/>
      <c r="J226" s="595"/>
      <c r="K226" s="595"/>
      <c r="L226" s="595"/>
      <c r="M226" s="595"/>
      <c r="N226" s="595"/>
      <c r="O226" s="595"/>
    </row>
    <row r="227" spans="1:15" ht="15" customHeight="1">
      <c r="A227" s="595"/>
      <c r="B227" s="595"/>
      <c r="C227" s="595"/>
      <c r="D227" s="595"/>
      <c r="E227" s="595"/>
      <c r="F227" s="595"/>
      <c r="G227" s="595"/>
      <c r="H227" s="595"/>
      <c r="I227" s="595"/>
      <c r="J227" s="595"/>
      <c r="K227" s="595"/>
      <c r="L227" s="595"/>
      <c r="M227" s="595"/>
      <c r="N227" s="595"/>
      <c r="O227" s="595"/>
    </row>
    <row r="228" spans="1:15" ht="15" customHeight="1">
      <c r="A228" s="595"/>
      <c r="B228" s="595"/>
      <c r="C228" s="595"/>
      <c r="D228" s="595"/>
      <c r="E228" s="595"/>
      <c r="F228" s="595"/>
      <c r="G228" s="595"/>
      <c r="H228" s="595"/>
      <c r="I228" s="595"/>
      <c r="J228" s="595"/>
      <c r="K228" s="595"/>
      <c r="L228" s="595"/>
      <c r="M228" s="595"/>
      <c r="N228" s="595"/>
      <c r="O228" s="595"/>
    </row>
    <row r="229" spans="1:15" ht="15" customHeight="1">
      <c r="A229" s="595"/>
      <c r="B229" s="595"/>
      <c r="C229" s="595"/>
      <c r="D229" s="595"/>
      <c r="E229" s="595"/>
      <c r="F229" s="595"/>
      <c r="G229" s="595"/>
      <c r="H229" s="595"/>
      <c r="I229" s="595"/>
      <c r="J229" s="595"/>
      <c r="K229" s="595"/>
      <c r="L229" s="595"/>
      <c r="M229" s="595"/>
      <c r="N229" s="595"/>
      <c r="O229" s="595"/>
    </row>
    <row r="230" spans="1:15" ht="15" customHeight="1">
      <c r="A230" s="595"/>
      <c r="B230" s="595"/>
      <c r="C230" s="595"/>
      <c r="D230" s="595"/>
      <c r="E230" s="595"/>
      <c r="F230" s="595"/>
      <c r="G230" s="595"/>
      <c r="H230" s="595"/>
      <c r="I230" s="595"/>
      <c r="J230" s="595"/>
      <c r="K230" s="595"/>
      <c r="L230" s="595"/>
      <c r="M230" s="595"/>
      <c r="N230" s="595"/>
      <c r="O230" s="595"/>
    </row>
    <row r="231" spans="1:15" ht="15" customHeight="1">
      <c r="A231" s="595"/>
      <c r="B231" s="595"/>
      <c r="C231" s="595"/>
      <c r="D231" s="595"/>
      <c r="E231" s="595"/>
      <c r="F231" s="595"/>
      <c r="G231" s="595"/>
      <c r="H231" s="595"/>
      <c r="I231" s="595"/>
      <c r="J231" s="595"/>
      <c r="K231" s="595"/>
      <c r="L231" s="595"/>
      <c r="M231" s="595"/>
      <c r="N231" s="595"/>
      <c r="O231" s="595"/>
    </row>
    <row r="232" spans="1:15" ht="15" customHeight="1">
      <c r="A232" s="595"/>
      <c r="B232" s="595"/>
      <c r="C232" s="595"/>
      <c r="D232" s="595"/>
      <c r="E232" s="595"/>
      <c r="F232" s="595"/>
      <c r="G232" s="595"/>
      <c r="H232" s="595"/>
      <c r="I232" s="595"/>
      <c r="J232" s="595"/>
      <c r="K232" s="595"/>
      <c r="L232" s="595"/>
      <c r="M232" s="595"/>
      <c r="N232" s="595"/>
      <c r="O232" s="595"/>
    </row>
    <row r="233" spans="1:15" ht="15" customHeight="1">
      <c r="A233" s="595"/>
      <c r="B233" s="595"/>
      <c r="C233" s="595"/>
      <c r="D233" s="595"/>
      <c r="E233" s="595"/>
      <c r="F233" s="595"/>
      <c r="G233" s="595"/>
      <c r="H233" s="595"/>
      <c r="I233" s="595"/>
      <c r="J233" s="595"/>
      <c r="K233" s="595"/>
      <c r="L233" s="595"/>
      <c r="M233" s="595"/>
      <c r="N233" s="595"/>
      <c r="O233" s="595"/>
    </row>
    <row r="234" spans="1:15" ht="15" customHeight="1">
      <c r="A234" s="595"/>
      <c r="B234" s="595"/>
      <c r="C234" s="595"/>
      <c r="D234" s="595"/>
      <c r="E234" s="595"/>
      <c r="F234" s="595"/>
      <c r="G234" s="595"/>
      <c r="H234" s="595"/>
      <c r="I234" s="595"/>
      <c r="J234" s="595"/>
      <c r="K234" s="595"/>
      <c r="L234" s="595"/>
      <c r="M234" s="595"/>
      <c r="N234" s="595"/>
      <c r="O234" s="595"/>
    </row>
    <row r="235" spans="1:15" ht="15" customHeight="1">
      <c r="A235" s="595"/>
      <c r="B235" s="595"/>
      <c r="C235" s="595"/>
      <c r="D235" s="595"/>
      <c r="E235" s="595"/>
      <c r="F235" s="595"/>
      <c r="G235" s="595"/>
      <c r="H235" s="595"/>
      <c r="I235" s="595"/>
      <c r="J235" s="595"/>
      <c r="K235" s="595"/>
      <c r="L235" s="595"/>
      <c r="M235" s="595"/>
      <c r="N235" s="595"/>
      <c r="O235" s="595"/>
    </row>
    <row r="236" spans="1:15" ht="15" customHeight="1">
      <c r="A236" s="595"/>
      <c r="B236" s="595"/>
      <c r="C236" s="595"/>
      <c r="D236" s="595"/>
      <c r="E236" s="595"/>
      <c r="F236" s="595"/>
      <c r="G236" s="595"/>
      <c r="H236" s="595"/>
      <c r="I236" s="595"/>
      <c r="J236" s="595"/>
      <c r="K236" s="595"/>
      <c r="L236" s="595"/>
      <c r="M236" s="595"/>
      <c r="N236" s="595"/>
      <c r="O236" s="595"/>
    </row>
    <row r="237" spans="1:15" ht="15" customHeight="1">
      <c r="A237" s="595"/>
      <c r="B237" s="595"/>
      <c r="C237" s="595"/>
      <c r="D237" s="595"/>
      <c r="E237" s="595"/>
      <c r="F237" s="595"/>
      <c r="G237" s="595"/>
      <c r="H237" s="595"/>
      <c r="I237" s="595"/>
      <c r="J237" s="595"/>
      <c r="K237" s="595"/>
      <c r="L237" s="595"/>
      <c r="M237" s="595"/>
      <c r="N237" s="595"/>
      <c r="O237" s="595"/>
    </row>
    <row r="238" spans="1:15" ht="15" customHeight="1">
      <c r="A238" s="595"/>
      <c r="B238" s="595"/>
      <c r="C238" s="595"/>
      <c r="D238" s="595"/>
      <c r="E238" s="595"/>
      <c r="F238" s="595"/>
      <c r="G238" s="595"/>
      <c r="H238" s="595"/>
      <c r="I238" s="595"/>
      <c r="J238" s="595"/>
      <c r="K238" s="595"/>
      <c r="L238" s="595"/>
      <c r="M238" s="595"/>
      <c r="N238" s="595"/>
      <c r="O238" s="595"/>
    </row>
    <row r="239" spans="1:15" ht="15" customHeight="1">
      <c r="A239" s="595"/>
      <c r="B239" s="595"/>
      <c r="C239" s="595"/>
      <c r="D239" s="595"/>
      <c r="E239" s="595"/>
      <c r="F239" s="595"/>
      <c r="G239" s="595"/>
      <c r="H239" s="595"/>
      <c r="I239" s="595"/>
      <c r="J239" s="595"/>
      <c r="K239" s="595"/>
      <c r="L239" s="595"/>
      <c r="M239" s="595"/>
      <c r="N239" s="595"/>
      <c r="O239" s="595"/>
    </row>
    <row r="240" spans="1:15" ht="15" customHeight="1">
      <c r="A240" s="595"/>
      <c r="B240" s="595"/>
      <c r="C240" s="595"/>
      <c r="D240" s="595"/>
      <c r="E240" s="595"/>
      <c r="F240" s="595"/>
      <c r="G240" s="595"/>
      <c r="H240" s="595"/>
      <c r="I240" s="595"/>
      <c r="J240" s="595"/>
      <c r="K240" s="595"/>
      <c r="L240" s="595"/>
      <c r="M240" s="595"/>
      <c r="N240" s="595"/>
      <c r="O240" s="595"/>
    </row>
    <row r="241" spans="1:15" ht="15" customHeight="1">
      <c r="A241" s="595"/>
      <c r="B241" s="595"/>
      <c r="C241" s="595"/>
      <c r="D241" s="595"/>
      <c r="E241" s="595"/>
      <c r="F241" s="595"/>
      <c r="G241" s="595"/>
      <c r="H241" s="595"/>
      <c r="I241" s="595"/>
      <c r="J241" s="595"/>
      <c r="K241" s="595"/>
      <c r="L241" s="595"/>
      <c r="M241" s="595"/>
      <c r="N241" s="595"/>
      <c r="O241" s="595"/>
    </row>
    <row r="242" spans="1:15" ht="15" customHeight="1">
      <c r="A242" s="595"/>
      <c r="B242" s="595"/>
      <c r="C242" s="595"/>
      <c r="D242" s="595"/>
      <c r="E242" s="595"/>
      <c r="F242" s="595"/>
      <c r="G242" s="595"/>
      <c r="H242" s="595"/>
      <c r="I242" s="595"/>
      <c r="J242" s="595"/>
      <c r="K242" s="595"/>
      <c r="L242" s="595"/>
      <c r="M242" s="595"/>
      <c r="N242" s="595"/>
      <c r="O242" s="595"/>
    </row>
    <row r="243" spans="1:15" ht="15" customHeight="1">
      <c r="A243" s="595"/>
      <c r="B243" s="595"/>
      <c r="C243" s="595"/>
      <c r="D243" s="595"/>
      <c r="E243" s="595"/>
      <c r="F243" s="595"/>
      <c r="G243" s="595"/>
      <c r="H243" s="595"/>
      <c r="I243" s="595"/>
      <c r="J243" s="595"/>
      <c r="K243" s="595"/>
      <c r="L243" s="595"/>
      <c r="M243" s="595"/>
      <c r="N243" s="595"/>
      <c r="O243" s="595"/>
    </row>
    <row r="244" spans="1:15" ht="15" customHeight="1">
      <c r="A244" s="595"/>
      <c r="B244" s="595"/>
      <c r="C244" s="595"/>
      <c r="D244" s="595"/>
      <c r="E244" s="595"/>
      <c r="F244" s="595"/>
      <c r="G244" s="595"/>
      <c r="H244" s="595"/>
      <c r="I244" s="595"/>
      <c r="J244" s="595"/>
      <c r="K244" s="595"/>
      <c r="L244" s="595"/>
      <c r="M244" s="595"/>
      <c r="N244" s="595"/>
      <c r="O244" s="595"/>
    </row>
    <row r="245" spans="1:15" ht="15" customHeight="1">
      <c r="A245" s="595"/>
      <c r="B245" s="595"/>
      <c r="C245" s="595"/>
      <c r="D245" s="595"/>
      <c r="E245" s="595"/>
      <c r="F245" s="595"/>
      <c r="G245" s="595"/>
      <c r="H245" s="595"/>
      <c r="I245" s="595"/>
      <c r="J245" s="595"/>
      <c r="K245" s="595"/>
      <c r="L245" s="595"/>
      <c r="M245" s="595"/>
      <c r="N245" s="595"/>
      <c r="O245" s="595"/>
    </row>
    <row r="246" spans="1:15" ht="15" customHeight="1">
      <c r="A246" s="595"/>
      <c r="B246" s="595"/>
      <c r="C246" s="595"/>
      <c r="D246" s="595"/>
      <c r="E246" s="595"/>
      <c r="F246" s="595"/>
      <c r="G246" s="595"/>
      <c r="H246" s="595"/>
      <c r="I246" s="595"/>
      <c r="J246" s="595"/>
      <c r="K246" s="595"/>
      <c r="L246" s="595"/>
      <c r="M246" s="595"/>
      <c r="N246" s="595"/>
      <c r="O246" s="595"/>
    </row>
    <row r="247" spans="1:15" ht="15" customHeight="1">
      <c r="A247" s="595"/>
      <c r="B247" s="595"/>
      <c r="C247" s="595"/>
      <c r="D247" s="595"/>
      <c r="E247" s="595"/>
      <c r="F247" s="595"/>
      <c r="G247" s="595"/>
      <c r="H247" s="595"/>
      <c r="I247" s="595"/>
      <c r="J247" s="595"/>
      <c r="K247" s="595"/>
      <c r="L247" s="595"/>
      <c r="M247" s="595"/>
      <c r="N247" s="595"/>
      <c r="O247" s="595"/>
    </row>
    <row r="248" spans="1:15" ht="15" customHeight="1">
      <c r="A248" s="595"/>
      <c r="B248" s="595"/>
      <c r="C248" s="595"/>
      <c r="D248" s="595"/>
      <c r="E248" s="595"/>
      <c r="F248" s="595"/>
      <c r="G248" s="595"/>
      <c r="H248" s="595"/>
      <c r="I248" s="595"/>
      <c r="J248" s="595"/>
      <c r="K248" s="595"/>
      <c r="L248" s="595"/>
      <c r="M248" s="595"/>
      <c r="N248" s="595"/>
      <c r="O248" s="595"/>
    </row>
    <row r="249" spans="1:15" ht="15" customHeight="1">
      <c r="A249" s="595"/>
      <c r="B249" s="595"/>
      <c r="C249" s="595"/>
      <c r="D249" s="595"/>
      <c r="E249" s="595"/>
      <c r="F249" s="595"/>
      <c r="G249" s="595"/>
      <c r="H249" s="595"/>
      <c r="I249" s="595"/>
      <c r="J249" s="595"/>
      <c r="K249" s="595"/>
      <c r="L249" s="595"/>
      <c r="M249" s="595"/>
      <c r="N249" s="595"/>
      <c r="O249" s="595"/>
    </row>
    <row r="250" spans="1:15" ht="15" customHeight="1">
      <c r="A250" s="595"/>
      <c r="B250" s="595"/>
      <c r="C250" s="595"/>
      <c r="D250" s="595"/>
      <c r="E250" s="595"/>
      <c r="F250" s="595"/>
      <c r="G250" s="595"/>
      <c r="H250" s="595"/>
      <c r="I250" s="595"/>
      <c r="J250" s="595"/>
      <c r="K250" s="595"/>
      <c r="L250" s="595"/>
      <c r="M250" s="595"/>
      <c r="N250" s="595"/>
      <c r="O250" s="595"/>
    </row>
    <row r="251" spans="1:15" ht="15" customHeight="1">
      <c r="A251" s="595"/>
      <c r="B251" s="595"/>
      <c r="C251" s="595"/>
      <c r="D251" s="595"/>
      <c r="E251" s="595"/>
      <c r="F251" s="595"/>
      <c r="G251" s="595"/>
      <c r="H251" s="595"/>
      <c r="I251" s="595"/>
      <c r="J251" s="595"/>
      <c r="K251" s="595"/>
      <c r="L251" s="595"/>
      <c r="M251" s="595"/>
      <c r="N251" s="595"/>
      <c r="O251" s="595"/>
    </row>
    <row r="252" spans="1:15" ht="15" customHeight="1">
      <c r="A252" s="595"/>
      <c r="B252" s="595"/>
      <c r="C252" s="595"/>
      <c r="D252" s="595"/>
      <c r="E252" s="595"/>
      <c r="F252" s="595"/>
      <c r="G252" s="595"/>
      <c r="H252" s="595"/>
      <c r="I252" s="595"/>
      <c r="J252" s="595"/>
      <c r="K252" s="595"/>
      <c r="L252" s="595"/>
      <c r="M252" s="595"/>
      <c r="N252" s="595"/>
      <c r="O252" s="595"/>
    </row>
    <row r="253" spans="1:15" ht="15" customHeight="1">
      <c r="A253" s="595"/>
      <c r="B253" s="595"/>
      <c r="C253" s="595"/>
      <c r="D253" s="595"/>
      <c r="E253" s="595"/>
      <c r="F253" s="595"/>
      <c r="G253" s="595"/>
      <c r="H253" s="595"/>
      <c r="I253" s="595"/>
      <c r="J253" s="595"/>
      <c r="K253" s="595"/>
      <c r="L253" s="595"/>
      <c r="M253" s="595"/>
      <c r="N253" s="595"/>
      <c r="O253" s="595"/>
    </row>
    <row r="254" spans="1:15" ht="15" customHeight="1">
      <c r="A254" s="595"/>
      <c r="B254" s="595"/>
      <c r="C254" s="595"/>
      <c r="D254" s="595"/>
      <c r="E254" s="595"/>
      <c r="F254" s="595"/>
      <c r="G254" s="595"/>
      <c r="H254" s="595"/>
      <c r="I254" s="595"/>
      <c r="J254" s="595"/>
      <c r="K254" s="595"/>
      <c r="L254" s="595"/>
      <c r="M254" s="595"/>
      <c r="N254" s="595"/>
      <c r="O254" s="595"/>
    </row>
    <row r="255" spans="1:15" ht="15" customHeight="1">
      <c r="A255" s="595"/>
      <c r="B255" s="595"/>
      <c r="C255" s="595"/>
      <c r="D255" s="595"/>
      <c r="E255" s="595"/>
      <c r="F255" s="595"/>
      <c r="G255" s="595"/>
      <c r="H255" s="595"/>
      <c r="I255" s="595"/>
      <c r="J255" s="595"/>
      <c r="K255" s="595"/>
      <c r="L255" s="595"/>
      <c r="M255" s="595"/>
      <c r="N255" s="595"/>
      <c r="O255" s="595"/>
    </row>
    <row r="256" spans="1:15" ht="15" customHeight="1">
      <c r="A256" s="595"/>
      <c r="B256" s="595"/>
      <c r="C256" s="595"/>
      <c r="D256" s="595"/>
      <c r="E256" s="595"/>
      <c r="F256" s="595"/>
      <c r="G256" s="595"/>
      <c r="H256" s="595"/>
      <c r="I256" s="595"/>
      <c r="J256" s="595"/>
      <c r="K256" s="595"/>
      <c r="L256" s="595"/>
      <c r="M256" s="595"/>
      <c r="N256" s="595"/>
      <c r="O256" s="595"/>
    </row>
    <row r="257" spans="1:15" ht="15" customHeight="1">
      <c r="A257" s="595"/>
      <c r="B257" s="595"/>
      <c r="C257" s="595"/>
      <c r="D257" s="595"/>
      <c r="E257" s="595"/>
      <c r="F257" s="595"/>
      <c r="G257" s="595"/>
      <c r="H257" s="595"/>
      <c r="I257" s="595"/>
      <c r="J257" s="595"/>
      <c r="K257" s="595"/>
      <c r="L257" s="595"/>
      <c r="M257" s="595"/>
      <c r="N257" s="595"/>
      <c r="O257" s="595"/>
    </row>
    <row r="258" spans="1:15" ht="15" customHeight="1">
      <c r="A258" s="595"/>
      <c r="B258" s="595"/>
      <c r="C258" s="595"/>
      <c r="D258" s="595"/>
      <c r="E258" s="595"/>
      <c r="F258" s="595"/>
      <c r="G258" s="595"/>
      <c r="H258" s="595"/>
      <c r="I258" s="595"/>
      <c r="J258" s="595"/>
      <c r="K258" s="595"/>
      <c r="L258" s="595"/>
      <c r="M258" s="595"/>
      <c r="N258" s="595"/>
      <c r="O258" s="595"/>
    </row>
    <row r="259" spans="1:15" ht="15" customHeight="1">
      <c r="A259" s="595"/>
      <c r="B259" s="595"/>
      <c r="C259" s="595"/>
      <c r="D259" s="595"/>
      <c r="E259" s="595"/>
      <c r="F259" s="595"/>
      <c r="G259" s="595"/>
      <c r="H259" s="595"/>
      <c r="I259" s="595"/>
      <c r="J259" s="595"/>
      <c r="K259" s="595"/>
      <c r="L259" s="595"/>
      <c r="M259" s="595"/>
      <c r="N259" s="595"/>
      <c r="O259" s="595"/>
    </row>
    <row r="260" spans="1:15" ht="15" customHeight="1">
      <c r="A260" s="595"/>
      <c r="B260" s="595"/>
      <c r="C260" s="595"/>
      <c r="D260" s="595"/>
      <c r="E260" s="595"/>
      <c r="F260" s="595"/>
      <c r="G260" s="595"/>
      <c r="H260" s="595"/>
      <c r="I260" s="595"/>
      <c r="J260" s="595"/>
      <c r="K260" s="595"/>
      <c r="L260" s="595"/>
      <c r="M260" s="595"/>
      <c r="N260" s="595"/>
      <c r="O260" s="595"/>
    </row>
    <row r="261" spans="1:15" ht="15" customHeight="1">
      <c r="A261" s="595"/>
      <c r="B261" s="595"/>
      <c r="C261" s="595"/>
      <c r="D261" s="595"/>
      <c r="E261" s="595"/>
      <c r="F261" s="595"/>
      <c r="G261" s="595"/>
      <c r="H261" s="595"/>
      <c r="I261" s="595"/>
      <c r="J261" s="595"/>
      <c r="K261" s="595"/>
      <c r="L261" s="595"/>
      <c r="M261" s="595"/>
      <c r="N261" s="595"/>
      <c r="O261" s="595"/>
    </row>
    <row r="262" spans="1:15" ht="15" customHeight="1">
      <c r="A262" s="595"/>
      <c r="B262" s="595"/>
      <c r="C262" s="595"/>
      <c r="D262" s="595"/>
      <c r="E262" s="595"/>
      <c r="F262" s="595"/>
      <c r="G262" s="595"/>
      <c r="H262" s="595"/>
      <c r="I262" s="595"/>
      <c r="J262" s="595"/>
      <c r="K262" s="595"/>
      <c r="L262" s="595"/>
      <c r="M262" s="595"/>
      <c r="N262" s="595"/>
      <c r="O262" s="595"/>
    </row>
    <row r="263" spans="1:15" ht="15" customHeight="1">
      <c r="A263" s="595"/>
      <c r="B263" s="595"/>
      <c r="C263" s="595"/>
      <c r="D263" s="595"/>
      <c r="E263" s="595"/>
      <c r="F263" s="595"/>
      <c r="G263" s="595"/>
      <c r="H263" s="595"/>
      <c r="I263" s="595"/>
      <c r="J263" s="595"/>
      <c r="K263" s="595"/>
      <c r="L263" s="595"/>
      <c r="M263" s="595"/>
      <c r="N263" s="595"/>
      <c r="O263" s="595"/>
    </row>
    <row r="264" spans="1:15" ht="15" customHeight="1">
      <c r="A264" s="595"/>
      <c r="B264" s="595"/>
      <c r="C264" s="595"/>
      <c r="D264" s="595"/>
      <c r="E264" s="595"/>
      <c r="F264" s="595"/>
      <c r="G264" s="595"/>
      <c r="H264" s="595"/>
      <c r="I264" s="595"/>
      <c r="J264" s="595"/>
      <c r="K264" s="595"/>
      <c r="L264" s="595"/>
      <c r="M264" s="595"/>
      <c r="N264" s="595"/>
      <c r="O264" s="595"/>
    </row>
    <row r="265" spans="1:15" ht="15" customHeight="1">
      <c r="A265" s="595"/>
      <c r="B265" s="595"/>
      <c r="C265" s="595"/>
      <c r="D265" s="595"/>
      <c r="E265" s="595"/>
      <c r="F265" s="595"/>
      <c r="G265" s="595"/>
      <c r="H265" s="595"/>
      <c r="I265" s="595"/>
      <c r="J265" s="595"/>
      <c r="K265" s="595"/>
      <c r="L265" s="595"/>
      <c r="M265" s="595"/>
      <c r="N265" s="595"/>
      <c r="O265" s="595"/>
    </row>
    <row r="266" spans="1:15" ht="15" customHeight="1">
      <c r="A266" s="595"/>
      <c r="B266" s="595"/>
      <c r="C266" s="595"/>
      <c r="D266" s="595"/>
      <c r="E266" s="595"/>
      <c r="F266" s="595"/>
      <c r="G266" s="595"/>
      <c r="H266" s="595"/>
      <c r="I266" s="595"/>
      <c r="J266" s="595"/>
      <c r="K266" s="595"/>
      <c r="L266" s="595"/>
      <c r="M266" s="595"/>
      <c r="N266" s="595"/>
      <c r="O266" s="595"/>
    </row>
    <row r="267" spans="1:15" ht="15" customHeight="1">
      <c r="A267" s="595"/>
      <c r="B267" s="595"/>
      <c r="C267" s="595"/>
      <c r="D267" s="595"/>
      <c r="E267" s="595"/>
      <c r="F267" s="595"/>
      <c r="G267" s="595"/>
      <c r="H267" s="595"/>
      <c r="I267" s="595"/>
      <c r="J267" s="595"/>
      <c r="K267" s="595"/>
      <c r="L267" s="595"/>
      <c r="M267" s="595"/>
      <c r="N267" s="595"/>
      <c r="O267" s="595"/>
    </row>
    <row r="268" spans="1:15" ht="15" customHeight="1">
      <c r="A268" s="595"/>
      <c r="B268" s="595"/>
      <c r="C268" s="595"/>
      <c r="D268" s="595"/>
      <c r="E268" s="595"/>
      <c r="F268" s="595"/>
      <c r="G268" s="595"/>
      <c r="H268" s="595"/>
      <c r="I268" s="595"/>
      <c r="J268" s="595"/>
      <c r="K268" s="595"/>
      <c r="L268" s="595"/>
      <c r="M268" s="595"/>
      <c r="N268" s="595"/>
      <c r="O268" s="595"/>
    </row>
    <row r="269" spans="1:15" ht="15" customHeight="1">
      <c r="A269" s="595"/>
      <c r="B269" s="595"/>
      <c r="C269" s="595"/>
      <c r="D269" s="595"/>
      <c r="E269" s="595"/>
      <c r="F269" s="595"/>
      <c r="G269" s="595"/>
      <c r="H269" s="595"/>
      <c r="I269" s="595"/>
      <c r="J269" s="595"/>
      <c r="K269" s="595"/>
      <c r="L269" s="595"/>
      <c r="M269" s="595"/>
      <c r="N269" s="595"/>
      <c r="O269" s="595"/>
    </row>
    <row r="270" spans="1:15" ht="15" customHeight="1">
      <c r="A270" s="595"/>
      <c r="B270" s="595"/>
      <c r="C270" s="595"/>
      <c r="D270" s="595"/>
      <c r="E270" s="595"/>
      <c r="F270" s="595"/>
      <c r="G270" s="595"/>
      <c r="H270" s="595"/>
      <c r="I270" s="595"/>
      <c r="J270" s="595"/>
      <c r="K270" s="595"/>
      <c r="L270" s="595"/>
      <c r="M270" s="595"/>
      <c r="N270" s="595"/>
      <c r="O270" s="595"/>
    </row>
    <row r="271" spans="1:15" ht="15" customHeight="1">
      <c r="A271" s="595"/>
      <c r="B271" s="595"/>
      <c r="C271" s="595"/>
      <c r="D271" s="595"/>
      <c r="E271" s="595"/>
      <c r="F271" s="595"/>
      <c r="G271" s="595"/>
      <c r="H271" s="595"/>
      <c r="I271" s="595"/>
      <c r="J271" s="595"/>
      <c r="K271" s="595"/>
      <c r="L271" s="595"/>
      <c r="M271" s="595"/>
      <c r="N271" s="595"/>
      <c r="O271" s="595"/>
    </row>
    <row r="272" spans="1:15" ht="15" customHeight="1">
      <c r="A272" s="595"/>
      <c r="B272" s="595"/>
      <c r="C272" s="595"/>
      <c r="D272" s="595"/>
      <c r="E272" s="595"/>
      <c r="F272" s="595"/>
      <c r="G272" s="595"/>
      <c r="H272" s="595"/>
      <c r="I272" s="595"/>
      <c r="J272" s="595"/>
      <c r="K272" s="595"/>
      <c r="L272" s="595"/>
      <c r="M272" s="595"/>
      <c r="N272" s="595"/>
      <c r="O272" s="595"/>
    </row>
    <row r="273" spans="1:15" ht="15" customHeight="1">
      <c r="A273" s="595"/>
      <c r="B273" s="595"/>
      <c r="C273" s="595"/>
      <c r="D273" s="595"/>
      <c r="E273" s="595"/>
      <c r="F273" s="595"/>
      <c r="G273" s="595"/>
      <c r="H273" s="595"/>
      <c r="I273" s="595"/>
      <c r="J273" s="595"/>
      <c r="K273" s="595"/>
      <c r="L273" s="595"/>
      <c r="M273" s="595"/>
      <c r="N273" s="595"/>
      <c r="O273" s="595"/>
    </row>
    <row r="274" spans="1:15" ht="15" customHeight="1">
      <c r="A274" s="595"/>
      <c r="B274" s="595"/>
      <c r="C274" s="595"/>
      <c r="D274" s="595"/>
      <c r="E274" s="595"/>
      <c r="F274" s="595"/>
      <c r="G274" s="595"/>
      <c r="H274" s="595"/>
      <c r="I274" s="595"/>
      <c r="J274" s="595"/>
      <c r="K274" s="595"/>
      <c r="L274" s="595"/>
      <c r="M274" s="595"/>
      <c r="N274" s="595"/>
      <c r="O274" s="595"/>
    </row>
    <row r="275" spans="1:15" ht="15" customHeight="1">
      <c r="A275" s="595"/>
      <c r="B275" s="595"/>
      <c r="C275" s="595"/>
      <c r="D275" s="595"/>
      <c r="E275" s="595"/>
      <c r="F275" s="595"/>
      <c r="G275" s="595"/>
      <c r="H275" s="595"/>
      <c r="I275" s="595"/>
      <c r="J275" s="595"/>
      <c r="K275" s="595"/>
      <c r="L275" s="595"/>
      <c r="M275" s="595"/>
      <c r="N275" s="595"/>
      <c r="O275" s="595"/>
    </row>
    <row r="276" spans="1:15" ht="15" customHeight="1">
      <c r="A276" s="595"/>
      <c r="B276" s="595"/>
      <c r="C276" s="595"/>
      <c r="D276" s="595"/>
      <c r="E276" s="595"/>
      <c r="F276" s="595"/>
      <c r="G276" s="595"/>
      <c r="H276" s="595"/>
      <c r="I276" s="595"/>
      <c r="J276" s="595"/>
      <c r="K276" s="595"/>
      <c r="L276" s="595"/>
      <c r="M276" s="595"/>
      <c r="N276" s="595"/>
      <c r="O276" s="595"/>
    </row>
    <row r="277" spans="1:15" ht="15" customHeight="1">
      <c r="A277" s="595"/>
      <c r="B277" s="595"/>
      <c r="C277" s="595"/>
      <c r="D277" s="595"/>
      <c r="E277" s="595"/>
      <c r="F277" s="595"/>
      <c r="G277" s="595"/>
      <c r="H277" s="595"/>
      <c r="I277" s="595"/>
      <c r="J277" s="595"/>
      <c r="K277" s="595"/>
      <c r="L277" s="595"/>
      <c r="M277" s="595"/>
      <c r="N277" s="595"/>
      <c r="O277" s="595"/>
    </row>
    <row r="278" spans="1:15" ht="15" customHeight="1">
      <c r="A278" s="595"/>
      <c r="B278" s="595"/>
      <c r="C278" s="595"/>
      <c r="D278" s="595"/>
      <c r="E278" s="595"/>
      <c r="F278" s="595"/>
      <c r="G278" s="595"/>
      <c r="H278" s="595"/>
      <c r="I278" s="595"/>
      <c r="J278" s="595"/>
      <c r="K278" s="595"/>
      <c r="L278" s="595"/>
      <c r="M278" s="595"/>
      <c r="N278" s="595"/>
      <c r="O278" s="595"/>
    </row>
    <row r="279" spans="1:15" ht="15" customHeight="1">
      <c r="A279" s="595"/>
      <c r="B279" s="595"/>
      <c r="C279" s="595"/>
      <c r="D279" s="595"/>
      <c r="E279" s="595"/>
      <c r="F279" s="595"/>
      <c r="G279" s="595"/>
      <c r="H279" s="595"/>
      <c r="I279" s="595"/>
      <c r="J279" s="595"/>
      <c r="K279" s="595"/>
      <c r="L279" s="595"/>
      <c r="M279" s="595"/>
      <c r="N279" s="595"/>
      <c r="O279" s="595"/>
    </row>
    <row r="280" spans="1:15" ht="15" customHeight="1">
      <c r="A280" s="595"/>
      <c r="B280" s="595"/>
      <c r="C280" s="595"/>
      <c r="D280" s="595"/>
      <c r="E280" s="595"/>
      <c r="F280" s="595"/>
      <c r="G280" s="595"/>
      <c r="H280" s="595"/>
      <c r="I280" s="595"/>
      <c r="J280" s="595"/>
      <c r="K280" s="595"/>
      <c r="L280" s="595"/>
      <c r="M280" s="595"/>
      <c r="N280" s="595"/>
      <c r="O280" s="595"/>
    </row>
    <row r="281" spans="1:15" ht="15" customHeight="1">
      <c r="A281" s="595"/>
      <c r="B281" s="595"/>
      <c r="C281" s="595"/>
      <c r="D281" s="595"/>
      <c r="E281" s="595"/>
      <c r="F281" s="595"/>
      <c r="G281" s="595"/>
      <c r="H281" s="595"/>
      <c r="I281" s="595"/>
      <c r="J281" s="595"/>
      <c r="K281" s="595"/>
      <c r="L281" s="595"/>
      <c r="M281" s="595"/>
      <c r="N281" s="595"/>
      <c r="O281" s="595"/>
    </row>
    <row r="282" spans="1:15" ht="15" customHeight="1">
      <c r="A282" s="595"/>
      <c r="B282" s="595"/>
      <c r="C282" s="595"/>
      <c r="D282" s="595"/>
      <c r="E282" s="595"/>
      <c r="F282" s="595"/>
      <c r="G282" s="595"/>
      <c r="H282" s="595"/>
      <c r="I282" s="595"/>
      <c r="J282" s="595"/>
      <c r="K282" s="595"/>
      <c r="L282" s="595"/>
      <c r="M282" s="595"/>
      <c r="N282" s="595"/>
      <c r="O282" s="595"/>
    </row>
    <row r="283" spans="1:15" ht="15" customHeight="1">
      <c r="A283" s="595"/>
      <c r="B283" s="595"/>
      <c r="C283" s="595"/>
      <c r="D283" s="595"/>
      <c r="E283" s="595"/>
      <c r="F283" s="595"/>
      <c r="G283" s="595"/>
      <c r="H283" s="595"/>
      <c r="I283" s="595"/>
      <c r="J283" s="595"/>
      <c r="K283" s="595"/>
      <c r="L283" s="595"/>
      <c r="M283" s="595"/>
      <c r="N283" s="595"/>
      <c r="O283" s="595"/>
    </row>
    <row r="284" spans="1:15" ht="15" customHeight="1">
      <c r="A284" s="595"/>
      <c r="B284" s="595"/>
      <c r="C284" s="595"/>
      <c r="D284" s="595"/>
      <c r="E284" s="595"/>
      <c r="F284" s="595"/>
      <c r="G284" s="595"/>
      <c r="H284" s="595"/>
      <c r="I284" s="595"/>
      <c r="J284" s="595"/>
      <c r="K284" s="595"/>
      <c r="L284" s="595"/>
      <c r="M284" s="595"/>
      <c r="N284" s="595"/>
      <c r="O284" s="595"/>
    </row>
    <row r="285" spans="1:15" ht="15" customHeight="1">
      <c r="A285" s="595"/>
      <c r="B285" s="595"/>
      <c r="C285" s="595"/>
      <c r="D285" s="595"/>
      <c r="E285" s="595"/>
      <c r="F285" s="595"/>
      <c r="G285" s="595"/>
      <c r="H285" s="595"/>
      <c r="I285" s="595"/>
      <c r="J285" s="595"/>
      <c r="K285" s="595"/>
      <c r="L285" s="595"/>
      <c r="M285" s="595"/>
      <c r="N285" s="595"/>
      <c r="O285" s="595"/>
    </row>
    <row r="286" spans="1:15" ht="15" customHeight="1">
      <c r="A286" s="595"/>
      <c r="B286" s="595"/>
      <c r="C286" s="595"/>
      <c r="D286" s="595"/>
      <c r="E286" s="595"/>
      <c r="F286" s="595"/>
      <c r="G286" s="595"/>
      <c r="H286" s="595"/>
      <c r="I286" s="595"/>
      <c r="J286" s="595"/>
      <c r="K286" s="595"/>
      <c r="L286" s="595"/>
      <c r="M286" s="595"/>
      <c r="N286" s="595"/>
      <c r="O286" s="595"/>
    </row>
    <row r="287" spans="1:15" ht="15" customHeight="1">
      <c r="A287" s="595"/>
      <c r="B287" s="595"/>
      <c r="C287" s="595"/>
      <c r="D287" s="595"/>
      <c r="E287" s="595"/>
      <c r="F287" s="595"/>
      <c r="G287" s="595"/>
      <c r="H287" s="595"/>
      <c r="I287" s="595"/>
      <c r="J287" s="595"/>
      <c r="K287" s="595"/>
      <c r="L287" s="595"/>
      <c r="M287" s="595"/>
      <c r="N287" s="595"/>
      <c r="O287" s="595"/>
    </row>
    <row r="288" spans="1:15" ht="15" customHeight="1">
      <c r="A288" s="595"/>
      <c r="B288" s="595"/>
      <c r="C288" s="595"/>
      <c r="D288" s="595"/>
      <c r="E288" s="595"/>
      <c r="F288" s="595"/>
      <c r="G288" s="595"/>
      <c r="H288" s="595"/>
      <c r="I288" s="595"/>
      <c r="J288" s="595"/>
      <c r="K288" s="595"/>
      <c r="L288" s="595"/>
      <c r="M288" s="595"/>
      <c r="N288" s="595"/>
      <c r="O288" s="595"/>
    </row>
    <row r="289" spans="1:15" ht="15" customHeight="1">
      <c r="A289" s="595"/>
      <c r="B289" s="595"/>
      <c r="C289" s="595"/>
      <c r="D289" s="595"/>
      <c r="E289" s="595"/>
      <c r="F289" s="595"/>
      <c r="G289" s="595"/>
      <c r="H289" s="595"/>
      <c r="I289" s="595"/>
      <c r="J289" s="595"/>
      <c r="K289" s="595"/>
      <c r="L289" s="595"/>
      <c r="M289" s="595"/>
      <c r="N289" s="595"/>
      <c r="O289" s="595"/>
    </row>
    <row r="290" spans="1:15" ht="15" customHeight="1">
      <c r="A290" s="595"/>
      <c r="B290" s="595"/>
      <c r="C290" s="595"/>
      <c r="D290" s="595"/>
      <c r="E290" s="595"/>
      <c r="F290" s="595"/>
      <c r="G290" s="595"/>
      <c r="H290" s="595"/>
      <c r="I290" s="595"/>
      <c r="J290" s="595"/>
      <c r="K290" s="595"/>
      <c r="L290" s="595"/>
      <c r="M290" s="595"/>
      <c r="N290" s="595"/>
      <c r="O290" s="595"/>
    </row>
    <row r="291" spans="1:15" ht="15" customHeight="1">
      <c r="A291" s="595"/>
      <c r="B291" s="595"/>
      <c r="C291" s="595"/>
      <c r="D291" s="595"/>
      <c r="E291" s="595"/>
      <c r="F291" s="595"/>
      <c r="G291" s="595"/>
      <c r="H291" s="595"/>
      <c r="I291" s="595"/>
      <c r="J291" s="595"/>
      <c r="K291" s="595"/>
      <c r="L291" s="595"/>
      <c r="M291" s="595"/>
      <c r="N291" s="595"/>
      <c r="O291" s="595"/>
    </row>
    <row r="292" spans="1:15" ht="15" customHeight="1">
      <c r="A292" s="595"/>
      <c r="B292" s="595"/>
      <c r="C292" s="595"/>
      <c r="D292" s="595"/>
      <c r="E292" s="595"/>
      <c r="F292" s="595"/>
      <c r="G292" s="595"/>
      <c r="H292" s="595"/>
      <c r="I292" s="595"/>
      <c r="J292" s="595"/>
      <c r="K292" s="595"/>
      <c r="L292" s="595"/>
      <c r="M292" s="595"/>
      <c r="N292" s="595"/>
      <c r="O292" s="595"/>
    </row>
    <row r="293" spans="1:15" ht="15" customHeight="1">
      <c r="A293" s="595"/>
      <c r="B293" s="595"/>
      <c r="C293" s="595"/>
      <c r="D293" s="595"/>
      <c r="E293" s="595"/>
      <c r="F293" s="595"/>
      <c r="G293" s="595"/>
      <c r="H293" s="595"/>
      <c r="I293" s="595"/>
      <c r="J293" s="595"/>
      <c r="K293" s="595"/>
      <c r="L293" s="595"/>
      <c r="M293" s="595"/>
      <c r="N293" s="595"/>
      <c r="O293" s="595"/>
    </row>
    <row r="294" spans="1:15" ht="15" customHeight="1">
      <c r="A294" s="595"/>
      <c r="B294" s="595"/>
      <c r="C294" s="595"/>
      <c r="D294" s="595"/>
      <c r="E294" s="595"/>
      <c r="F294" s="595"/>
      <c r="G294" s="595"/>
      <c r="H294" s="595"/>
      <c r="I294" s="595"/>
      <c r="J294" s="595"/>
      <c r="K294" s="595"/>
      <c r="L294" s="595"/>
      <c r="M294" s="595"/>
      <c r="N294" s="595"/>
      <c r="O294" s="595"/>
    </row>
    <row r="295" spans="1:15" ht="15" customHeight="1">
      <c r="A295" s="595"/>
      <c r="B295" s="595"/>
      <c r="C295" s="595"/>
      <c r="D295" s="595"/>
      <c r="E295" s="595"/>
      <c r="F295" s="595"/>
      <c r="G295" s="595"/>
      <c r="H295" s="595"/>
      <c r="I295" s="595"/>
      <c r="J295" s="595"/>
      <c r="K295" s="595"/>
      <c r="L295" s="595"/>
      <c r="M295" s="595"/>
      <c r="N295" s="595"/>
      <c r="O295" s="595"/>
    </row>
    <row r="296" spans="1:15" ht="15" customHeight="1">
      <c r="A296" s="595"/>
      <c r="B296" s="595"/>
      <c r="C296" s="595"/>
      <c r="D296" s="595"/>
      <c r="E296" s="595"/>
      <c r="F296" s="595"/>
      <c r="G296" s="595"/>
      <c r="H296" s="595"/>
      <c r="I296" s="595"/>
      <c r="J296" s="595"/>
      <c r="K296" s="595"/>
      <c r="L296" s="595"/>
      <c r="M296" s="595"/>
      <c r="N296" s="595"/>
      <c r="O296" s="595"/>
    </row>
    <row r="297" spans="1:15" ht="15" customHeight="1">
      <c r="A297" s="595"/>
      <c r="B297" s="595"/>
      <c r="C297" s="595"/>
      <c r="D297" s="595"/>
      <c r="E297" s="595"/>
      <c r="F297" s="595"/>
      <c r="G297" s="595"/>
      <c r="H297" s="595"/>
      <c r="I297" s="595"/>
      <c r="J297" s="595"/>
      <c r="K297" s="595"/>
      <c r="L297" s="595"/>
      <c r="M297" s="595"/>
      <c r="N297" s="595"/>
      <c r="O297" s="595"/>
    </row>
    <row r="298" spans="1:15" ht="15" customHeight="1">
      <c r="A298" s="595"/>
      <c r="B298" s="595"/>
      <c r="C298" s="595"/>
      <c r="D298" s="595"/>
      <c r="E298" s="595"/>
      <c r="F298" s="595"/>
      <c r="G298" s="595"/>
      <c r="H298" s="595"/>
      <c r="I298" s="595"/>
      <c r="J298" s="595"/>
      <c r="K298" s="595"/>
      <c r="L298" s="595"/>
      <c r="M298" s="595"/>
      <c r="N298" s="595"/>
      <c r="O298" s="595"/>
    </row>
    <row r="299" spans="1:15" ht="15" customHeight="1">
      <c r="A299" s="595"/>
      <c r="B299" s="595"/>
      <c r="C299" s="595"/>
      <c r="D299" s="595"/>
      <c r="E299" s="595"/>
      <c r="F299" s="595"/>
      <c r="G299" s="595"/>
      <c r="H299" s="595"/>
      <c r="I299" s="595"/>
      <c r="J299" s="595"/>
      <c r="K299" s="595"/>
      <c r="L299" s="595"/>
      <c r="M299" s="595"/>
      <c r="N299" s="595"/>
      <c r="O299" s="595"/>
    </row>
    <row r="300" spans="1:15" ht="15" customHeight="1">
      <c r="A300" s="595"/>
      <c r="B300" s="595"/>
      <c r="C300" s="595"/>
      <c r="D300" s="595"/>
      <c r="E300" s="595"/>
      <c r="F300" s="595"/>
      <c r="G300" s="595"/>
      <c r="H300" s="595"/>
      <c r="I300" s="595"/>
      <c r="J300" s="595"/>
      <c r="K300" s="595"/>
      <c r="L300" s="595"/>
      <c r="M300" s="595"/>
      <c r="N300" s="595"/>
      <c r="O300" s="595"/>
    </row>
    <row r="301" spans="1:15" ht="15" customHeight="1">
      <c r="A301" s="595"/>
      <c r="B301" s="595"/>
      <c r="C301" s="595"/>
      <c r="D301" s="595"/>
      <c r="E301" s="595"/>
      <c r="F301" s="595"/>
      <c r="G301" s="595"/>
      <c r="H301" s="595"/>
      <c r="I301" s="595"/>
      <c r="J301" s="595"/>
      <c r="K301" s="595"/>
      <c r="L301" s="595"/>
      <c r="M301" s="595"/>
      <c r="N301" s="595"/>
      <c r="O301" s="595"/>
    </row>
    <row r="302" spans="1:15" ht="15" customHeight="1">
      <c r="A302" s="595"/>
      <c r="B302" s="595"/>
      <c r="C302" s="595"/>
      <c r="D302" s="595"/>
      <c r="E302" s="595"/>
      <c r="F302" s="595"/>
      <c r="G302" s="595"/>
      <c r="H302" s="595"/>
      <c r="I302" s="595"/>
      <c r="J302" s="595"/>
      <c r="K302" s="595"/>
      <c r="L302" s="595"/>
      <c r="M302" s="595"/>
      <c r="N302" s="595"/>
      <c r="O302" s="595"/>
    </row>
    <row r="303" spans="1:15" ht="15" customHeight="1">
      <c r="A303" s="595"/>
      <c r="B303" s="595"/>
      <c r="C303" s="595"/>
      <c r="D303" s="595"/>
      <c r="E303" s="595"/>
      <c r="F303" s="595"/>
      <c r="G303" s="595"/>
      <c r="H303" s="595"/>
      <c r="I303" s="595"/>
      <c r="J303" s="595"/>
      <c r="K303" s="595"/>
      <c r="L303" s="595"/>
      <c r="M303" s="595"/>
      <c r="N303" s="595"/>
      <c r="O303" s="595"/>
    </row>
    <row r="304" spans="1:15" ht="15" customHeight="1">
      <c r="A304" s="595"/>
      <c r="B304" s="595"/>
      <c r="C304" s="595"/>
      <c r="D304" s="595"/>
      <c r="E304" s="595"/>
      <c r="F304" s="595"/>
      <c r="G304" s="595"/>
      <c r="H304" s="595"/>
      <c r="I304" s="595"/>
      <c r="J304" s="595"/>
      <c r="K304" s="595"/>
      <c r="L304" s="595"/>
      <c r="M304" s="595"/>
      <c r="N304" s="595"/>
      <c r="O304" s="595"/>
    </row>
    <row r="305" spans="1:15" ht="15" customHeight="1">
      <c r="A305" s="595"/>
      <c r="B305" s="595"/>
      <c r="C305" s="595"/>
      <c r="D305" s="595"/>
      <c r="E305" s="595"/>
      <c r="F305" s="595"/>
      <c r="G305" s="595"/>
      <c r="H305" s="595"/>
      <c r="I305" s="595"/>
      <c r="J305" s="595"/>
      <c r="K305" s="595"/>
      <c r="L305" s="595"/>
      <c r="M305" s="595"/>
      <c r="N305" s="595"/>
      <c r="O305" s="595"/>
    </row>
    <row r="306" spans="1:15" ht="15" customHeight="1">
      <c r="A306" s="595"/>
      <c r="B306" s="595"/>
      <c r="C306" s="595"/>
      <c r="D306" s="595"/>
      <c r="E306" s="595"/>
      <c r="F306" s="595"/>
      <c r="G306" s="595"/>
      <c r="H306" s="595"/>
      <c r="I306" s="595"/>
      <c r="J306" s="595"/>
      <c r="K306" s="595"/>
      <c r="L306" s="595"/>
      <c r="M306" s="595"/>
      <c r="N306" s="595"/>
      <c r="O306" s="595"/>
    </row>
    <row r="307" spans="1:15" ht="15" customHeight="1">
      <c r="A307" s="595"/>
      <c r="B307" s="595"/>
      <c r="C307" s="595"/>
      <c r="D307" s="595"/>
      <c r="E307" s="595"/>
      <c r="F307" s="595"/>
      <c r="G307" s="595"/>
      <c r="H307" s="595"/>
      <c r="I307" s="595"/>
      <c r="J307" s="595"/>
      <c r="K307" s="595"/>
      <c r="L307" s="595"/>
      <c r="M307" s="595"/>
      <c r="N307" s="595"/>
      <c r="O307" s="595"/>
    </row>
    <row r="308" spans="1:15" ht="15" customHeight="1">
      <c r="A308" s="595"/>
      <c r="B308" s="595"/>
      <c r="C308" s="595"/>
      <c r="D308" s="595"/>
      <c r="E308" s="595"/>
      <c r="F308" s="595"/>
      <c r="G308" s="595"/>
      <c r="H308" s="595"/>
      <c r="I308" s="595"/>
      <c r="J308" s="595"/>
      <c r="K308" s="595"/>
      <c r="L308" s="595"/>
      <c r="M308" s="595"/>
      <c r="N308" s="595"/>
      <c r="O308" s="595"/>
    </row>
    <row r="309" spans="1:15" ht="15" customHeight="1">
      <c r="A309" s="595"/>
      <c r="B309" s="595"/>
      <c r="C309" s="595"/>
      <c r="D309" s="595"/>
      <c r="E309" s="595"/>
      <c r="F309" s="595"/>
      <c r="G309" s="595"/>
      <c r="H309" s="595"/>
      <c r="I309" s="595"/>
      <c r="J309" s="595"/>
      <c r="K309" s="595"/>
      <c r="L309" s="595"/>
      <c r="M309" s="595"/>
      <c r="N309" s="595"/>
      <c r="O309" s="595"/>
    </row>
    <row r="310" spans="1:15" ht="15" customHeight="1">
      <c r="A310" s="595"/>
      <c r="B310" s="595"/>
      <c r="C310" s="595"/>
      <c r="D310" s="595"/>
      <c r="E310" s="595"/>
      <c r="F310" s="595"/>
      <c r="G310" s="595"/>
      <c r="H310" s="595"/>
      <c r="I310" s="595"/>
      <c r="J310" s="595"/>
      <c r="K310" s="595"/>
      <c r="L310" s="595"/>
      <c r="M310" s="595"/>
      <c r="N310" s="595"/>
      <c r="O310" s="595"/>
    </row>
    <row r="311" spans="1:15" ht="15" customHeight="1">
      <c r="A311" s="595"/>
      <c r="B311" s="595"/>
      <c r="C311" s="595"/>
      <c r="D311" s="595"/>
      <c r="E311" s="595"/>
      <c r="F311" s="595"/>
      <c r="G311" s="595"/>
      <c r="H311" s="595"/>
      <c r="I311" s="595"/>
      <c r="J311" s="595"/>
      <c r="K311" s="595"/>
      <c r="L311" s="595"/>
      <c r="M311" s="595"/>
      <c r="N311" s="595"/>
      <c r="O311" s="595"/>
    </row>
    <row r="312" spans="1:15" ht="15" customHeight="1">
      <c r="A312" s="595"/>
      <c r="B312" s="595"/>
      <c r="C312" s="595"/>
      <c r="D312" s="595"/>
      <c r="E312" s="595"/>
      <c r="F312" s="595"/>
      <c r="G312" s="595"/>
      <c r="H312" s="595"/>
      <c r="I312" s="595"/>
      <c r="J312" s="595"/>
      <c r="K312" s="595"/>
      <c r="L312" s="595"/>
      <c r="M312" s="595"/>
      <c r="N312" s="595"/>
      <c r="O312" s="595"/>
    </row>
    <row r="313" spans="1:15" ht="15" customHeight="1">
      <c r="A313" s="595"/>
      <c r="B313" s="595"/>
      <c r="C313" s="595"/>
      <c r="D313" s="595"/>
      <c r="E313" s="595"/>
      <c r="F313" s="595"/>
      <c r="G313" s="595"/>
      <c r="H313" s="595"/>
      <c r="I313" s="595"/>
      <c r="J313" s="595"/>
      <c r="K313" s="595"/>
      <c r="L313" s="595"/>
      <c r="M313" s="595"/>
      <c r="N313" s="595"/>
      <c r="O313" s="595"/>
    </row>
    <row r="314" spans="1:15" ht="15" customHeight="1">
      <c r="A314" s="595"/>
      <c r="B314" s="595"/>
      <c r="C314" s="595"/>
      <c r="D314" s="595"/>
      <c r="E314" s="595"/>
      <c r="F314" s="595"/>
      <c r="G314" s="595"/>
      <c r="H314" s="595"/>
      <c r="I314" s="595"/>
      <c r="J314" s="595"/>
      <c r="K314" s="595"/>
      <c r="L314" s="595"/>
      <c r="M314" s="595"/>
      <c r="N314" s="595"/>
      <c r="O314" s="595"/>
    </row>
    <row r="315" spans="1:15" ht="15" customHeight="1">
      <c r="A315" s="595"/>
      <c r="B315" s="595"/>
      <c r="C315" s="595"/>
      <c r="D315" s="595"/>
      <c r="E315" s="595"/>
      <c r="F315" s="595"/>
      <c r="G315" s="595"/>
      <c r="H315" s="595"/>
      <c r="I315" s="595"/>
      <c r="J315" s="595"/>
      <c r="K315" s="595"/>
      <c r="L315" s="595"/>
      <c r="M315" s="595"/>
      <c r="N315" s="595"/>
      <c r="O315" s="595"/>
    </row>
    <row r="316" spans="1:15" ht="15" customHeight="1">
      <c r="A316" s="595"/>
      <c r="B316" s="595"/>
      <c r="C316" s="595"/>
      <c r="D316" s="595"/>
      <c r="E316" s="595"/>
      <c r="F316" s="595"/>
      <c r="G316" s="595"/>
      <c r="H316" s="595"/>
      <c r="I316" s="595"/>
      <c r="J316" s="595"/>
      <c r="K316" s="595"/>
      <c r="L316" s="595"/>
      <c r="M316" s="595"/>
      <c r="N316" s="595"/>
      <c r="O316" s="595"/>
    </row>
    <row r="317" spans="1:15" ht="15" customHeight="1">
      <c r="A317" s="595"/>
      <c r="B317" s="595"/>
      <c r="C317" s="595"/>
      <c r="D317" s="595"/>
      <c r="E317" s="595"/>
      <c r="F317" s="595"/>
      <c r="G317" s="595"/>
      <c r="H317" s="595"/>
      <c r="I317" s="595"/>
      <c r="J317" s="595"/>
      <c r="K317" s="595"/>
      <c r="L317" s="595"/>
      <c r="M317" s="595"/>
      <c r="N317" s="595"/>
      <c r="O317" s="595"/>
    </row>
    <row r="318" spans="1:15" ht="15" customHeight="1">
      <c r="A318" s="595"/>
      <c r="B318" s="595"/>
      <c r="C318" s="595"/>
      <c r="D318" s="595"/>
      <c r="E318" s="595"/>
      <c r="F318" s="595"/>
      <c r="G318" s="595"/>
      <c r="H318" s="595"/>
      <c r="I318" s="595"/>
      <c r="J318" s="595"/>
      <c r="K318" s="595"/>
      <c r="L318" s="595"/>
      <c r="M318" s="595"/>
      <c r="N318" s="595"/>
      <c r="O318" s="595"/>
    </row>
    <row r="319" spans="1:15" ht="15" customHeight="1">
      <c r="A319" s="595"/>
      <c r="B319" s="595"/>
      <c r="C319" s="595"/>
      <c r="D319" s="595"/>
      <c r="E319" s="595"/>
      <c r="F319" s="595"/>
      <c r="G319" s="595"/>
      <c r="H319" s="595"/>
      <c r="I319" s="595"/>
      <c r="J319" s="595"/>
      <c r="K319" s="595"/>
      <c r="L319" s="595"/>
      <c r="M319" s="595"/>
      <c r="N319" s="595"/>
      <c r="O319" s="595"/>
    </row>
    <row r="320" spans="1:15" ht="15" customHeight="1">
      <c r="A320" s="595"/>
      <c r="B320" s="595"/>
      <c r="C320" s="595"/>
      <c r="D320" s="595"/>
      <c r="E320" s="595"/>
      <c r="F320" s="595"/>
      <c r="G320" s="595"/>
      <c r="H320" s="595"/>
      <c r="I320" s="595"/>
      <c r="J320" s="595"/>
      <c r="K320" s="595"/>
      <c r="L320" s="595"/>
      <c r="M320" s="595"/>
      <c r="N320" s="595"/>
      <c r="O320" s="595"/>
    </row>
    <row r="321" spans="1:15" ht="15" customHeight="1">
      <c r="A321" s="595"/>
      <c r="B321" s="595"/>
      <c r="C321" s="595"/>
      <c r="D321" s="595"/>
      <c r="E321" s="595"/>
      <c r="F321" s="595"/>
      <c r="G321" s="595"/>
      <c r="H321" s="595"/>
      <c r="I321" s="595"/>
      <c r="J321" s="595"/>
      <c r="K321" s="595"/>
      <c r="L321" s="595"/>
      <c r="M321" s="595"/>
      <c r="N321" s="595"/>
      <c r="O321" s="595"/>
    </row>
    <row r="322" spans="1:15" ht="15" customHeight="1">
      <c r="A322" s="595"/>
      <c r="B322" s="595"/>
      <c r="C322" s="595"/>
      <c r="D322" s="595"/>
      <c r="E322" s="595"/>
      <c r="F322" s="595"/>
      <c r="G322" s="595"/>
      <c r="H322" s="595"/>
      <c r="I322" s="595"/>
      <c r="J322" s="595"/>
      <c r="K322" s="595"/>
      <c r="L322" s="595"/>
      <c r="M322" s="595"/>
      <c r="N322" s="595"/>
      <c r="O322" s="595"/>
    </row>
    <row r="323" spans="1:15" ht="15" customHeight="1">
      <c r="A323" s="595"/>
      <c r="B323" s="595"/>
      <c r="C323" s="595"/>
      <c r="D323" s="595"/>
      <c r="E323" s="595"/>
      <c r="F323" s="595"/>
      <c r="G323" s="595"/>
      <c r="H323" s="595"/>
      <c r="I323" s="595"/>
      <c r="J323" s="595"/>
      <c r="K323" s="595"/>
      <c r="L323" s="595"/>
      <c r="M323" s="595"/>
      <c r="N323" s="595"/>
      <c r="O323" s="595"/>
    </row>
    <row r="324" spans="1:15" ht="15" customHeight="1">
      <c r="A324" s="595"/>
      <c r="B324" s="595"/>
      <c r="C324" s="595"/>
      <c r="D324" s="595"/>
      <c r="E324" s="595"/>
      <c r="F324" s="595"/>
      <c r="G324" s="595"/>
      <c r="H324" s="595"/>
      <c r="I324" s="595"/>
      <c r="J324" s="595"/>
      <c r="K324" s="595"/>
      <c r="L324" s="595"/>
      <c r="M324" s="595"/>
      <c r="N324" s="595"/>
      <c r="O324" s="595"/>
    </row>
    <row r="325" spans="1:15" ht="15" customHeight="1">
      <c r="A325" s="595"/>
      <c r="B325" s="595"/>
      <c r="C325" s="595"/>
      <c r="D325" s="595"/>
      <c r="E325" s="595"/>
      <c r="F325" s="595"/>
      <c r="G325" s="595"/>
      <c r="H325" s="595"/>
      <c r="I325" s="595"/>
      <c r="J325" s="595"/>
      <c r="K325" s="595"/>
      <c r="L325" s="595"/>
      <c r="M325" s="595"/>
      <c r="N325" s="595"/>
      <c r="O325" s="595"/>
    </row>
    <row r="326" spans="1:15" ht="15" customHeight="1">
      <c r="A326" s="595"/>
      <c r="B326" s="595"/>
      <c r="C326" s="595"/>
      <c r="D326" s="595"/>
      <c r="E326" s="595"/>
      <c r="F326" s="595"/>
      <c r="G326" s="595"/>
      <c r="H326" s="595"/>
      <c r="I326" s="595"/>
      <c r="J326" s="595"/>
      <c r="K326" s="595"/>
      <c r="L326" s="595"/>
      <c r="M326" s="595"/>
      <c r="N326" s="595"/>
      <c r="O326" s="595"/>
    </row>
    <row r="327" spans="1:15" ht="15" customHeight="1">
      <c r="A327" s="595"/>
      <c r="B327" s="595"/>
      <c r="C327" s="595"/>
      <c r="D327" s="595"/>
      <c r="E327" s="595"/>
      <c r="F327" s="595"/>
      <c r="G327" s="595"/>
      <c r="H327" s="595"/>
      <c r="I327" s="595"/>
      <c r="J327" s="595"/>
      <c r="K327" s="595"/>
      <c r="L327" s="595"/>
      <c r="M327" s="595"/>
      <c r="N327" s="595"/>
      <c r="O327" s="595"/>
    </row>
    <row r="328" spans="1:15" ht="15" customHeight="1">
      <c r="A328" s="595"/>
      <c r="B328" s="595"/>
      <c r="C328" s="595"/>
      <c r="D328" s="595"/>
      <c r="E328" s="595"/>
      <c r="F328" s="595"/>
      <c r="G328" s="595"/>
      <c r="H328" s="595"/>
      <c r="I328" s="595"/>
      <c r="J328" s="595"/>
      <c r="K328" s="595"/>
      <c r="L328" s="595"/>
      <c r="M328" s="595"/>
      <c r="N328" s="595"/>
      <c r="O328" s="595"/>
    </row>
    <row r="329" spans="1:15" ht="15" customHeight="1">
      <c r="A329" s="595"/>
      <c r="B329" s="595"/>
      <c r="C329" s="595"/>
      <c r="D329" s="595"/>
      <c r="E329" s="595"/>
      <c r="F329" s="595"/>
      <c r="G329" s="595"/>
      <c r="H329" s="595"/>
      <c r="I329" s="595"/>
      <c r="J329" s="595"/>
      <c r="K329" s="595"/>
      <c r="L329" s="595"/>
      <c r="M329" s="595"/>
      <c r="N329" s="595"/>
      <c r="O329" s="595"/>
    </row>
    <row r="330" spans="1:15" ht="15" customHeight="1">
      <c r="A330" s="595"/>
      <c r="B330" s="595"/>
      <c r="C330" s="595"/>
      <c r="D330" s="595"/>
      <c r="E330" s="595"/>
      <c r="F330" s="595"/>
      <c r="G330" s="595"/>
      <c r="H330" s="595"/>
      <c r="I330" s="595"/>
      <c r="J330" s="595"/>
      <c r="K330" s="595"/>
      <c r="L330" s="595"/>
      <c r="M330" s="595"/>
      <c r="N330" s="595"/>
      <c r="O330" s="595"/>
    </row>
    <row r="331" spans="1:15" ht="15" customHeight="1">
      <c r="A331" s="595"/>
      <c r="B331" s="595"/>
      <c r="C331" s="595"/>
      <c r="D331" s="595"/>
      <c r="E331" s="595"/>
      <c r="F331" s="595"/>
      <c r="G331" s="595"/>
      <c r="H331" s="595"/>
      <c r="I331" s="595"/>
      <c r="J331" s="595"/>
      <c r="K331" s="595"/>
      <c r="L331" s="595"/>
      <c r="M331" s="595"/>
      <c r="N331" s="595"/>
      <c r="O331" s="595"/>
    </row>
    <row r="332" spans="1:15" ht="15" customHeight="1">
      <c r="A332" s="595"/>
      <c r="B332" s="595"/>
      <c r="C332" s="595"/>
      <c r="D332" s="595"/>
      <c r="E332" s="595"/>
      <c r="F332" s="595"/>
      <c r="G332" s="595"/>
      <c r="H332" s="595"/>
      <c r="I332" s="595"/>
      <c r="J332" s="595"/>
      <c r="K332" s="595"/>
      <c r="L332" s="595"/>
      <c r="M332" s="595"/>
      <c r="N332" s="595"/>
      <c r="O332" s="595"/>
    </row>
    <row r="333" spans="1:15" ht="15" customHeight="1">
      <c r="A333" s="595"/>
      <c r="B333" s="595"/>
      <c r="C333" s="595"/>
      <c r="D333" s="595"/>
      <c r="E333" s="595"/>
      <c r="F333" s="595"/>
      <c r="G333" s="595"/>
      <c r="H333" s="595"/>
      <c r="I333" s="595"/>
      <c r="J333" s="595"/>
      <c r="K333" s="595"/>
      <c r="L333" s="595"/>
      <c r="M333" s="595"/>
      <c r="N333" s="595"/>
      <c r="O333" s="595"/>
    </row>
    <row r="334" spans="1:15" ht="15" customHeight="1">
      <c r="A334" s="595"/>
      <c r="B334" s="595"/>
      <c r="C334" s="595"/>
      <c r="D334" s="595"/>
      <c r="E334" s="595"/>
      <c r="F334" s="595"/>
      <c r="G334" s="595"/>
      <c r="H334" s="595"/>
      <c r="I334" s="595"/>
      <c r="J334" s="595"/>
      <c r="K334" s="595"/>
      <c r="L334" s="595"/>
      <c r="M334" s="595"/>
      <c r="N334" s="595"/>
      <c r="O334" s="595"/>
    </row>
    <row r="335" spans="1:15" ht="15" customHeight="1">
      <c r="A335" s="595"/>
      <c r="B335" s="595"/>
      <c r="C335" s="595"/>
      <c r="D335" s="595"/>
      <c r="E335" s="595"/>
      <c r="F335" s="595"/>
      <c r="G335" s="595"/>
      <c r="H335" s="595"/>
      <c r="I335" s="595"/>
      <c r="J335" s="595"/>
      <c r="K335" s="595"/>
      <c r="L335" s="595"/>
      <c r="M335" s="595"/>
      <c r="N335" s="595"/>
      <c r="O335" s="595"/>
    </row>
    <row r="336" spans="1:15" ht="15" customHeight="1">
      <c r="A336" s="595"/>
      <c r="B336" s="595"/>
      <c r="C336" s="595"/>
      <c r="D336" s="595"/>
      <c r="E336" s="595"/>
      <c r="F336" s="595"/>
      <c r="G336" s="595"/>
      <c r="H336" s="595"/>
      <c r="I336" s="595"/>
      <c r="J336" s="595"/>
      <c r="K336" s="595"/>
      <c r="L336" s="595"/>
      <c r="M336" s="595"/>
      <c r="N336" s="595"/>
      <c r="O336" s="595"/>
    </row>
    <row r="337" spans="1:15" ht="15" customHeight="1">
      <c r="A337" s="595"/>
      <c r="B337" s="595"/>
      <c r="C337" s="595"/>
      <c r="D337" s="595"/>
      <c r="E337" s="595"/>
      <c r="F337" s="595"/>
      <c r="G337" s="595"/>
      <c r="H337" s="595"/>
      <c r="I337" s="595"/>
      <c r="J337" s="595"/>
      <c r="K337" s="595"/>
      <c r="L337" s="595"/>
      <c r="M337" s="595"/>
      <c r="N337" s="595"/>
      <c r="O337" s="595"/>
    </row>
    <row r="338" spans="1:15" ht="15" customHeight="1">
      <c r="A338" s="595"/>
      <c r="B338" s="595"/>
      <c r="C338" s="595"/>
      <c r="D338" s="595"/>
      <c r="E338" s="595"/>
      <c r="F338" s="595"/>
      <c r="G338" s="595"/>
      <c r="H338" s="595"/>
      <c r="I338" s="595"/>
      <c r="J338" s="595"/>
      <c r="K338" s="595"/>
      <c r="L338" s="595"/>
      <c r="M338" s="595"/>
      <c r="N338" s="595"/>
      <c r="O338" s="595"/>
    </row>
    <row r="339" spans="1:15" ht="15" customHeight="1">
      <c r="A339" s="595"/>
      <c r="B339" s="595"/>
      <c r="C339" s="595"/>
      <c r="D339" s="595"/>
      <c r="E339" s="595"/>
      <c r="F339" s="595"/>
      <c r="G339" s="595"/>
      <c r="H339" s="595"/>
      <c r="I339" s="595"/>
      <c r="J339" s="595"/>
      <c r="K339" s="595"/>
      <c r="L339" s="595"/>
      <c r="M339" s="595"/>
      <c r="N339" s="595"/>
      <c r="O339" s="595"/>
    </row>
    <row r="340" spans="1:15" ht="15" customHeight="1">
      <c r="A340" s="595"/>
      <c r="B340" s="595"/>
      <c r="C340" s="595"/>
      <c r="D340" s="595"/>
      <c r="E340" s="595"/>
      <c r="F340" s="595"/>
      <c r="G340" s="595"/>
      <c r="H340" s="595"/>
      <c r="I340" s="595"/>
      <c r="J340" s="595"/>
      <c r="K340" s="595"/>
      <c r="L340" s="595"/>
      <c r="M340" s="595"/>
      <c r="N340" s="595"/>
      <c r="O340" s="595"/>
    </row>
    <row r="341" spans="1:15" ht="15" customHeight="1">
      <c r="A341" s="595"/>
      <c r="B341" s="595"/>
      <c r="C341" s="595"/>
      <c r="D341" s="595"/>
      <c r="E341" s="595"/>
      <c r="F341" s="595"/>
      <c r="G341" s="595"/>
      <c r="H341" s="595"/>
      <c r="I341" s="595"/>
      <c r="J341" s="595"/>
      <c r="K341" s="595"/>
      <c r="L341" s="595"/>
      <c r="M341" s="595"/>
      <c r="N341" s="595"/>
      <c r="O341" s="595"/>
    </row>
    <row r="342" spans="1:15" ht="15" customHeight="1">
      <c r="A342" s="595"/>
      <c r="B342" s="595"/>
      <c r="C342" s="595"/>
      <c r="D342" s="595"/>
      <c r="E342" s="595"/>
      <c r="F342" s="595"/>
      <c r="G342" s="595"/>
      <c r="H342" s="595"/>
      <c r="I342" s="595"/>
      <c r="J342" s="595"/>
      <c r="K342" s="595"/>
      <c r="L342" s="595"/>
      <c r="M342" s="595"/>
      <c r="N342" s="595"/>
      <c r="O342" s="595"/>
    </row>
    <row r="343" spans="1:15" ht="15" customHeight="1">
      <c r="A343" s="595"/>
      <c r="B343" s="595"/>
      <c r="C343" s="595"/>
      <c r="D343" s="595"/>
      <c r="E343" s="595"/>
      <c r="F343" s="595"/>
      <c r="G343" s="595"/>
      <c r="H343" s="595"/>
      <c r="I343" s="595"/>
      <c r="J343" s="595"/>
      <c r="K343" s="595"/>
      <c r="L343" s="595"/>
      <c r="M343" s="595"/>
      <c r="N343" s="595"/>
      <c r="O343" s="595"/>
    </row>
    <row r="344" spans="1:15" ht="15" customHeight="1">
      <c r="A344" s="595"/>
      <c r="B344" s="595"/>
      <c r="C344" s="595"/>
      <c r="D344" s="595"/>
      <c r="E344" s="595"/>
      <c r="F344" s="595"/>
      <c r="G344" s="595"/>
      <c r="H344" s="595"/>
      <c r="I344" s="595"/>
      <c r="J344" s="595"/>
      <c r="K344" s="595"/>
      <c r="L344" s="595"/>
      <c r="M344" s="595"/>
      <c r="N344" s="595"/>
      <c r="O344" s="595"/>
    </row>
    <row r="345" spans="1:15" ht="15" customHeight="1">
      <c r="A345" s="595"/>
      <c r="B345" s="595"/>
      <c r="C345" s="595"/>
      <c r="D345" s="595"/>
      <c r="E345" s="595"/>
      <c r="F345" s="595"/>
      <c r="G345" s="595"/>
      <c r="H345" s="595"/>
      <c r="I345" s="595"/>
      <c r="J345" s="595"/>
      <c r="K345" s="595"/>
      <c r="L345" s="595"/>
      <c r="M345" s="595"/>
      <c r="N345" s="595"/>
      <c r="O345" s="595"/>
    </row>
    <row r="346" spans="1:15" ht="15" customHeight="1">
      <c r="A346" s="595"/>
      <c r="B346" s="595"/>
      <c r="C346" s="595"/>
      <c r="D346" s="595"/>
      <c r="E346" s="595"/>
      <c r="F346" s="595"/>
      <c r="G346" s="595"/>
      <c r="H346" s="595"/>
      <c r="I346" s="595"/>
      <c r="J346" s="595"/>
      <c r="K346" s="595"/>
      <c r="L346" s="595"/>
      <c r="M346" s="595"/>
      <c r="N346" s="595"/>
      <c r="O346" s="595"/>
    </row>
    <row r="347" spans="1:15" ht="15" customHeight="1">
      <c r="A347" s="595"/>
      <c r="B347" s="595"/>
      <c r="C347" s="595"/>
      <c r="D347" s="595"/>
      <c r="E347" s="595"/>
      <c r="F347" s="595"/>
      <c r="G347" s="595"/>
      <c r="H347" s="595"/>
      <c r="I347" s="595"/>
      <c r="J347" s="595"/>
      <c r="K347" s="595"/>
      <c r="L347" s="595"/>
      <c r="M347" s="595"/>
      <c r="N347" s="595"/>
      <c r="O347" s="595"/>
    </row>
    <row r="348" spans="1:15" ht="15" customHeight="1">
      <c r="A348" s="595"/>
      <c r="B348" s="595"/>
      <c r="C348" s="595"/>
      <c r="D348" s="595"/>
      <c r="E348" s="595"/>
      <c r="F348" s="595"/>
      <c r="G348" s="595"/>
      <c r="H348" s="595"/>
      <c r="I348" s="595"/>
      <c r="J348" s="595"/>
      <c r="K348" s="595"/>
      <c r="L348" s="595"/>
      <c r="M348" s="595"/>
      <c r="N348" s="595"/>
      <c r="O348" s="595"/>
    </row>
    <row r="349" spans="1:15" ht="15" customHeight="1">
      <c r="A349" s="595"/>
      <c r="B349" s="595"/>
      <c r="C349" s="595"/>
      <c r="D349" s="595"/>
      <c r="E349" s="595"/>
      <c r="F349" s="595"/>
      <c r="G349" s="595"/>
      <c r="H349" s="595"/>
      <c r="I349" s="595"/>
      <c r="J349" s="595"/>
      <c r="K349" s="595"/>
      <c r="L349" s="595"/>
      <c r="M349" s="595"/>
      <c r="N349" s="595"/>
      <c r="O349" s="595"/>
    </row>
    <row r="350" spans="1:15" ht="15" customHeight="1">
      <c r="A350" s="595"/>
      <c r="B350" s="595"/>
      <c r="C350" s="595"/>
      <c r="D350" s="595"/>
      <c r="E350" s="595"/>
      <c r="F350" s="595"/>
      <c r="G350" s="595"/>
      <c r="H350" s="595"/>
      <c r="I350" s="595"/>
      <c r="J350" s="595"/>
      <c r="K350" s="595"/>
      <c r="L350" s="595"/>
      <c r="M350" s="595"/>
      <c r="N350" s="595"/>
      <c r="O350" s="595"/>
    </row>
    <row r="351" spans="1:15" ht="15" customHeight="1">
      <c r="A351" s="595"/>
      <c r="B351" s="595"/>
      <c r="C351" s="595"/>
      <c r="D351" s="595"/>
      <c r="E351" s="595"/>
      <c r="F351" s="595"/>
      <c r="G351" s="595"/>
      <c r="H351" s="595"/>
      <c r="I351" s="595"/>
      <c r="J351" s="595"/>
      <c r="K351" s="595"/>
      <c r="L351" s="595"/>
      <c r="M351" s="595"/>
      <c r="N351" s="595"/>
      <c r="O351" s="595"/>
    </row>
    <row r="352" spans="1:15" ht="15" customHeight="1">
      <c r="A352" s="595"/>
      <c r="B352" s="595"/>
      <c r="C352" s="595"/>
      <c r="D352" s="595"/>
      <c r="E352" s="595"/>
      <c r="F352" s="595"/>
      <c r="G352" s="595"/>
      <c r="H352" s="595"/>
      <c r="I352" s="595"/>
      <c r="J352" s="595"/>
      <c r="K352" s="595"/>
      <c r="L352" s="595"/>
      <c r="M352" s="595"/>
      <c r="N352" s="595"/>
      <c r="O352" s="595"/>
    </row>
    <row r="353" spans="1:15" ht="15" customHeight="1">
      <c r="A353" s="595"/>
      <c r="B353" s="595"/>
      <c r="C353" s="595"/>
      <c r="D353" s="595"/>
      <c r="E353" s="595"/>
      <c r="F353" s="595"/>
      <c r="G353" s="595"/>
      <c r="H353" s="595"/>
      <c r="I353" s="595"/>
      <c r="J353" s="595"/>
      <c r="K353" s="595"/>
      <c r="L353" s="595"/>
      <c r="M353" s="595"/>
      <c r="N353" s="595"/>
      <c r="O353" s="595"/>
    </row>
    <row r="354" spans="1:15" ht="15" customHeight="1">
      <c r="A354" s="595"/>
      <c r="B354" s="595"/>
      <c r="C354" s="595"/>
      <c r="D354" s="595"/>
      <c r="E354" s="595"/>
      <c r="F354" s="595"/>
      <c r="G354" s="595"/>
      <c r="H354" s="595"/>
      <c r="I354" s="595"/>
      <c r="J354" s="595"/>
      <c r="K354" s="595"/>
      <c r="L354" s="595"/>
      <c r="M354" s="595"/>
      <c r="N354" s="595"/>
      <c r="O354" s="595"/>
    </row>
    <row r="355" spans="1:15" ht="15" customHeight="1">
      <c r="A355" s="595"/>
      <c r="B355" s="595"/>
      <c r="C355" s="595"/>
      <c r="D355" s="595"/>
      <c r="E355" s="595"/>
      <c r="F355" s="595"/>
      <c r="G355" s="595"/>
      <c r="H355" s="595"/>
      <c r="I355" s="595"/>
      <c r="J355" s="595"/>
      <c r="K355" s="595"/>
      <c r="L355" s="595"/>
      <c r="M355" s="595"/>
      <c r="N355" s="595"/>
      <c r="O355" s="595"/>
    </row>
    <row r="356" spans="1:15" ht="15" customHeight="1">
      <c r="A356" s="595"/>
      <c r="B356" s="595"/>
      <c r="C356" s="595"/>
      <c r="D356" s="595"/>
      <c r="E356" s="595"/>
      <c r="F356" s="595"/>
      <c r="G356" s="595"/>
      <c r="H356" s="595"/>
      <c r="I356" s="595"/>
      <c r="J356" s="595"/>
      <c r="K356" s="595"/>
      <c r="L356" s="595"/>
      <c r="M356" s="595"/>
      <c r="N356" s="595"/>
      <c r="O356" s="595"/>
    </row>
    <row r="357" spans="1:15" ht="15" customHeight="1">
      <c r="A357" s="595"/>
      <c r="B357" s="595"/>
      <c r="C357" s="595"/>
      <c r="D357" s="595"/>
      <c r="E357" s="595"/>
      <c r="F357" s="595"/>
      <c r="G357" s="595"/>
      <c r="H357" s="595"/>
      <c r="I357" s="595"/>
      <c r="J357" s="595"/>
      <c r="K357" s="595"/>
      <c r="L357" s="595"/>
      <c r="M357" s="595"/>
      <c r="N357" s="595"/>
      <c r="O357" s="595"/>
    </row>
    <row r="358" spans="1:15" ht="15" customHeight="1">
      <c r="A358" s="595"/>
      <c r="B358" s="595"/>
      <c r="C358" s="595"/>
      <c r="D358" s="595"/>
      <c r="E358" s="595"/>
      <c r="F358" s="595"/>
      <c r="G358" s="595"/>
      <c r="H358" s="595"/>
      <c r="I358" s="595"/>
      <c r="J358" s="595"/>
      <c r="K358" s="595"/>
      <c r="L358" s="595"/>
      <c r="M358" s="595"/>
      <c r="N358" s="595"/>
      <c r="O358" s="595"/>
    </row>
    <row r="359" spans="1:15" ht="15" customHeight="1">
      <c r="A359" s="595"/>
      <c r="B359" s="595"/>
      <c r="C359" s="595"/>
      <c r="D359" s="595"/>
      <c r="E359" s="595"/>
      <c r="F359" s="595"/>
      <c r="G359" s="595"/>
      <c r="H359" s="595"/>
      <c r="I359" s="595"/>
      <c r="J359" s="595"/>
      <c r="K359" s="595"/>
      <c r="L359" s="595"/>
      <c r="M359" s="595"/>
      <c r="N359" s="595"/>
      <c r="O359" s="595"/>
    </row>
    <row r="360" spans="1:15" ht="15" customHeight="1">
      <c r="A360" s="595"/>
      <c r="B360" s="595"/>
      <c r="C360" s="595"/>
      <c r="D360" s="595"/>
      <c r="E360" s="595"/>
      <c r="F360" s="595"/>
      <c r="G360" s="595"/>
      <c r="H360" s="595"/>
      <c r="I360" s="595"/>
      <c r="J360" s="595"/>
      <c r="K360" s="595"/>
      <c r="L360" s="595"/>
      <c r="M360" s="595"/>
      <c r="N360" s="595"/>
      <c r="O360" s="595"/>
    </row>
    <row r="361" spans="1:15" ht="15" customHeight="1">
      <c r="A361" s="595"/>
      <c r="B361" s="595"/>
      <c r="C361" s="595"/>
      <c r="D361" s="595"/>
      <c r="E361" s="595"/>
      <c r="F361" s="595"/>
      <c r="G361" s="595"/>
      <c r="H361" s="595"/>
      <c r="I361" s="595"/>
      <c r="J361" s="595"/>
      <c r="K361" s="595"/>
      <c r="L361" s="595"/>
      <c r="M361" s="595"/>
      <c r="N361" s="595"/>
      <c r="O361" s="595"/>
    </row>
    <row r="362" spans="1:15" ht="15" customHeight="1">
      <c r="A362" s="595"/>
      <c r="B362" s="595"/>
      <c r="C362" s="595"/>
      <c r="D362" s="595"/>
      <c r="E362" s="595"/>
      <c r="F362" s="595"/>
      <c r="G362" s="595"/>
      <c r="H362" s="595"/>
      <c r="I362" s="595"/>
      <c r="J362" s="595"/>
      <c r="K362" s="595"/>
      <c r="L362" s="595"/>
      <c r="M362" s="595"/>
      <c r="N362" s="595"/>
      <c r="O362" s="595"/>
    </row>
    <row r="363" spans="1:15" ht="15" customHeight="1">
      <c r="A363" s="595"/>
      <c r="B363" s="595"/>
      <c r="C363" s="595"/>
      <c r="D363" s="595"/>
      <c r="E363" s="595"/>
      <c r="F363" s="595"/>
      <c r="G363" s="595"/>
      <c r="H363" s="595"/>
      <c r="I363" s="595"/>
      <c r="J363" s="595"/>
      <c r="K363" s="595"/>
      <c r="L363" s="595"/>
      <c r="M363" s="595"/>
      <c r="N363" s="595"/>
      <c r="O363" s="595"/>
    </row>
    <row r="364" spans="1:15" ht="15" customHeight="1">
      <c r="A364" s="595"/>
      <c r="B364" s="595"/>
      <c r="C364" s="595"/>
      <c r="D364" s="595"/>
      <c r="E364" s="595"/>
      <c r="F364" s="595"/>
      <c r="G364" s="595"/>
      <c r="H364" s="595"/>
      <c r="I364" s="595"/>
      <c r="J364" s="595"/>
      <c r="K364" s="595"/>
      <c r="L364" s="595"/>
      <c r="M364" s="595"/>
      <c r="N364" s="595"/>
      <c r="O364" s="595"/>
    </row>
    <row r="365" spans="1:15" ht="15" customHeight="1">
      <c r="A365" s="595"/>
      <c r="B365" s="595"/>
      <c r="C365" s="595"/>
      <c r="D365" s="595"/>
      <c r="E365" s="595"/>
      <c r="F365" s="595"/>
      <c r="G365" s="595"/>
      <c r="H365" s="595"/>
      <c r="I365" s="595"/>
      <c r="J365" s="595"/>
      <c r="K365" s="595"/>
      <c r="L365" s="595"/>
      <c r="M365" s="595"/>
      <c r="N365" s="595"/>
      <c r="O365" s="595"/>
    </row>
    <row r="366" spans="1:15" ht="15" customHeight="1">
      <c r="A366" s="595"/>
      <c r="B366" s="595"/>
      <c r="C366" s="595"/>
      <c r="D366" s="595"/>
      <c r="E366" s="595"/>
      <c r="F366" s="595"/>
      <c r="G366" s="595"/>
      <c r="H366" s="595"/>
      <c r="I366" s="595"/>
      <c r="J366" s="595"/>
      <c r="K366" s="595"/>
      <c r="L366" s="595"/>
      <c r="M366" s="595"/>
      <c r="N366" s="595"/>
      <c r="O366" s="595"/>
    </row>
    <row r="367" spans="1:15" ht="15" customHeight="1">
      <c r="A367" s="595"/>
      <c r="B367" s="595"/>
      <c r="C367" s="595"/>
      <c r="D367" s="595"/>
      <c r="E367" s="595"/>
      <c r="F367" s="595"/>
      <c r="G367" s="595"/>
      <c r="H367" s="595"/>
      <c r="I367" s="595"/>
      <c r="J367" s="595"/>
      <c r="K367" s="595"/>
      <c r="L367" s="595"/>
      <c r="M367" s="595"/>
      <c r="N367" s="595"/>
      <c r="O367" s="595"/>
    </row>
    <row r="368" spans="1:15" ht="15" customHeight="1">
      <c r="A368" s="595"/>
      <c r="B368" s="595"/>
      <c r="C368" s="595"/>
      <c r="D368" s="595"/>
      <c r="E368" s="595"/>
      <c r="F368" s="595"/>
      <c r="G368" s="595"/>
      <c r="H368" s="595"/>
      <c r="I368" s="595"/>
      <c r="J368" s="595"/>
      <c r="K368" s="595"/>
      <c r="L368" s="595"/>
      <c r="M368" s="595"/>
      <c r="N368" s="595"/>
      <c r="O368" s="595"/>
    </row>
    <row r="369" spans="1:15" ht="15" customHeight="1">
      <c r="A369" s="595"/>
      <c r="B369" s="595"/>
      <c r="C369" s="595"/>
      <c r="D369" s="595"/>
      <c r="E369" s="595"/>
      <c r="F369" s="595"/>
      <c r="G369" s="595"/>
      <c r="H369" s="595"/>
      <c r="I369" s="595"/>
      <c r="J369" s="595"/>
      <c r="K369" s="595"/>
      <c r="L369" s="595"/>
      <c r="M369" s="595"/>
      <c r="N369" s="595"/>
      <c r="O369" s="595"/>
    </row>
    <row r="370" spans="1:15" ht="15" customHeight="1">
      <c r="A370" s="595"/>
      <c r="B370" s="595"/>
      <c r="C370" s="595"/>
      <c r="D370" s="595"/>
      <c r="E370" s="595"/>
      <c r="F370" s="595"/>
      <c r="G370" s="595"/>
      <c r="H370" s="595"/>
      <c r="I370" s="595"/>
      <c r="J370" s="595"/>
      <c r="K370" s="595"/>
      <c r="L370" s="595"/>
      <c r="M370" s="595"/>
      <c r="N370" s="595"/>
      <c r="O370" s="595"/>
    </row>
    <row r="371" spans="1:15" ht="15" customHeight="1">
      <c r="A371" s="595"/>
      <c r="B371" s="595"/>
      <c r="C371" s="595"/>
      <c r="D371" s="595"/>
      <c r="E371" s="595"/>
      <c r="F371" s="595"/>
      <c r="G371" s="595"/>
      <c r="H371" s="595"/>
      <c r="I371" s="595"/>
      <c r="J371" s="595"/>
      <c r="K371" s="595"/>
      <c r="L371" s="595"/>
      <c r="M371" s="595"/>
      <c r="N371" s="595"/>
      <c r="O371" s="595"/>
    </row>
    <row r="372" spans="1:15" ht="15" customHeight="1">
      <c r="A372" s="595"/>
      <c r="B372" s="595"/>
      <c r="C372" s="595"/>
      <c r="D372" s="595"/>
      <c r="E372" s="595"/>
      <c r="F372" s="595"/>
      <c r="G372" s="595"/>
      <c r="H372" s="595"/>
      <c r="I372" s="595"/>
      <c r="J372" s="595"/>
      <c r="K372" s="595"/>
      <c r="L372" s="595"/>
      <c r="M372" s="595"/>
      <c r="N372" s="595"/>
      <c r="O372" s="595"/>
    </row>
    <row r="373" spans="1:15" ht="15" customHeight="1">
      <c r="A373" s="595"/>
      <c r="B373" s="595"/>
      <c r="C373" s="595"/>
      <c r="D373" s="595"/>
      <c r="E373" s="595"/>
      <c r="F373" s="595"/>
      <c r="G373" s="595"/>
      <c r="H373" s="595"/>
      <c r="I373" s="595"/>
      <c r="J373" s="595"/>
      <c r="K373" s="595"/>
      <c r="L373" s="595"/>
      <c r="M373" s="595"/>
      <c r="N373" s="595"/>
      <c r="O373" s="595"/>
    </row>
    <row r="374" spans="1:15" ht="15" customHeight="1">
      <c r="A374" s="595"/>
      <c r="B374" s="595"/>
      <c r="C374" s="595"/>
      <c r="D374" s="595"/>
      <c r="E374" s="595"/>
      <c r="F374" s="595"/>
      <c r="G374" s="595"/>
      <c r="H374" s="595"/>
      <c r="I374" s="595"/>
      <c r="J374" s="595"/>
      <c r="K374" s="595"/>
      <c r="L374" s="595"/>
      <c r="M374" s="595"/>
      <c r="N374" s="595"/>
      <c r="O374" s="595"/>
    </row>
    <row r="375" spans="1:15" ht="15" customHeight="1">
      <c r="A375" s="595"/>
      <c r="B375" s="595"/>
      <c r="C375" s="595"/>
      <c r="D375" s="595"/>
      <c r="E375" s="595"/>
      <c r="F375" s="595"/>
      <c r="G375" s="595"/>
      <c r="H375" s="595"/>
      <c r="I375" s="595"/>
      <c r="J375" s="595"/>
      <c r="K375" s="595"/>
      <c r="L375" s="595"/>
      <c r="M375" s="595"/>
      <c r="N375" s="595"/>
      <c r="O375" s="595"/>
    </row>
    <row r="376" spans="1:15" ht="15" customHeight="1">
      <c r="A376" s="595"/>
      <c r="B376" s="595"/>
      <c r="C376" s="595"/>
      <c r="D376" s="595"/>
      <c r="E376" s="595"/>
      <c r="F376" s="595"/>
      <c r="G376" s="595"/>
      <c r="H376" s="595"/>
      <c r="I376" s="595"/>
      <c r="J376" s="595"/>
      <c r="K376" s="595"/>
      <c r="L376" s="595"/>
      <c r="M376" s="595"/>
      <c r="N376" s="595"/>
      <c r="O376" s="595"/>
    </row>
    <row r="377" spans="1:15" ht="15" customHeight="1">
      <c r="A377" s="595"/>
      <c r="B377" s="595"/>
      <c r="C377" s="595"/>
      <c r="D377" s="595"/>
      <c r="E377" s="595"/>
      <c r="F377" s="595"/>
      <c r="G377" s="595"/>
      <c r="H377" s="595"/>
      <c r="I377" s="595"/>
      <c r="J377" s="595"/>
      <c r="K377" s="595"/>
      <c r="L377" s="595"/>
      <c r="M377" s="595"/>
      <c r="N377" s="595"/>
      <c r="O377" s="595"/>
    </row>
    <row r="378" spans="1:15" ht="15" customHeight="1">
      <c r="A378" s="595"/>
      <c r="B378" s="595"/>
      <c r="C378" s="595"/>
      <c r="D378" s="595"/>
      <c r="E378" s="595"/>
      <c r="F378" s="595"/>
      <c r="G378" s="595"/>
      <c r="H378" s="595"/>
      <c r="I378" s="595"/>
      <c r="J378" s="595"/>
      <c r="K378" s="595"/>
      <c r="L378" s="595"/>
      <c r="M378" s="595"/>
      <c r="N378" s="595"/>
      <c r="O378" s="595"/>
    </row>
    <row r="379" spans="1:15" ht="15" customHeight="1">
      <c r="A379" s="595"/>
      <c r="B379" s="595"/>
      <c r="C379" s="595"/>
      <c r="D379" s="595"/>
      <c r="E379" s="595"/>
      <c r="F379" s="595"/>
      <c r="G379" s="595"/>
      <c r="H379" s="595"/>
      <c r="I379" s="595"/>
      <c r="J379" s="595"/>
      <c r="K379" s="595"/>
      <c r="L379" s="595"/>
      <c r="M379" s="595"/>
      <c r="N379" s="595"/>
      <c r="O379" s="595"/>
    </row>
    <row r="380" spans="1:15" ht="15" customHeight="1">
      <c r="A380" s="595"/>
      <c r="B380" s="595"/>
      <c r="C380" s="595"/>
      <c r="D380" s="595"/>
      <c r="E380" s="595"/>
      <c r="F380" s="595"/>
      <c r="G380" s="595"/>
      <c r="H380" s="595"/>
      <c r="I380" s="595"/>
      <c r="J380" s="595"/>
      <c r="K380" s="595"/>
      <c r="L380" s="595"/>
      <c r="M380" s="595"/>
      <c r="N380" s="595"/>
      <c r="O380" s="595"/>
    </row>
    <row r="381" spans="1:15" ht="15" customHeight="1">
      <c r="A381" s="595"/>
      <c r="B381" s="595"/>
      <c r="C381" s="595"/>
      <c r="D381" s="595"/>
      <c r="E381" s="595"/>
      <c r="F381" s="595"/>
      <c r="G381" s="595"/>
      <c r="H381" s="595"/>
      <c r="I381" s="595"/>
      <c r="J381" s="595"/>
      <c r="K381" s="595"/>
      <c r="L381" s="595"/>
      <c r="M381" s="595"/>
      <c r="N381" s="595"/>
      <c r="O381" s="595"/>
    </row>
    <row r="382" spans="1:15" ht="15" customHeight="1">
      <c r="A382" s="595"/>
      <c r="B382" s="595"/>
      <c r="C382" s="595"/>
      <c r="D382" s="595"/>
      <c r="E382" s="595"/>
      <c r="F382" s="595"/>
      <c r="G382" s="595"/>
      <c r="H382" s="595"/>
      <c r="I382" s="595"/>
      <c r="J382" s="595"/>
      <c r="K382" s="595"/>
      <c r="L382" s="595"/>
      <c r="M382" s="595"/>
      <c r="N382" s="595"/>
      <c r="O382" s="595"/>
    </row>
    <row r="383" spans="1:15" ht="15" customHeight="1">
      <c r="A383" s="595"/>
      <c r="B383" s="595"/>
      <c r="C383" s="595"/>
      <c r="D383" s="595"/>
      <c r="E383" s="595"/>
      <c r="F383" s="595"/>
      <c r="G383" s="595"/>
      <c r="H383" s="595"/>
      <c r="I383" s="595"/>
      <c r="J383" s="595"/>
      <c r="K383" s="595"/>
      <c r="L383" s="595"/>
      <c r="M383" s="595"/>
      <c r="N383" s="595"/>
      <c r="O383" s="595"/>
    </row>
    <row r="384" spans="1:15" ht="15" customHeight="1">
      <c r="A384" s="595"/>
      <c r="B384" s="595"/>
      <c r="C384" s="595"/>
      <c r="D384" s="595"/>
      <c r="E384" s="595"/>
      <c r="F384" s="595"/>
      <c r="G384" s="595"/>
      <c r="H384" s="595"/>
      <c r="I384" s="595"/>
      <c r="J384" s="595"/>
      <c r="K384" s="595"/>
      <c r="L384" s="595"/>
      <c r="M384" s="595"/>
      <c r="N384" s="595"/>
      <c r="O384" s="595"/>
    </row>
    <row r="385" spans="1:15" ht="15" customHeight="1">
      <c r="A385" s="595"/>
      <c r="B385" s="595"/>
      <c r="C385" s="595"/>
      <c r="D385" s="595"/>
      <c r="E385" s="595"/>
      <c r="F385" s="595"/>
      <c r="G385" s="595"/>
      <c r="H385" s="595"/>
      <c r="I385" s="595"/>
      <c r="J385" s="595"/>
      <c r="K385" s="595"/>
      <c r="L385" s="595"/>
      <c r="M385" s="595"/>
      <c r="N385" s="595"/>
      <c r="O385" s="595"/>
    </row>
    <row r="386" spans="1:15" ht="15" customHeight="1">
      <c r="A386" s="595"/>
      <c r="B386" s="595"/>
      <c r="C386" s="595"/>
      <c r="D386" s="595"/>
      <c r="E386" s="595"/>
      <c r="F386" s="595"/>
      <c r="G386" s="595"/>
      <c r="H386" s="595"/>
      <c r="I386" s="595"/>
      <c r="J386" s="595"/>
      <c r="K386" s="595"/>
      <c r="L386" s="595"/>
      <c r="M386" s="595"/>
      <c r="N386" s="595"/>
      <c r="O386" s="595"/>
    </row>
    <row r="387" spans="1:15" ht="15" customHeight="1">
      <c r="A387" s="595"/>
      <c r="B387" s="595"/>
      <c r="C387" s="595"/>
      <c r="D387" s="595"/>
      <c r="E387" s="595"/>
      <c r="F387" s="595"/>
      <c r="G387" s="595"/>
      <c r="H387" s="595"/>
      <c r="I387" s="595"/>
      <c r="J387" s="595"/>
      <c r="K387" s="595"/>
      <c r="L387" s="595"/>
      <c r="M387" s="595"/>
      <c r="N387" s="595"/>
      <c r="O387" s="595"/>
    </row>
    <row r="388" spans="1:15" ht="15" customHeight="1">
      <c r="A388" s="595"/>
      <c r="B388" s="595"/>
      <c r="C388" s="595"/>
      <c r="D388" s="595"/>
      <c r="E388" s="595"/>
      <c r="F388" s="595"/>
      <c r="G388" s="595"/>
      <c r="H388" s="595"/>
      <c r="I388" s="595"/>
      <c r="J388" s="595"/>
      <c r="K388" s="595"/>
      <c r="L388" s="595"/>
      <c r="M388" s="595"/>
      <c r="N388" s="595"/>
      <c r="O388" s="595"/>
    </row>
    <row r="389" spans="1:15" ht="15" customHeight="1">
      <c r="A389" s="595"/>
      <c r="B389" s="595"/>
      <c r="C389" s="595"/>
      <c r="D389" s="595"/>
      <c r="E389" s="595"/>
      <c r="F389" s="595"/>
      <c r="G389" s="595"/>
      <c r="H389" s="595"/>
      <c r="I389" s="595"/>
      <c r="J389" s="595"/>
      <c r="K389" s="595"/>
      <c r="L389" s="595"/>
      <c r="M389" s="595"/>
      <c r="N389" s="595"/>
      <c r="O389" s="595"/>
    </row>
    <row r="390" spans="1:15" ht="15" customHeight="1">
      <c r="A390" s="595"/>
      <c r="B390" s="595"/>
      <c r="C390" s="595"/>
      <c r="D390" s="595"/>
      <c r="E390" s="595"/>
      <c r="F390" s="595"/>
      <c r="G390" s="595"/>
      <c r="H390" s="595"/>
      <c r="I390" s="595"/>
      <c r="J390" s="595"/>
      <c r="K390" s="595"/>
      <c r="L390" s="595"/>
      <c r="M390" s="595"/>
      <c r="N390" s="595"/>
      <c r="O390" s="595"/>
    </row>
    <row r="391" spans="1:15" ht="15" customHeight="1">
      <c r="A391" s="595"/>
      <c r="B391" s="595"/>
      <c r="C391" s="595"/>
      <c r="D391" s="595"/>
      <c r="E391" s="595"/>
      <c r="F391" s="595"/>
      <c r="G391" s="595"/>
      <c r="H391" s="595"/>
      <c r="I391" s="595"/>
      <c r="J391" s="595"/>
      <c r="K391" s="595"/>
      <c r="L391" s="595"/>
      <c r="M391" s="595"/>
      <c r="N391" s="595"/>
      <c r="O391" s="595"/>
    </row>
    <row r="392" spans="1:15" ht="15" customHeight="1">
      <c r="A392" s="595"/>
      <c r="B392" s="595"/>
      <c r="C392" s="595"/>
      <c r="D392" s="595"/>
      <c r="E392" s="595"/>
      <c r="F392" s="595"/>
      <c r="G392" s="595"/>
      <c r="H392" s="595"/>
      <c r="I392" s="595"/>
      <c r="J392" s="595"/>
      <c r="K392" s="595"/>
      <c r="L392" s="595"/>
      <c r="M392" s="595"/>
      <c r="N392" s="595"/>
      <c r="O392" s="595"/>
    </row>
    <row r="393" spans="1:15" ht="15" customHeight="1">
      <c r="A393" s="595"/>
      <c r="B393" s="595"/>
      <c r="C393" s="595"/>
      <c r="D393" s="595"/>
      <c r="E393" s="595"/>
      <c r="F393" s="595"/>
      <c r="G393" s="595"/>
      <c r="H393" s="595"/>
      <c r="I393" s="595"/>
      <c r="J393" s="595"/>
      <c r="K393" s="595"/>
      <c r="L393" s="595"/>
      <c r="M393" s="595"/>
      <c r="N393" s="595"/>
      <c r="O393" s="595"/>
    </row>
    <row r="394" spans="1:15" ht="15" customHeight="1">
      <c r="A394" s="595"/>
      <c r="B394" s="595"/>
      <c r="C394" s="595"/>
      <c r="D394" s="595"/>
      <c r="E394" s="595"/>
      <c r="F394" s="595"/>
      <c r="G394" s="595"/>
      <c r="H394" s="595"/>
      <c r="I394" s="595"/>
      <c r="J394" s="595"/>
      <c r="K394" s="595"/>
      <c r="L394" s="595"/>
      <c r="M394" s="595"/>
      <c r="N394" s="595"/>
      <c r="O394" s="595"/>
    </row>
    <row r="395" spans="1:15" ht="15" customHeight="1">
      <c r="A395" s="595"/>
      <c r="B395" s="595"/>
      <c r="C395" s="595"/>
      <c r="D395" s="595"/>
      <c r="E395" s="595"/>
      <c r="F395" s="595"/>
      <c r="G395" s="595"/>
      <c r="H395" s="595"/>
      <c r="I395" s="595"/>
      <c r="J395" s="595"/>
      <c r="K395" s="595"/>
      <c r="L395" s="595"/>
      <c r="M395" s="595"/>
      <c r="N395" s="595"/>
      <c r="O395" s="595"/>
    </row>
    <row r="396" spans="1:15" ht="15" customHeight="1">
      <c r="A396" s="595"/>
      <c r="B396" s="595"/>
      <c r="C396" s="595"/>
      <c r="D396" s="595"/>
      <c r="E396" s="595"/>
      <c r="F396" s="595"/>
      <c r="G396" s="595"/>
      <c r="H396" s="595"/>
      <c r="I396" s="595"/>
      <c r="J396" s="595"/>
      <c r="K396" s="595"/>
      <c r="L396" s="595"/>
      <c r="M396" s="595"/>
      <c r="N396" s="595"/>
      <c r="O396" s="595"/>
    </row>
    <row r="397" spans="1:15" ht="15" customHeight="1">
      <c r="A397" s="595"/>
      <c r="B397" s="595"/>
      <c r="C397" s="595"/>
      <c r="D397" s="595"/>
      <c r="E397" s="595"/>
      <c r="F397" s="595"/>
      <c r="G397" s="595"/>
      <c r="H397" s="595"/>
      <c r="I397" s="595"/>
      <c r="J397" s="595"/>
      <c r="K397" s="595"/>
      <c r="L397" s="595"/>
      <c r="M397" s="595"/>
      <c r="N397" s="595"/>
      <c r="O397" s="595"/>
    </row>
    <row r="398" spans="1:15" ht="15" customHeight="1">
      <c r="A398" s="595"/>
      <c r="B398" s="595"/>
      <c r="C398" s="595"/>
      <c r="D398" s="595"/>
      <c r="E398" s="595"/>
      <c r="F398" s="595"/>
      <c r="G398" s="595"/>
      <c r="H398" s="595"/>
      <c r="I398" s="595"/>
      <c r="J398" s="595"/>
      <c r="K398" s="595"/>
      <c r="L398" s="595"/>
      <c r="M398" s="595"/>
      <c r="N398" s="595"/>
      <c r="O398" s="595"/>
    </row>
    <row r="399" spans="1:15" ht="15" customHeight="1">
      <c r="A399" s="595"/>
      <c r="B399" s="595"/>
      <c r="C399" s="595"/>
      <c r="D399" s="595"/>
      <c r="E399" s="595"/>
      <c r="F399" s="595"/>
      <c r="G399" s="595"/>
      <c r="H399" s="595"/>
      <c r="I399" s="595"/>
      <c r="J399" s="595"/>
      <c r="K399" s="595"/>
      <c r="L399" s="595"/>
      <c r="M399" s="595"/>
      <c r="N399" s="595"/>
      <c r="O399" s="595"/>
    </row>
    <row r="400" spans="1:15" ht="15" customHeight="1">
      <c r="A400" s="595"/>
      <c r="B400" s="595"/>
      <c r="C400" s="595"/>
      <c r="D400" s="595"/>
      <c r="E400" s="595"/>
      <c r="F400" s="595"/>
      <c r="G400" s="595"/>
      <c r="H400" s="595"/>
      <c r="I400" s="595"/>
      <c r="J400" s="595"/>
      <c r="K400" s="595"/>
      <c r="L400" s="595"/>
      <c r="M400" s="595"/>
      <c r="N400" s="595"/>
      <c r="O400" s="595"/>
    </row>
    <row r="401" spans="1:15" ht="15" customHeight="1">
      <c r="A401" s="595"/>
      <c r="B401" s="595"/>
      <c r="C401" s="595"/>
      <c r="D401" s="595"/>
      <c r="E401" s="595"/>
      <c r="F401" s="595"/>
      <c r="G401" s="595"/>
      <c r="H401" s="595"/>
      <c r="I401" s="595"/>
      <c r="J401" s="595"/>
      <c r="K401" s="595"/>
      <c r="L401" s="595"/>
      <c r="M401" s="595"/>
      <c r="N401" s="595"/>
      <c r="O401" s="595"/>
    </row>
    <row r="402" spans="1:15" ht="15" customHeight="1">
      <c r="A402" s="595"/>
      <c r="B402" s="595"/>
      <c r="C402" s="595"/>
      <c r="D402" s="595"/>
      <c r="E402" s="595"/>
      <c r="F402" s="595"/>
      <c r="G402" s="595"/>
      <c r="H402" s="595"/>
      <c r="I402" s="595"/>
      <c r="J402" s="595"/>
      <c r="K402" s="595"/>
      <c r="L402" s="595"/>
      <c r="M402" s="595"/>
      <c r="N402" s="595"/>
      <c r="O402" s="595"/>
    </row>
    <row r="403" spans="1:15" ht="15" customHeight="1">
      <c r="A403" s="595"/>
      <c r="B403" s="595"/>
      <c r="C403" s="595"/>
      <c r="D403" s="595"/>
      <c r="E403" s="595"/>
      <c r="F403" s="595"/>
      <c r="G403" s="595"/>
      <c r="H403" s="595"/>
      <c r="I403" s="595"/>
      <c r="J403" s="595"/>
      <c r="K403" s="595"/>
      <c r="L403" s="595"/>
      <c r="M403" s="595"/>
      <c r="N403" s="595"/>
      <c r="O403" s="595"/>
    </row>
    <row r="404" spans="1:15" ht="15" customHeight="1">
      <c r="A404" s="595"/>
      <c r="B404" s="595"/>
      <c r="C404" s="595"/>
      <c r="D404" s="595"/>
      <c r="E404" s="595"/>
      <c r="F404" s="595"/>
      <c r="G404" s="595"/>
      <c r="H404" s="595"/>
      <c r="I404" s="595"/>
      <c r="J404" s="595"/>
      <c r="K404" s="595"/>
      <c r="L404" s="595"/>
      <c r="M404" s="595"/>
      <c r="N404" s="595"/>
      <c r="O404" s="595"/>
    </row>
    <row r="405" spans="1:15" ht="15" customHeight="1">
      <c r="A405" s="595"/>
      <c r="B405" s="595"/>
      <c r="C405" s="595"/>
      <c r="D405" s="595"/>
      <c r="E405" s="595"/>
      <c r="F405" s="595"/>
      <c r="G405" s="595"/>
      <c r="H405" s="595"/>
      <c r="I405" s="595"/>
      <c r="J405" s="595"/>
      <c r="K405" s="595"/>
      <c r="L405" s="595"/>
      <c r="M405" s="595"/>
      <c r="N405" s="595"/>
      <c r="O405" s="595"/>
    </row>
    <row r="406" spans="1:15" ht="15" customHeight="1">
      <c r="A406" s="595"/>
      <c r="B406" s="595"/>
      <c r="C406" s="595"/>
      <c r="D406" s="595"/>
      <c r="E406" s="595"/>
      <c r="F406" s="595"/>
      <c r="G406" s="595"/>
      <c r="H406" s="595"/>
      <c r="I406" s="595"/>
      <c r="J406" s="595"/>
      <c r="K406" s="595"/>
      <c r="L406" s="595"/>
      <c r="M406" s="595"/>
      <c r="N406" s="595"/>
      <c r="O406" s="595"/>
    </row>
    <row r="407" spans="1:15" ht="15" customHeight="1">
      <c r="A407" s="595"/>
      <c r="B407" s="595"/>
      <c r="C407" s="595"/>
      <c r="D407" s="595"/>
      <c r="E407" s="595"/>
      <c r="F407" s="595"/>
      <c r="G407" s="595"/>
      <c r="H407" s="595"/>
      <c r="I407" s="595"/>
      <c r="J407" s="595"/>
      <c r="K407" s="595"/>
      <c r="L407" s="595"/>
      <c r="M407" s="595"/>
      <c r="N407" s="595"/>
      <c r="O407" s="595"/>
    </row>
    <row r="408" spans="1:15" ht="15" customHeight="1">
      <c r="A408" s="595"/>
      <c r="B408" s="595"/>
      <c r="C408" s="595"/>
      <c r="D408" s="595"/>
      <c r="E408" s="595"/>
      <c r="F408" s="595"/>
      <c r="G408" s="595"/>
      <c r="H408" s="595"/>
      <c r="I408" s="595"/>
      <c r="J408" s="595"/>
      <c r="K408" s="595"/>
      <c r="L408" s="595"/>
      <c r="M408" s="595"/>
      <c r="N408" s="595"/>
      <c r="O408" s="595"/>
    </row>
    <row r="409" spans="1:15" ht="15" customHeight="1">
      <c r="A409" s="595"/>
      <c r="B409" s="595"/>
      <c r="C409" s="595"/>
      <c r="D409" s="595"/>
      <c r="E409" s="595"/>
      <c r="F409" s="595"/>
      <c r="G409" s="595"/>
      <c r="H409" s="595"/>
      <c r="I409" s="595"/>
      <c r="J409" s="595"/>
      <c r="K409" s="595"/>
      <c r="L409" s="595"/>
      <c r="M409" s="595"/>
      <c r="N409" s="595"/>
      <c r="O409" s="595"/>
    </row>
    <row r="410" spans="1:15" ht="15" customHeight="1">
      <c r="A410" s="595"/>
      <c r="B410" s="595"/>
      <c r="C410" s="595"/>
      <c r="D410" s="595"/>
      <c r="E410" s="595"/>
      <c r="F410" s="595"/>
      <c r="G410" s="595"/>
      <c r="H410" s="595"/>
      <c r="I410" s="595"/>
      <c r="J410" s="595"/>
      <c r="K410" s="595"/>
      <c r="L410" s="595"/>
      <c r="M410" s="595"/>
      <c r="N410" s="595"/>
      <c r="O410" s="595"/>
    </row>
    <row r="411" spans="1:15" ht="15" customHeight="1">
      <c r="A411" s="595"/>
      <c r="B411" s="595"/>
      <c r="C411" s="595"/>
      <c r="D411" s="595"/>
      <c r="E411" s="595"/>
      <c r="F411" s="595"/>
      <c r="G411" s="595"/>
      <c r="H411" s="595"/>
      <c r="I411" s="595"/>
      <c r="J411" s="595"/>
      <c r="K411" s="595"/>
      <c r="L411" s="595"/>
      <c r="M411" s="595"/>
      <c r="N411" s="595"/>
      <c r="O411" s="595"/>
    </row>
    <row r="412" spans="1:15" ht="15" customHeight="1">
      <c r="A412" s="595"/>
      <c r="B412" s="595"/>
      <c r="C412" s="595"/>
      <c r="D412" s="595"/>
      <c r="E412" s="595"/>
      <c r="F412" s="595"/>
      <c r="G412" s="595"/>
      <c r="H412" s="595"/>
      <c r="I412" s="595"/>
      <c r="J412" s="595"/>
      <c r="K412" s="595"/>
      <c r="L412" s="595"/>
      <c r="M412" s="595"/>
      <c r="N412" s="595"/>
      <c r="O412" s="595"/>
    </row>
    <row r="413" spans="1:15" ht="15" customHeight="1">
      <c r="A413" s="595"/>
      <c r="B413" s="595"/>
      <c r="C413" s="595"/>
      <c r="D413" s="595"/>
      <c r="E413" s="595"/>
      <c r="F413" s="595"/>
      <c r="G413" s="595"/>
      <c r="H413" s="595"/>
      <c r="I413" s="595"/>
      <c r="J413" s="595"/>
      <c r="K413" s="595"/>
      <c r="L413" s="595"/>
      <c r="M413" s="595"/>
      <c r="N413" s="595"/>
      <c r="O413" s="595"/>
    </row>
    <row r="414" spans="1:15" ht="15" customHeight="1">
      <c r="A414" s="595"/>
      <c r="B414" s="595"/>
      <c r="C414" s="595"/>
      <c r="D414" s="595"/>
      <c r="E414" s="595"/>
      <c r="F414" s="595"/>
      <c r="G414" s="595"/>
      <c r="H414" s="595"/>
      <c r="I414" s="595"/>
      <c r="J414" s="595"/>
      <c r="K414" s="595"/>
      <c r="L414" s="595"/>
      <c r="M414" s="595"/>
      <c r="N414" s="595"/>
      <c r="O414" s="595"/>
    </row>
    <row r="415" spans="1:15" ht="15" customHeight="1">
      <c r="A415" s="595"/>
      <c r="B415" s="595"/>
      <c r="C415" s="595"/>
      <c r="D415" s="595"/>
      <c r="E415" s="595"/>
      <c r="F415" s="595"/>
      <c r="G415" s="595"/>
      <c r="H415" s="595"/>
      <c r="I415" s="595"/>
      <c r="J415" s="595"/>
      <c r="K415" s="595"/>
      <c r="L415" s="595"/>
      <c r="M415" s="595"/>
      <c r="N415" s="595"/>
      <c r="O415" s="595"/>
    </row>
    <row r="416" spans="1:15" ht="15" customHeight="1">
      <c r="A416" s="595"/>
      <c r="B416" s="595"/>
      <c r="C416" s="595"/>
      <c r="D416" s="595"/>
      <c r="E416" s="595"/>
      <c r="F416" s="595"/>
      <c r="G416" s="595"/>
      <c r="H416" s="595"/>
      <c r="I416" s="595"/>
      <c r="J416" s="595"/>
      <c r="K416" s="595"/>
      <c r="L416" s="595"/>
      <c r="M416" s="595"/>
      <c r="N416" s="595"/>
      <c r="O416" s="595"/>
    </row>
    <row r="417" spans="1:15" ht="15" customHeight="1">
      <c r="A417" s="595"/>
      <c r="B417" s="595"/>
      <c r="C417" s="595"/>
      <c r="D417" s="595"/>
      <c r="E417" s="595"/>
      <c r="F417" s="595"/>
      <c r="G417" s="595"/>
      <c r="H417" s="595"/>
      <c r="I417" s="595"/>
      <c r="J417" s="595"/>
      <c r="K417" s="595"/>
      <c r="L417" s="595"/>
      <c r="M417" s="595"/>
      <c r="N417" s="595"/>
      <c r="O417" s="595"/>
    </row>
    <row r="418" spans="1:15" ht="15" customHeight="1">
      <c r="A418" s="595"/>
      <c r="B418" s="595"/>
      <c r="C418" s="595"/>
      <c r="D418" s="595"/>
      <c r="E418" s="595"/>
      <c r="F418" s="595"/>
      <c r="G418" s="595"/>
      <c r="H418" s="595"/>
      <c r="I418" s="595"/>
      <c r="J418" s="595"/>
      <c r="K418" s="595"/>
      <c r="L418" s="595"/>
      <c r="M418" s="595"/>
      <c r="N418" s="595"/>
      <c r="O418" s="595"/>
    </row>
    <row r="419" spans="1:15" ht="15" customHeight="1">
      <c r="A419" s="595"/>
      <c r="B419" s="595"/>
      <c r="C419" s="595"/>
      <c r="D419" s="595"/>
      <c r="E419" s="595"/>
      <c r="F419" s="595"/>
      <c r="G419" s="595"/>
      <c r="H419" s="595"/>
      <c r="I419" s="595"/>
      <c r="J419" s="595"/>
      <c r="K419" s="595"/>
      <c r="L419" s="595"/>
      <c r="M419" s="595"/>
      <c r="N419" s="595"/>
      <c r="O419" s="595"/>
    </row>
    <row r="420" spans="1:15" ht="15" customHeight="1">
      <c r="A420" s="595"/>
      <c r="B420" s="595"/>
      <c r="C420" s="595"/>
      <c r="D420" s="595"/>
      <c r="E420" s="595"/>
      <c r="F420" s="595"/>
      <c r="G420" s="595"/>
      <c r="H420" s="595"/>
      <c r="I420" s="595"/>
      <c r="J420" s="595"/>
      <c r="K420" s="595"/>
      <c r="L420" s="595"/>
      <c r="M420" s="595"/>
      <c r="N420" s="595"/>
      <c r="O420" s="595"/>
    </row>
    <row r="421" spans="1:15" ht="15" customHeight="1">
      <c r="A421" s="595"/>
      <c r="B421" s="595"/>
      <c r="C421" s="595"/>
      <c r="D421" s="595"/>
      <c r="E421" s="595"/>
      <c r="F421" s="595"/>
      <c r="G421" s="595"/>
      <c r="H421" s="595"/>
      <c r="I421" s="595"/>
      <c r="J421" s="595"/>
      <c r="K421" s="595"/>
      <c r="L421" s="595"/>
      <c r="M421" s="595"/>
      <c r="N421" s="595"/>
      <c r="O421" s="595"/>
    </row>
    <row r="422" spans="1:15" ht="15" customHeight="1">
      <c r="A422" s="595"/>
      <c r="B422" s="595"/>
      <c r="C422" s="595"/>
      <c r="D422" s="595"/>
      <c r="E422" s="595"/>
      <c r="F422" s="595"/>
      <c r="G422" s="595"/>
      <c r="H422" s="595"/>
      <c r="I422" s="595"/>
      <c r="J422" s="595"/>
      <c r="K422" s="595"/>
      <c r="L422" s="595"/>
      <c r="M422" s="595"/>
      <c r="N422" s="595"/>
      <c r="O422" s="595"/>
    </row>
    <row r="423" spans="1:15" ht="15" customHeight="1">
      <c r="A423" s="595"/>
      <c r="B423" s="595"/>
      <c r="C423" s="595"/>
      <c r="D423" s="595"/>
      <c r="E423" s="595"/>
      <c r="F423" s="595"/>
      <c r="G423" s="595"/>
      <c r="H423" s="595"/>
      <c r="I423" s="595"/>
      <c r="J423" s="595"/>
      <c r="K423" s="595"/>
      <c r="L423" s="595"/>
      <c r="M423" s="595"/>
      <c r="N423" s="595"/>
      <c r="O423" s="595"/>
    </row>
    <row r="424" spans="1:15" ht="15" customHeight="1">
      <c r="A424" s="595"/>
      <c r="B424" s="595"/>
      <c r="C424" s="595"/>
      <c r="D424" s="595"/>
      <c r="E424" s="595"/>
      <c r="F424" s="595"/>
      <c r="G424" s="595"/>
      <c r="H424" s="595"/>
      <c r="I424" s="595"/>
      <c r="J424" s="595"/>
      <c r="K424" s="595"/>
      <c r="L424" s="595"/>
      <c r="M424" s="595"/>
      <c r="N424" s="595"/>
      <c r="O424" s="595"/>
    </row>
    <row r="425" spans="1:15" ht="15" customHeight="1">
      <c r="A425" s="595"/>
      <c r="B425" s="595"/>
      <c r="C425" s="595"/>
      <c r="D425" s="595"/>
      <c r="E425" s="595"/>
      <c r="F425" s="595"/>
      <c r="G425" s="595"/>
      <c r="H425" s="595"/>
      <c r="I425" s="595"/>
      <c r="J425" s="595"/>
      <c r="K425" s="595"/>
      <c r="L425" s="595"/>
      <c r="M425" s="595"/>
      <c r="N425" s="595"/>
      <c r="O425" s="595"/>
    </row>
    <row r="426" spans="1:15" ht="15" customHeight="1">
      <c r="A426" s="595"/>
      <c r="B426" s="595"/>
      <c r="C426" s="595"/>
      <c r="D426" s="595"/>
      <c r="E426" s="595"/>
      <c r="F426" s="595"/>
      <c r="G426" s="595"/>
      <c r="H426" s="595"/>
      <c r="I426" s="595"/>
      <c r="J426" s="595"/>
      <c r="K426" s="595"/>
      <c r="L426" s="595"/>
      <c r="M426" s="595"/>
      <c r="N426" s="595"/>
      <c r="O426" s="595"/>
    </row>
    <row r="427" spans="1:15" ht="15" customHeight="1">
      <c r="A427" s="595"/>
      <c r="B427" s="595"/>
      <c r="C427" s="595"/>
      <c r="D427" s="595"/>
      <c r="E427" s="595"/>
      <c r="F427" s="595"/>
      <c r="G427" s="595"/>
      <c r="H427" s="595"/>
      <c r="I427" s="595"/>
      <c r="J427" s="595"/>
      <c r="K427" s="595"/>
      <c r="L427" s="595"/>
      <c r="M427" s="595"/>
      <c r="N427" s="595"/>
      <c r="O427" s="595"/>
    </row>
    <row r="428" spans="1:15" ht="15" customHeight="1">
      <c r="A428" s="595"/>
      <c r="B428" s="595"/>
      <c r="C428" s="595"/>
      <c r="D428" s="595"/>
      <c r="E428" s="595"/>
      <c r="F428" s="595"/>
      <c r="G428" s="595"/>
      <c r="H428" s="595"/>
      <c r="I428" s="595"/>
      <c r="J428" s="595"/>
      <c r="K428" s="595"/>
      <c r="L428" s="595"/>
      <c r="M428" s="595"/>
      <c r="N428" s="595"/>
      <c r="O428" s="595"/>
    </row>
    <row r="429" spans="1:15" ht="15" customHeight="1">
      <c r="A429" s="595"/>
      <c r="B429" s="595"/>
      <c r="C429" s="595"/>
      <c r="D429" s="595"/>
      <c r="E429" s="595"/>
      <c r="F429" s="595"/>
      <c r="G429" s="595"/>
      <c r="H429" s="595"/>
      <c r="I429" s="595"/>
      <c r="J429" s="595"/>
      <c r="K429" s="595"/>
      <c r="L429" s="595"/>
      <c r="M429" s="595"/>
      <c r="N429" s="595"/>
      <c r="O429" s="595"/>
    </row>
    <row r="430" spans="1:15" ht="15" customHeight="1">
      <c r="A430" s="595"/>
      <c r="B430" s="595"/>
      <c r="C430" s="595"/>
      <c r="D430" s="595"/>
      <c r="E430" s="595"/>
      <c r="F430" s="595"/>
      <c r="G430" s="595"/>
      <c r="H430" s="595"/>
      <c r="I430" s="595"/>
      <c r="J430" s="595"/>
      <c r="K430" s="595"/>
      <c r="L430" s="595"/>
      <c r="M430" s="595"/>
      <c r="N430" s="595"/>
      <c r="O430" s="595"/>
    </row>
    <row r="431" spans="1:15" ht="15" customHeight="1">
      <c r="A431" s="595"/>
      <c r="B431" s="595"/>
      <c r="C431" s="595"/>
      <c r="D431" s="595"/>
      <c r="E431" s="595"/>
      <c r="F431" s="595"/>
      <c r="G431" s="595"/>
      <c r="H431" s="595"/>
      <c r="I431" s="595"/>
      <c r="J431" s="595"/>
      <c r="K431" s="595"/>
      <c r="L431" s="595"/>
      <c r="M431" s="595"/>
      <c r="N431" s="595"/>
      <c r="O431" s="595"/>
    </row>
    <row r="432" spans="1:15" ht="15" customHeight="1">
      <c r="A432" s="595"/>
      <c r="B432" s="595"/>
      <c r="C432" s="595"/>
      <c r="D432" s="595"/>
      <c r="E432" s="595"/>
      <c r="F432" s="595"/>
      <c r="G432" s="595"/>
      <c r="H432" s="595"/>
      <c r="I432" s="595"/>
      <c r="J432" s="595"/>
      <c r="K432" s="595"/>
      <c r="L432" s="595"/>
      <c r="M432" s="595"/>
      <c r="N432" s="595"/>
      <c r="O432" s="595"/>
    </row>
    <row r="433" spans="1:15" ht="15" customHeight="1">
      <c r="A433" s="595"/>
      <c r="B433" s="595"/>
      <c r="C433" s="595"/>
      <c r="D433" s="595"/>
      <c r="E433" s="595"/>
      <c r="F433" s="595"/>
      <c r="G433" s="595"/>
      <c r="H433" s="595"/>
      <c r="I433" s="595"/>
      <c r="J433" s="595"/>
      <c r="K433" s="595"/>
      <c r="L433" s="595"/>
      <c r="M433" s="595"/>
      <c r="N433" s="595"/>
      <c r="O433" s="595"/>
    </row>
    <row r="434" spans="1:15" ht="15" customHeight="1">
      <c r="A434" s="595"/>
      <c r="B434" s="595"/>
      <c r="C434" s="595"/>
      <c r="D434" s="595"/>
      <c r="E434" s="595"/>
      <c r="F434" s="595"/>
      <c r="G434" s="595"/>
      <c r="H434" s="595"/>
      <c r="I434" s="595"/>
      <c r="J434" s="595"/>
      <c r="K434" s="595"/>
      <c r="L434" s="595"/>
      <c r="M434" s="595"/>
      <c r="N434" s="595"/>
      <c r="O434" s="595"/>
    </row>
    <row r="435" spans="1:15" ht="15" customHeight="1">
      <c r="A435" s="595"/>
      <c r="B435" s="595"/>
      <c r="C435" s="595"/>
      <c r="D435" s="595"/>
      <c r="E435" s="595"/>
      <c r="F435" s="595"/>
      <c r="G435" s="595"/>
      <c r="H435" s="595"/>
      <c r="I435" s="595"/>
      <c r="J435" s="595"/>
      <c r="K435" s="595"/>
      <c r="L435" s="595"/>
      <c r="M435" s="595"/>
      <c r="N435" s="595"/>
      <c r="O435" s="595"/>
    </row>
    <row r="436" spans="1:15" ht="15" customHeight="1">
      <c r="A436" s="595"/>
      <c r="B436" s="595"/>
      <c r="C436" s="595"/>
      <c r="D436" s="595"/>
      <c r="E436" s="595"/>
      <c r="F436" s="595"/>
      <c r="G436" s="595"/>
      <c r="H436" s="595"/>
      <c r="I436" s="595"/>
      <c r="J436" s="595"/>
      <c r="K436" s="595"/>
      <c r="L436" s="595"/>
      <c r="M436" s="595"/>
      <c r="N436" s="595"/>
      <c r="O436" s="595"/>
    </row>
    <row r="437" spans="1:15" ht="15" customHeight="1">
      <c r="A437" s="595"/>
      <c r="B437" s="595"/>
      <c r="C437" s="595"/>
      <c r="D437" s="595"/>
      <c r="E437" s="595"/>
      <c r="F437" s="595"/>
      <c r="G437" s="595"/>
      <c r="H437" s="595"/>
      <c r="I437" s="595"/>
      <c r="J437" s="595"/>
      <c r="K437" s="595"/>
      <c r="L437" s="595"/>
      <c r="M437" s="595"/>
      <c r="N437" s="595"/>
      <c r="O437" s="595"/>
    </row>
    <row r="438" spans="1:15" ht="15" customHeight="1">
      <c r="A438" s="595"/>
      <c r="B438" s="595"/>
      <c r="C438" s="595"/>
      <c r="D438" s="595"/>
      <c r="E438" s="595"/>
      <c r="F438" s="595"/>
      <c r="G438" s="595"/>
      <c r="H438" s="595"/>
      <c r="I438" s="595"/>
      <c r="J438" s="595"/>
      <c r="K438" s="595"/>
      <c r="L438" s="595"/>
      <c r="M438" s="595"/>
      <c r="N438" s="595"/>
      <c r="O438" s="595"/>
    </row>
    <row r="439" spans="1:15" ht="15" customHeight="1">
      <c r="A439" s="595"/>
      <c r="B439" s="595"/>
      <c r="C439" s="595"/>
      <c r="D439" s="595"/>
      <c r="E439" s="595"/>
      <c r="F439" s="595"/>
      <c r="G439" s="595"/>
      <c r="H439" s="595"/>
      <c r="I439" s="595"/>
      <c r="J439" s="595"/>
      <c r="K439" s="595"/>
      <c r="L439" s="595"/>
      <c r="M439" s="595"/>
      <c r="N439" s="595"/>
      <c r="O439" s="595"/>
    </row>
    <row r="440" spans="1:15" ht="15" customHeight="1">
      <c r="A440" s="595"/>
      <c r="B440" s="595"/>
      <c r="C440" s="595"/>
      <c r="D440" s="595"/>
      <c r="E440" s="595"/>
      <c r="F440" s="595"/>
      <c r="G440" s="595"/>
      <c r="H440" s="595"/>
      <c r="I440" s="595"/>
      <c r="J440" s="595"/>
      <c r="K440" s="595"/>
      <c r="L440" s="595"/>
      <c r="M440" s="595"/>
      <c r="N440" s="595"/>
      <c r="O440" s="595"/>
    </row>
    <row r="441" spans="1:15" ht="15" customHeight="1">
      <c r="A441" s="595"/>
      <c r="B441" s="595"/>
      <c r="C441" s="595"/>
      <c r="D441" s="595"/>
      <c r="E441" s="595"/>
      <c r="F441" s="595"/>
      <c r="G441" s="595"/>
      <c r="H441" s="595"/>
      <c r="I441" s="595"/>
      <c r="J441" s="595"/>
      <c r="K441" s="595"/>
      <c r="L441" s="595"/>
      <c r="M441" s="595"/>
      <c r="N441" s="595"/>
      <c r="O441" s="595"/>
    </row>
    <row r="442" spans="1:15" ht="15" customHeight="1">
      <c r="A442" s="595"/>
      <c r="B442" s="595"/>
      <c r="C442" s="595"/>
      <c r="D442" s="595"/>
      <c r="E442" s="595"/>
      <c r="F442" s="595"/>
      <c r="G442" s="595"/>
      <c r="H442" s="595"/>
      <c r="I442" s="595"/>
      <c r="J442" s="595"/>
      <c r="K442" s="595"/>
      <c r="L442" s="595"/>
      <c r="M442" s="595"/>
      <c r="N442" s="595"/>
      <c r="O442" s="595"/>
    </row>
    <row r="443" spans="1:15" ht="15" customHeight="1">
      <c r="A443" s="595"/>
      <c r="B443" s="595"/>
      <c r="C443" s="595"/>
      <c r="D443" s="595"/>
      <c r="E443" s="595"/>
      <c r="F443" s="595"/>
      <c r="G443" s="595"/>
      <c r="H443" s="595"/>
      <c r="I443" s="595"/>
      <c r="J443" s="595"/>
      <c r="K443" s="595"/>
      <c r="L443" s="595"/>
      <c r="M443" s="595"/>
      <c r="N443" s="595"/>
      <c r="O443" s="595"/>
    </row>
    <row r="444" spans="1:15" ht="15" customHeight="1">
      <c r="A444" s="595"/>
      <c r="B444" s="595"/>
      <c r="C444" s="595"/>
      <c r="D444" s="595"/>
      <c r="E444" s="595"/>
      <c r="F444" s="595"/>
      <c r="G444" s="595"/>
      <c r="H444" s="595"/>
      <c r="I444" s="595"/>
      <c r="J444" s="595"/>
      <c r="K444" s="595"/>
      <c r="L444" s="595"/>
      <c r="M444" s="595"/>
      <c r="N444" s="595"/>
      <c r="O444" s="595"/>
    </row>
    <row r="445" spans="1:15" ht="15" customHeight="1">
      <c r="A445" s="595"/>
      <c r="B445" s="595"/>
      <c r="C445" s="595"/>
      <c r="D445" s="595"/>
      <c r="E445" s="595"/>
      <c r="F445" s="595"/>
      <c r="G445" s="595"/>
      <c r="H445" s="595"/>
      <c r="I445" s="595"/>
      <c r="J445" s="595"/>
      <c r="K445" s="595"/>
      <c r="L445" s="595"/>
      <c r="M445" s="595"/>
      <c r="N445" s="595"/>
      <c r="O445" s="595"/>
    </row>
    <row r="446" spans="1:15" ht="15" customHeight="1">
      <c r="A446" s="595"/>
      <c r="B446" s="595"/>
      <c r="C446" s="595"/>
      <c r="D446" s="595"/>
      <c r="E446" s="595"/>
      <c r="F446" s="595"/>
      <c r="G446" s="595"/>
      <c r="H446" s="595"/>
      <c r="I446" s="595"/>
      <c r="J446" s="595"/>
      <c r="K446" s="595"/>
      <c r="L446" s="595"/>
      <c r="M446" s="595"/>
      <c r="N446" s="595"/>
      <c r="O446" s="595"/>
    </row>
    <row r="447" spans="1:15" ht="15" customHeight="1">
      <c r="A447" s="595"/>
      <c r="B447" s="595"/>
      <c r="C447" s="595"/>
      <c r="D447" s="595"/>
      <c r="E447" s="595"/>
      <c r="F447" s="595"/>
      <c r="G447" s="595"/>
      <c r="H447" s="595"/>
      <c r="I447" s="595"/>
      <c r="J447" s="595"/>
      <c r="K447" s="595"/>
      <c r="L447" s="595"/>
      <c r="M447" s="595"/>
      <c r="N447" s="595"/>
      <c r="O447" s="595"/>
    </row>
    <row r="448" spans="1:15" ht="15" customHeight="1">
      <c r="A448" s="595"/>
      <c r="B448" s="595"/>
      <c r="C448" s="595"/>
      <c r="D448" s="595"/>
      <c r="E448" s="595"/>
      <c r="F448" s="595"/>
      <c r="G448" s="595"/>
      <c r="H448" s="595"/>
      <c r="I448" s="595"/>
      <c r="J448" s="595"/>
      <c r="K448" s="595"/>
      <c r="L448" s="595"/>
      <c r="M448" s="595"/>
      <c r="N448" s="595"/>
      <c r="O448" s="595"/>
    </row>
    <row r="449" spans="1:15" ht="15" customHeight="1">
      <c r="A449" s="595"/>
      <c r="B449" s="595"/>
      <c r="C449" s="595"/>
      <c r="D449" s="595"/>
      <c r="E449" s="595"/>
      <c r="F449" s="595"/>
      <c r="G449" s="595"/>
      <c r="H449" s="595"/>
      <c r="I449" s="595"/>
      <c r="J449" s="595"/>
      <c r="K449" s="595"/>
      <c r="L449" s="595"/>
      <c r="M449" s="595"/>
      <c r="N449" s="595"/>
      <c r="O449" s="595"/>
    </row>
    <row r="450" spans="1:15" ht="15" customHeight="1">
      <c r="A450" s="595"/>
      <c r="B450" s="595"/>
      <c r="C450" s="595"/>
      <c r="D450" s="595"/>
      <c r="E450" s="595"/>
      <c r="F450" s="595"/>
      <c r="G450" s="595"/>
      <c r="H450" s="595"/>
      <c r="I450" s="595"/>
      <c r="J450" s="595"/>
      <c r="K450" s="595"/>
      <c r="L450" s="595"/>
      <c r="M450" s="595"/>
      <c r="N450" s="595"/>
      <c r="O450" s="595"/>
    </row>
    <row r="451" spans="1:15" ht="15" customHeight="1">
      <c r="A451" s="595"/>
      <c r="B451" s="595"/>
      <c r="C451" s="595"/>
      <c r="D451" s="595"/>
      <c r="E451" s="595"/>
      <c r="F451" s="595"/>
      <c r="G451" s="595"/>
      <c r="H451" s="595"/>
      <c r="I451" s="595"/>
      <c r="J451" s="595"/>
      <c r="K451" s="595"/>
      <c r="L451" s="595"/>
      <c r="M451" s="595"/>
      <c r="N451" s="595"/>
      <c r="O451" s="595"/>
    </row>
    <row r="452" spans="1:15" ht="15" customHeight="1">
      <c r="A452" s="595"/>
      <c r="B452" s="595"/>
      <c r="C452" s="595"/>
      <c r="D452" s="595"/>
      <c r="E452" s="595"/>
      <c r="F452" s="595"/>
      <c r="G452" s="595"/>
      <c r="H452" s="595"/>
      <c r="I452" s="595"/>
      <c r="J452" s="595"/>
      <c r="K452" s="595"/>
      <c r="L452" s="595"/>
      <c r="M452" s="595"/>
      <c r="N452" s="595"/>
      <c r="O452" s="595"/>
    </row>
    <row r="453" spans="1:15" ht="15" customHeight="1">
      <c r="A453" s="595"/>
      <c r="B453" s="595"/>
      <c r="C453" s="595"/>
      <c r="D453" s="595"/>
      <c r="E453" s="595"/>
      <c r="F453" s="595"/>
      <c r="G453" s="595"/>
      <c r="H453" s="595"/>
      <c r="I453" s="595"/>
      <c r="J453" s="595"/>
      <c r="K453" s="595"/>
      <c r="L453" s="595"/>
      <c r="M453" s="595"/>
      <c r="N453" s="595"/>
      <c r="O453" s="595"/>
    </row>
    <row r="454" spans="1:15" ht="15" customHeight="1">
      <c r="A454" s="595"/>
      <c r="B454" s="595"/>
      <c r="C454" s="595"/>
      <c r="D454" s="595"/>
      <c r="E454" s="595"/>
      <c r="F454" s="595"/>
      <c r="G454" s="595"/>
      <c r="H454" s="595"/>
      <c r="I454" s="595"/>
      <c r="J454" s="595"/>
      <c r="K454" s="595"/>
      <c r="L454" s="595"/>
      <c r="M454" s="595"/>
      <c r="N454" s="595"/>
      <c r="O454" s="595"/>
    </row>
    <row r="455" spans="1:15" ht="15" customHeight="1">
      <c r="A455" s="595"/>
      <c r="B455" s="595"/>
      <c r="C455" s="595"/>
      <c r="D455" s="595"/>
      <c r="E455" s="595"/>
      <c r="F455" s="595"/>
      <c r="G455" s="595"/>
      <c r="H455" s="595"/>
      <c r="I455" s="595"/>
      <c r="J455" s="595"/>
      <c r="K455" s="595"/>
      <c r="L455" s="595"/>
      <c r="M455" s="595"/>
      <c r="N455" s="595"/>
      <c r="O455" s="595"/>
    </row>
    <row r="456" spans="1:15" ht="15" customHeight="1">
      <c r="A456" s="595"/>
      <c r="B456" s="595"/>
      <c r="C456" s="595"/>
      <c r="D456" s="595"/>
      <c r="E456" s="595"/>
      <c r="F456" s="595"/>
      <c r="G456" s="595"/>
      <c r="H456" s="595"/>
      <c r="I456" s="595"/>
      <c r="J456" s="595"/>
      <c r="K456" s="595"/>
      <c r="L456" s="595"/>
      <c r="M456" s="595"/>
      <c r="N456" s="595"/>
      <c r="O456" s="595"/>
    </row>
    <row r="457" spans="1:15" ht="15" customHeight="1">
      <c r="A457" s="595"/>
      <c r="B457" s="595"/>
      <c r="C457" s="595"/>
      <c r="D457" s="595"/>
      <c r="E457" s="595"/>
      <c r="F457" s="595"/>
      <c r="G457" s="595"/>
      <c r="H457" s="595"/>
      <c r="I457" s="595"/>
      <c r="J457" s="595"/>
      <c r="K457" s="595"/>
      <c r="L457" s="595"/>
      <c r="M457" s="595"/>
      <c r="N457" s="595"/>
      <c r="O457" s="595"/>
    </row>
    <row r="458" spans="1:15" ht="15" customHeight="1">
      <c r="A458" s="595"/>
      <c r="B458" s="595"/>
      <c r="C458" s="595"/>
      <c r="D458" s="595"/>
      <c r="E458" s="595"/>
      <c r="F458" s="595"/>
      <c r="G458" s="595"/>
      <c r="H458" s="595"/>
      <c r="I458" s="595"/>
      <c r="J458" s="595"/>
      <c r="K458" s="595"/>
      <c r="L458" s="595"/>
      <c r="M458" s="595"/>
      <c r="N458" s="595"/>
      <c r="O458" s="595"/>
    </row>
    <row r="459" spans="1:15" ht="15" customHeight="1">
      <c r="A459" s="595"/>
      <c r="B459" s="595"/>
      <c r="C459" s="595"/>
      <c r="D459" s="595"/>
      <c r="E459" s="595"/>
      <c r="F459" s="595"/>
      <c r="G459" s="595"/>
      <c r="H459" s="595"/>
      <c r="I459" s="595"/>
      <c r="J459" s="595"/>
      <c r="K459" s="595"/>
      <c r="L459" s="595"/>
      <c r="M459" s="595"/>
      <c r="N459" s="595"/>
      <c r="O459" s="595"/>
    </row>
    <row r="460" spans="1:15" ht="15" customHeight="1">
      <c r="A460" s="595"/>
      <c r="B460" s="595"/>
      <c r="C460" s="595"/>
      <c r="D460" s="595"/>
      <c r="E460" s="595"/>
      <c r="F460" s="595"/>
      <c r="G460" s="595"/>
      <c r="H460" s="595"/>
      <c r="I460" s="595"/>
      <c r="J460" s="595"/>
      <c r="K460" s="595"/>
      <c r="L460" s="595"/>
      <c r="M460" s="595"/>
      <c r="N460" s="595"/>
      <c r="O460" s="595"/>
    </row>
    <row r="461" spans="1:15" ht="15" customHeight="1">
      <c r="A461" s="595"/>
      <c r="B461" s="595"/>
      <c r="C461" s="595"/>
      <c r="D461" s="595"/>
      <c r="E461" s="595"/>
      <c r="F461" s="595"/>
      <c r="G461" s="595"/>
      <c r="H461" s="595"/>
      <c r="I461" s="595"/>
      <c r="J461" s="595"/>
      <c r="K461" s="595"/>
      <c r="L461" s="595"/>
      <c r="M461" s="595"/>
      <c r="N461" s="595"/>
      <c r="O461" s="595"/>
    </row>
    <row r="462" spans="1:15" ht="15" customHeight="1">
      <c r="A462" s="595"/>
      <c r="B462" s="595"/>
      <c r="C462" s="595"/>
      <c r="D462" s="595"/>
      <c r="E462" s="595"/>
      <c r="F462" s="595"/>
      <c r="G462" s="595"/>
      <c r="H462" s="595"/>
      <c r="I462" s="595"/>
      <c r="J462" s="595"/>
      <c r="K462" s="595"/>
      <c r="L462" s="595"/>
      <c r="M462" s="595"/>
      <c r="N462" s="595"/>
      <c r="O462" s="595"/>
    </row>
    <row r="463" spans="1:15" ht="15" customHeight="1">
      <c r="A463" s="595"/>
      <c r="B463" s="595"/>
      <c r="C463" s="595"/>
      <c r="D463" s="595"/>
      <c r="E463" s="595"/>
      <c r="F463" s="595"/>
      <c r="G463" s="595"/>
      <c r="H463" s="595"/>
      <c r="I463" s="595"/>
      <c r="J463" s="595"/>
      <c r="K463" s="595"/>
      <c r="L463" s="595"/>
      <c r="M463" s="595"/>
      <c r="N463" s="595"/>
      <c r="O463" s="595"/>
    </row>
    <row r="464" spans="1:15" ht="15" customHeight="1">
      <c r="A464" s="595"/>
      <c r="B464" s="595"/>
      <c r="C464" s="595"/>
      <c r="D464" s="595"/>
      <c r="E464" s="595"/>
      <c r="F464" s="595"/>
      <c r="G464" s="595"/>
      <c r="H464" s="595"/>
      <c r="I464" s="595"/>
      <c r="J464" s="595"/>
      <c r="K464" s="595"/>
      <c r="L464" s="595"/>
      <c r="M464" s="595"/>
      <c r="N464" s="595"/>
      <c r="O464" s="595"/>
    </row>
    <row r="465" spans="1:15" ht="15" customHeight="1">
      <c r="A465" s="595"/>
      <c r="B465" s="595"/>
      <c r="C465" s="595"/>
      <c r="D465" s="595"/>
      <c r="E465" s="595"/>
      <c r="F465" s="595"/>
      <c r="G465" s="595"/>
      <c r="H465" s="595"/>
      <c r="I465" s="595"/>
      <c r="J465" s="595"/>
      <c r="K465" s="595"/>
      <c r="L465" s="595"/>
      <c r="M465" s="595"/>
      <c r="N465" s="595"/>
      <c r="O465" s="595"/>
    </row>
    <row r="466" spans="1:15" ht="15" customHeight="1">
      <c r="A466" s="595"/>
      <c r="B466" s="595"/>
      <c r="C466" s="595"/>
      <c r="D466" s="595"/>
      <c r="E466" s="595"/>
      <c r="F466" s="595"/>
      <c r="G466" s="595"/>
      <c r="H466" s="595"/>
      <c r="I466" s="595"/>
      <c r="J466" s="595"/>
      <c r="K466" s="595"/>
      <c r="L466" s="595"/>
      <c r="M466" s="595"/>
      <c r="N466" s="595"/>
      <c r="O466" s="595"/>
    </row>
    <row r="467" spans="1:15" ht="15" customHeight="1">
      <c r="A467" s="595"/>
      <c r="B467" s="595"/>
      <c r="C467" s="595"/>
      <c r="D467" s="595"/>
      <c r="E467" s="595"/>
      <c r="F467" s="595"/>
      <c r="G467" s="595"/>
      <c r="H467" s="595"/>
      <c r="I467" s="595"/>
      <c r="J467" s="595"/>
      <c r="K467" s="595"/>
      <c r="L467" s="595"/>
      <c r="M467" s="595"/>
      <c r="N467" s="595"/>
      <c r="O467" s="595"/>
    </row>
    <row r="468" spans="1:15" ht="15" customHeight="1">
      <c r="A468" s="595"/>
      <c r="B468" s="595"/>
      <c r="C468" s="595"/>
      <c r="D468" s="595"/>
      <c r="E468" s="595"/>
      <c r="F468" s="595"/>
      <c r="G468" s="595"/>
      <c r="H468" s="595"/>
      <c r="I468" s="595"/>
      <c r="J468" s="595"/>
      <c r="K468" s="595"/>
      <c r="L468" s="595"/>
      <c r="M468" s="595"/>
      <c r="N468" s="595"/>
      <c r="O468" s="595"/>
    </row>
    <row r="469" spans="1:15" ht="15" customHeight="1">
      <c r="A469" s="595"/>
      <c r="B469" s="595"/>
      <c r="C469" s="595"/>
      <c r="D469" s="595"/>
      <c r="E469" s="595"/>
      <c r="F469" s="595"/>
      <c r="G469" s="595"/>
      <c r="H469" s="595"/>
      <c r="I469" s="595"/>
      <c r="J469" s="595"/>
      <c r="K469" s="595"/>
      <c r="L469" s="595"/>
      <c r="M469" s="595"/>
      <c r="N469" s="595"/>
      <c r="O469" s="595"/>
    </row>
    <row r="470" spans="1:15" ht="15" customHeight="1">
      <c r="A470" s="595"/>
      <c r="B470" s="595"/>
      <c r="C470" s="595"/>
      <c r="D470" s="595"/>
      <c r="E470" s="595"/>
      <c r="F470" s="595"/>
      <c r="G470" s="595"/>
      <c r="H470" s="595"/>
      <c r="I470" s="595"/>
      <c r="J470" s="595"/>
      <c r="K470" s="595"/>
      <c r="L470" s="595"/>
      <c r="M470" s="595"/>
      <c r="N470" s="595"/>
      <c r="O470" s="595"/>
    </row>
    <row r="471" spans="1:15" ht="15" customHeight="1">
      <c r="A471" s="595"/>
      <c r="B471" s="595"/>
      <c r="C471" s="595"/>
      <c r="D471" s="595"/>
      <c r="E471" s="595"/>
      <c r="F471" s="595"/>
      <c r="G471" s="595"/>
      <c r="H471" s="595"/>
      <c r="I471" s="595"/>
      <c r="J471" s="595"/>
      <c r="K471" s="595"/>
      <c r="L471" s="595"/>
      <c r="M471" s="595"/>
      <c r="N471" s="595"/>
      <c r="O471" s="595"/>
    </row>
    <row r="472" spans="1:15" ht="15" customHeight="1">
      <c r="A472" s="595"/>
      <c r="B472" s="595"/>
      <c r="C472" s="595"/>
      <c r="D472" s="595"/>
      <c r="E472" s="595"/>
      <c r="F472" s="595"/>
      <c r="G472" s="595"/>
      <c r="H472" s="595"/>
      <c r="I472" s="595"/>
      <c r="J472" s="595"/>
      <c r="K472" s="595"/>
      <c r="L472" s="595"/>
      <c r="M472" s="595"/>
      <c r="N472" s="595"/>
      <c r="O472" s="595"/>
    </row>
    <row r="473" spans="1:15" ht="15" customHeight="1">
      <c r="A473" s="595"/>
      <c r="B473" s="595"/>
      <c r="C473" s="595"/>
      <c r="D473" s="595"/>
      <c r="E473" s="595"/>
      <c r="F473" s="595"/>
      <c r="G473" s="595"/>
      <c r="H473" s="595"/>
      <c r="I473" s="595"/>
      <c r="J473" s="595"/>
      <c r="K473" s="595"/>
      <c r="L473" s="595"/>
      <c r="M473" s="595"/>
      <c r="N473" s="595"/>
      <c r="O473" s="595"/>
    </row>
    <row r="474" spans="1:15" ht="15" customHeight="1">
      <c r="A474" s="595"/>
      <c r="B474" s="595"/>
      <c r="C474" s="595"/>
      <c r="D474" s="595"/>
      <c r="E474" s="595"/>
      <c r="F474" s="595"/>
      <c r="G474" s="595"/>
      <c r="H474" s="595"/>
      <c r="I474" s="595"/>
      <c r="J474" s="595"/>
      <c r="K474" s="595"/>
      <c r="L474" s="595"/>
      <c r="M474" s="595"/>
      <c r="N474" s="595"/>
      <c r="O474" s="595"/>
    </row>
    <row r="475" spans="1:15" ht="15" customHeight="1">
      <c r="A475" s="595"/>
      <c r="B475" s="595"/>
      <c r="C475" s="595"/>
      <c r="D475" s="595"/>
      <c r="E475" s="595"/>
      <c r="F475" s="595"/>
      <c r="G475" s="595"/>
      <c r="H475" s="595"/>
      <c r="I475" s="595"/>
      <c r="J475" s="595"/>
      <c r="K475" s="595"/>
      <c r="L475" s="595"/>
      <c r="M475" s="595"/>
      <c r="N475" s="595"/>
      <c r="O475" s="595"/>
    </row>
    <row r="476" spans="1:15" ht="15" customHeight="1">
      <c r="A476" s="595"/>
      <c r="B476" s="595"/>
      <c r="C476" s="595"/>
      <c r="D476" s="595"/>
      <c r="E476" s="595"/>
      <c r="F476" s="595"/>
      <c r="G476" s="595"/>
      <c r="H476" s="595"/>
      <c r="I476" s="595"/>
      <c r="J476" s="595"/>
      <c r="K476" s="595"/>
      <c r="L476" s="595"/>
      <c r="M476" s="595"/>
      <c r="N476" s="595"/>
      <c r="O476" s="595"/>
    </row>
    <row r="477" spans="1:15" ht="15" customHeight="1">
      <c r="A477" s="595"/>
      <c r="B477" s="595"/>
      <c r="C477" s="595"/>
      <c r="D477" s="595"/>
      <c r="E477" s="595"/>
      <c r="F477" s="595"/>
      <c r="G477" s="595"/>
      <c r="H477" s="595"/>
      <c r="I477" s="595"/>
      <c r="J477" s="595"/>
      <c r="K477" s="595"/>
      <c r="L477" s="595"/>
      <c r="M477" s="595"/>
      <c r="N477" s="595"/>
      <c r="O477" s="595"/>
    </row>
    <row r="478" spans="1:15" ht="15" customHeight="1">
      <c r="A478" s="595"/>
      <c r="B478" s="595"/>
      <c r="C478" s="595"/>
      <c r="D478" s="595"/>
      <c r="E478" s="595"/>
      <c r="F478" s="595"/>
      <c r="G478" s="595"/>
      <c r="H478" s="595"/>
      <c r="I478" s="595"/>
      <c r="J478" s="595"/>
      <c r="K478" s="595"/>
      <c r="L478" s="595"/>
      <c r="M478" s="595"/>
      <c r="N478" s="595"/>
      <c r="O478" s="595"/>
    </row>
    <row r="479" spans="1:15" ht="15" customHeight="1">
      <c r="A479" s="595"/>
      <c r="B479" s="595"/>
      <c r="C479" s="595"/>
      <c r="D479" s="595"/>
      <c r="E479" s="595"/>
      <c r="F479" s="595"/>
      <c r="G479" s="595"/>
      <c r="H479" s="595"/>
      <c r="I479" s="595"/>
      <c r="J479" s="595"/>
      <c r="K479" s="595"/>
      <c r="L479" s="595"/>
      <c r="M479" s="595"/>
      <c r="N479" s="595"/>
      <c r="O479" s="595"/>
    </row>
    <row r="480" spans="1:15" ht="15" customHeight="1">
      <c r="A480" s="595"/>
      <c r="B480" s="595"/>
      <c r="C480" s="595"/>
      <c r="D480" s="595"/>
      <c r="E480" s="595"/>
      <c r="F480" s="595"/>
      <c r="G480" s="595"/>
      <c r="H480" s="595"/>
      <c r="I480" s="595"/>
      <c r="J480" s="595"/>
      <c r="K480" s="595"/>
      <c r="L480" s="595"/>
      <c r="M480" s="595"/>
      <c r="N480" s="595"/>
      <c r="O480" s="595"/>
    </row>
    <row r="481" spans="1:15" ht="15" customHeight="1">
      <c r="A481" s="595"/>
      <c r="B481" s="595"/>
      <c r="C481" s="595"/>
      <c r="D481" s="595"/>
      <c r="E481" s="595"/>
      <c r="F481" s="595"/>
      <c r="G481" s="595"/>
      <c r="H481" s="595"/>
      <c r="I481" s="595"/>
      <c r="J481" s="595"/>
      <c r="K481" s="595"/>
      <c r="L481" s="595"/>
      <c r="M481" s="595"/>
      <c r="N481" s="595"/>
      <c r="O481" s="595"/>
    </row>
    <row r="482" spans="1:15" ht="15" customHeight="1">
      <c r="A482" s="595"/>
      <c r="B482" s="595"/>
      <c r="C482" s="595"/>
      <c r="D482" s="595"/>
      <c r="E482" s="595"/>
      <c r="F482" s="595"/>
      <c r="G482" s="595"/>
      <c r="H482" s="595"/>
      <c r="I482" s="595"/>
      <c r="J482" s="595"/>
      <c r="K482" s="595"/>
      <c r="L482" s="595"/>
      <c r="M482" s="595"/>
      <c r="N482" s="595"/>
      <c r="O482" s="595"/>
    </row>
    <row r="483" spans="1:15" ht="15" customHeight="1">
      <c r="A483" s="595"/>
      <c r="B483" s="595"/>
      <c r="C483" s="595"/>
      <c r="D483" s="595"/>
      <c r="E483" s="595"/>
      <c r="F483" s="595"/>
      <c r="G483" s="595"/>
      <c r="H483" s="595"/>
      <c r="I483" s="595"/>
      <c r="J483" s="595"/>
      <c r="K483" s="595"/>
      <c r="L483" s="595"/>
      <c r="M483" s="595"/>
      <c r="N483" s="595"/>
      <c r="O483" s="595"/>
    </row>
    <row r="484" spans="1:15" ht="15" customHeight="1">
      <c r="A484" s="595"/>
      <c r="B484" s="595"/>
      <c r="C484" s="595"/>
      <c r="D484" s="595"/>
      <c r="E484" s="595"/>
      <c r="F484" s="595"/>
      <c r="G484" s="595"/>
      <c r="H484" s="595"/>
      <c r="I484" s="595"/>
      <c r="J484" s="595"/>
      <c r="K484" s="595"/>
      <c r="L484" s="595"/>
      <c r="M484" s="595"/>
      <c r="N484" s="595"/>
      <c r="O484" s="595"/>
    </row>
    <row r="485" spans="1:15" ht="15" customHeight="1">
      <c r="A485" s="595"/>
      <c r="B485" s="595"/>
      <c r="C485" s="595"/>
      <c r="D485" s="595"/>
      <c r="E485" s="595"/>
      <c r="F485" s="595"/>
      <c r="G485" s="595"/>
      <c r="H485" s="595"/>
      <c r="I485" s="595"/>
      <c r="J485" s="595"/>
      <c r="K485" s="595"/>
      <c r="L485" s="595"/>
      <c r="M485" s="595"/>
      <c r="N485" s="595"/>
      <c r="O485" s="595"/>
    </row>
    <row r="486" spans="1:15" ht="15" customHeight="1">
      <c r="A486" s="595"/>
      <c r="B486" s="595"/>
      <c r="C486" s="595"/>
      <c r="D486" s="595"/>
      <c r="E486" s="595"/>
      <c r="F486" s="595"/>
      <c r="G486" s="595"/>
      <c r="H486" s="595"/>
      <c r="I486" s="595"/>
      <c r="J486" s="595"/>
      <c r="K486" s="595"/>
      <c r="L486" s="595"/>
      <c r="M486" s="595"/>
      <c r="N486" s="595"/>
      <c r="O486" s="595"/>
    </row>
    <row r="487" spans="1:15" ht="15" customHeight="1">
      <c r="A487" s="595"/>
      <c r="B487" s="595"/>
      <c r="C487" s="595"/>
      <c r="D487" s="595"/>
      <c r="E487" s="595"/>
      <c r="F487" s="595"/>
      <c r="G487" s="595"/>
      <c r="H487" s="595"/>
      <c r="I487" s="595"/>
      <c r="J487" s="595"/>
      <c r="K487" s="595"/>
      <c r="L487" s="595"/>
      <c r="M487" s="595"/>
      <c r="N487" s="595"/>
      <c r="O487" s="595"/>
    </row>
    <row r="488" spans="1:15" ht="15" customHeight="1">
      <c r="A488" s="595"/>
      <c r="B488" s="595"/>
      <c r="C488" s="595"/>
      <c r="D488" s="595"/>
      <c r="E488" s="595"/>
      <c r="F488" s="595"/>
      <c r="G488" s="595"/>
      <c r="H488" s="595"/>
      <c r="I488" s="595"/>
      <c r="J488" s="595"/>
      <c r="K488" s="595"/>
      <c r="L488" s="595"/>
      <c r="M488" s="595"/>
      <c r="N488" s="595"/>
      <c r="O488" s="595"/>
    </row>
    <row r="489" spans="1:15" ht="15" customHeight="1">
      <c r="A489" s="595"/>
      <c r="B489" s="595"/>
      <c r="C489" s="595"/>
      <c r="D489" s="595"/>
      <c r="E489" s="595"/>
      <c r="F489" s="595"/>
      <c r="G489" s="595"/>
      <c r="H489" s="595"/>
      <c r="I489" s="595"/>
      <c r="J489" s="595"/>
      <c r="K489" s="595"/>
      <c r="L489" s="595"/>
      <c r="M489" s="595"/>
      <c r="N489" s="595"/>
      <c r="O489" s="595"/>
    </row>
    <row r="490" spans="1:15" ht="15" customHeight="1">
      <c r="A490" s="595"/>
      <c r="B490" s="595"/>
      <c r="C490" s="595"/>
      <c r="D490" s="595"/>
      <c r="E490" s="595"/>
      <c r="F490" s="595"/>
      <c r="G490" s="595"/>
      <c r="H490" s="595"/>
      <c r="I490" s="595"/>
      <c r="J490" s="595"/>
      <c r="K490" s="595"/>
      <c r="L490" s="595"/>
      <c r="M490" s="595"/>
      <c r="N490" s="595"/>
      <c r="O490" s="595"/>
    </row>
    <row r="491" spans="1:15" ht="15" customHeight="1">
      <c r="A491" s="595"/>
      <c r="B491" s="595"/>
      <c r="C491" s="595"/>
      <c r="D491" s="595"/>
      <c r="E491" s="595"/>
      <c r="F491" s="595"/>
      <c r="G491" s="595"/>
      <c r="H491" s="595"/>
      <c r="I491" s="595"/>
      <c r="J491" s="595"/>
      <c r="K491" s="595"/>
      <c r="L491" s="595"/>
      <c r="M491" s="595"/>
      <c r="N491" s="595"/>
      <c r="O491" s="595"/>
    </row>
    <row r="492" spans="1:15" ht="15" customHeight="1">
      <c r="A492" s="595"/>
      <c r="B492" s="595"/>
      <c r="C492" s="595"/>
      <c r="D492" s="595"/>
      <c r="E492" s="595"/>
      <c r="F492" s="595"/>
      <c r="G492" s="595"/>
      <c r="H492" s="595"/>
      <c r="I492" s="595"/>
      <c r="J492" s="595"/>
      <c r="K492" s="595"/>
      <c r="L492" s="595"/>
      <c r="M492" s="595"/>
      <c r="N492" s="595"/>
      <c r="O492" s="595"/>
    </row>
    <row r="493" spans="1:15" ht="15" customHeight="1">
      <c r="A493" s="595"/>
      <c r="B493" s="595"/>
      <c r="C493" s="595"/>
      <c r="D493" s="595"/>
      <c r="E493" s="595"/>
      <c r="F493" s="595"/>
      <c r="G493" s="595"/>
      <c r="H493" s="595"/>
      <c r="I493" s="595"/>
      <c r="J493" s="595"/>
      <c r="K493" s="595"/>
      <c r="L493" s="595"/>
      <c r="M493" s="595"/>
      <c r="N493" s="595"/>
      <c r="O493" s="595"/>
    </row>
    <row r="494" spans="1:15" ht="15" customHeight="1">
      <c r="A494" s="595"/>
      <c r="B494" s="595"/>
      <c r="C494" s="595"/>
      <c r="D494" s="595"/>
      <c r="E494" s="595"/>
      <c r="F494" s="595"/>
      <c r="G494" s="595"/>
      <c r="H494" s="595"/>
      <c r="I494" s="595"/>
      <c r="J494" s="595"/>
      <c r="K494" s="595"/>
      <c r="L494" s="595"/>
      <c r="M494" s="595"/>
      <c r="N494" s="595"/>
      <c r="O494" s="595"/>
    </row>
    <row r="495" spans="1:15" ht="15" customHeight="1">
      <c r="A495" s="595"/>
      <c r="B495" s="595"/>
      <c r="C495" s="595"/>
      <c r="D495" s="595"/>
      <c r="E495" s="595"/>
      <c r="F495" s="595"/>
      <c r="G495" s="595"/>
      <c r="H495" s="595"/>
      <c r="I495" s="595"/>
      <c r="J495" s="595"/>
      <c r="K495" s="595"/>
      <c r="L495" s="595"/>
      <c r="M495" s="595"/>
      <c r="N495" s="595"/>
      <c r="O495" s="595"/>
    </row>
    <row r="496" spans="1:15" ht="15" customHeight="1">
      <c r="A496" s="595"/>
      <c r="B496" s="595"/>
      <c r="C496" s="595"/>
      <c r="D496" s="595"/>
      <c r="E496" s="595"/>
      <c r="F496" s="595"/>
      <c r="G496" s="595"/>
      <c r="H496" s="595"/>
      <c r="I496" s="595"/>
      <c r="J496" s="595"/>
      <c r="K496" s="595"/>
      <c r="L496" s="595"/>
      <c r="M496" s="595"/>
      <c r="N496" s="595"/>
      <c r="O496" s="595"/>
    </row>
    <row r="497" spans="1:15" ht="15" customHeight="1">
      <c r="A497" s="595"/>
      <c r="B497" s="595"/>
      <c r="C497" s="595"/>
      <c r="D497" s="595"/>
      <c r="E497" s="595"/>
      <c r="F497" s="595"/>
      <c r="G497" s="595"/>
      <c r="H497" s="595"/>
      <c r="I497" s="595"/>
      <c r="J497" s="595"/>
      <c r="K497" s="595"/>
      <c r="L497" s="595"/>
      <c r="M497" s="595"/>
      <c r="N497" s="595"/>
      <c r="O497" s="595"/>
    </row>
    <row r="498" spans="1:15" ht="15" customHeight="1">
      <c r="A498" s="595"/>
      <c r="B498" s="595"/>
      <c r="C498" s="595"/>
      <c r="D498" s="595"/>
      <c r="E498" s="595"/>
      <c r="F498" s="595"/>
      <c r="G498" s="595"/>
      <c r="H498" s="595"/>
      <c r="I498" s="595"/>
      <c r="J498" s="595"/>
      <c r="K498" s="595"/>
      <c r="L498" s="595"/>
      <c r="M498" s="595"/>
      <c r="N498" s="595"/>
      <c r="O498" s="595"/>
    </row>
    <row r="499" spans="1:15" ht="15" customHeight="1">
      <c r="A499" s="595"/>
      <c r="B499" s="595"/>
      <c r="C499" s="595"/>
      <c r="D499" s="595"/>
      <c r="E499" s="595"/>
      <c r="F499" s="595"/>
      <c r="G499" s="595"/>
      <c r="H499" s="595"/>
      <c r="I499" s="595"/>
      <c r="J499" s="595"/>
      <c r="K499" s="595"/>
      <c r="L499" s="595"/>
      <c r="M499" s="595"/>
      <c r="N499" s="595"/>
      <c r="O499" s="595"/>
    </row>
    <row r="500" spans="1:15" ht="15" customHeight="1">
      <c r="A500" s="595"/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95"/>
      <c r="O500" s="595"/>
    </row>
    <row r="501" spans="1:15" ht="15" customHeight="1">
      <c r="A501" s="595"/>
      <c r="B501" s="595"/>
      <c r="C501" s="595"/>
      <c r="D501" s="595"/>
      <c r="E501" s="595"/>
      <c r="F501" s="595"/>
      <c r="G501" s="595"/>
      <c r="H501" s="595"/>
      <c r="I501" s="595"/>
      <c r="J501" s="595"/>
      <c r="K501" s="595"/>
      <c r="L501" s="595"/>
      <c r="M501" s="595"/>
      <c r="N501" s="595"/>
      <c r="O501" s="595"/>
    </row>
    <row r="502" spans="1:15" ht="15" customHeight="1">
      <c r="A502" s="595"/>
      <c r="B502" s="595"/>
      <c r="C502" s="595"/>
      <c r="D502" s="595"/>
      <c r="E502" s="595"/>
      <c r="F502" s="595"/>
      <c r="G502" s="595"/>
      <c r="H502" s="595"/>
      <c r="I502" s="595"/>
      <c r="J502" s="595"/>
      <c r="K502" s="595"/>
      <c r="L502" s="595"/>
      <c r="M502" s="595"/>
      <c r="N502" s="595"/>
      <c r="O502" s="595"/>
    </row>
    <row r="503" spans="1:15" ht="15" customHeight="1">
      <c r="A503" s="595"/>
      <c r="B503" s="595"/>
      <c r="C503" s="595"/>
      <c r="D503" s="595"/>
      <c r="E503" s="595"/>
      <c r="F503" s="595"/>
      <c r="G503" s="595"/>
      <c r="H503" s="595"/>
      <c r="I503" s="595"/>
      <c r="J503" s="595"/>
      <c r="K503" s="595"/>
      <c r="L503" s="595"/>
      <c r="M503" s="595"/>
      <c r="N503" s="595"/>
      <c r="O503" s="595"/>
    </row>
    <row r="504" spans="1:15" ht="15" customHeight="1">
      <c r="A504" s="595"/>
      <c r="B504" s="595"/>
      <c r="C504" s="595"/>
      <c r="D504" s="595"/>
      <c r="E504" s="595"/>
      <c r="F504" s="595"/>
      <c r="G504" s="595"/>
      <c r="H504" s="595"/>
      <c r="I504" s="595"/>
      <c r="J504" s="595"/>
      <c r="K504" s="595"/>
      <c r="L504" s="595"/>
      <c r="M504" s="595"/>
      <c r="N504" s="595"/>
      <c r="O504" s="595"/>
    </row>
    <row r="505" spans="1:15" ht="15" customHeight="1">
      <c r="A505" s="595"/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95"/>
      <c r="O505" s="595"/>
    </row>
    <row r="506" spans="1:15" ht="15" customHeight="1">
      <c r="A506" s="595"/>
      <c r="B506" s="595"/>
      <c r="C506" s="595"/>
      <c r="D506" s="595"/>
      <c r="E506" s="595"/>
      <c r="F506" s="595"/>
      <c r="G506" s="595"/>
      <c r="H506" s="595"/>
      <c r="I506" s="595"/>
      <c r="J506" s="595"/>
      <c r="K506" s="595"/>
      <c r="L506" s="595"/>
      <c r="M506" s="595"/>
      <c r="N506" s="595"/>
      <c r="O506" s="595"/>
    </row>
    <row r="507" spans="1:15" ht="15" customHeight="1">
      <c r="A507" s="595"/>
      <c r="B507" s="595"/>
      <c r="C507" s="595"/>
      <c r="D507" s="595"/>
      <c r="E507" s="595"/>
      <c r="F507" s="595"/>
      <c r="G507" s="595"/>
      <c r="H507" s="595"/>
      <c r="I507" s="595"/>
      <c r="J507" s="595"/>
      <c r="K507" s="595"/>
      <c r="L507" s="595"/>
      <c r="M507" s="595"/>
      <c r="N507" s="595"/>
      <c r="O507" s="595"/>
    </row>
    <row r="508" spans="1:15" ht="15" customHeight="1">
      <c r="A508" s="595"/>
      <c r="B508" s="595"/>
      <c r="C508" s="595"/>
      <c r="D508" s="595"/>
      <c r="E508" s="595"/>
      <c r="F508" s="595"/>
      <c r="G508" s="595"/>
      <c r="H508" s="595"/>
      <c r="I508" s="595"/>
      <c r="J508" s="595"/>
      <c r="K508" s="595"/>
      <c r="L508" s="595"/>
      <c r="M508" s="595"/>
      <c r="N508" s="595"/>
      <c r="O508" s="595"/>
    </row>
    <row r="509" spans="1:15" ht="15" customHeight="1">
      <c r="A509" s="595"/>
      <c r="B509" s="595"/>
      <c r="C509" s="595"/>
      <c r="D509" s="595"/>
      <c r="E509" s="595"/>
      <c r="F509" s="595"/>
      <c r="G509" s="595"/>
      <c r="H509" s="595"/>
      <c r="I509" s="595"/>
      <c r="J509" s="595"/>
      <c r="K509" s="595"/>
      <c r="L509" s="595"/>
      <c r="M509" s="595"/>
      <c r="N509" s="595"/>
      <c r="O509" s="595"/>
    </row>
    <row r="510" spans="1:15" ht="15" customHeight="1">
      <c r="A510" s="595"/>
      <c r="B510" s="595"/>
      <c r="C510" s="595"/>
      <c r="D510" s="595"/>
      <c r="E510" s="595"/>
      <c r="F510" s="595"/>
      <c r="G510" s="595"/>
      <c r="H510" s="595"/>
      <c r="I510" s="595"/>
      <c r="J510" s="595"/>
      <c r="K510" s="595"/>
      <c r="L510" s="595"/>
      <c r="M510" s="595"/>
      <c r="N510" s="595"/>
      <c r="O510" s="595"/>
    </row>
    <row r="511" spans="1:15" ht="15" customHeight="1">
      <c r="A511" s="595"/>
      <c r="B511" s="595"/>
      <c r="C511" s="595"/>
      <c r="D511" s="595"/>
      <c r="E511" s="595"/>
      <c r="F511" s="595"/>
      <c r="G511" s="595"/>
      <c r="H511" s="595"/>
      <c r="I511" s="595"/>
      <c r="J511" s="595"/>
      <c r="K511" s="595"/>
      <c r="L511" s="595"/>
      <c r="M511" s="595"/>
      <c r="N511" s="595"/>
      <c r="O511" s="595"/>
    </row>
    <row r="512" spans="1:15" ht="15" customHeight="1">
      <c r="A512" s="595"/>
      <c r="B512" s="595"/>
      <c r="C512" s="595"/>
      <c r="D512" s="595"/>
      <c r="E512" s="595"/>
      <c r="F512" s="595"/>
      <c r="G512" s="595"/>
      <c r="H512" s="595"/>
      <c r="I512" s="595"/>
      <c r="J512" s="595"/>
      <c r="K512" s="595"/>
      <c r="L512" s="595"/>
      <c r="M512" s="595"/>
      <c r="N512" s="595"/>
      <c r="O512" s="595"/>
    </row>
    <row r="513" spans="1:15" ht="15" customHeight="1">
      <c r="A513" s="595"/>
      <c r="B513" s="595"/>
      <c r="C513" s="595"/>
      <c r="D513" s="595"/>
      <c r="E513" s="595"/>
      <c r="F513" s="595"/>
      <c r="G513" s="595"/>
      <c r="H513" s="595"/>
      <c r="I513" s="595"/>
      <c r="J513" s="595"/>
      <c r="K513" s="595"/>
      <c r="L513" s="595"/>
      <c r="M513" s="595"/>
      <c r="N513" s="595"/>
      <c r="O513" s="595"/>
    </row>
    <row r="514" spans="1:15" ht="15" customHeight="1">
      <c r="A514" s="595"/>
      <c r="B514" s="595"/>
      <c r="C514" s="595"/>
      <c r="D514" s="595"/>
      <c r="E514" s="595"/>
      <c r="F514" s="595"/>
      <c r="G514" s="595"/>
      <c r="H514" s="595"/>
      <c r="I514" s="595"/>
      <c r="J514" s="595"/>
      <c r="K514" s="595"/>
      <c r="L514" s="595"/>
      <c r="M514" s="595"/>
      <c r="N514" s="595"/>
      <c r="O514" s="595"/>
    </row>
    <row r="515" spans="1:15" ht="15" customHeight="1">
      <c r="A515" s="595"/>
      <c r="B515" s="595"/>
      <c r="C515" s="595"/>
      <c r="D515" s="595"/>
      <c r="E515" s="595"/>
      <c r="F515" s="595"/>
      <c r="G515" s="595"/>
      <c r="H515" s="595"/>
      <c r="I515" s="595"/>
      <c r="J515" s="595"/>
      <c r="K515" s="595"/>
      <c r="L515" s="595"/>
      <c r="M515" s="595"/>
      <c r="N515" s="595"/>
      <c r="O515" s="595"/>
    </row>
    <row r="516" spans="1:15" ht="15" customHeight="1">
      <c r="A516" s="595"/>
      <c r="B516" s="595"/>
      <c r="C516" s="595"/>
      <c r="D516" s="595"/>
      <c r="E516" s="595"/>
      <c r="F516" s="595"/>
      <c r="G516" s="595"/>
      <c r="H516" s="595"/>
      <c r="I516" s="595"/>
      <c r="J516" s="595"/>
      <c r="K516" s="595"/>
      <c r="L516" s="595"/>
      <c r="M516" s="595"/>
      <c r="N516" s="595"/>
      <c r="O516" s="595"/>
    </row>
    <row r="517" spans="1:15" ht="15" customHeight="1">
      <c r="A517" s="595"/>
      <c r="B517" s="595"/>
      <c r="C517" s="595"/>
      <c r="D517" s="595"/>
      <c r="E517" s="595"/>
      <c r="F517" s="595"/>
      <c r="G517" s="595"/>
      <c r="H517" s="595"/>
      <c r="I517" s="595"/>
      <c r="J517" s="595"/>
      <c r="K517" s="595"/>
      <c r="L517" s="595"/>
      <c r="M517" s="595"/>
      <c r="N517" s="595"/>
      <c r="O517" s="595"/>
    </row>
    <row r="518" spans="1:15" ht="15" customHeight="1">
      <c r="A518" s="595"/>
      <c r="B518" s="595"/>
      <c r="C518" s="595"/>
      <c r="D518" s="595"/>
      <c r="E518" s="595"/>
      <c r="F518" s="595"/>
      <c r="G518" s="595"/>
      <c r="H518" s="595"/>
      <c r="I518" s="595"/>
      <c r="J518" s="595"/>
      <c r="K518" s="595"/>
      <c r="L518" s="595"/>
      <c r="M518" s="595"/>
      <c r="N518" s="595"/>
      <c r="O518" s="595"/>
    </row>
    <row r="519" spans="1:15" ht="15" customHeight="1">
      <c r="A519" s="595"/>
      <c r="B519" s="595"/>
      <c r="C519" s="595"/>
      <c r="D519" s="595"/>
      <c r="E519" s="595"/>
      <c r="F519" s="595"/>
      <c r="G519" s="595"/>
      <c r="H519" s="595"/>
      <c r="I519" s="595"/>
      <c r="J519" s="595"/>
      <c r="K519" s="595"/>
      <c r="L519" s="595"/>
      <c r="M519" s="595"/>
      <c r="N519" s="595"/>
      <c r="O519" s="595"/>
    </row>
    <row r="520" spans="1:15" ht="15" customHeight="1">
      <c r="A520" s="595"/>
      <c r="B520" s="595"/>
      <c r="C520" s="595"/>
      <c r="D520" s="595"/>
      <c r="E520" s="595"/>
      <c r="F520" s="595"/>
      <c r="G520" s="595"/>
      <c r="H520" s="595"/>
      <c r="I520" s="595"/>
      <c r="J520" s="595"/>
      <c r="K520" s="595"/>
      <c r="L520" s="595"/>
      <c r="M520" s="595"/>
      <c r="N520" s="595"/>
      <c r="O520" s="595"/>
    </row>
    <row r="521" spans="1:15" ht="15" customHeight="1">
      <c r="A521" s="595"/>
      <c r="B521" s="595"/>
      <c r="C521" s="595"/>
      <c r="D521" s="595"/>
      <c r="E521" s="595"/>
      <c r="F521" s="595"/>
      <c r="G521" s="595"/>
      <c r="H521" s="595"/>
      <c r="I521" s="595"/>
      <c r="J521" s="595"/>
      <c r="K521" s="595"/>
      <c r="L521" s="595"/>
      <c r="M521" s="595"/>
      <c r="N521" s="595"/>
      <c r="O521" s="595"/>
    </row>
    <row r="522" spans="1:15" ht="15" customHeight="1">
      <c r="A522" s="595"/>
      <c r="B522" s="595"/>
      <c r="C522" s="595"/>
      <c r="D522" s="595"/>
      <c r="E522" s="595"/>
      <c r="F522" s="595"/>
      <c r="G522" s="595"/>
      <c r="H522" s="595"/>
      <c r="I522" s="595"/>
      <c r="J522" s="595"/>
      <c r="K522" s="595"/>
      <c r="L522" s="595"/>
      <c r="M522" s="595"/>
      <c r="N522" s="595"/>
      <c r="O522" s="595"/>
    </row>
    <row r="523" spans="1:15" ht="15" customHeight="1">
      <c r="A523" s="595"/>
      <c r="B523" s="595"/>
      <c r="C523" s="595"/>
      <c r="D523" s="595"/>
      <c r="E523" s="595"/>
      <c r="F523" s="595"/>
      <c r="G523" s="595"/>
      <c r="H523" s="595"/>
      <c r="I523" s="595"/>
      <c r="J523" s="595"/>
      <c r="K523" s="595"/>
      <c r="L523" s="595"/>
      <c r="M523" s="595"/>
      <c r="N523" s="595"/>
      <c r="O523" s="595"/>
    </row>
    <row r="524" spans="1:15" ht="15" customHeight="1">
      <c r="A524" s="595"/>
      <c r="B524" s="595"/>
      <c r="C524" s="595"/>
      <c r="D524" s="595"/>
      <c r="E524" s="595"/>
      <c r="F524" s="595"/>
      <c r="G524" s="595"/>
      <c r="H524" s="595"/>
      <c r="I524" s="595"/>
      <c r="J524" s="595"/>
      <c r="K524" s="595"/>
      <c r="L524" s="595"/>
      <c r="M524" s="595"/>
      <c r="N524" s="595"/>
      <c r="O524" s="595"/>
    </row>
    <row r="525" spans="1:15" ht="15" customHeight="1">
      <c r="A525" s="595"/>
      <c r="B525" s="595"/>
      <c r="C525" s="595"/>
      <c r="D525" s="595"/>
      <c r="E525" s="595"/>
      <c r="F525" s="595"/>
      <c r="G525" s="595"/>
      <c r="H525" s="595"/>
      <c r="I525" s="595"/>
      <c r="J525" s="595"/>
      <c r="K525" s="595"/>
      <c r="L525" s="595"/>
      <c r="M525" s="595"/>
      <c r="N525" s="595"/>
      <c r="O525" s="595"/>
    </row>
    <row r="526" spans="1:15" ht="15" customHeight="1">
      <c r="A526" s="595"/>
      <c r="B526" s="595"/>
      <c r="C526" s="595"/>
      <c r="D526" s="595"/>
      <c r="E526" s="595"/>
      <c r="F526" s="595"/>
      <c r="G526" s="595"/>
      <c r="H526" s="595"/>
      <c r="I526" s="595"/>
      <c r="J526" s="595"/>
      <c r="K526" s="595"/>
      <c r="L526" s="595"/>
      <c r="M526" s="595"/>
      <c r="N526" s="595"/>
      <c r="O526" s="595"/>
    </row>
    <row r="527" spans="1:15" ht="15" customHeight="1">
      <c r="A527" s="595"/>
      <c r="B527" s="595"/>
      <c r="C527" s="595"/>
      <c r="D527" s="595"/>
      <c r="E527" s="595"/>
      <c r="F527" s="595"/>
      <c r="G527" s="595"/>
      <c r="H527" s="595"/>
      <c r="I527" s="595"/>
      <c r="J527" s="595"/>
      <c r="K527" s="595"/>
      <c r="L527" s="595"/>
      <c r="M527" s="595"/>
      <c r="N527" s="595"/>
      <c r="O527" s="595"/>
    </row>
    <row r="528" spans="1:15" ht="15" customHeight="1">
      <c r="A528" s="595"/>
      <c r="B528" s="595"/>
      <c r="C528" s="595"/>
      <c r="D528" s="595"/>
      <c r="E528" s="595"/>
      <c r="F528" s="595"/>
      <c r="G528" s="595"/>
      <c r="H528" s="595"/>
      <c r="I528" s="595"/>
      <c r="J528" s="595"/>
      <c r="K528" s="595"/>
      <c r="L528" s="595"/>
      <c r="M528" s="595"/>
      <c r="N528" s="595"/>
      <c r="O528" s="595"/>
    </row>
    <row r="529" spans="1:15" ht="15" customHeight="1">
      <c r="A529" s="595"/>
      <c r="B529" s="595"/>
      <c r="C529" s="595"/>
      <c r="D529" s="595"/>
      <c r="E529" s="595"/>
      <c r="F529" s="595"/>
      <c r="G529" s="595"/>
      <c r="H529" s="595"/>
      <c r="I529" s="595"/>
      <c r="J529" s="595"/>
      <c r="K529" s="595"/>
      <c r="L529" s="595"/>
      <c r="M529" s="595"/>
      <c r="N529" s="595"/>
      <c r="O529" s="595"/>
    </row>
    <row r="530" spans="1:15" ht="15" customHeight="1">
      <c r="A530" s="595"/>
      <c r="B530" s="595"/>
      <c r="C530" s="595"/>
      <c r="D530" s="595"/>
      <c r="E530" s="595"/>
      <c r="F530" s="595"/>
      <c r="G530" s="595"/>
      <c r="H530" s="595"/>
      <c r="I530" s="595"/>
      <c r="J530" s="595"/>
      <c r="K530" s="595"/>
      <c r="L530" s="595"/>
      <c r="M530" s="595"/>
      <c r="N530" s="595"/>
      <c r="O530" s="595"/>
    </row>
    <row r="531" spans="1:15" ht="15" customHeight="1">
      <c r="A531" s="595"/>
      <c r="B531" s="595"/>
      <c r="C531" s="595"/>
      <c r="D531" s="595"/>
      <c r="E531" s="595"/>
      <c r="F531" s="595"/>
      <c r="G531" s="595"/>
      <c r="H531" s="595"/>
      <c r="I531" s="595"/>
      <c r="J531" s="595"/>
      <c r="K531" s="595"/>
      <c r="L531" s="595"/>
      <c r="M531" s="595"/>
      <c r="N531" s="595"/>
      <c r="O531" s="595"/>
    </row>
    <row r="532" spans="1:15" ht="15" customHeight="1">
      <c r="A532" s="595"/>
      <c r="B532" s="595"/>
      <c r="C532" s="595"/>
      <c r="D532" s="595"/>
      <c r="E532" s="595"/>
      <c r="F532" s="595"/>
      <c r="G532" s="595"/>
      <c r="H532" s="595"/>
      <c r="I532" s="595"/>
      <c r="J532" s="595"/>
      <c r="K532" s="595"/>
      <c r="L532" s="595"/>
      <c r="M532" s="595"/>
      <c r="N532" s="595"/>
      <c r="O532" s="595"/>
    </row>
    <row r="533" spans="1:15" ht="15" customHeight="1">
      <c r="A533" s="595"/>
      <c r="B533" s="595"/>
      <c r="C533" s="595"/>
      <c r="D533" s="595"/>
      <c r="E533" s="595"/>
      <c r="F533" s="595"/>
      <c r="G533" s="595"/>
      <c r="H533" s="595"/>
      <c r="I533" s="595"/>
      <c r="J533" s="595"/>
      <c r="K533" s="595"/>
      <c r="L533" s="595"/>
      <c r="M533" s="595"/>
      <c r="N533" s="595"/>
      <c r="O533" s="595"/>
    </row>
    <row r="534" spans="1:15" ht="15" customHeight="1">
      <c r="A534" s="595"/>
      <c r="B534" s="595"/>
      <c r="C534" s="595"/>
      <c r="D534" s="595"/>
      <c r="E534" s="595"/>
      <c r="F534" s="595"/>
      <c r="G534" s="595"/>
      <c r="H534" s="595"/>
      <c r="I534" s="595"/>
      <c r="J534" s="595"/>
      <c r="K534" s="595"/>
      <c r="L534" s="595"/>
      <c r="M534" s="595"/>
      <c r="N534" s="595"/>
      <c r="O534" s="595"/>
    </row>
    <row r="535" spans="1:15" ht="15" customHeight="1">
      <c r="A535" s="595"/>
      <c r="B535" s="595"/>
      <c r="C535" s="595"/>
      <c r="D535" s="595"/>
      <c r="E535" s="595"/>
      <c r="F535" s="595"/>
      <c r="G535" s="595"/>
      <c r="H535" s="595"/>
      <c r="I535" s="595"/>
      <c r="J535" s="595"/>
      <c r="K535" s="595"/>
      <c r="L535" s="595"/>
      <c r="M535" s="595"/>
      <c r="N535" s="595"/>
      <c r="O535" s="595"/>
    </row>
    <row r="536" spans="1:15" ht="15" customHeight="1">
      <c r="A536" s="595"/>
      <c r="B536" s="595"/>
      <c r="C536" s="595"/>
      <c r="D536" s="595"/>
      <c r="E536" s="595"/>
      <c r="F536" s="595"/>
      <c r="G536" s="595"/>
      <c r="H536" s="595"/>
      <c r="I536" s="595"/>
      <c r="J536" s="595"/>
      <c r="K536" s="595"/>
      <c r="L536" s="595"/>
      <c r="M536" s="595"/>
      <c r="N536" s="595"/>
      <c r="O536" s="595"/>
    </row>
    <row r="537" spans="1:15" ht="15" customHeight="1">
      <c r="A537" s="595"/>
      <c r="B537" s="595"/>
      <c r="C537" s="595"/>
      <c r="D537" s="595"/>
      <c r="E537" s="595"/>
      <c r="F537" s="595"/>
      <c r="G537" s="595"/>
      <c r="H537" s="595"/>
      <c r="I537" s="595"/>
      <c r="J537" s="595"/>
      <c r="K537" s="595"/>
      <c r="L537" s="595"/>
      <c r="M537" s="595"/>
      <c r="N537" s="595"/>
      <c r="O537" s="595"/>
    </row>
    <row r="538" spans="1:15" ht="15" customHeight="1">
      <c r="A538" s="595"/>
      <c r="B538" s="595"/>
      <c r="C538" s="595"/>
      <c r="D538" s="595"/>
      <c r="E538" s="595"/>
      <c r="F538" s="595"/>
      <c r="G538" s="595"/>
      <c r="H538" s="595"/>
      <c r="I538" s="595"/>
      <c r="J538" s="595"/>
      <c r="K538" s="595"/>
      <c r="L538" s="595"/>
      <c r="M538" s="595"/>
      <c r="N538" s="595"/>
      <c r="O538" s="595"/>
    </row>
    <row r="539" spans="1:15" ht="15" customHeight="1">
      <c r="A539" s="595"/>
      <c r="B539" s="595"/>
      <c r="C539" s="595"/>
      <c r="D539" s="595"/>
      <c r="E539" s="595"/>
      <c r="F539" s="595"/>
      <c r="G539" s="595"/>
      <c r="H539" s="595"/>
      <c r="I539" s="595"/>
      <c r="J539" s="595"/>
      <c r="K539" s="595"/>
      <c r="L539" s="595"/>
      <c r="M539" s="595"/>
      <c r="N539" s="595"/>
      <c r="O539" s="595"/>
    </row>
    <row r="540" spans="1:15" ht="15" customHeight="1">
      <c r="A540" s="595"/>
      <c r="B540" s="595"/>
      <c r="C540" s="595"/>
      <c r="D540" s="595"/>
      <c r="E540" s="595"/>
      <c r="F540" s="595"/>
      <c r="G540" s="595"/>
      <c r="H540" s="595"/>
      <c r="I540" s="595"/>
      <c r="J540" s="595"/>
      <c r="K540" s="595"/>
      <c r="L540" s="595"/>
      <c r="M540" s="595"/>
      <c r="N540" s="595"/>
      <c r="O540" s="595"/>
    </row>
    <row r="541" spans="1:15" ht="15" customHeight="1">
      <c r="A541" s="595"/>
      <c r="B541" s="595"/>
      <c r="C541" s="595"/>
      <c r="D541" s="595"/>
      <c r="E541" s="595"/>
      <c r="F541" s="595"/>
      <c r="G541" s="595"/>
      <c r="H541" s="595"/>
      <c r="I541" s="595"/>
      <c r="J541" s="595"/>
      <c r="K541" s="595"/>
      <c r="L541" s="595"/>
      <c r="M541" s="595"/>
      <c r="N541" s="595"/>
      <c r="O541" s="595"/>
    </row>
    <row r="542" spans="1:15" ht="15" customHeight="1">
      <c r="A542" s="595"/>
      <c r="B542" s="595"/>
      <c r="C542" s="595"/>
      <c r="D542" s="595"/>
      <c r="E542" s="595"/>
      <c r="F542" s="595"/>
      <c r="G542" s="595"/>
      <c r="H542" s="595"/>
      <c r="I542" s="595"/>
      <c r="J542" s="595"/>
      <c r="K542" s="595"/>
      <c r="L542" s="595"/>
      <c r="M542" s="595"/>
      <c r="N542" s="595"/>
      <c r="O542" s="595"/>
    </row>
    <row r="543" spans="1:15" ht="15" customHeight="1">
      <c r="A543" s="595"/>
      <c r="B543" s="595"/>
      <c r="C543" s="595"/>
      <c r="D543" s="595"/>
      <c r="E543" s="595"/>
      <c r="F543" s="595"/>
      <c r="G543" s="595"/>
      <c r="H543" s="595"/>
      <c r="I543" s="595"/>
      <c r="J543" s="595"/>
      <c r="K543" s="595"/>
      <c r="L543" s="595"/>
      <c r="M543" s="595"/>
      <c r="N543" s="595"/>
      <c r="O543" s="595"/>
    </row>
    <row r="544" spans="1:15" ht="15" customHeight="1">
      <c r="A544" s="595"/>
      <c r="B544" s="595"/>
      <c r="C544" s="595"/>
      <c r="D544" s="595"/>
      <c r="E544" s="595"/>
      <c r="F544" s="595"/>
      <c r="G544" s="595"/>
      <c r="H544" s="595"/>
      <c r="I544" s="595"/>
      <c r="J544" s="595"/>
      <c r="K544" s="595"/>
      <c r="L544" s="595"/>
      <c r="M544" s="595"/>
      <c r="N544" s="595"/>
      <c r="O544" s="595"/>
    </row>
    <row r="545" spans="1:15" ht="15" customHeight="1">
      <c r="A545" s="595"/>
      <c r="B545" s="595"/>
      <c r="C545" s="595"/>
      <c r="D545" s="595"/>
      <c r="E545" s="595"/>
      <c r="F545" s="595"/>
      <c r="G545" s="595"/>
      <c r="H545" s="595"/>
      <c r="I545" s="595"/>
      <c r="J545" s="595"/>
      <c r="K545" s="595"/>
      <c r="L545" s="595"/>
      <c r="M545" s="595"/>
      <c r="N545" s="595"/>
      <c r="O545" s="595"/>
    </row>
    <row r="546" spans="1:15" ht="15" customHeight="1">
      <c r="A546" s="595"/>
      <c r="B546" s="595"/>
      <c r="C546" s="595"/>
      <c r="D546" s="595"/>
      <c r="E546" s="595"/>
      <c r="F546" s="595"/>
      <c r="G546" s="595"/>
      <c r="H546" s="595"/>
      <c r="I546" s="595"/>
      <c r="J546" s="595"/>
      <c r="K546" s="595"/>
      <c r="L546" s="595"/>
      <c r="M546" s="595"/>
      <c r="N546" s="595"/>
      <c r="O546" s="595"/>
    </row>
    <row r="547" spans="1:15" ht="15" customHeight="1">
      <c r="A547" s="595"/>
      <c r="B547" s="595"/>
      <c r="C547" s="595"/>
      <c r="D547" s="595"/>
      <c r="E547" s="595"/>
      <c r="F547" s="595"/>
      <c r="G547" s="595"/>
      <c r="H547" s="595"/>
      <c r="I547" s="595"/>
      <c r="J547" s="595"/>
      <c r="K547" s="595"/>
      <c r="L547" s="595"/>
      <c r="M547" s="595"/>
      <c r="N547" s="595"/>
      <c r="O547" s="595"/>
    </row>
    <row r="548" spans="1:15" ht="15" customHeight="1">
      <c r="A548" s="595"/>
      <c r="B548" s="595"/>
      <c r="C548" s="595"/>
      <c r="D548" s="595"/>
      <c r="E548" s="595"/>
      <c r="F548" s="595"/>
      <c r="G548" s="595"/>
      <c r="H548" s="595"/>
      <c r="I548" s="595"/>
      <c r="J548" s="595"/>
      <c r="K548" s="595"/>
      <c r="L548" s="595"/>
      <c r="M548" s="595"/>
      <c r="N548" s="595"/>
      <c r="O548" s="595"/>
    </row>
    <row r="549" spans="1:15" ht="15" customHeight="1">
      <c r="A549" s="595"/>
      <c r="B549" s="595"/>
      <c r="C549" s="595"/>
      <c r="D549" s="595"/>
      <c r="E549" s="595"/>
      <c r="F549" s="595"/>
      <c r="G549" s="595"/>
      <c r="H549" s="595"/>
      <c r="I549" s="595"/>
      <c r="J549" s="595"/>
      <c r="K549" s="595"/>
      <c r="L549" s="595"/>
      <c r="M549" s="595"/>
      <c r="N549" s="595"/>
      <c r="O549" s="595"/>
    </row>
    <row r="550" spans="1:15" ht="15" customHeight="1">
      <c r="A550" s="595"/>
      <c r="B550" s="595"/>
      <c r="C550" s="595"/>
      <c r="D550" s="595"/>
      <c r="E550" s="595"/>
      <c r="F550" s="595"/>
      <c r="G550" s="595"/>
      <c r="H550" s="595"/>
      <c r="I550" s="595"/>
      <c r="J550" s="595"/>
      <c r="K550" s="595"/>
      <c r="L550" s="595"/>
      <c r="M550" s="595"/>
      <c r="N550" s="595"/>
      <c r="O550" s="595"/>
    </row>
    <row r="551" spans="1:15" ht="15" customHeight="1">
      <c r="A551" s="595"/>
      <c r="B551" s="595"/>
      <c r="C551" s="595"/>
      <c r="D551" s="595"/>
      <c r="E551" s="595"/>
      <c r="F551" s="595"/>
      <c r="G551" s="595"/>
      <c r="H551" s="595"/>
      <c r="I551" s="595"/>
      <c r="J551" s="595"/>
      <c r="K551" s="595"/>
      <c r="L551" s="595"/>
      <c r="M551" s="595"/>
      <c r="N551" s="595"/>
      <c r="O551" s="595"/>
    </row>
    <row r="552" spans="1:15" ht="15" customHeight="1">
      <c r="A552" s="595"/>
      <c r="B552" s="595"/>
      <c r="C552" s="595"/>
      <c r="D552" s="595"/>
      <c r="E552" s="595"/>
      <c r="F552" s="595"/>
      <c r="G552" s="595"/>
      <c r="H552" s="595"/>
      <c r="I552" s="595"/>
      <c r="J552" s="595"/>
      <c r="K552" s="595"/>
      <c r="L552" s="595"/>
      <c r="M552" s="595"/>
      <c r="N552" s="595"/>
      <c r="O552" s="595"/>
    </row>
    <row r="553" spans="1:15" ht="15" customHeight="1">
      <c r="A553" s="595"/>
      <c r="B553" s="595"/>
      <c r="C553" s="595"/>
      <c r="D553" s="595"/>
      <c r="E553" s="595"/>
      <c r="F553" s="595"/>
      <c r="G553" s="595"/>
      <c r="H553" s="595"/>
      <c r="I553" s="595"/>
      <c r="J553" s="595"/>
      <c r="K553" s="595"/>
      <c r="L553" s="595"/>
      <c r="M553" s="595"/>
      <c r="N553" s="595"/>
      <c r="O553" s="595"/>
    </row>
    <row r="554" spans="1:15" ht="15" customHeight="1">
      <c r="A554" s="595"/>
      <c r="B554" s="595"/>
      <c r="C554" s="595"/>
      <c r="D554" s="595"/>
      <c r="E554" s="595"/>
      <c r="F554" s="595"/>
      <c r="G554" s="595"/>
      <c r="H554" s="595"/>
      <c r="I554" s="595"/>
      <c r="J554" s="595"/>
      <c r="K554" s="595"/>
      <c r="L554" s="595"/>
      <c r="M554" s="595"/>
      <c r="N554" s="595"/>
      <c r="O554" s="595"/>
    </row>
    <row r="555" spans="1:15" ht="15" customHeight="1">
      <c r="A555" s="595"/>
      <c r="B555" s="595"/>
      <c r="C555" s="595"/>
      <c r="D555" s="595"/>
      <c r="E555" s="595"/>
      <c r="F555" s="595"/>
      <c r="G555" s="595"/>
      <c r="H555" s="595"/>
      <c r="I555" s="595"/>
      <c r="J555" s="595"/>
      <c r="K555" s="595"/>
      <c r="L555" s="595"/>
      <c r="M555" s="595"/>
      <c r="N555" s="595"/>
      <c r="O555" s="595"/>
    </row>
    <row r="556" spans="1:15" ht="15" customHeight="1">
      <c r="A556" s="595"/>
      <c r="B556" s="595"/>
      <c r="C556" s="595"/>
      <c r="D556" s="595"/>
      <c r="E556" s="595"/>
      <c r="F556" s="595"/>
      <c r="G556" s="595"/>
      <c r="H556" s="595"/>
      <c r="I556" s="595"/>
      <c r="J556" s="595"/>
      <c r="K556" s="595"/>
      <c r="L556" s="595"/>
      <c r="M556" s="595"/>
      <c r="N556" s="595"/>
      <c r="O556" s="595"/>
    </row>
    <row r="557" spans="1:15" ht="15" customHeight="1">
      <c r="A557" s="595"/>
      <c r="B557" s="595"/>
      <c r="C557" s="595"/>
      <c r="D557" s="595"/>
      <c r="E557" s="595"/>
      <c r="F557" s="595"/>
      <c r="G557" s="595"/>
      <c r="H557" s="595"/>
      <c r="I557" s="595"/>
      <c r="J557" s="595"/>
      <c r="K557" s="595"/>
      <c r="L557" s="595"/>
      <c r="M557" s="595"/>
      <c r="N557" s="595"/>
      <c r="O557" s="595"/>
    </row>
    <row r="558" spans="1:15" ht="15" customHeight="1">
      <c r="A558" s="595"/>
      <c r="B558" s="595"/>
      <c r="C558" s="595"/>
      <c r="D558" s="595"/>
      <c r="E558" s="595"/>
      <c r="F558" s="595"/>
      <c r="G558" s="595"/>
      <c r="H558" s="595"/>
      <c r="I558" s="595"/>
      <c r="J558" s="595"/>
      <c r="K558" s="595"/>
      <c r="L558" s="595"/>
      <c r="M558" s="595"/>
      <c r="N558" s="595"/>
      <c r="O558" s="595"/>
    </row>
    <row r="559" spans="1:15" ht="15" customHeight="1">
      <c r="A559" s="595"/>
      <c r="B559" s="595"/>
      <c r="C559" s="595"/>
      <c r="D559" s="595"/>
      <c r="E559" s="595"/>
      <c r="F559" s="595"/>
      <c r="G559" s="595"/>
      <c r="H559" s="595"/>
      <c r="I559" s="595"/>
      <c r="J559" s="595"/>
      <c r="K559" s="595"/>
      <c r="L559" s="595"/>
      <c r="M559" s="595"/>
      <c r="N559" s="595"/>
      <c r="O559" s="595"/>
    </row>
    <row r="560" spans="1:15" ht="15" customHeight="1">
      <c r="D560" s="595"/>
      <c r="E560" s="595"/>
      <c r="F560" s="595"/>
      <c r="K560" s="595"/>
      <c r="L560" s="595"/>
      <c r="M560" s="595"/>
    </row>
  </sheetData>
  <mergeCells count="8">
    <mergeCell ref="A16:C16"/>
    <mergeCell ref="D16:F16"/>
    <mergeCell ref="H16:J16"/>
    <mergeCell ref="K16:M16"/>
    <mergeCell ref="D1:F1"/>
    <mergeCell ref="K1:M1"/>
    <mergeCell ref="A1:C1"/>
    <mergeCell ref="H1:J1"/>
  </mergeCells>
  <phoneticPr fontId="40" type="noConversion"/>
  <printOptions horizontalCentered="1" verticalCentered="1" gridLines="1"/>
  <pageMargins left="0.14000000000000001" right="0.14000000000000001" top="0.27559055118110237" bottom="0.19685039370078741" header="0.15748031496062992" footer="0.51181102362204722"/>
  <pageSetup paperSize="9" fitToHeight="3" orientation="landscape" r:id="rId1"/>
  <headerFooter alignWithMargins="0">
    <oddHeader>&amp;R&amp;F--&amp;A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indexed="48"/>
    <pageSetUpPr fitToPage="1"/>
  </sheetPr>
  <dimension ref="A1:V559"/>
  <sheetViews>
    <sheetView workbookViewId="0">
      <pane xSplit="3" ySplit="2" topLeftCell="F3" activePane="bottomRight" state="frozen"/>
      <selection pane="topRight" activeCell="D1" sqref="D1"/>
      <selection pane="bottomLeft" activeCell="A3" sqref="A3"/>
      <selection pane="bottomRight" activeCell="C1" sqref="C1"/>
    </sheetView>
  </sheetViews>
  <sheetFormatPr baseColWidth="10" defaultColWidth="9.19921875" defaultRowHeight="19.5" customHeight="1"/>
  <cols>
    <col min="1" max="1" width="4.19921875" style="403" bestFit="1" customWidth="1"/>
    <col min="2" max="2" width="13" style="403" customWidth="1"/>
    <col min="3" max="3" width="31.3984375" style="403" bestFit="1" customWidth="1"/>
    <col min="4" max="4" width="16.19921875" style="403" customWidth="1"/>
    <col min="5" max="5" width="16.3984375" style="403" customWidth="1"/>
    <col min="6" max="6" width="10.796875" style="404" customWidth="1"/>
    <col min="7" max="7" width="2.3984375" style="404" customWidth="1"/>
    <col min="8" max="8" width="15.59765625" style="574" customWidth="1"/>
    <col min="9" max="9" width="15.3984375" style="574" customWidth="1"/>
    <col min="10" max="10" width="10.796875" style="541" customWidth="1"/>
    <col min="11" max="11" width="1.19921875" style="404" customWidth="1"/>
    <col min="12" max="12" width="32.796875" style="403" customWidth="1"/>
    <col min="13" max="13" width="1.796875" style="403" customWidth="1"/>
    <col min="14" max="14" width="10.19921875" style="403" customWidth="1"/>
    <col min="15" max="15" width="15" style="403" customWidth="1"/>
    <col min="16" max="16" width="15.59765625" style="403" bestFit="1" customWidth="1"/>
    <col min="17" max="17" width="10.19921875" style="403" customWidth="1"/>
    <col min="18" max="19" width="12.796875" style="403" bestFit="1" customWidth="1"/>
    <col min="20" max="20" width="10.19921875" style="403" customWidth="1"/>
    <col min="21" max="16384" width="9.19921875" style="403"/>
  </cols>
  <sheetData>
    <row r="1" spans="1:22" ht="21" customHeight="1">
      <c r="B1" s="556" t="s">
        <v>1154</v>
      </c>
      <c r="D1" s="1211" t="str">
        <f>客戶毛利排行!A1</f>
        <v>2017 August</v>
      </c>
      <c r="E1" s="1211"/>
      <c r="F1" s="1211"/>
      <c r="H1" s="1212" t="s">
        <v>2141</v>
      </c>
      <c r="I1" s="1212"/>
      <c r="J1" s="1212"/>
      <c r="L1" s="1159" t="s">
        <v>2142</v>
      </c>
    </row>
    <row r="2" spans="1:22" ht="17.25" customHeight="1">
      <c r="A2" s="557" t="s">
        <v>512</v>
      </c>
      <c r="B2" s="557" t="s">
        <v>438</v>
      </c>
      <c r="C2" s="557" t="s">
        <v>439</v>
      </c>
      <c r="D2" s="524" t="s">
        <v>1631</v>
      </c>
      <c r="E2" s="524" t="s">
        <v>1632</v>
      </c>
      <c r="F2" s="524" t="s">
        <v>1633</v>
      </c>
      <c r="H2" s="558" t="s">
        <v>1631</v>
      </c>
      <c r="I2" s="558" t="s">
        <v>1632</v>
      </c>
      <c r="J2" s="558" t="s">
        <v>1633</v>
      </c>
      <c r="L2" s="559" t="s">
        <v>1634</v>
      </c>
      <c r="N2" s="403" t="s">
        <v>1635</v>
      </c>
    </row>
    <row r="3" spans="1:22" ht="16">
      <c r="A3" s="542">
        <v>1</v>
      </c>
      <c r="B3" s="391" t="s">
        <v>549</v>
      </c>
      <c r="C3" s="391" t="s">
        <v>563</v>
      </c>
      <c r="D3" s="560">
        <v>64105578</v>
      </c>
      <c r="E3" s="560">
        <v>7934926</v>
      </c>
      <c r="F3" s="561">
        <f>E3/D3*100</f>
        <v>12.377902590629477</v>
      </c>
      <c r="H3" s="562">
        <v>85004893</v>
      </c>
      <c r="I3" s="562">
        <v>12062679</v>
      </c>
      <c r="J3" s="561">
        <f t="shared" ref="J3:J10" si="0">I3/H3*100</f>
        <v>14.190570182824652</v>
      </c>
      <c r="L3" s="563"/>
      <c r="N3" s="564">
        <f>D3/$D$21*100</f>
        <v>78.052482646826718</v>
      </c>
      <c r="O3" s="565">
        <f>ROUND(D3/1000,0)</f>
        <v>64106</v>
      </c>
      <c r="P3" s="566">
        <f>N3/100*F3</f>
        <v>9.6612602715921874</v>
      </c>
    </row>
    <row r="4" spans="1:22" ht="17.25" customHeight="1">
      <c r="A4" s="542">
        <v>3</v>
      </c>
      <c r="B4" s="391" t="s">
        <v>2062</v>
      </c>
      <c r="C4" s="391" t="s">
        <v>1752</v>
      </c>
      <c r="D4" s="560">
        <v>5487761</v>
      </c>
      <c r="E4" s="560">
        <v>1303295</v>
      </c>
      <c r="F4" s="561">
        <f t="shared" ref="F4:F12" si="1">E4/D4*100</f>
        <v>23.749120998527452</v>
      </c>
      <c r="H4" s="562">
        <v>3478890</v>
      </c>
      <c r="I4" s="562">
        <v>713464</v>
      </c>
      <c r="J4" s="561">
        <f t="shared" si="0"/>
        <v>20.508380546668622</v>
      </c>
      <c r="L4" s="563"/>
      <c r="M4" s="567"/>
      <c r="N4" s="564">
        <f t="shared" ref="N4:N13" si="2">D4/$D$21*100</f>
        <v>6.6816864239556875</v>
      </c>
      <c r="O4" s="565">
        <f t="shared" ref="O4:O14" si="3">ROUND(D4/1000,0)</f>
        <v>5488</v>
      </c>
      <c r="P4" s="566">
        <f t="shared" ref="P4:P14" si="4">N4/100*F4</f>
        <v>1.5868417935674182</v>
      </c>
      <c r="Q4" s="567"/>
      <c r="R4" s="567"/>
      <c r="S4" s="567"/>
      <c r="T4" s="567"/>
      <c r="U4" s="567"/>
      <c r="V4" s="567"/>
    </row>
    <row r="5" spans="1:22" ht="17.25" customHeight="1">
      <c r="A5" s="542">
        <v>2</v>
      </c>
      <c r="B5" s="391" t="s">
        <v>880</v>
      </c>
      <c r="C5" s="391" t="s">
        <v>881</v>
      </c>
      <c r="D5" s="560">
        <v>6841562</v>
      </c>
      <c r="E5" s="560">
        <v>565548</v>
      </c>
      <c r="F5" s="561">
        <f t="shared" si="1"/>
        <v>8.2663578872777883</v>
      </c>
      <c r="H5" s="562">
        <v>8018284</v>
      </c>
      <c r="I5" s="562">
        <v>243587</v>
      </c>
      <c r="J5" s="561">
        <f t="shared" si="0"/>
        <v>3.0378943923662467</v>
      </c>
      <c r="L5" s="568"/>
      <c r="N5" s="564">
        <f t="shared" si="2"/>
        <v>8.3300223778060172</v>
      </c>
      <c r="O5" s="565">
        <f t="shared" si="3"/>
        <v>6842</v>
      </c>
      <c r="P5" s="566">
        <f t="shared" si="4"/>
        <v>0.68858946183977254</v>
      </c>
    </row>
    <row r="6" spans="1:22" s="404" customFormat="1" ht="16">
      <c r="A6" s="542">
        <v>4</v>
      </c>
      <c r="B6" s="391" t="s">
        <v>2131</v>
      </c>
      <c r="C6" s="391" t="s">
        <v>2132</v>
      </c>
      <c r="D6" s="560">
        <v>1390810</v>
      </c>
      <c r="E6" s="560">
        <v>334555</v>
      </c>
      <c r="F6" s="561">
        <f t="shared" si="1"/>
        <v>24.054687556172301</v>
      </c>
      <c r="H6" s="562"/>
      <c r="I6" s="562"/>
      <c r="J6" s="561" t="e">
        <f t="shared" si="0"/>
        <v>#DIV/0!</v>
      </c>
      <c r="L6" s="568"/>
      <c r="N6" s="564">
        <f t="shared" si="2"/>
        <v>1.6933966867911723</v>
      </c>
      <c r="O6" s="565">
        <f t="shared" si="3"/>
        <v>1391</v>
      </c>
      <c r="P6" s="566">
        <f t="shared" si="4"/>
        <v>0.40734128209419018</v>
      </c>
    </row>
    <row r="7" spans="1:22" ht="17.25" customHeight="1">
      <c r="A7" s="542">
        <v>5</v>
      </c>
      <c r="B7" s="391" t="s">
        <v>1271</v>
      </c>
      <c r="C7" s="391" t="s">
        <v>1263</v>
      </c>
      <c r="D7" s="560">
        <v>755945</v>
      </c>
      <c r="E7" s="560">
        <v>193241</v>
      </c>
      <c r="F7" s="561">
        <f t="shared" si="1"/>
        <v>25.562838566297813</v>
      </c>
      <c r="H7" s="569"/>
      <c r="I7" s="569"/>
      <c r="J7" s="561" t="e">
        <f t="shared" si="0"/>
        <v>#DIV/0!</v>
      </c>
      <c r="L7" s="568"/>
      <c r="N7" s="564">
        <f t="shared" si="2"/>
        <v>0.92040951560339135</v>
      </c>
      <c r="O7" s="565">
        <f t="shared" si="3"/>
        <v>756</v>
      </c>
      <c r="P7" s="566">
        <f t="shared" si="4"/>
        <v>0.23528279862253862</v>
      </c>
    </row>
    <row r="8" spans="1:22" s="404" customFormat="1" ht="17.25" customHeight="1">
      <c r="A8" s="542">
        <v>7</v>
      </c>
      <c r="B8" s="391" t="s">
        <v>2133</v>
      </c>
      <c r="C8" s="391" t="s">
        <v>2057</v>
      </c>
      <c r="D8" s="560">
        <v>575657</v>
      </c>
      <c r="E8" s="560">
        <v>192215</v>
      </c>
      <c r="F8" s="561">
        <f t="shared" si="1"/>
        <v>33.390543327015912</v>
      </c>
      <c r="H8" s="569"/>
      <c r="I8" s="569"/>
      <c r="J8" s="561" t="e">
        <f t="shared" si="0"/>
        <v>#DIV/0!</v>
      </c>
      <c r="L8" s="568"/>
      <c r="N8" s="564">
        <f t="shared" si="2"/>
        <v>0.70089779087592541</v>
      </c>
      <c r="O8" s="565">
        <f t="shared" si="3"/>
        <v>576</v>
      </c>
      <c r="P8" s="566">
        <f t="shared" si="4"/>
        <v>0.23403358054052326</v>
      </c>
    </row>
    <row r="9" spans="1:22" s="404" customFormat="1" ht="17.25" customHeight="1">
      <c r="A9" s="542">
        <v>8</v>
      </c>
      <c r="B9" s="391" t="s">
        <v>2134</v>
      </c>
      <c r="C9" s="391" t="s">
        <v>2135</v>
      </c>
      <c r="D9" s="560">
        <v>414159</v>
      </c>
      <c r="E9" s="560">
        <v>137939</v>
      </c>
      <c r="F9" s="561">
        <f t="shared" si="1"/>
        <v>33.305807672898574</v>
      </c>
      <c r="H9" s="570"/>
      <c r="I9" s="570"/>
      <c r="J9" s="561" t="e">
        <f t="shared" si="0"/>
        <v>#DIV/0!</v>
      </c>
      <c r="L9" s="568"/>
      <c r="N9" s="564">
        <f t="shared" si="2"/>
        <v>0.50426404642240497</v>
      </c>
      <c r="O9" s="565">
        <f t="shared" si="3"/>
        <v>414</v>
      </c>
      <c r="P9" s="566">
        <f t="shared" si="4"/>
        <v>0.1679492134650222</v>
      </c>
    </row>
    <row r="10" spans="1:22" ht="17.25" customHeight="1">
      <c r="A10" s="542">
        <v>10</v>
      </c>
      <c r="B10" s="391" t="s">
        <v>2136</v>
      </c>
      <c r="C10" s="391" t="s">
        <v>2092</v>
      </c>
      <c r="D10" s="560">
        <v>291466</v>
      </c>
      <c r="E10" s="560">
        <v>110748</v>
      </c>
      <c r="F10" s="561">
        <f t="shared" ref="F10:F11" si="5">E10/D10*100</f>
        <v>37.99688471382597</v>
      </c>
      <c r="H10" s="570"/>
      <c r="I10" s="560"/>
      <c r="J10" s="561" t="e">
        <f t="shared" si="0"/>
        <v>#DIV/0!</v>
      </c>
      <c r="L10" s="568"/>
      <c r="N10" s="564">
        <f t="shared" si="2"/>
        <v>0.35487777533399656</v>
      </c>
      <c r="O10" s="565">
        <f t="shared" si="3"/>
        <v>291</v>
      </c>
      <c r="P10" s="566">
        <f t="shared" si="4"/>
        <v>0.13484249916864902</v>
      </c>
    </row>
    <row r="11" spans="1:22" ht="17.25" customHeight="1">
      <c r="A11" s="542">
        <v>6</v>
      </c>
      <c r="B11" s="391" t="s">
        <v>2001</v>
      </c>
      <c r="C11" s="391" t="s">
        <v>2002</v>
      </c>
      <c r="D11" s="560">
        <v>693105</v>
      </c>
      <c r="E11" s="560">
        <v>83103</v>
      </c>
      <c r="F11" s="561">
        <f t="shared" si="5"/>
        <v>11.989958231436795</v>
      </c>
      <c r="H11" s="571"/>
      <c r="I11" s="571"/>
      <c r="J11" s="561" t="e">
        <f t="shared" ref="J11:J12" si="6">I11/H11*100</f>
        <v>#DIV/0!</v>
      </c>
      <c r="L11" s="568"/>
      <c r="N11" s="564">
        <f t="shared" si="2"/>
        <v>0.84389795198366091</v>
      </c>
      <c r="O11" s="565">
        <f t="shared" si="3"/>
        <v>693</v>
      </c>
      <c r="P11" s="566">
        <f t="shared" si="4"/>
        <v>0.10118301195879148</v>
      </c>
    </row>
    <row r="12" spans="1:22" ht="17.25" customHeight="1">
      <c r="A12" s="542">
        <v>11</v>
      </c>
      <c r="B12" s="391" t="s">
        <v>2137</v>
      </c>
      <c r="C12" s="391" t="s">
        <v>2138</v>
      </c>
      <c r="D12" s="560">
        <v>282697</v>
      </c>
      <c r="E12" s="560">
        <v>73440</v>
      </c>
      <c r="F12" s="561">
        <f t="shared" si="1"/>
        <v>25.978344305033303</v>
      </c>
      <c r="H12" s="571"/>
      <c r="I12" s="571"/>
      <c r="J12" s="561" t="e">
        <f t="shared" si="6"/>
        <v>#DIV/0!</v>
      </c>
      <c r="L12" s="568"/>
      <c r="N12" s="564">
        <f>D12/$D$21*100</f>
        <v>0.34420097868566085</v>
      </c>
      <c r="O12" s="565">
        <f t="shared" si="3"/>
        <v>283</v>
      </c>
      <c r="P12" s="566">
        <f t="shared" si="4"/>
        <v>8.9417715344255272E-2</v>
      </c>
    </row>
    <row r="13" spans="1:22" ht="17.25" customHeight="1">
      <c r="A13" s="402"/>
      <c r="C13" s="572" t="s">
        <v>1636</v>
      </c>
      <c r="D13" s="527"/>
      <c r="E13" s="527"/>
      <c r="F13" s="561"/>
      <c r="H13" s="571"/>
      <c r="I13" s="571"/>
      <c r="J13" s="573"/>
      <c r="L13" s="574"/>
      <c r="N13" s="564">
        <f t="shared" si="2"/>
        <v>0</v>
      </c>
      <c r="O13" s="565">
        <f t="shared" si="3"/>
        <v>0</v>
      </c>
      <c r="P13" s="566">
        <f t="shared" si="4"/>
        <v>0</v>
      </c>
    </row>
    <row r="14" spans="1:22" ht="17.25" customHeight="1">
      <c r="C14" s="574" t="s">
        <v>1637</v>
      </c>
      <c r="D14" s="575">
        <v>1292636</v>
      </c>
      <c r="E14" s="576">
        <v>279245</v>
      </c>
      <c r="F14" s="561">
        <f>E14/D14*100</f>
        <v>21.60275591891298</v>
      </c>
      <c r="H14" s="577">
        <v>1735560</v>
      </c>
      <c r="I14" s="578">
        <v>-4001776</v>
      </c>
      <c r="J14" s="561">
        <f>I14/H14*100</f>
        <v>-230.57549148401671</v>
      </c>
      <c r="L14" s="579"/>
      <c r="N14" s="564">
        <f>D14/$D$21*100</f>
        <v>1.5738638057153702</v>
      </c>
      <c r="O14" s="565">
        <f t="shared" si="3"/>
        <v>1293</v>
      </c>
      <c r="P14" s="566">
        <f t="shared" si="4"/>
        <v>0.33999795644480618</v>
      </c>
    </row>
    <row r="15" spans="1:22" ht="17.25" customHeight="1">
      <c r="C15" s="403" t="s">
        <v>1638</v>
      </c>
      <c r="D15" s="580">
        <f>SUM(D3:D14)</f>
        <v>82131376</v>
      </c>
      <c r="E15" s="527">
        <f>SUM(E3:E14)</f>
        <v>11208255</v>
      </c>
      <c r="F15" s="561">
        <f>E15/D15*100</f>
        <v>13.646739584638153</v>
      </c>
      <c r="H15" s="581">
        <f>SUM(H3:H14)</f>
        <v>98237627</v>
      </c>
      <c r="I15" s="581">
        <f>SUM(I3:I14)</f>
        <v>9017954</v>
      </c>
      <c r="J15" s="582">
        <f>I15/H15*100</f>
        <v>9.1797351741812729</v>
      </c>
      <c r="L15" s="574"/>
      <c r="P15" s="566"/>
    </row>
    <row r="16" spans="1:22" ht="17.25" customHeight="1">
      <c r="C16" s="403" t="s">
        <v>1639</v>
      </c>
      <c r="E16" s="527">
        <f>-IS明細!R77</f>
        <v>-23984</v>
      </c>
      <c r="H16" s="583"/>
      <c r="I16" s="527">
        <f>-IS明細!P77</f>
        <v>2031582</v>
      </c>
      <c r="J16" s="573"/>
      <c r="L16" s="584"/>
      <c r="P16" s="566"/>
    </row>
    <row r="17" spans="1:16" ht="17.25" customHeight="1">
      <c r="C17" s="403" t="s">
        <v>1640</v>
      </c>
      <c r="E17" s="527">
        <f>IS明細!R78</f>
        <v>0</v>
      </c>
      <c r="H17" s="583"/>
      <c r="I17" s="527">
        <f>-IS明細!P78</f>
        <v>0</v>
      </c>
      <c r="J17" s="573"/>
      <c r="P17" s="566"/>
    </row>
    <row r="18" spans="1:16" ht="17.25" customHeight="1">
      <c r="C18" s="403" t="s">
        <v>1641</v>
      </c>
      <c r="E18" s="527">
        <f>IS明細!R76</f>
        <v>0</v>
      </c>
      <c r="H18" s="583"/>
      <c r="I18" s="527">
        <f>-IS明細!P76</f>
        <v>0</v>
      </c>
      <c r="J18" s="573"/>
    </row>
    <row r="19" spans="1:16" ht="17.25" customHeight="1">
      <c r="C19" s="403" t="s">
        <v>1642</v>
      </c>
      <c r="E19" s="583">
        <f>IS明細!R39</f>
        <v>0</v>
      </c>
      <c r="H19" s="583"/>
      <c r="I19" s="527">
        <f>-IS明細!P39</f>
        <v>0</v>
      </c>
      <c r="J19" s="573"/>
      <c r="L19" s="585"/>
    </row>
    <row r="20" spans="1:16" ht="17.25" customHeight="1">
      <c r="C20" s="403" t="s">
        <v>1643</v>
      </c>
      <c r="E20" s="583">
        <f>IS明細!R27</f>
        <v>0</v>
      </c>
      <c r="H20" s="583"/>
      <c r="I20" s="583">
        <f>-IS明細!P27</f>
        <v>0</v>
      </c>
      <c r="J20" s="573"/>
    </row>
    <row r="21" spans="1:16" ht="17.25" customHeight="1" thickBot="1">
      <c r="D21" s="586">
        <f>D15</f>
        <v>82131376</v>
      </c>
      <c r="E21" s="587">
        <f>SUM(E15:E20)</f>
        <v>11184271</v>
      </c>
      <c r="F21" s="588">
        <f>E21/D21*100</f>
        <v>13.617537590019191</v>
      </c>
      <c r="H21" s="589">
        <f>SUM(H15:H20)</f>
        <v>98237627</v>
      </c>
      <c r="I21" s="589">
        <f>SUM(I15:I20)</f>
        <v>11049536</v>
      </c>
      <c r="J21" s="573">
        <f>I21/H21*100</f>
        <v>11.24776354787153</v>
      </c>
    </row>
    <row r="22" spans="1:16" ht="17.25" customHeight="1" thickTop="1">
      <c r="C22" s="590" t="s">
        <v>1644</v>
      </c>
      <c r="D22" s="591">
        <f>IS明細!R13</f>
        <v>82131376</v>
      </c>
      <c r="E22" s="592">
        <f>IS明細!R90</f>
        <v>11184271</v>
      </c>
      <c r="H22" s="593">
        <f>IS明細!P13</f>
        <v>98237627</v>
      </c>
      <c r="I22" s="593">
        <f>IS明細!P90</f>
        <v>11049536</v>
      </c>
    </row>
    <row r="23" spans="1:16" ht="17.25" customHeight="1">
      <c r="C23" s="590" t="s">
        <v>1645</v>
      </c>
      <c r="D23" s="591">
        <f>D21-D22</f>
        <v>0</v>
      </c>
      <c r="E23" s="591">
        <f>E21-E22</f>
        <v>0</v>
      </c>
      <c r="H23" s="581">
        <f>H21-H22</f>
        <v>0</v>
      </c>
      <c r="I23" s="581">
        <f>I21-I22</f>
        <v>0</v>
      </c>
    </row>
    <row r="24" spans="1:16" ht="19.5" customHeight="1">
      <c r="D24" s="594"/>
      <c r="E24" s="594"/>
      <c r="H24" s="581"/>
    </row>
    <row r="25" spans="1:16" ht="19.5" customHeight="1">
      <c r="D25" s="594"/>
      <c r="E25" s="594"/>
    </row>
    <row r="26" spans="1:16" ht="19.5" customHeight="1">
      <c r="D26" s="594"/>
      <c r="E26" s="594"/>
    </row>
    <row r="27" spans="1:16" ht="19.5" customHeight="1">
      <c r="D27" s="594"/>
      <c r="E27" s="594"/>
    </row>
    <row r="29" spans="1:16" ht="19.5" customHeight="1">
      <c r="A29" s="595"/>
      <c r="B29" s="595"/>
      <c r="C29" s="595"/>
      <c r="D29" s="595"/>
      <c r="E29" s="595"/>
      <c r="F29" s="595"/>
      <c r="G29" s="595"/>
      <c r="H29" s="595"/>
      <c r="I29" s="595"/>
      <c r="J29" s="595"/>
      <c r="K29" s="595"/>
      <c r="L29" s="595"/>
      <c r="M29" s="595"/>
    </row>
    <row r="30" spans="1:16" ht="19.5" customHeight="1">
      <c r="A30" s="595"/>
      <c r="B30" s="595"/>
      <c r="C30" s="595"/>
      <c r="D30" s="595"/>
      <c r="E30" s="595"/>
      <c r="F30" s="595"/>
      <c r="G30" s="595"/>
      <c r="H30" s="595"/>
      <c r="I30" s="595"/>
      <c r="J30" s="595"/>
      <c r="K30" s="595"/>
      <c r="L30" s="595"/>
      <c r="M30" s="595"/>
    </row>
    <row r="31" spans="1:16" ht="19.5" customHeight="1">
      <c r="A31" s="595"/>
      <c r="B31" s="595"/>
      <c r="C31" s="595"/>
      <c r="D31" s="595"/>
      <c r="E31" s="595"/>
      <c r="F31" s="595"/>
      <c r="G31" s="595"/>
      <c r="H31" s="595"/>
      <c r="I31" s="595"/>
      <c r="J31" s="595"/>
      <c r="K31" s="595"/>
      <c r="L31" s="595"/>
      <c r="M31" s="595"/>
    </row>
    <row r="32" spans="1:16" ht="19.5" customHeight="1">
      <c r="A32" s="595"/>
      <c r="B32" s="595"/>
      <c r="C32" s="595"/>
      <c r="D32" s="595"/>
      <c r="E32" s="595"/>
      <c r="F32" s="595"/>
      <c r="G32" s="595"/>
      <c r="H32" s="595"/>
      <c r="I32" s="595"/>
      <c r="J32" s="595"/>
      <c r="K32" s="595"/>
      <c r="L32" s="595"/>
      <c r="M32" s="595"/>
    </row>
    <row r="33" spans="1:13" ht="19.5" customHeight="1">
      <c r="A33" s="595"/>
      <c r="B33" s="595"/>
      <c r="C33" s="595"/>
      <c r="D33" s="595"/>
      <c r="E33" s="595"/>
      <c r="F33" s="595"/>
      <c r="G33" s="595"/>
      <c r="H33" s="595"/>
      <c r="I33" s="595"/>
      <c r="J33" s="595"/>
      <c r="K33" s="595"/>
      <c r="L33" s="595"/>
      <c r="M33" s="595"/>
    </row>
    <row r="34" spans="1:13" ht="19.5" customHeight="1">
      <c r="A34" s="595"/>
      <c r="B34" s="595"/>
      <c r="C34" s="595"/>
      <c r="D34" s="595"/>
      <c r="E34" s="595"/>
      <c r="F34" s="595"/>
      <c r="G34" s="595"/>
      <c r="H34" s="595"/>
      <c r="I34" s="595"/>
      <c r="J34" s="595"/>
      <c r="K34" s="595"/>
      <c r="L34" s="595"/>
      <c r="M34" s="595"/>
    </row>
    <row r="35" spans="1:13" ht="19.5" customHeight="1">
      <c r="A35" s="595"/>
      <c r="B35" s="595"/>
      <c r="C35" s="595"/>
      <c r="D35" s="595"/>
      <c r="E35" s="595"/>
      <c r="F35" s="595"/>
      <c r="G35" s="595"/>
      <c r="H35" s="595"/>
      <c r="I35" s="595"/>
      <c r="J35" s="595"/>
      <c r="K35" s="595"/>
      <c r="L35" s="595"/>
      <c r="M35" s="595"/>
    </row>
    <row r="36" spans="1:13" ht="19.5" customHeight="1">
      <c r="A36" s="595"/>
      <c r="B36" s="595"/>
      <c r="C36" s="595"/>
      <c r="D36" s="595"/>
      <c r="E36" s="595"/>
      <c r="F36" s="595"/>
      <c r="G36" s="595"/>
      <c r="H36" s="595"/>
      <c r="I36" s="595"/>
      <c r="J36" s="595"/>
      <c r="K36" s="595"/>
      <c r="L36" s="595"/>
      <c r="M36" s="595"/>
    </row>
    <row r="37" spans="1:13" ht="19.5" customHeight="1">
      <c r="A37" s="595"/>
      <c r="B37" s="595"/>
      <c r="C37" s="595"/>
      <c r="D37" s="595"/>
      <c r="E37" s="595"/>
      <c r="F37" s="595"/>
      <c r="G37" s="595"/>
      <c r="H37" s="595"/>
      <c r="I37" s="595"/>
      <c r="J37" s="595"/>
      <c r="K37" s="595"/>
      <c r="L37" s="595"/>
      <c r="M37" s="595"/>
    </row>
    <row r="38" spans="1:13" ht="19.5" customHeight="1">
      <c r="A38" s="595"/>
      <c r="B38" s="595"/>
      <c r="C38" s="595"/>
      <c r="D38" s="595"/>
      <c r="E38" s="595"/>
      <c r="F38" s="595"/>
      <c r="G38" s="595"/>
      <c r="H38" s="595"/>
      <c r="I38" s="595"/>
      <c r="J38" s="595"/>
      <c r="K38" s="595"/>
      <c r="L38" s="595"/>
      <c r="M38" s="595"/>
    </row>
    <row r="39" spans="1:13" ht="19.5" customHeight="1">
      <c r="A39" s="595"/>
      <c r="B39" s="595"/>
      <c r="C39" s="595"/>
      <c r="D39" s="595"/>
      <c r="E39" s="595"/>
      <c r="F39" s="595"/>
      <c r="G39" s="595"/>
      <c r="H39" s="595"/>
      <c r="I39" s="595"/>
      <c r="J39" s="595"/>
      <c r="K39" s="595"/>
      <c r="L39" s="595"/>
      <c r="M39" s="595"/>
    </row>
    <row r="40" spans="1:13" ht="19.5" customHeight="1">
      <c r="A40" s="595"/>
      <c r="B40" s="595"/>
      <c r="C40" s="595"/>
      <c r="D40" s="595"/>
      <c r="E40" s="595"/>
      <c r="F40" s="595"/>
      <c r="G40" s="595"/>
      <c r="H40" s="595"/>
      <c r="I40" s="595"/>
      <c r="J40" s="595"/>
      <c r="K40" s="595"/>
      <c r="L40" s="595"/>
      <c r="M40" s="595"/>
    </row>
    <row r="41" spans="1:13" ht="19.5" customHeight="1">
      <c r="A41" s="595"/>
      <c r="B41" s="595"/>
      <c r="C41" s="595"/>
      <c r="D41" s="595"/>
      <c r="E41" s="595"/>
      <c r="F41" s="595"/>
      <c r="G41" s="595"/>
      <c r="H41" s="595"/>
      <c r="I41" s="595"/>
      <c r="J41" s="595"/>
      <c r="K41" s="595"/>
      <c r="L41" s="595"/>
      <c r="M41" s="595"/>
    </row>
    <row r="42" spans="1:13" ht="19.5" customHeight="1">
      <c r="A42" s="595"/>
      <c r="B42" s="595"/>
      <c r="C42" s="595"/>
      <c r="D42" s="595"/>
      <c r="E42" s="595"/>
      <c r="F42" s="595"/>
      <c r="G42" s="595"/>
      <c r="H42" s="595"/>
      <c r="I42" s="595"/>
      <c r="J42" s="595"/>
      <c r="K42" s="595"/>
      <c r="L42" s="595"/>
      <c r="M42" s="595"/>
    </row>
    <row r="43" spans="1:13" ht="19.5" customHeight="1">
      <c r="A43" s="595"/>
      <c r="B43" s="595"/>
      <c r="C43" s="595"/>
      <c r="D43" s="595"/>
      <c r="E43" s="595"/>
      <c r="F43" s="595"/>
      <c r="G43" s="595"/>
      <c r="H43" s="595"/>
      <c r="I43" s="595"/>
      <c r="J43" s="595"/>
      <c r="K43" s="595"/>
      <c r="L43" s="595"/>
      <c r="M43" s="595"/>
    </row>
    <row r="44" spans="1:13" ht="19.5" customHeight="1">
      <c r="A44" s="595"/>
      <c r="B44" s="595"/>
      <c r="C44" s="595"/>
      <c r="D44" s="595"/>
      <c r="E44" s="595"/>
      <c r="F44" s="595"/>
      <c r="G44" s="595"/>
      <c r="H44" s="595"/>
      <c r="I44" s="595"/>
      <c r="J44" s="595"/>
      <c r="K44" s="595"/>
      <c r="L44" s="595"/>
      <c r="M44" s="595"/>
    </row>
    <row r="45" spans="1:13" ht="19.5" customHeight="1">
      <c r="A45" s="595"/>
      <c r="B45" s="595"/>
      <c r="C45" s="595"/>
      <c r="D45" s="595"/>
      <c r="E45" s="595"/>
      <c r="F45" s="595"/>
      <c r="G45" s="595"/>
      <c r="H45" s="595"/>
      <c r="I45" s="595"/>
      <c r="J45" s="595"/>
      <c r="K45" s="595"/>
      <c r="L45" s="595"/>
      <c r="M45" s="595"/>
    </row>
    <row r="46" spans="1:13" ht="19.5" customHeight="1">
      <c r="A46" s="595"/>
      <c r="B46" s="595"/>
      <c r="C46" s="595"/>
      <c r="D46" s="595"/>
      <c r="E46" s="595"/>
      <c r="F46" s="595"/>
      <c r="G46" s="595"/>
      <c r="H46" s="595"/>
      <c r="I46" s="595"/>
      <c r="J46" s="595"/>
      <c r="K46" s="595"/>
      <c r="L46" s="595"/>
      <c r="M46" s="595"/>
    </row>
    <row r="47" spans="1:13" ht="19.5" customHeight="1">
      <c r="A47" s="595"/>
      <c r="B47" s="595"/>
      <c r="C47" s="595"/>
      <c r="D47" s="595"/>
      <c r="E47" s="595"/>
      <c r="F47" s="595"/>
      <c r="G47" s="595"/>
      <c r="H47" s="595"/>
      <c r="I47" s="595"/>
      <c r="J47" s="595"/>
      <c r="K47" s="595"/>
      <c r="L47" s="595"/>
      <c r="M47" s="595"/>
    </row>
    <row r="48" spans="1:13" ht="19.5" customHeight="1">
      <c r="A48" s="595"/>
      <c r="B48" s="595"/>
      <c r="C48" s="595"/>
      <c r="D48" s="595"/>
      <c r="E48" s="595"/>
      <c r="F48" s="595"/>
      <c r="G48" s="595"/>
      <c r="H48" s="595"/>
      <c r="I48" s="595"/>
      <c r="J48" s="595"/>
      <c r="K48" s="595"/>
      <c r="L48" s="595"/>
      <c r="M48" s="595"/>
    </row>
    <row r="49" spans="1:13" ht="19.5" customHeight="1">
      <c r="A49" s="595"/>
      <c r="B49" s="595"/>
      <c r="C49" s="595"/>
      <c r="D49" s="595"/>
      <c r="E49" s="595"/>
      <c r="F49" s="595"/>
      <c r="G49" s="595"/>
      <c r="H49" s="595"/>
      <c r="I49" s="595"/>
      <c r="J49" s="595"/>
      <c r="K49" s="595"/>
      <c r="L49" s="595"/>
      <c r="M49" s="595"/>
    </row>
    <row r="50" spans="1:13" ht="19.5" customHeight="1">
      <c r="A50" s="595"/>
      <c r="B50" s="595"/>
      <c r="C50" s="595"/>
      <c r="D50" s="595"/>
      <c r="E50" s="595"/>
      <c r="F50" s="595"/>
      <c r="G50" s="595"/>
      <c r="H50" s="595"/>
      <c r="I50" s="595"/>
      <c r="J50" s="595"/>
      <c r="K50" s="595"/>
      <c r="L50" s="595"/>
      <c r="M50" s="595"/>
    </row>
    <row r="51" spans="1:13" ht="19.5" customHeight="1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</row>
    <row r="52" spans="1:13" ht="19.5" customHeight="1">
      <c r="A52" s="595"/>
      <c r="B52" s="595"/>
      <c r="C52" s="595"/>
      <c r="D52" s="595"/>
      <c r="E52" s="595"/>
      <c r="F52" s="595"/>
      <c r="G52" s="595"/>
      <c r="H52" s="595"/>
      <c r="I52" s="595"/>
      <c r="J52" s="595"/>
      <c r="K52" s="595"/>
      <c r="L52" s="595"/>
      <c r="M52" s="595"/>
    </row>
    <row r="53" spans="1:13" ht="19.5" customHeight="1">
      <c r="A53" s="595"/>
      <c r="B53" s="595"/>
      <c r="C53" s="595"/>
      <c r="D53" s="595"/>
      <c r="E53" s="595"/>
      <c r="F53" s="595"/>
      <c r="G53" s="595"/>
      <c r="H53" s="595"/>
      <c r="I53" s="595"/>
      <c r="J53" s="595"/>
      <c r="K53" s="595"/>
      <c r="L53" s="595"/>
      <c r="M53" s="595"/>
    </row>
    <row r="54" spans="1:13" ht="19.5" customHeight="1">
      <c r="A54" s="595"/>
      <c r="B54" s="595"/>
      <c r="C54" s="595"/>
      <c r="D54" s="595"/>
      <c r="E54" s="595"/>
      <c r="F54" s="595"/>
      <c r="G54" s="595"/>
      <c r="H54" s="595"/>
      <c r="I54" s="595"/>
      <c r="J54" s="595"/>
      <c r="K54" s="595"/>
      <c r="L54" s="595"/>
      <c r="M54" s="595"/>
    </row>
    <row r="55" spans="1:13" ht="19.5" customHeight="1">
      <c r="A55" s="595"/>
      <c r="B55" s="595"/>
      <c r="C55" s="595"/>
      <c r="D55" s="595"/>
      <c r="E55" s="595"/>
      <c r="F55" s="595"/>
      <c r="G55" s="595"/>
      <c r="H55" s="595"/>
      <c r="I55" s="595"/>
      <c r="J55" s="595"/>
      <c r="K55" s="595"/>
      <c r="L55" s="595"/>
      <c r="M55" s="595"/>
    </row>
    <row r="56" spans="1:13" ht="19.5" customHeight="1">
      <c r="A56" s="595"/>
      <c r="B56" s="595"/>
      <c r="C56" s="595"/>
      <c r="D56" s="595"/>
      <c r="E56" s="595"/>
      <c r="F56" s="595"/>
      <c r="G56" s="595"/>
      <c r="H56" s="595"/>
      <c r="I56" s="595"/>
      <c r="J56" s="595"/>
      <c r="K56" s="595"/>
      <c r="L56" s="595"/>
      <c r="M56" s="595"/>
    </row>
    <row r="57" spans="1:13" ht="19.5" customHeight="1">
      <c r="A57" s="595"/>
      <c r="B57" s="595"/>
      <c r="C57" s="595"/>
      <c r="D57" s="595"/>
      <c r="E57" s="595"/>
      <c r="F57" s="595"/>
      <c r="G57" s="595"/>
      <c r="H57" s="595"/>
      <c r="I57" s="595"/>
      <c r="J57" s="595"/>
      <c r="K57" s="595"/>
      <c r="L57" s="595"/>
      <c r="M57" s="595"/>
    </row>
    <row r="58" spans="1:13" ht="19.5" customHeight="1">
      <c r="A58" s="595"/>
      <c r="B58" s="595"/>
      <c r="C58" s="595"/>
      <c r="D58" s="595"/>
      <c r="E58" s="595"/>
      <c r="F58" s="595"/>
      <c r="G58" s="595"/>
      <c r="H58" s="595"/>
      <c r="I58" s="595"/>
      <c r="J58" s="595"/>
      <c r="K58" s="595"/>
      <c r="L58" s="595"/>
      <c r="M58" s="595"/>
    </row>
    <row r="59" spans="1:13" ht="19.5" customHeight="1">
      <c r="A59" s="595"/>
      <c r="B59" s="595"/>
      <c r="C59" s="595"/>
      <c r="D59" s="595"/>
      <c r="E59" s="595"/>
      <c r="F59" s="595"/>
      <c r="G59" s="595"/>
      <c r="H59" s="595"/>
      <c r="I59" s="595"/>
      <c r="J59" s="595"/>
      <c r="K59" s="595"/>
      <c r="L59" s="595"/>
      <c r="M59" s="595"/>
    </row>
    <row r="60" spans="1:13" ht="19.5" customHeight="1">
      <c r="A60" s="595"/>
      <c r="B60" s="595"/>
      <c r="C60" s="595"/>
      <c r="D60" s="595"/>
      <c r="E60" s="595"/>
      <c r="F60" s="595"/>
      <c r="G60" s="595"/>
      <c r="H60" s="595"/>
      <c r="I60" s="595"/>
      <c r="J60" s="595"/>
      <c r="K60" s="595"/>
      <c r="L60" s="595"/>
      <c r="M60" s="595"/>
    </row>
    <row r="61" spans="1:13" ht="19.5" customHeight="1">
      <c r="A61" s="595"/>
      <c r="B61" s="595"/>
      <c r="C61" s="595"/>
      <c r="D61" s="595"/>
      <c r="E61" s="595"/>
      <c r="F61" s="595"/>
      <c r="G61" s="595"/>
      <c r="H61" s="595"/>
      <c r="I61" s="595"/>
      <c r="J61" s="595"/>
      <c r="K61" s="595"/>
      <c r="L61" s="595"/>
      <c r="M61" s="595"/>
    </row>
    <row r="62" spans="1:13" ht="19.5" customHeight="1">
      <c r="A62" s="595"/>
      <c r="B62" s="595"/>
      <c r="C62" s="595"/>
      <c r="D62" s="595"/>
      <c r="E62" s="595"/>
      <c r="F62" s="595"/>
      <c r="G62" s="595"/>
      <c r="H62" s="595"/>
      <c r="I62" s="595"/>
      <c r="J62" s="595"/>
      <c r="K62" s="595"/>
      <c r="L62" s="595"/>
      <c r="M62" s="595"/>
    </row>
    <row r="63" spans="1:13" ht="19.5" customHeight="1">
      <c r="A63" s="595"/>
      <c r="B63" s="595"/>
      <c r="C63" s="595"/>
      <c r="D63" s="595"/>
      <c r="E63" s="595"/>
      <c r="F63" s="595"/>
      <c r="G63" s="595"/>
      <c r="H63" s="595"/>
      <c r="I63" s="595"/>
      <c r="J63" s="595"/>
      <c r="K63" s="595"/>
      <c r="L63" s="595"/>
      <c r="M63" s="595"/>
    </row>
    <row r="64" spans="1:13" ht="19.5" customHeight="1">
      <c r="A64" s="595"/>
      <c r="B64" s="595"/>
      <c r="C64" s="595"/>
      <c r="D64" s="595"/>
      <c r="E64" s="595"/>
      <c r="F64" s="595"/>
      <c r="G64" s="595"/>
      <c r="H64" s="595"/>
      <c r="I64" s="595"/>
      <c r="J64" s="595"/>
      <c r="K64" s="595"/>
      <c r="L64" s="595"/>
      <c r="M64" s="595"/>
    </row>
    <row r="65" spans="1:13" ht="19.5" customHeight="1">
      <c r="A65" s="595"/>
      <c r="B65" s="595"/>
      <c r="C65" s="595"/>
      <c r="D65" s="595"/>
      <c r="E65" s="595"/>
      <c r="F65" s="595"/>
      <c r="G65" s="595"/>
      <c r="H65" s="595"/>
      <c r="I65" s="595"/>
      <c r="J65" s="595"/>
      <c r="K65" s="595"/>
      <c r="L65" s="595"/>
      <c r="M65" s="595"/>
    </row>
    <row r="66" spans="1:13" ht="19.5" customHeight="1">
      <c r="A66" s="595"/>
      <c r="B66" s="595"/>
      <c r="C66" s="595"/>
      <c r="D66" s="595"/>
      <c r="E66" s="595"/>
      <c r="F66" s="595"/>
      <c r="G66" s="595"/>
      <c r="H66" s="595"/>
      <c r="I66" s="595"/>
      <c r="J66" s="595"/>
      <c r="K66" s="595"/>
      <c r="L66" s="595"/>
      <c r="M66" s="595"/>
    </row>
    <row r="67" spans="1:13" ht="19.5" customHeight="1">
      <c r="A67" s="595"/>
      <c r="B67" s="595"/>
      <c r="C67" s="595"/>
      <c r="D67" s="595"/>
      <c r="E67" s="595"/>
      <c r="F67" s="595"/>
      <c r="G67" s="595"/>
      <c r="H67" s="595"/>
      <c r="I67" s="595"/>
      <c r="J67" s="595"/>
      <c r="K67" s="595"/>
      <c r="L67" s="595"/>
      <c r="M67" s="595"/>
    </row>
    <row r="68" spans="1:13" ht="19.5" customHeight="1">
      <c r="A68" s="595"/>
      <c r="B68" s="595"/>
      <c r="C68" s="595"/>
      <c r="D68" s="595"/>
      <c r="E68" s="595"/>
      <c r="F68" s="595"/>
      <c r="G68" s="595"/>
      <c r="H68" s="595"/>
      <c r="I68" s="595"/>
      <c r="J68" s="595"/>
      <c r="K68" s="595"/>
      <c r="L68" s="595"/>
      <c r="M68" s="595"/>
    </row>
    <row r="69" spans="1:13" ht="19.5" customHeight="1">
      <c r="A69" s="595"/>
      <c r="B69" s="595"/>
      <c r="C69" s="595"/>
      <c r="D69" s="595"/>
      <c r="E69" s="595"/>
      <c r="F69" s="595"/>
      <c r="G69" s="595"/>
      <c r="H69" s="595"/>
      <c r="I69" s="595"/>
      <c r="J69" s="595"/>
      <c r="K69" s="595"/>
      <c r="L69" s="595"/>
      <c r="M69" s="595"/>
    </row>
    <row r="70" spans="1:13" ht="19.5" customHeight="1">
      <c r="A70" s="595"/>
      <c r="B70" s="595"/>
      <c r="C70" s="595"/>
      <c r="D70" s="595"/>
      <c r="E70" s="595"/>
      <c r="F70" s="595"/>
      <c r="G70" s="595"/>
      <c r="H70" s="595"/>
      <c r="I70" s="595"/>
      <c r="J70" s="595"/>
      <c r="K70" s="595"/>
      <c r="L70" s="595"/>
      <c r="M70" s="595"/>
    </row>
    <row r="71" spans="1:13" ht="19.5" customHeight="1">
      <c r="A71" s="595"/>
      <c r="B71" s="595"/>
      <c r="C71" s="595"/>
      <c r="D71" s="595"/>
      <c r="E71" s="595"/>
      <c r="F71" s="595"/>
      <c r="G71" s="595"/>
      <c r="H71" s="595"/>
      <c r="I71" s="595"/>
      <c r="J71" s="595"/>
      <c r="K71" s="595"/>
      <c r="L71" s="595"/>
      <c r="M71" s="595"/>
    </row>
    <row r="72" spans="1:13" ht="19.5" customHeight="1">
      <c r="A72" s="595"/>
      <c r="B72" s="595"/>
      <c r="C72" s="595"/>
      <c r="D72" s="595"/>
      <c r="E72" s="595"/>
      <c r="F72" s="595"/>
      <c r="G72" s="595"/>
      <c r="H72" s="595"/>
      <c r="I72" s="595"/>
      <c r="J72" s="595"/>
      <c r="K72" s="595"/>
      <c r="L72" s="595"/>
      <c r="M72" s="595"/>
    </row>
    <row r="73" spans="1:13" ht="19.5" customHeight="1">
      <c r="A73" s="595"/>
      <c r="B73" s="595"/>
      <c r="C73" s="595"/>
      <c r="D73" s="595"/>
      <c r="E73" s="595"/>
      <c r="F73" s="595"/>
      <c r="G73" s="595"/>
      <c r="H73" s="595"/>
      <c r="I73" s="595"/>
      <c r="J73" s="595"/>
      <c r="K73" s="595"/>
      <c r="L73" s="595"/>
      <c r="M73" s="595"/>
    </row>
    <row r="74" spans="1:13" ht="19.5" customHeight="1">
      <c r="A74" s="595"/>
      <c r="B74" s="595"/>
      <c r="C74" s="595"/>
      <c r="D74" s="595"/>
      <c r="E74" s="595"/>
      <c r="F74" s="595"/>
      <c r="G74" s="595"/>
      <c r="H74" s="595"/>
      <c r="I74" s="595"/>
      <c r="J74" s="595"/>
      <c r="K74" s="595"/>
      <c r="L74" s="595"/>
      <c r="M74" s="595"/>
    </row>
    <row r="75" spans="1:13" ht="19.5" customHeight="1">
      <c r="A75" s="595"/>
      <c r="B75" s="595"/>
      <c r="C75" s="595"/>
      <c r="D75" s="595"/>
      <c r="E75" s="595"/>
      <c r="F75" s="595"/>
      <c r="G75" s="595"/>
      <c r="H75" s="595"/>
      <c r="I75" s="595"/>
      <c r="J75" s="595"/>
      <c r="K75" s="595"/>
      <c r="L75" s="595"/>
      <c r="M75" s="595"/>
    </row>
    <row r="76" spans="1:13" ht="19.5" customHeight="1">
      <c r="A76" s="595"/>
      <c r="B76" s="595"/>
      <c r="C76" s="595"/>
      <c r="D76" s="595"/>
      <c r="E76" s="595"/>
      <c r="F76" s="595"/>
      <c r="G76" s="595"/>
      <c r="H76" s="595"/>
      <c r="I76" s="595"/>
      <c r="J76" s="595"/>
      <c r="K76" s="595"/>
      <c r="L76" s="595"/>
      <c r="M76" s="595"/>
    </row>
    <row r="77" spans="1:13" ht="19.5" customHeight="1">
      <c r="A77" s="595"/>
      <c r="B77" s="595"/>
      <c r="C77" s="595"/>
      <c r="D77" s="595"/>
      <c r="E77" s="595"/>
      <c r="F77" s="595"/>
      <c r="G77" s="595"/>
      <c r="H77" s="595"/>
      <c r="I77" s="595"/>
      <c r="J77" s="595"/>
      <c r="K77" s="595"/>
      <c r="L77" s="595"/>
      <c r="M77" s="595"/>
    </row>
    <row r="78" spans="1:13" ht="19.5" customHeight="1">
      <c r="A78" s="595"/>
      <c r="B78" s="595"/>
      <c r="C78" s="595"/>
      <c r="D78" s="595"/>
      <c r="E78" s="595"/>
      <c r="F78" s="595"/>
      <c r="G78" s="595"/>
      <c r="H78" s="595"/>
      <c r="I78" s="595"/>
      <c r="J78" s="595"/>
      <c r="K78" s="595"/>
      <c r="L78" s="595"/>
      <c r="M78" s="595"/>
    </row>
    <row r="79" spans="1:13" ht="19.5" customHeight="1">
      <c r="A79" s="595"/>
      <c r="B79" s="595"/>
      <c r="C79" s="595"/>
      <c r="D79" s="595"/>
      <c r="E79" s="595"/>
      <c r="F79" s="595"/>
      <c r="G79" s="595"/>
      <c r="H79" s="595"/>
      <c r="I79" s="595"/>
      <c r="J79" s="595"/>
      <c r="K79" s="595"/>
      <c r="L79" s="595"/>
      <c r="M79" s="595"/>
    </row>
    <row r="80" spans="1:13" ht="19.5" customHeight="1">
      <c r="A80" s="595"/>
      <c r="B80" s="595"/>
      <c r="C80" s="595"/>
      <c r="D80" s="595"/>
      <c r="E80" s="595"/>
      <c r="F80" s="595"/>
      <c r="G80" s="595"/>
      <c r="H80" s="595"/>
      <c r="I80" s="595"/>
      <c r="J80" s="595"/>
      <c r="K80" s="595"/>
      <c r="L80" s="595"/>
      <c r="M80" s="595"/>
    </row>
    <row r="81" spans="1:13" ht="19.5" customHeight="1">
      <c r="A81" s="595"/>
      <c r="B81" s="595"/>
      <c r="C81" s="595"/>
      <c r="D81" s="595"/>
      <c r="E81" s="595"/>
      <c r="F81" s="595"/>
      <c r="G81" s="595"/>
      <c r="H81" s="595"/>
      <c r="I81" s="595"/>
      <c r="J81" s="595"/>
      <c r="K81" s="595"/>
      <c r="L81" s="595"/>
      <c r="M81" s="595"/>
    </row>
    <row r="82" spans="1:13" ht="19.5" customHeight="1">
      <c r="A82" s="595"/>
      <c r="B82" s="595"/>
      <c r="C82" s="595"/>
      <c r="D82" s="595"/>
      <c r="E82" s="595"/>
      <c r="F82" s="595"/>
      <c r="G82" s="595"/>
      <c r="H82" s="595"/>
      <c r="I82" s="595"/>
      <c r="J82" s="595"/>
      <c r="K82" s="595"/>
      <c r="L82" s="595"/>
      <c r="M82" s="595"/>
    </row>
    <row r="83" spans="1:13" ht="19.5" customHeight="1">
      <c r="A83" s="595"/>
      <c r="B83" s="595"/>
      <c r="C83" s="595"/>
      <c r="D83" s="595"/>
      <c r="E83" s="595"/>
      <c r="F83" s="595"/>
      <c r="G83" s="595"/>
      <c r="H83" s="595"/>
      <c r="I83" s="595"/>
      <c r="J83" s="595"/>
      <c r="K83" s="595"/>
      <c r="L83" s="595"/>
      <c r="M83" s="595"/>
    </row>
    <row r="84" spans="1:13" ht="19.5" customHeight="1">
      <c r="A84" s="595"/>
      <c r="B84" s="595"/>
      <c r="C84" s="595"/>
      <c r="D84" s="595"/>
      <c r="E84" s="595"/>
      <c r="F84" s="595"/>
      <c r="G84" s="595"/>
      <c r="H84" s="595"/>
      <c r="I84" s="595"/>
      <c r="J84" s="595"/>
      <c r="K84" s="595"/>
      <c r="L84" s="595"/>
      <c r="M84" s="595"/>
    </row>
    <row r="85" spans="1:13" ht="19.5" customHeight="1">
      <c r="A85" s="595"/>
      <c r="B85" s="595"/>
      <c r="C85" s="595"/>
      <c r="D85" s="595"/>
      <c r="E85" s="595"/>
      <c r="F85" s="595"/>
      <c r="G85" s="595"/>
      <c r="H85" s="595"/>
      <c r="I85" s="595"/>
      <c r="J85" s="595"/>
      <c r="K85" s="595"/>
      <c r="L85" s="595"/>
      <c r="M85" s="595"/>
    </row>
    <row r="86" spans="1:13" ht="19.5" customHeight="1">
      <c r="A86" s="595"/>
      <c r="B86" s="595"/>
      <c r="C86" s="595"/>
      <c r="D86" s="595"/>
      <c r="E86" s="595"/>
      <c r="F86" s="595"/>
      <c r="G86" s="595"/>
      <c r="H86" s="595"/>
      <c r="I86" s="595"/>
      <c r="J86" s="595"/>
      <c r="K86" s="595"/>
      <c r="L86" s="595"/>
      <c r="M86" s="595"/>
    </row>
    <row r="87" spans="1:13" ht="19.5" customHeight="1">
      <c r="A87" s="595"/>
      <c r="B87" s="595"/>
      <c r="C87" s="595"/>
      <c r="D87" s="595"/>
      <c r="E87" s="595"/>
      <c r="F87" s="595"/>
      <c r="G87" s="595"/>
      <c r="H87" s="595"/>
      <c r="I87" s="595"/>
      <c r="J87" s="595"/>
      <c r="K87" s="595"/>
      <c r="L87" s="595"/>
      <c r="M87" s="595"/>
    </row>
    <row r="88" spans="1:13" ht="19.5" customHeight="1">
      <c r="A88" s="595"/>
      <c r="B88" s="595"/>
      <c r="C88" s="595"/>
      <c r="D88" s="595"/>
      <c r="E88" s="595"/>
      <c r="F88" s="595"/>
      <c r="G88" s="595"/>
      <c r="H88" s="595"/>
      <c r="I88" s="595"/>
      <c r="J88" s="595"/>
      <c r="K88" s="595"/>
      <c r="L88" s="595"/>
      <c r="M88" s="595"/>
    </row>
    <row r="89" spans="1:13" ht="19.5" customHeight="1">
      <c r="A89" s="595"/>
      <c r="B89" s="595"/>
      <c r="C89" s="595"/>
      <c r="D89" s="595"/>
      <c r="E89" s="595"/>
      <c r="F89" s="595"/>
      <c r="G89" s="595"/>
      <c r="H89" s="595"/>
      <c r="I89" s="595"/>
      <c r="J89" s="595"/>
      <c r="K89" s="595"/>
      <c r="L89" s="595"/>
      <c r="M89" s="595"/>
    </row>
    <row r="90" spans="1:13" ht="19.5" customHeight="1">
      <c r="A90" s="595"/>
      <c r="B90" s="595"/>
      <c r="C90" s="595"/>
      <c r="D90" s="595"/>
      <c r="E90" s="595"/>
      <c r="F90" s="595"/>
      <c r="G90" s="595"/>
      <c r="H90" s="595"/>
      <c r="I90" s="595"/>
      <c r="J90" s="595"/>
      <c r="K90" s="595"/>
      <c r="L90" s="595"/>
      <c r="M90" s="595"/>
    </row>
    <row r="91" spans="1:13" ht="19.5" customHeight="1">
      <c r="A91" s="595"/>
      <c r="B91" s="595"/>
      <c r="C91" s="595"/>
      <c r="D91" s="595"/>
      <c r="E91" s="595"/>
      <c r="F91" s="595"/>
      <c r="G91" s="595"/>
      <c r="H91" s="595"/>
      <c r="I91" s="595"/>
      <c r="J91" s="595"/>
      <c r="K91" s="595"/>
      <c r="L91" s="595"/>
      <c r="M91" s="595"/>
    </row>
    <row r="92" spans="1:13" ht="19.5" customHeight="1">
      <c r="A92" s="595"/>
      <c r="B92" s="595"/>
      <c r="C92" s="595"/>
      <c r="D92" s="595"/>
      <c r="E92" s="595"/>
      <c r="F92" s="595"/>
      <c r="G92" s="595"/>
      <c r="H92" s="595"/>
      <c r="I92" s="595"/>
      <c r="J92" s="595"/>
      <c r="K92" s="595"/>
      <c r="L92" s="595"/>
      <c r="M92" s="595"/>
    </row>
    <row r="93" spans="1:13" ht="19.5" customHeight="1">
      <c r="A93" s="595"/>
      <c r="B93" s="595"/>
      <c r="C93" s="595"/>
      <c r="D93" s="595"/>
      <c r="E93" s="595"/>
      <c r="F93" s="595"/>
      <c r="G93" s="595"/>
      <c r="H93" s="595"/>
      <c r="I93" s="595"/>
      <c r="J93" s="595"/>
      <c r="K93" s="595"/>
      <c r="L93" s="595"/>
      <c r="M93" s="595"/>
    </row>
    <row r="94" spans="1:13" ht="19.5" customHeight="1">
      <c r="A94" s="595"/>
      <c r="B94" s="595"/>
      <c r="C94" s="595"/>
      <c r="D94" s="595"/>
      <c r="E94" s="595"/>
      <c r="F94" s="595"/>
      <c r="G94" s="595"/>
      <c r="H94" s="595"/>
      <c r="I94" s="595"/>
      <c r="J94" s="595"/>
      <c r="K94" s="595"/>
      <c r="L94" s="595"/>
      <c r="M94" s="595"/>
    </row>
    <row r="95" spans="1:13" ht="19.5" customHeight="1">
      <c r="A95" s="595"/>
      <c r="B95" s="595"/>
      <c r="C95" s="595"/>
      <c r="D95" s="595"/>
      <c r="E95" s="595"/>
      <c r="F95" s="595"/>
      <c r="G95" s="595"/>
      <c r="H95" s="595"/>
      <c r="I95" s="595"/>
      <c r="J95" s="595"/>
      <c r="K95" s="595"/>
      <c r="L95" s="595"/>
      <c r="M95" s="595"/>
    </row>
    <row r="96" spans="1:13" ht="19.5" customHeight="1">
      <c r="A96" s="595"/>
      <c r="B96" s="595"/>
      <c r="C96" s="595"/>
      <c r="D96" s="595"/>
      <c r="E96" s="595"/>
      <c r="F96" s="595"/>
      <c r="G96" s="595"/>
      <c r="H96" s="595"/>
      <c r="I96" s="595"/>
      <c r="J96" s="595"/>
      <c r="K96" s="595"/>
      <c r="L96" s="595"/>
      <c r="M96" s="595"/>
    </row>
    <row r="97" spans="1:13" ht="19.5" customHeight="1">
      <c r="A97" s="595"/>
      <c r="B97" s="595"/>
      <c r="C97" s="595"/>
      <c r="D97" s="595"/>
      <c r="E97" s="595"/>
      <c r="F97" s="595"/>
      <c r="G97" s="595"/>
      <c r="H97" s="595"/>
      <c r="I97" s="595"/>
      <c r="J97" s="595"/>
      <c r="K97" s="595"/>
      <c r="L97" s="595"/>
      <c r="M97" s="595"/>
    </row>
    <row r="98" spans="1:13" ht="19.5" customHeight="1">
      <c r="A98" s="595"/>
      <c r="B98" s="595"/>
      <c r="C98" s="595"/>
      <c r="D98" s="595"/>
      <c r="E98" s="595"/>
      <c r="F98" s="595"/>
      <c r="G98" s="595"/>
      <c r="H98" s="595"/>
      <c r="I98" s="595"/>
      <c r="J98" s="595"/>
      <c r="K98" s="595"/>
      <c r="L98" s="595"/>
      <c r="M98" s="595"/>
    </row>
    <row r="99" spans="1:13" ht="19.5" customHeight="1">
      <c r="A99" s="595"/>
      <c r="B99" s="595"/>
      <c r="C99" s="595"/>
      <c r="D99" s="595"/>
      <c r="E99" s="595"/>
      <c r="F99" s="595"/>
      <c r="G99" s="595"/>
      <c r="H99" s="595"/>
      <c r="I99" s="595"/>
      <c r="J99" s="595"/>
      <c r="K99" s="595"/>
      <c r="L99" s="595"/>
      <c r="M99" s="595"/>
    </row>
    <row r="100" spans="1:13" ht="19.5" customHeight="1">
      <c r="A100" s="595"/>
      <c r="B100" s="595"/>
      <c r="C100" s="595"/>
      <c r="D100" s="595"/>
      <c r="E100" s="595"/>
      <c r="F100" s="595"/>
      <c r="G100" s="595"/>
      <c r="H100" s="595"/>
      <c r="I100" s="595"/>
      <c r="J100" s="595"/>
      <c r="K100" s="595"/>
      <c r="L100" s="595"/>
      <c r="M100" s="595"/>
    </row>
    <row r="101" spans="1:13" ht="19.5" customHeight="1">
      <c r="A101" s="595"/>
      <c r="B101" s="595"/>
      <c r="C101" s="595"/>
      <c r="D101" s="595"/>
      <c r="E101" s="595"/>
      <c r="F101" s="595"/>
      <c r="G101" s="595"/>
      <c r="H101" s="595"/>
      <c r="I101" s="595"/>
      <c r="J101" s="595"/>
      <c r="K101" s="595"/>
      <c r="L101" s="595"/>
      <c r="M101" s="595"/>
    </row>
    <row r="102" spans="1:13" ht="19.5" customHeight="1">
      <c r="A102" s="595"/>
      <c r="B102" s="595"/>
      <c r="C102" s="595"/>
      <c r="D102" s="595"/>
      <c r="E102" s="595"/>
      <c r="F102" s="595"/>
      <c r="G102" s="595"/>
      <c r="H102" s="595"/>
      <c r="I102" s="595"/>
      <c r="J102" s="595"/>
      <c r="K102" s="595"/>
      <c r="L102" s="595"/>
      <c r="M102" s="595"/>
    </row>
    <row r="103" spans="1:13" ht="19.5" customHeight="1">
      <c r="A103" s="595"/>
      <c r="B103" s="595"/>
      <c r="C103" s="595"/>
      <c r="D103" s="595"/>
      <c r="E103" s="595"/>
      <c r="F103" s="595"/>
      <c r="G103" s="595"/>
      <c r="H103" s="595"/>
      <c r="I103" s="595"/>
      <c r="J103" s="595"/>
      <c r="K103" s="595"/>
      <c r="L103" s="595"/>
      <c r="M103" s="595"/>
    </row>
    <row r="104" spans="1:13" ht="19.5" customHeight="1">
      <c r="A104" s="595"/>
      <c r="B104" s="595"/>
      <c r="C104" s="595"/>
      <c r="D104" s="595"/>
      <c r="E104" s="595"/>
      <c r="F104" s="595"/>
      <c r="G104" s="595"/>
      <c r="H104" s="595"/>
      <c r="I104" s="595"/>
      <c r="J104" s="595"/>
      <c r="K104" s="595"/>
      <c r="L104" s="595"/>
      <c r="M104" s="595"/>
    </row>
    <row r="105" spans="1:13" ht="19.5" customHeight="1">
      <c r="A105" s="595"/>
      <c r="B105" s="595"/>
      <c r="C105" s="595"/>
      <c r="D105" s="595"/>
      <c r="E105" s="595"/>
      <c r="F105" s="595"/>
      <c r="G105" s="595"/>
      <c r="H105" s="595"/>
      <c r="I105" s="595"/>
      <c r="J105" s="595"/>
      <c r="K105" s="595"/>
      <c r="L105" s="595"/>
      <c r="M105" s="595"/>
    </row>
    <row r="106" spans="1:13" ht="19.5" customHeight="1">
      <c r="A106" s="595"/>
      <c r="B106" s="595"/>
      <c r="C106" s="595"/>
      <c r="D106" s="595"/>
      <c r="E106" s="595"/>
      <c r="F106" s="595"/>
      <c r="G106" s="595"/>
      <c r="H106" s="595"/>
      <c r="I106" s="595"/>
      <c r="J106" s="595"/>
      <c r="K106" s="595"/>
      <c r="L106" s="595"/>
      <c r="M106" s="595"/>
    </row>
    <row r="107" spans="1:13" ht="19.5" customHeight="1">
      <c r="A107" s="595"/>
      <c r="B107" s="595"/>
      <c r="C107" s="595"/>
      <c r="D107" s="595"/>
      <c r="E107" s="595"/>
      <c r="F107" s="595"/>
      <c r="G107" s="595"/>
      <c r="H107" s="595"/>
      <c r="I107" s="595"/>
      <c r="J107" s="595"/>
      <c r="K107" s="595"/>
      <c r="L107" s="595"/>
      <c r="M107" s="595"/>
    </row>
    <row r="108" spans="1:13" ht="19.5" customHeight="1">
      <c r="A108" s="595"/>
      <c r="B108" s="595"/>
      <c r="C108" s="595"/>
      <c r="D108" s="595"/>
      <c r="E108" s="595"/>
      <c r="F108" s="595"/>
      <c r="G108" s="595"/>
      <c r="H108" s="595"/>
      <c r="I108" s="595"/>
      <c r="J108" s="595"/>
      <c r="K108" s="595"/>
      <c r="L108" s="595"/>
      <c r="M108" s="595"/>
    </row>
    <row r="109" spans="1:13" ht="19.5" customHeight="1">
      <c r="A109" s="595"/>
      <c r="B109" s="595"/>
      <c r="C109" s="595"/>
      <c r="D109" s="595"/>
      <c r="E109" s="595"/>
      <c r="F109" s="595"/>
      <c r="G109" s="595"/>
      <c r="H109" s="595"/>
      <c r="I109" s="595"/>
      <c r="J109" s="595"/>
      <c r="K109" s="595"/>
      <c r="L109" s="595"/>
      <c r="M109" s="595"/>
    </row>
    <row r="110" spans="1:13" ht="19.5" customHeight="1">
      <c r="A110" s="595"/>
      <c r="B110" s="595"/>
      <c r="C110" s="595"/>
      <c r="D110" s="595"/>
      <c r="E110" s="595"/>
      <c r="F110" s="595"/>
      <c r="G110" s="595"/>
      <c r="H110" s="595"/>
      <c r="I110" s="595"/>
      <c r="J110" s="595"/>
      <c r="K110" s="595"/>
      <c r="L110" s="595"/>
      <c r="M110" s="595"/>
    </row>
    <row r="111" spans="1:13" ht="19.5" customHeight="1">
      <c r="A111" s="595"/>
      <c r="B111" s="595"/>
      <c r="C111" s="595"/>
      <c r="D111" s="595"/>
      <c r="E111" s="595"/>
      <c r="F111" s="595"/>
      <c r="G111" s="595"/>
      <c r="H111" s="595"/>
      <c r="I111" s="595"/>
      <c r="J111" s="595"/>
      <c r="K111" s="595"/>
      <c r="L111" s="595"/>
      <c r="M111" s="595"/>
    </row>
    <row r="112" spans="1:13" ht="19.5" customHeight="1">
      <c r="A112" s="595"/>
      <c r="B112" s="595"/>
      <c r="C112" s="595"/>
      <c r="D112" s="595"/>
      <c r="E112" s="595"/>
      <c r="F112" s="595"/>
      <c r="G112" s="595"/>
      <c r="H112" s="595"/>
      <c r="I112" s="595"/>
      <c r="J112" s="595"/>
      <c r="K112" s="595"/>
      <c r="L112" s="595"/>
      <c r="M112" s="595"/>
    </row>
    <row r="113" spans="1:13" ht="19.5" customHeight="1">
      <c r="A113" s="595"/>
      <c r="B113" s="595"/>
      <c r="C113" s="595"/>
      <c r="D113" s="595"/>
      <c r="E113" s="595"/>
      <c r="F113" s="595"/>
      <c r="G113" s="595"/>
      <c r="H113" s="595"/>
      <c r="I113" s="595"/>
      <c r="J113" s="595"/>
      <c r="K113" s="595"/>
      <c r="L113" s="595"/>
      <c r="M113" s="595"/>
    </row>
    <row r="114" spans="1:13" ht="19.5" customHeight="1">
      <c r="A114" s="595"/>
      <c r="B114" s="595"/>
      <c r="C114" s="595"/>
      <c r="D114" s="595"/>
      <c r="E114" s="595"/>
      <c r="F114" s="595"/>
      <c r="G114" s="595"/>
      <c r="H114" s="595"/>
      <c r="I114" s="595"/>
      <c r="J114" s="595"/>
      <c r="K114" s="595"/>
      <c r="L114" s="595"/>
      <c r="M114" s="595"/>
    </row>
    <row r="115" spans="1:13" ht="19.5" customHeight="1">
      <c r="A115" s="595"/>
      <c r="B115" s="595"/>
      <c r="C115" s="595"/>
      <c r="D115" s="595"/>
      <c r="E115" s="595"/>
      <c r="F115" s="595"/>
      <c r="G115" s="595"/>
      <c r="H115" s="595"/>
      <c r="I115" s="595"/>
      <c r="J115" s="595"/>
      <c r="K115" s="595"/>
      <c r="L115" s="595"/>
      <c r="M115" s="595"/>
    </row>
    <row r="116" spans="1:13" ht="19.5" customHeight="1">
      <c r="A116" s="595"/>
      <c r="B116" s="595"/>
      <c r="C116" s="595"/>
      <c r="D116" s="595"/>
      <c r="E116" s="595"/>
      <c r="F116" s="595"/>
      <c r="G116" s="595"/>
      <c r="H116" s="595"/>
      <c r="I116" s="595"/>
      <c r="J116" s="595"/>
      <c r="K116" s="595"/>
      <c r="L116" s="595"/>
      <c r="M116" s="595"/>
    </row>
    <row r="117" spans="1:13" ht="19.5" customHeight="1">
      <c r="A117" s="595"/>
      <c r="B117" s="595"/>
      <c r="C117" s="595"/>
      <c r="D117" s="595"/>
      <c r="E117" s="595"/>
      <c r="F117" s="595"/>
      <c r="G117" s="595"/>
      <c r="H117" s="595"/>
      <c r="I117" s="595"/>
      <c r="J117" s="595"/>
      <c r="K117" s="595"/>
      <c r="L117" s="595"/>
      <c r="M117" s="595"/>
    </row>
    <row r="118" spans="1:13" ht="19.5" customHeight="1">
      <c r="A118" s="595"/>
      <c r="B118" s="595"/>
      <c r="C118" s="595"/>
      <c r="D118" s="595"/>
      <c r="E118" s="595"/>
      <c r="F118" s="595"/>
      <c r="G118" s="595"/>
      <c r="H118" s="595"/>
      <c r="I118" s="595"/>
      <c r="J118" s="595"/>
      <c r="K118" s="595"/>
      <c r="L118" s="595"/>
      <c r="M118" s="595"/>
    </row>
    <row r="119" spans="1:13" ht="19.5" customHeight="1">
      <c r="A119" s="595"/>
      <c r="B119" s="595"/>
      <c r="C119" s="595"/>
      <c r="D119" s="595"/>
      <c r="E119" s="595"/>
      <c r="F119" s="595"/>
      <c r="G119" s="595"/>
      <c r="H119" s="595"/>
      <c r="I119" s="595"/>
      <c r="J119" s="595"/>
      <c r="K119" s="595"/>
      <c r="L119" s="595"/>
      <c r="M119" s="595"/>
    </row>
    <row r="120" spans="1:13" ht="19.5" customHeight="1">
      <c r="A120" s="595"/>
      <c r="B120" s="595"/>
      <c r="C120" s="595"/>
      <c r="D120" s="595"/>
      <c r="E120" s="595"/>
      <c r="F120" s="595"/>
      <c r="G120" s="595"/>
      <c r="H120" s="595"/>
      <c r="I120" s="595"/>
      <c r="J120" s="595"/>
      <c r="K120" s="595"/>
      <c r="L120" s="595"/>
      <c r="M120" s="595"/>
    </row>
    <row r="121" spans="1:13" ht="19.5" customHeight="1">
      <c r="A121" s="595"/>
      <c r="B121" s="595"/>
      <c r="C121" s="595"/>
      <c r="D121" s="595"/>
      <c r="E121" s="595"/>
      <c r="F121" s="595"/>
      <c r="G121" s="595"/>
      <c r="H121" s="595"/>
      <c r="I121" s="595"/>
      <c r="J121" s="595"/>
      <c r="K121" s="595"/>
      <c r="L121" s="595"/>
      <c r="M121" s="595"/>
    </row>
    <row r="122" spans="1:13" ht="19.5" customHeight="1">
      <c r="A122" s="595"/>
      <c r="B122" s="595"/>
      <c r="C122" s="595"/>
      <c r="D122" s="595"/>
      <c r="E122" s="595"/>
      <c r="F122" s="595"/>
      <c r="G122" s="595"/>
      <c r="H122" s="595"/>
      <c r="I122" s="595"/>
      <c r="J122" s="595"/>
      <c r="K122" s="595"/>
      <c r="L122" s="595"/>
      <c r="M122" s="595"/>
    </row>
    <row r="123" spans="1:13" ht="19.5" customHeight="1">
      <c r="A123" s="595"/>
      <c r="B123" s="595"/>
      <c r="C123" s="595"/>
      <c r="D123" s="595"/>
      <c r="E123" s="595"/>
      <c r="F123" s="595"/>
      <c r="G123" s="595"/>
      <c r="H123" s="595"/>
      <c r="I123" s="595"/>
      <c r="J123" s="595"/>
      <c r="K123" s="595"/>
      <c r="L123" s="595"/>
      <c r="M123" s="595"/>
    </row>
    <row r="124" spans="1:13" ht="19.5" customHeight="1">
      <c r="A124" s="595"/>
      <c r="B124" s="595"/>
      <c r="C124" s="595"/>
      <c r="D124" s="595"/>
      <c r="E124" s="595"/>
      <c r="F124" s="595"/>
      <c r="G124" s="595"/>
      <c r="H124" s="595"/>
      <c r="I124" s="595"/>
      <c r="J124" s="595"/>
      <c r="K124" s="595"/>
      <c r="L124" s="595"/>
      <c r="M124" s="595"/>
    </row>
    <row r="125" spans="1:13" ht="19.5" customHeight="1">
      <c r="A125" s="595"/>
      <c r="B125" s="595"/>
      <c r="C125" s="595"/>
      <c r="D125" s="595"/>
      <c r="E125" s="595"/>
      <c r="F125" s="595"/>
      <c r="G125" s="595"/>
      <c r="H125" s="595"/>
      <c r="I125" s="595"/>
      <c r="J125" s="595"/>
      <c r="K125" s="595"/>
      <c r="L125" s="595"/>
      <c r="M125" s="595"/>
    </row>
    <row r="126" spans="1:13" ht="19.5" customHeight="1">
      <c r="A126" s="595"/>
      <c r="B126" s="595"/>
      <c r="C126" s="595"/>
      <c r="D126" s="595"/>
      <c r="E126" s="595"/>
      <c r="F126" s="595"/>
      <c r="G126" s="595"/>
      <c r="H126" s="595"/>
      <c r="I126" s="595"/>
      <c r="J126" s="595"/>
      <c r="K126" s="595"/>
      <c r="L126" s="595"/>
      <c r="M126" s="595"/>
    </row>
    <row r="127" spans="1:13" ht="19.5" customHeight="1">
      <c r="A127" s="595"/>
      <c r="B127" s="595"/>
      <c r="C127" s="595"/>
      <c r="D127" s="595"/>
      <c r="E127" s="595"/>
      <c r="F127" s="595"/>
      <c r="G127" s="595"/>
      <c r="H127" s="595"/>
      <c r="I127" s="595"/>
      <c r="J127" s="595"/>
      <c r="K127" s="595"/>
      <c r="L127" s="595"/>
      <c r="M127" s="595"/>
    </row>
    <row r="128" spans="1:13" ht="19.5" customHeight="1">
      <c r="A128" s="595"/>
      <c r="B128" s="595"/>
      <c r="C128" s="595"/>
      <c r="D128" s="595"/>
      <c r="E128" s="595"/>
      <c r="F128" s="595"/>
      <c r="G128" s="595"/>
      <c r="H128" s="595"/>
      <c r="I128" s="595"/>
      <c r="J128" s="595"/>
      <c r="K128" s="595"/>
      <c r="L128" s="595"/>
      <c r="M128" s="595"/>
    </row>
    <row r="129" spans="1:13" ht="19.5" customHeight="1">
      <c r="A129" s="595"/>
      <c r="B129" s="595"/>
      <c r="C129" s="595"/>
      <c r="D129" s="595"/>
      <c r="E129" s="595"/>
      <c r="F129" s="595"/>
      <c r="G129" s="595"/>
      <c r="H129" s="595"/>
      <c r="I129" s="595"/>
      <c r="J129" s="595"/>
      <c r="K129" s="595"/>
      <c r="L129" s="595"/>
      <c r="M129" s="595"/>
    </row>
    <row r="130" spans="1:13" ht="19.5" customHeight="1">
      <c r="A130" s="595"/>
      <c r="B130" s="595"/>
      <c r="C130" s="595"/>
      <c r="D130" s="595"/>
      <c r="E130" s="595"/>
      <c r="F130" s="595"/>
      <c r="G130" s="595"/>
      <c r="H130" s="595"/>
      <c r="I130" s="595"/>
      <c r="J130" s="595"/>
      <c r="K130" s="595"/>
      <c r="L130" s="595"/>
      <c r="M130" s="595"/>
    </row>
    <row r="131" spans="1:13" ht="19.5" customHeight="1">
      <c r="A131" s="595"/>
      <c r="B131" s="595"/>
      <c r="C131" s="595"/>
      <c r="D131" s="595"/>
      <c r="E131" s="595"/>
      <c r="F131" s="595"/>
      <c r="G131" s="595"/>
      <c r="H131" s="595"/>
      <c r="I131" s="595"/>
      <c r="J131" s="595"/>
      <c r="K131" s="595"/>
      <c r="L131" s="595"/>
      <c r="M131" s="595"/>
    </row>
    <row r="132" spans="1:13" ht="19.5" customHeight="1">
      <c r="A132" s="595"/>
      <c r="B132" s="595"/>
      <c r="C132" s="595"/>
      <c r="D132" s="595"/>
      <c r="E132" s="595"/>
      <c r="F132" s="595"/>
      <c r="G132" s="595"/>
      <c r="H132" s="595"/>
      <c r="I132" s="595"/>
      <c r="J132" s="595"/>
      <c r="K132" s="595"/>
      <c r="L132" s="595"/>
      <c r="M132" s="595"/>
    </row>
    <row r="133" spans="1:13" ht="19.5" customHeight="1">
      <c r="A133" s="595"/>
      <c r="B133" s="595"/>
      <c r="C133" s="595"/>
      <c r="D133" s="595"/>
      <c r="E133" s="595"/>
      <c r="F133" s="595"/>
      <c r="G133" s="595"/>
      <c r="H133" s="595"/>
      <c r="I133" s="595"/>
      <c r="J133" s="595"/>
      <c r="K133" s="595"/>
      <c r="L133" s="595"/>
      <c r="M133" s="595"/>
    </row>
    <row r="134" spans="1:13" ht="19.5" customHeight="1">
      <c r="A134" s="595"/>
      <c r="B134" s="595"/>
      <c r="C134" s="595"/>
      <c r="D134" s="595"/>
      <c r="E134" s="595"/>
      <c r="F134" s="595"/>
      <c r="G134" s="595"/>
      <c r="H134" s="595"/>
      <c r="I134" s="595"/>
      <c r="J134" s="595"/>
      <c r="K134" s="595"/>
      <c r="L134" s="595"/>
      <c r="M134" s="595"/>
    </row>
    <row r="135" spans="1:13" ht="19.5" customHeight="1">
      <c r="A135" s="595"/>
      <c r="B135" s="595"/>
      <c r="C135" s="595"/>
      <c r="D135" s="595"/>
      <c r="E135" s="595"/>
      <c r="F135" s="595"/>
      <c r="G135" s="595"/>
      <c r="H135" s="595"/>
      <c r="I135" s="595"/>
      <c r="J135" s="595"/>
      <c r="K135" s="595"/>
      <c r="L135" s="595"/>
      <c r="M135" s="595"/>
    </row>
    <row r="136" spans="1:13" ht="19.5" customHeight="1">
      <c r="A136" s="595"/>
      <c r="B136" s="595"/>
      <c r="C136" s="595"/>
      <c r="D136" s="595"/>
      <c r="E136" s="595"/>
      <c r="F136" s="595"/>
      <c r="G136" s="595"/>
      <c r="H136" s="595"/>
      <c r="I136" s="595"/>
      <c r="J136" s="595"/>
      <c r="K136" s="595"/>
      <c r="L136" s="595"/>
      <c r="M136" s="595"/>
    </row>
    <row r="137" spans="1:13" ht="19.5" customHeight="1">
      <c r="A137" s="595"/>
      <c r="B137" s="595"/>
      <c r="C137" s="595"/>
      <c r="D137" s="595"/>
      <c r="E137" s="595"/>
      <c r="F137" s="595"/>
      <c r="G137" s="595"/>
      <c r="H137" s="595"/>
      <c r="I137" s="595"/>
      <c r="J137" s="595"/>
      <c r="K137" s="595"/>
      <c r="L137" s="595"/>
      <c r="M137" s="595"/>
    </row>
    <row r="138" spans="1:13" ht="19.5" customHeight="1">
      <c r="A138" s="595"/>
      <c r="B138" s="595"/>
      <c r="C138" s="595"/>
      <c r="D138" s="595"/>
      <c r="E138" s="595"/>
      <c r="F138" s="595"/>
      <c r="G138" s="595"/>
      <c r="H138" s="595"/>
      <c r="I138" s="595"/>
      <c r="J138" s="595"/>
      <c r="K138" s="595"/>
      <c r="L138" s="595"/>
      <c r="M138" s="595"/>
    </row>
    <row r="139" spans="1:13" ht="19.5" customHeight="1">
      <c r="A139" s="595"/>
      <c r="B139" s="595"/>
      <c r="C139" s="595"/>
      <c r="D139" s="595"/>
      <c r="E139" s="595"/>
      <c r="F139" s="595"/>
      <c r="G139" s="595"/>
      <c r="H139" s="595"/>
      <c r="I139" s="595"/>
      <c r="J139" s="595"/>
      <c r="K139" s="595"/>
      <c r="L139" s="595"/>
      <c r="M139" s="595"/>
    </row>
    <row r="140" spans="1:13" ht="19.5" customHeight="1">
      <c r="A140" s="595"/>
      <c r="B140" s="595"/>
      <c r="C140" s="595"/>
      <c r="D140" s="595"/>
      <c r="E140" s="595"/>
      <c r="F140" s="595"/>
      <c r="G140" s="595"/>
      <c r="H140" s="595"/>
      <c r="I140" s="595"/>
      <c r="J140" s="595"/>
      <c r="K140" s="595"/>
      <c r="L140" s="595"/>
      <c r="M140" s="595"/>
    </row>
    <row r="141" spans="1:13" ht="19.5" customHeight="1">
      <c r="A141" s="595"/>
      <c r="B141" s="595"/>
      <c r="C141" s="595"/>
      <c r="D141" s="595"/>
      <c r="E141" s="595"/>
      <c r="F141" s="595"/>
      <c r="G141" s="595"/>
      <c r="H141" s="595"/>
      <c r="I141" s="595"/>
      <c r="J141" s="595"/>
      <c r="K141" s="595"/>
      <c r="L141" s="595"/>
      <c r="M141" s="595"/>
    </row>
    <row r="142" spans="1:13" ht="19.5" customHeight="1">
      <c r="A142" s="595"/>
      <c r="B142" s="595"/>
      <c r="C142" s="595"/>
      <c r="D142" s="595"/>
      <c r="E142" s="595"/>
      <c r="F142" s="595"/>
      <c r="G142" s="595"/>
      <c r="H142" s="595"/>
      <c r="I142" s="595"/>
      <c r="J142" s="595"/>
      <c r="K142" s="595"/>
      <c r="L142" s="595"/>
      <c r="M142" s="595"/>
    </row>
    <row r="143" spans="1:13" ht="19.5" customHeight="1">
      <c r="A143" s="595"/>
      <c r="B143" s="595"/>
      <c r="C143" s="595"/>
      <c r="D143" s="595"/>
      <c r="E143" s="595"/>
      <c r="F143" s="595"/>
      <c r="G143" s="595"/>
      <c r="H143" s="595"/>
      <c r="I143" s="595"/>
      <c r="J143" s="595"/>
      <c r="K143" s="595"/>
      <c r="L143" s="595"/>
      <c r="M143" s="595"/>
    </row>
    <row r="144" spans="1:13" ht="19.5" customHeight="1">
      <c r="A144" s="595"/>
      <c r="B144" s="595"/>
      <c r="C144" s="595"/>
      <c r="D144" s="595"/>
      <c r="E144" s="595"/>
      <c r="F144" s="595"/>
      <c r="G144" s="595"/>
      <c r="H144" s="595"/>
      <c r="I144" s="595"/>
      <c r="J144" s="595"/>
      <c r="K144" s="595"/>
      <c r="L144" s="595"/>
      <c r="M144" s="595"/>
    </row>
    <row r="145" spans="1:13" ht="19.5" customHeight="1">
      <c r="A145" s="595"/>
      <c r="B145" s="595"/>
      <c r="C145" s="595"/>
      <c r="D145" s="595"/>
      <c r="E145" s="595"/>
      <c r="F145" s="595"/>
      <c r="G145" s="595"/>
      <c r="H145" s="595"/>
      <c r="I145" s="595"/>
      <c r="J145" s="595"/>
      <c r="K145" s="595"/>
      <c r="L145" s="595"/>
      <c r="M145" s="595"/>
    </row>
    <row r="146" spans="1:13" ht="19.5" customHeight="1">
      <c r="A146" s="595"/>
      <c r="B146" s="595"/>
      <c r="C146" s="595"/>
      <c r="D146" s="595"/>
      <c r="E146" s="595"/>
      <c r="F146" s="595"/>
      <c r="G146" s="595"/>
      <c r="H146" s="595"/>
      <c r="I146" s="595"/>
      <c r="J146" s="595"/>
      <c r="K146" s="595"/>
      <c r="L146" s="595"/>
      <c r="M146" s="595"/>
    </row>
    <row r="147" spans="1:13" ht="19.5" customHeight="1">
      <c r="A147" s="595"/>
      <c r="B147" s="595"/>
      <c r="C147" s="595"/>
      <c r="D147" s="595"/>
      <c r="E147" s="595"/>
      <c r="F147" s="595"/>
      <c r="G147" s="595"/>
      <c r="H147" s="595"/>
      <c r="I147" s="595"/>
      <c r="J147" s="595"/>
      <c r="K147" s="595"/>
      <c r="L147" s="595"/>
      <c r="M147" s="595"/>
    </row>
    <row r="148" spans="1:13" ht="19.5" customHeight="1">
      <c r="A148" s="595"/>
      <c r="B148" s="595"/>
      <c r="C148" s="595"/>
      <c r="D148" s="595"/>
      <c r="E148" s="595"/>
      <c r="F148" s="595"/>
      <c r="G148" s="595"/>
      <c r="H148" s="595"/>
      <c r="I148" s="595"/>
      <c r="J148" s="595"/>
      <c r="K148" s="595"/>
      <c r="L148" s="595"/>
      <c r="M148" s="595"/>
    </row>
    <row r="149" spans="1:13" ht="19.5" customHeight="1">
      <c r="A149" s="595"/>
      <c r="B149" s="595"/>
      <c r="C149" s="595"/>
      <c r="D149" s="595"/>
      <c r="E149" s="595"/>
      <c r="F149" s="595"/>
      <c r="G149" s="595"/>
      <c r="H149" s="595"/>
      <c r="I149" s="595"/>
      <c r="J149" s="595"/>
      <c r="K149" s="595"/>
      <c r="L149" s="595"/>
      <c r="M149" s="595"/>
    </row>
    <row r="150" spans="1:13" ht="19.5" customHeight="1">
      <c r="A150" s="595"/>
      <c r="B150" s="595"/>
      <c r="C150" s="595"/>
      <c r="D150" s="595"/>
      <c r="E150" s="595"/>
      <c r="F150" s="595"/>
      <c r="G150" s="595"/>
      <c r="H150" s="595"/>
      <c r="I150" s="595"/>
      <c r="J150" s="595"/>
      <c r="K150" s="595"/>
      <c r="L150" s="595"/>
      <c r="M150" s="595"/>
    </row>
    <row r="151" spans="1:13" ht="19.5" customHeight="1">
      <c r="A151" s="595"/>
      <c r="B151" s="595"/>
      <c r="C151" s="595"/>
      <c r="D151" s="595"/>
      <c r="E151" s="595"/>
      <c r="F151" s="595"/>
      <c r="G151" s="595"/>
      <c r="H151" s="595"/>
      <c r="I151" s="595"/>
      <c r="J151" s="595"/>
      <c r="K151" s="595"/>
      <c r="L151" s="595"/>
      <c r="M151" s="595"/>
    </row>
    <row r="152" spans="1:13" ht="19.5" customHeight="1">
      <c r="A152" s="595"/>
      <c r="B152" s="595"/>
      <c r="C152" s="595"/>
      <c r="D152" s="595"/>
      <c r="E152" s="595"/>
      <c r="F152" s="595"/>
      <c r="G152" s="595"/>
      <c r="H152" s="595"/>
      <c r="I152" s="595"/>
      <c r="J152" s="595"/>
      <c r="K152" s="595"/>
      <c r="L152" s="595"/>
      <c r="M152" s="595"/>
    </row>
    <row r="153" spans="1:13" ht="19.5" customHeight="1">
      <c r="A153" s="595"/>
      <c r="B153" s="595"/>
      <c r="C153" s="595"/>
      <c r="D153" s="595"/>
      <c r="E153" s="595"/>
      <c r="F153" s="595"/>
      <c r="G153" s="595"/>
      <c r="H153" s="595"/>
      <c r="I153" s="595"/>
      <c r="J153" s="595"/>
      <c r="K153" s="595"/>
      <c r="L153" s="595"/>
      <c r="M153" s="595"/>
    </row>
    <row r="154" spans="1:13" ht="19.5" customHeight="1">
      <c r="A154" s="595"/>
      <c r="B154" s="595"/>
      <c r="C154" s="595"/>
      <c r="D154" s="595"/>
      <c r="E154" s="595"/>
      <c r="F154" s="595"/>
      <c r="G154" s="595"/>
      <c r="H154" s="595"/>
      <c r="I154" s="595"/>
      <c r="J154" s="595"/>
      <c r="K154" s="595"/>
      <c r="L154" s="595"/>
      <c r="M154" s="595"/>
    </row>
    <row r="155" spans="1:13" ht="19.5" customHeight="1">
      <c r="A155" s="595"/>
      <c r="B155" s="595"/>
      <c r="C155" s="595"/>
      <c r="D155" s="595"/>
      <c r="E155" s="595"/>
      <c r="F155" s="595"/>
      <c r="G155" s="595"/>
      <c r="H155" s="595"/>
      <c r="I155" s="595"/>
      <c r="J155" s="595"/>
      <c r="K155" s="595"/>
      <c r="L155" s="595"/>
      <c r="M155" s="595"/>
    </row>
    <row r="156" spans="1:13" ht="19.5" customHeight="1">
      <c r="A156" s="595"/>
      <c r="B156" s="595"/>
      <c r="C156" s="595"/>
      <c r="D156" s="595"/>
      <c r="E156" s="595"/>
      <c r="F156" s="595"/>
      <c r="G156" s="595"/>
      <c r="H156" s="595"/>
      <c r="I156" s="595"/>
      <c r="J156" s="595"/>
      <c r="K156" s="595"/>
      <c r="L156" s="595"/>
      <c r="M156" s="595"/>
    </row>
    <row r="157" spans="1:13" ht="19.5" customHeight="1">
      <c r="A157" s="595"/>
      <c r="B157" s="595"/>
      <c r="C157" s="595"/>
      <c r="D157" s="595"/>
      <c r="E157" s="595"/>
      <c r="F157" s="595"/>
      <c r="G157" s="595"/>
      <c r="H157" s="595"/>
      <c r="I157" s="595"/>
      <c r="J157" s="595"/>
      <c r="K157" s="595"/>
      <c r="L157" s="595"/>
      <c r="M157" s="595"/>
    </row>
    <row r="158" spans="1:13" ht="19.5" customHeight="1">
      <c r="A158" s="595"/>
      <c r="B158" s="595"/>
      <c r="C158" s="595"/>
      <c r="D158" s="595"/>
      <c r="E158" s="595"/>
      <c r="F158" s="595"/>
      <c r="G158" s="595"/>
      <c r="H158" s="595"/>
      <c r="I158" s="595"/>
      <c r="J158" s="595"/>
      <c r="K158" s="595"/>
      <c r="L158" s="595"/>
      <c r="M158" s="595"/>
    </row>
    <row r="159" spans="1:13" ht="19.5" customHeight="1">
      <c r="A159" s="595"/>
      <c r="B159" s="595"/>
      <c r="C159" s="595"/>
      <c r="D159" s="595"/>
      <c r="E159" s="595"/>
      <c r="F159" s="595"/>
      <c r="G159" s="595"/>
      <c r="H159" s="595"/>
      <c r="I159" s="595"/>
      <c r="J159" s="595"/>
      <c r="K159" s="595"/>
      <c r="L159" s="595"/>
      <c r="M159" s="595"/>
    </row>
    <row r="160" spans="1:13" ht="19.5" customHeight="1">
      <c r="A160" s="595"/>
      <c r="B160" s="595"/>
      <c r="C160" s="595"/>
      <c r="D160" s="595"/>
      <c r="E160" s="595"/>
      <c r="F160" s="595"/>
      <c r="G160" s="595"/>
      <c r="H160" s="595"/>
      <c r="I160" s="595"/>
      <c r="J160" s="595"/>
      <c r="K160" s="595"/>
      <c r="L160" s="595"/>
      <c r="M160" s="595"/>
    </row>
    <row r="161" spans="1:13" ht="19.5" customHeight="1">
      <c r="A161" s="595"/>
      <c r="B161" s="595"/>
      <c r="C161" s="595"/>
      <c r="D161" s="595"/>
      <c r="E161" s="595"/>
      <c r="F161" s="595"/>
      <c r="G161" s="595"/>
      <c r="H161" s="595"/>
      <c r="I161" s="595"/>
      <c r="J161" s="595"/>
      <c r="K161" s="595"/>
      <c r="L161" s="595"/>
      <c r="M161" s="595"/>
    </row>
    <row r="162" spans="1:13" ht="19.5" customHeight="1">
      <c r="A162" s="595"/>
      <c r="B162" s="595"/>
      <c r="C162" s="595"/>
      <c r="D162" s="595"/>
      <c r="E162" s="595"/>
      <c r="F162" s="595"/>
      <c r="G162" s="595"/>
      <c r="H162" s="595"/>
      <c r="I162" s="595"/>
      <c r="J162" s="595"/>
      <c r="K162" s="595"/>
      <c r="L162" s="595"/>
      <c r="M162" s="595"/>
    </row>
    <row r="163" spans="1:13" ht="19.5" customHeight="1">
      <c r="A163" s="595"/>
      <c r="B163" s="595"/>
      <c r="C163" s="595"/>
      <c r="D163" s="595"/>
      <c r="E163" s="595"/>
      <c r="F163" s="595"/>
      <c r="G163" s="595"/>
      <c r="H163" s="595"/>
      <c r="I163" s="595"/>
      <c r="J163" s="595"/>
      <c r="K163" s="595"/>
      <c r="L163" s="595"/>
      <c r="M163" s="595"/>
    </row>
    <row r="164" spans="1:13" ht="19.5" customHeight="1">
      <c r="A164" s="595"/>
      <c r="B164" s="595"/>
      <c r="C164" s="595"/>
      <c r="D164" s="595"/>
      <c r="E164" s="595"/>
      <c r="F164" s="595"/>
      <c r="G164" s="595"/>
      <c r="H164" s="595"/>
      <c r="I164" s="595"/>
      <c r="J164" s="595"/>
      <c r="K164" s="595"/>
      <c r="L164" s="595"/>
      <c r="M164" s="595"/>
    </row>
    <row r="165" spans="1:13" ht="19.5" customHeight="1">
      <c r="A165" s="595"/>
      <c r="B165" s="595"/>
      <c r="C165" s="595"/>
      <c r="D165" s="595"/>
      <c r="E165" s="595"/>
      <c r="F165" s="595"/>
      <c r="G165" s="595"/>
      <c r="H165" s="595"/>
      <c r="I165" s="595"/>
      <c r="J165" s="595"/>
      <c r="K165" s="595"/>
      <c r="L165" s="595"/>
      <c r="M165" s="595"/>
    </row>
    <row r="166" spans="1:13" ht="19.5" customHeight="1">
      <c r="A166" s="595"/>
      <c r="B166" s="595"/>
      <c r="C166" s="595"/>
      <c r="D166" s="595"/>
      <c r="E166" s="595"/>
      <c r="F166" s="595"/>
      <c r="G166" s="595"/>
      <c r="H166" s="595"/>
      <c r="I166" s="595"/>
      <c r="J166" s="595"/>
      <c r="K166" s="595"/>
      <c r="L166" s="595"/>
      <c r="M166" s="595"/>
    </row>
    <row r="167" spans="1:13" ht="19.5" customHeight="1">
      <c r="A167" s="595"/>
      <c r="B167" s="595"/>
      <c r="C167" s="595"/>
      <c r="D167" s="595"/>
      <c r="E167" s="595"/>
      <c r="F167" s="595"/>
      <c r="G167" s="595"/>
      <c r="H167" s="595"/>
      <c r="I167" s="595"/>
      <c r="J167" s="595"/>
      <c r="K167" s="595"/>
      <c r="L167" s="595"/>
      <c r="M167" s="595"/>
    </row>
    <row r="168" spans="1:13" ht="19.5" customHeight="1">
      <c r="A168" s="595"/>
      <c r="B168" s="595"/>
      <c r="C168" s="595"/>
      <c r="D168" s="595"/>
      <c r="E168" s="595"/>
      <c r="F168" s="595"/>
      <c r="G168" s="595"/>
      <c r="H168" s="595"/>
      <c r="I168" s="595"/>
      <c r="J168" s="595"/>
      <c r="K168" s="595"/>
      <c r="L168" s="595"/>
      <c r="M168" s="595"/>
    </row>
    <row r="169" spans="1:13" ht="19.5" customHeight="1">
      <c r="A169" s="595"/>
      <c r="B169" s="595"/>
      <c r="C169" s="595"/>
      <c r="D169" s="595"/>
      <c r="E169" s="595"/>
      <c r="F169" s="595"/>
      <c r="G169" s="595"/>
      <c r="H169" s="595"/>
      <c r="I169" s="595"/>
      <c r="J169" s="595"/>
      <c r="K169" s="595"/>
      <c r="L169" s="595"/>
      <c r="M169" s="595"/>
    </row>
    <row r="170" spans="1:13" ht="19.5" customHeight="1">
      <c r="A170" s="595"/>
      <c r="B170" s="595"/>
      <c r="C170" s="595"/>
      <c r="D170" s="595"/>
      <c r="E170" s="595"/>
      <c r="F170" s="595"/>
      <c r="G170" s="595"/>
      <c r="H170" s="595"/>
      <c r="I170" s="595"/>
      <c r="J170" s="595"/>
      <c r="K170" s="595"/>
      <c r="L170" s="595"/>
      <c r="M170" s="595"/>
    </row>
    <row r="171" spans="1:13" ht="19.5" customHeight="1">
      <c r="A171" s="595"/>
      <c r="B171" s="595"/>
      <c r="C171" s="595"/>
      <c r="D171" s="595"/>
      <c r="E171" s="595"/>
      <c r="F171" s="595"/>
      <c r="G171" s="595"/>
      <c r="H171" s="595"/>
      <c r="I171" s="595"/>
      <c r="J171" s="595"/>
      <c r="K171" s="595"/>
      <c r="L171" s="595"/>
      <c r="M171" s="595"/>
    </row>
    <row r="172" spans="1:13" ht="19.5" customHeight="1">
      <c r="A172" s="595"/>
      <c r="B172" s="595"/>
      <c r="C172" s="595"/>
      <c r="D172" s="595"/>
      <c r="E172" s="595"/>
      <c r="F172" s="595"/>
      <c r="G172" s="595"/>
      <c r="H172" s="595"/>
      <c r="I172" s="595"/>
      <c r="J172" s="595"/>
      <c r="K172" s="595"/>
      <c r="L172" s="595"/>
      <c r="M172" s="595"/>
    </row>
    <row r="173" spans="1:13" ht="19.5" customHeight="1">
      <c r="A173" s="595"/>
      <c r="B173" s="595"/>
      <c r="C173" s="595"/>
      <c r="D173" s="595"/>
      <c r="E173" s="595"/>
      <c r="F173" s="595"/>
      <c r="G173" s="595"/>
      <c r="H173" s="595"/>
      <c r="I173" s="595"/>
      <c r="J173" s="595"/>
      <c r="K173" s="595"/>
      <c r="L173" s="595"/>
      <c r="M173" s="595"/>
    </row>
    <row r="174" spans="1:13" ht="19.5" customHeight="1">
      <c r="A174" s="595"/>
      <c r="B174" s="595"/>
      <c r="C174" s="595"/>
      <c r="D174" s="595"/>
      <c r="E174" s="595"/>
      <c r="F174" s="595"/>
      <c r="G174" s="595"/>
      <c r="H174" s="595"/>
      <c r="I174" s="595"/>
      <c r="J174" s="595"/>
      <c r="K174" s="595"/>
      <c r="L174" s="595"/>
      <c r="M174" s="595"/>
    </row>
    <row r="175" spans="1:13" ht="19.5" customHeight="1">
      <c r="A175" s="595"/>
      <c r="B175" s="595"/>
      <c r="C175" s="595"/>
      <c r="D175" s="595"/>
      <c r="E175" s="595"/>
      <c r="F175" s="595"/>
      <c r="G175" s="595"/>
      <c r="H175" s="595"/>
      <c r="I175" s="595"/>
      <c r="J175" s="595"/>
      <c r="K175" s="595"/>
      <c r="L175" s="595"/>
      <c r="M175" s="595"/>
    </row>
    <row r="176" spans="1:13" ht="19.5" customHeight="1">
      <c r="A176" s="595"/>
      <c r="B176" s="595"/>
      <c r="C176" s="595"/>
      <c r="D176" s="595"/>
      <c r="E176" s="595"/>
      <c r="F176" s="595"/>
      <c r="G176" s="595"/>
      <c r="H176" s="595"/>
      <c r="I176" s="595"/>
      <c r="J176" s="595"/>
      <c r="K176" s="595"/>
      <c r="L176" s="595"/>
      <c r="M176" s="595"/>
    </row>
    <row r="177" spans="1:13" ht="19.5" customHeight="1">
      <c r="A177" s="595"/>
      <c r="B177" s="595"/>
      <c r="C177" s="595"/>
      <c r="D177" s="595"/>
      <c r="E177" s="595"/>
      <c r="F177" s="595"/>
      <c r="G177" s="595"/>
      <c r="H177" s="595"/>
      <c r="I177" s="595"/>
      <c r="J177" s="595"/>
      <c r="K177" s="595"/>
      <c r="L177" s="595"/>
      <c r="M177" s="595"/>
    </row>
    <row r="178" spans="1:13" ht="19.5" customHeight="1">
      <c r="A178" s="595"/>
      <c r="B178" s="595"/>
      <c r="C178" s="595"/>
      <c r="D178" s="595"/>
      <c r="E178" s="595"/>
      <c r="F178" s="595"/>
      <c r="G178" s="595"/>
      <c r="H178" s="595"/>
      <c r="I178" s="595"/>
      <c r="J178" s="595"/>
      <c r="K178" s="595"/>
      <c r="L178" s="595"/>
      <c r="M178" s="595"/>
    </row>
    <row r="179" spans="1:13" ht="19.5" customHeight="1">
      <c r="A179" s="595"/>
      <c r="B179" s="595"/>
      <c r="C179" s="595"/>
      <c r="D179" s="595"/>
      <c r="E179" s="595"/>
      <c r="F179" s="595"/>
      <c r="G179" s="595"/>
      <c r="H179" s="595"/>
      <c r="I179" s="595"/>
      <c r="J179" s="595"/>
      <c r="K179" s="595"/>
      <c r="L179" s="595"/>
      <c r="M179" s="595"/>
    </row>
    <row r="180" spans="1:13" ht="19.5" customHeight="1">
      <c r="A180" s="595"/>
      <c r="B180" s="595"/>
      <c r="C180" s="595"/>
      <c r="D180" s="595"/>
      <c r="E180" s="595"/>
      <c r="F180" s="595"/>
      <c r="G180" s="595"/>
      <c r="H180" s="595"/>
      <c r="I180" s="595"/>
      <c r="J180" s="595"/>
      <c r="K180" s="595"/>
      <c r="L180" s="595"/>
      <c r="M180" s="595"/>
    </row>
    <row r="181" spans="1:13" ht="19.5" customHeight="1">
      <c r="A181" s="595"/>
      <c r="B181" s="595"/>
      <c r="C181" s="595"/>
      <c r="D181" s="595"/>
      <c r="E181" s="595"/>
      <c r="F181" s="595"/>
      <c r="G181" s="595"/>
      <c r="H181" s="595"/>
      <c r="I181" s="595"/>
      <c r="J181" s="595"/>
      <c r="K181" s="595"/>
      <c r="L181" s="595"/>
      <c r="M181" s="595"/>
    </row>
    <row r="182" spans="1:13" ht="19.5" customHeight="1">
      <c r="A182" s="595"/>
      <c r="B182" s="595"/>
      <c r="C182" s="595"/>
      <c r="D182" s="595"/>
      <c r="E182" s="595"/>
      <c r="F182" s="595"/>
      <c r="G182" s="595"/>
      <c r="H182" s="595"/>
      <c r="I182" s="595"/>
      <c r="J182" s="595"/>
      <c r="K182" s="595"/>
      <c r="L182" s="595"/>
      <c r="M182" s="595"/>
    </row>
    <row r="183" spans="1:13" ht="19.5" customHeight="1">
      <c r="A183" s="595"/>
      <c r="B183" s="595"/>
      <c r="C183" s="595"/>
      <c r="D183" s="595"/>
      <c r="E183" s="595"/>
      <c r="F183" s="595"/>
      <c r="G183" s="595"/>
      <c r="H183" s="595"/>
      <c r="I183" s="595"/>
      <c r="J183" s="595"/>
      <c r="K183" s="595"/>
      <c r="L183" s="595"/>
      <c r="M183" s="595"/>
    </row>
    <row r="184" spans="1:13" ht="19.5" customHeight="1">
      <c r="A184" s="595"/>
      <c r="B184" s="595"/>
      <c r="C184" s="595"/>
      <c r="D184" s="595"/>
      <c r="E184" s="595"/>
      <c r="F184" s="595"/>
      <c r="G184" s="595"/>
      <c r="H184" s="595"/>
      <c r="I184" s="595"/>
      <c r="J184" s="595"/>
      <c r="K184" s="595"/>
      <c r="L184" s="595"/>
      <c r="M184" s="595"/>
    </row>
    <row r="185" spans="1:13" ht="19.5" customHeight="1">
      <c r="A185" s="595"/>
      <c r="B185" s="595"/>
      <c r="C185" s="595"/>
      <c r="D185" s="595"/>
      <c r="E185" s="595"/>
      <c r="F185" s="595"/>
      <c r="G185" s="595"/>
      <c r="H185" s="595"/>
      <c r="I185" s="595"/>
      <c r="J185" s="595"/>
      <c r="K185" s="595"/>
      <c r="L185" s="595"/>
      <c r="M185" s="595"/>
    </row>
    <row r="186" spans="1:13" ht="19.5" customHeight="1">
      <c r="A186" s="595"/>
      <c r="B186" s="595"/>
      <c r="C186" s="595"/>
      <c r="D186" s="595"/>
      <c r="E186" s="595"/>
      <c r="F186" s="595"/>
      <c r="G186" s="595"/>
      <c r="H186" s="595"/>
      <c r="I186" s="595"/>
      <c r="J186" s="595"/>
      <c r="K186" s="595"/>
      <c r="L186" s="595"/>
      <c r="M186" s="595"/>
    </row>
    <row r="187" spans="1:13" ht="19.5" customHeight="1">
      <c r="A187" s="595"/>
      <c r="B187" s="595"/>
      <c r="C187" s="595"/>
      <c r="D187" s="595"/>
      <c r="E187" s="595"/>
      <c r="F187" s="595"/>
      <c r="G187" s="595"/>
      <c r="H187" s="595"/>
      <c r="I187" s="595"/>
      <c r="J187" s="595"/>
      <c r="K187" s="595"/>
      <c r="L187" s="595"/>
      <c r="M187" s="595"/>
    </row>
    <row r="188" spans="1:13" ht="19.5" customHeight="1">
      <c r="A188" s="595"/>
      <c r="B188" s="595"/>
      <c r="C188" s="595"/>
      <c r="D188" s="595"/>
      <c r="E188" s="595"/>
      <c r="F188" s="595"/>
      <c r="G188" s="595"/>
      <c r="H188" s="595"/>
      <c r="I188" s="595"/>
      <c r="J188" s="595"/>
      <c r="K188" s="595"/>
      <c r="L188" s="595"/>
      <c r="M188" s="595"/>
    </row>
    <row r="189" spans="1:13" ht="19.5" customHeight="1">
      <c r="A189" s="595"/>
      <c r="B189" s="595"/>
      <c r="C189" s="595"/>
      <c r="D189" s="595"/>
      <c r="E189" s="595"/>
      <c r="F189" s="595"/>
      <c r="G189" s="595"/>
      <c r="H189" s="595"/>
      <c r="I189" s="595"/>
      <c r="J189" s="595"/>
      <c r="K189" s="595"/>
      <c r="L189" s="595"/>
      <c r="M189" s="595"/>
    </row>
    <row r="190" spans="1:13" ht="19.5" customHeight="1">
      <c r="A190" s="595"/>
      <c r="B190" s="595"/>
      <c r="C190" s="595"/>
      <c r="D190" s="595"/>
      <c r="E190" s="595"/>
      <c r="F190" s="595"/>
      <c r="G190" s="595"/>
      <c r="H190" s="595"/>
      <c r="I190" s="595"/>
      <c r="J190" s="595"/>
      <c r="K190" s="595"/>
      <c r="L190" s="595"/>
      <c r="M190" s="595"/>
    </row>
    <row r="191" spans="1:13" ht="19.5" customHeight="1">
      <c r="A191" s="595"/>
      <c r="B191" s="595"/>
      <c r="C191" s="595"/>
      <c r="D191" s="595"/>
      <c r="E191" s="595"/>
      <c r="F191" s="595"/>
      <c r="G191" s="595"/>
      <c r="H191" s="595"/>
      <c r="I191" s="595"/>
      <c r="J191" s="595"/>
      <c r="K191" s="595"/>
      <c r="L191" s="595"/>
      <c r="M191" s="595"/>
    </row>
    <row r="192" spans="1:13" ht="19.5" customHeight="1">
      <c r="A192" s="595"/>
      <c r="B192" s="595"/>
      <c r="C192" s="595"/>
      <c r="D192" s="595"/>
      <c r="E192" s="595"/>
      <c r="F192" s="595"/>
      <c r="G192" s="595"/>
      <c r="H192" s="595"/>
      <c r="I192" s="595"/>
      <c r="J192" s="595"/>
      <c r="K192" s="595"/>
      <c r="L192" s="595"/>
      <c r="M192" s="595"/>
    </row>
    <row r="193" spans="1:13" ht="19.5" customHeight="1">
      <c r="A193" s="595"/>
      <c r="B193" s="595"/>
      <c r="C193" s="595"/>
      <c r="D193" s="595"/>
      <c r="E193" s="595"/>
      <c r="F193" s="595"/>
      <c r="G193" s="595"/>
      <c r="H193" s="595"/>
      <c r="I193" s="595"/>
      <c r="J193" s="595"/>
      <c r="K193" s="595"/>
      <c r="L193" s="595"/>
      <c r="M193" s="595"/>
    </row>
    <row r="194" spans="1:13" ht="19.5" customHeight="1">
      <c r="A194" s="595"/>
      <c r="B194" s="595"/>
      <c r="C194" s="595"/>
      <c r="D194" s="595"/>
      <c r="E194" s="595"/>
      <c r="F194" s="595"/>
      <c r="G194" s="595"/>
      <c r="H194" s="595"/>
      <c r="I194" s="595"/>
      <c r="J194" s="595"/>
      <c r="K194" s="595"/>
      <c r="L194" s="595"/>
      <c r="M194" s="595"/>
    </row>
    <row r="195" spans="1:13" ht="19.5" customHeight="1">
      <c r="A195" s="595"/>
      <c r="B195" s="595"/>
      <c r="C195" s="595"/>
      <c r="D195" s="595"/>
      <c r="E195" s="595"/>
      <c r="F195" s="595"/>
      <c r="G195" s="595"/>
      <c r="H195" s="595"/>
      <c r="I195" s="595"/>
      <c r="J195" s="595"/>
      <c r="K195" s="595"/>
      <c r="L195" s="595"/>
      <c r="M195" s="595"/>
    </row>
    <row r="196" spans="1:13" ht="19.5" customHeight="1">
      <c r="A196" s="595"/>
      <c r="B196" s="595"/>
      <c r="C196" s="595"/>
      <c r="D196" s="595"/>
      <c r="E196" s="595"/>
      <c r="F196" s="595"/>
      <c r="G196" s="595"/>
      <c r="H196" s="595"/>
      <c r="I196" s="595"/>
      <c r="J196" s="595"/>
      <c r="K196" s="595"/>
      <c r="L196" s="595"/>
      <c r="M196" s="595"/>
    </row>
    <row r="197" spans="1:13" ht="19.5" customHeight="1">
      <c r="A197" s="595"/>
      <c r="B197" s="595"/>
      <c r="C197" s="595"/>
      <c r="D197" s="595"/>
      <c r="E197" s="595"/>
      <c r="F197" s="595"/>
      <c r="G197" s="595"/>
      <c r="H197" s="595"/>
      <c r="I197" s="595"/>
      <c r="J197" s="595"/>
      <c r="K197" s="595"/>
      <c r="L197" s="595"/>
      <c r="M197" s="595"/>
    </row>
    <row r="198" spans="1:13" ht="19.5" customHeight="1">
      <c r="A198" s="595"/>
      <c r="B198" s="595"/>
      <c r="C198" s="595"/>
      <c r="D198" s="595"/>
      <c r="E198" s="595"/>
      <c r="F198" s="595"/>
      <c r="G198" s="595"/>
      <c r="H198" s="595"/>
      <c r="I198" s="595"/>
      <c r="J198" s="595"/>
      <c r="K198" s="595"/>
      <c r="L198" s="595"/>
      <c r="M198" s="595"/>
    </row>
    <row r="199" spans="1:13" ht="19.5" customHeight="1">
      <c r="A199" s="595"/>
      <c r="B199" s="595"/>
      <c r="C199" s="595"/>
      <c r="D199" s="595"/>
      <c r="E199" s="595"/>
      <c r="F199" s="595"/>
      <c r="G199" s="595"/>
      <c r="H199" s="595"/>
      <c r="I199" s="595"/>
      <c r="J199" s="595"/>
      <c r="K199" s="595"/>
      <c r="L199" s="595"/>
      <c r="M199" s="595"/>
    </row>
    <row r="200" spans="1:13" ht="19.5" customHeight="1">
      <c r="A200" s="595"/>
      <c r="B200" s="595"/>
      <c r="C200" s="595"/>
      <c r="D200" s="595"/>
      <c r="E200" s="595"/>
      <c r="F200" s="595"/>
      <c r="G200" s="595"/>
      <c r="H200" s="595"/>
      <c r="I200" s="595"/>
      <c r="J200" s="595"/>
      <c r="K200" s="595"/>
      <c r="L200" s="595"/>
      <c r="M200" s="595"/>
    </row>
    <row r="201" spans="1:13" ht="19.5" customHeight="1">
      <c r="A201" s="595"/>
      <c r="B201" s="595"/>
      <c r="C201" s="595"/>
      <c r="D201" s="595"/>
      <c r="E201" s="595"/>
      <c r="F201" s="595"/>
      <c r="G201" s="595"/>
      <c r="H201" s="595"/>
      <c r="I201" s="595"/>
      <c r="J201" s="595"/>
      <c r="K201" s="595"/>
      <c r="L201" s="595"/>
      <c r="M201" s="595"/>
    </row>
    <row r="202" spans="1:13" ht="19.5" customHeight="1">
      <c r="A202" s="595"/>
      <c r="B202" s="595"/>
      <c r="C202" s="595"/>
      <c r="D202" s="595"/>
      <c r="E202" s="595"/>
      <c r="F202" s="595"/>
      <c r="G202" s="595"/>
      <c r="H202" s="595"/>
      <c r="I202" s="595"/>
      <c r="J202" s="595"/>
      <c r="K202" s="595"/>
      <c r="L202" s="595"/>
      <c r="M202" s="595"/>
    </row>
    <row r="203" spans="1:13" ht="19.5" customHeight="1">
      <c r="A203" s="595"/>
      <c r="B203" s="595"/>
      <c r="C203" s="595"/>
      <c r="D203" s="595"/>
      <c r="E203" s="595"/>
      <c r="F203" s="595"/>
      <c r="G203" s="595"/>
      <c r="H203" s="595"/>
      <c r="I203" s="595"/>
      <c r="J203" s="595"/>
      <c r="K203" s="595"/>
      <c r="L203" s="595"/>
      <c r="M203" s="595"/>
    </row>
    <row r="204" spans="1:13" ht="19.5" customHeight="1">
      <c r="A204" s="595"/>
      <c r="B204" s="595"/>
      <c r="C204" s="595"/>
      <c r="D204" s="595"/>
      <c r="E204" s="595"/>
      <c r="F204" s="595"/>
      <c r="G204" s="595"/>
      <c r="H204" s="595"/>
      <c r="I204" s="595"/>
      <c r="J204" s="595"/>
      <c r="K204" s="595"/>
      <c r="L204" s="595"/>
      <c r="M204" s="595"/>
    </row>
    <row r="205" spans="1:13" ht="19.5" customHeight="1">
      <c r="A205" s="595"/>
      <c r="B205" s="595"/>
      <c r="C205" s="595"/>
      <c r="D205" s="595"/>
      <c r="E205" s="595"/>
      <c r="F205" s="595"/>
      <c r="G205" s="595"/>
      <c r="H205" s="595"/>
      <c r="I205" s="595"/>
      <c r="J205" s="595"/>
      <c r="K205" s="595"/>
      <c r="L205" s="595"/>
      <c r="M205" s="595"/>
    </row>
    <row r="206" spans="1:13" ht="19.5" customHeight="1">
      <c r="A206" s="595"/>
      <c r="B206" s="595"/>
      <c r="C206" s="595"/>
      <c r="D206" s="595"/>
      <c r="E206" s="595"/>
      <c r="F206" s="595"/>
      <c r="G206" s="595"/>
      <c r="H206" s="595"/>
      <c r="I206" s="595"/>
      <c r="J206" s="595"/>
      <c r="K206" s="595"/>
      <c r="L206" s="595"/>
      <c r="M206" s="595"/>
    </row>
    <row r="207" spans="1:13" ht="19.5" customHeight="1">
      <c r="A207" s="595"/>
      <c r="B207" s="595"/>
      <c r="C207" s="595"/>
      <c r="D207" s="595"/>
      <c r="E207" s="595"/>
      <c r="F207" s="595"/>
      <c r="G207" s="595"/>
      <c r="H207" s="595"/>
      <c r="I207" s="595"/>
      <c r="J207" s="595"/>
      <c r="K207" s="595"/>
      <c r="L207" s="595"/>
      <c r="M207" s="595"/>
    </row>
    <row r="208" spans="1:13" ht="19.5" customHeight="1">
      <c r="A208" s="595"/>
      <c r="B208" s="595"/>
      <c r="C208" s="595"/>
      <c r="D208" s="595"/>
      <c r="E208" s="595"/>
      <c r="F208" s="595"/>
      <c r="G208" s="595"/>
      <c r="H208" s="595"/>
      <c r="I208" s="595"/>
      <c r="J208" s="595"/>
      <c r="K208" s="595"/>
      <c r="L208" s="595"/>
      <c r="M208" s="595"/>
    </row>
    <row r="209" spans="1:13" ht="19.5" customHeight="1">
      <c r="A209" s="595"/>
      <c r="B209" s="595"/>
      <c r="C209" s="595"/>
      <c r="D209" s="595"/>
      <c r="E209" s="595"/>
      <c r="F209" s="595"/>
      <c r="G209" s="595"/>
      <c r="H209" s="595"/>
      <c r="I209" s="595"/>
      <c r="J209" s="595"/>
      <c r="K209" s="595"/>
      <c r="L209" s="595"/>
      <c r="M209" s="595"/>
    </row>
    <row r="210" spans="1:13" ht="19.5" customHeight="1">
      <c r="A210" s="595"/>
      <c r="B210" s="595"/>
      <c r="C210" s="595"/>
      <c r="D210" s="595"/>
      <c r="E210" s="595"/>
      <c r="F210" s="595"/>
      <c r="G210" s="595"/>
      <c r="H210" s="595"/>
      <c r="I210" s="595"/>
      <c r="J210" s="595"/>
      <c r="K210" s="595"/>
      <c r="L210" s="595"/>
      <c r="M210" s="595"/>
    </row>
    <row r="211" spans="1:13" ht="19.5" customHeight="1">
      <c r="A211" s="595"/>
      <c r="B211" s="595"/>
      <c r="C211" s="595"/>
      <c r="D211" s="595"/>
      <c r="E211" s="595"/>
      <c r="F211" s="595"/>
      <c r="G211" s="595"/>
      <c r="H211" s="595"/>
      <c r="I211" s="595"/>
      <c r="J211" s="595"/>
      <c r="K211" s="595"/>
      <c r="L211" s="595"/>
      <c r="M211" s="595"/>
    </row>
    <row r="212" spans="1:13" ht="19.5" customHeight="1">
      <c r="A212" s="595"/>
      <c r="B212" s="595"/>
      <c r="C212" s="595"/>
      <c r="D212" s="595"/>
      <c r="E212" s="595"/>
      <c r="F212" s="595"/>
      <c r="G212" s="595"/>
      <c r="H212" s="595"/>
      <c r="I212" s="595"/>
      <c r="J212" s="595"/>
      <c r="K212" s="595"/>
      <c r="L212" s="595"/>
      <c r="M212" s="595"/>
    </row>
    <row r="213" spans="1:13" ht="19.5" customHeight="1">
      <c r="A213" s="595"/>
      <c r="B213" s="595"/>
      <c r="C213" s="595"/>
      <c r="D213" s="595"/>
      <c r="E213" s="595"/>
      <c r="F213" s="595"/>
      <c r="G213" s="595"/>
      <c r="H213" s="595"/>
      <c r="I213" s="595"/>
      <c r="J213" s="595"/>
      <c r="K213" s="595"/>
      <c r="L213" s="595"/>
      <c r="M213" s="595"/>
    </row>
    <row r="214" spans="1:13" ht="19.5" customHeight="1">
      <c r="A214" s="595"/>
      <c r="B214" s="595"/>
      <c r="C214" s="595"/>
      <c r="D214" s="595"/>
      <c r="E214" s="595"/>
      <c r="F214" s="595"/>
      <c r="G214" s="595"/>
      <c r="H214" s="595"/>
      <c r="I214" s="595"/>
      <c r="J214" s="595"/>
      <c r="K214" s="595"/>
      <c r="L214" s="595"/>
      <c r="M214" s="595"/>
    </row>
    <row r="215" spans="1:13" ht="19.5" customHeight="1">
      <c r="A215" s="595"/>
      <c r="B215" s="595"/>
      <c r="C215" s="595"/>
      <c r="D215" s="595"/>
      <c r="E215" s="595"/>
      <c r="F215" s="595"/>
      <c r="G215" s="595"/>
      <c r="H215" s="595"/>
      <c r="I215" s="595"/>
      <c r="J215" s="595"/>
      <c r="K215" s="595"/>
      <c r="L215" s="595"/>
      <c r="M215" s="595"/>
    </row>
    <row r="216" spans="1:13" ht="19.5" customHeight="1">
      <c r="A216" s="595"/>
      <c r="B216" s="595"/>
      <c r="C216" s="595"/>
      <c r="D216" s="595"/>
      <c r="E216" s="595"/>
      <c r="F216" s="595"/>
      <c r="G216" s="595"/>
      <c r="H216" s="595"/>
      <c r="I216" s="595"/>
      <c r="J216" s="595"/>
      <c r="K216" s="595"/>
      <c r="L216" s="595"/>
      <c r="M216" s="595"/>
    </row>
    <row r="217" spans="1:13" ht="19.5" customHeight="1">
      <c r="A217" s="595"/>
      <c r="B217" s="595"/>
      <c r="C217" s="595"/>
      <c r="D217" s="595"/>
      <c r="E217" s="595"/>
      <c r="F217" s="595"/>
      <c r="G217" s="595"/>
      <c r="H217" s="595"/>
      <c r="I217" s="595"/>
      <c r="J217" s="595"/>
      <c r="K217" s="595"/>
      <c r="L217" s="595"/>
      <c r="M217" s="595"/>
    </row>
    <row r="218" spans="1:13" ht="19.5" customHeight="1">
      <c r="A218" s="595"/>
      <c r="B218" s="595"/>
      <c r="C218" s="595"/>
      <c r="D218" s="595"/>
      <c r="E218" s="595"/>
      <c r="F218" s="595"/>
      <c r="G218" s="595"/>
      <c r="H218" s="595"/>
      <c r="I218" s="595"/>
      <c r="J218" s="595"/>
      <c r="K218" s="595"/>
      <c r="L218" s="595"/>
      <c r="M218" s="595"/>
    </row>
    <row r="219" spans="1:13" ht="19.5" customHeight="1">
      <c r="A219" s="595"/>
      <c r="B219" s="595"/>
      <c r="C219" s="595"/>
      <c r="D219" s="595"/>
      <c r="E219" s="595"/>
      <c r="F219" s="595"/>
      <c r="G219" s="595"/>
      <c r="H219" s="595"/>
      <c r="I219" s="595"/>
      <c r="J219" s="595"/>
      <c r="K219" s="595"/>
      <c r="L219" s="595"/>
      <c r="M219" s="595"/>
    </row>
    <row r="220" spans="1:13" ht="19.5" customHeight="1">
      <c r="A220" s="595"/>
      <c r="B220" s="595"/>
      <c r="C220" s="595"/>
      <c r="D220" s="595"/>
      <c r="E220" s="595"/>
      <c r="F220" s="595"/>
      <c r="G220" s="595"/>
      <c r="H220" s="595"/>
      <c r="I220" s="595"/>
      <c r="J220" s="595"/>
      <c r="K220" s="595"/>
      <c r="L220" s="595"/>
      <c r="M220" s="595"/>
    </row>
    <row r="221" spans="1:13" ht="19.5" customHeight="1">
      <c r="A221" s="595"/>
      <c r="B221" s="595"/>
      <c r="C221" s="595"/>
      <c r="D221" s="595"/>
      <c r="E221" s="595"/>
      <c r="F221" s="595"/>
      <c r="G221" s="595"/>
      <c r="H221" s="595"/>
      <c r="I221" s="595"/>
      <c r="J221" s="595"/>
      <c r="K221" s="595"/>
      <c r="L221" s="595"/>
      <c r="M221" s="595"/>
    </row>
    <row r="222" spans="1:13" ht="19.5" customHeight="1">
      <c r="A222" s="595"/>
      <c r="B222" s="595"/>
      <c r="C222" s="595"/>
      <c r="D222" s="595"/>
      <c r="E222" s="595"/>
      <c r="F222" s="595"/>
      <c r="G222" s="595"/>
      <c r="H222" s="595"/>
      <c r="I222" s="595"/>
      <c r="J222" s="595"/>
      <c r="K222" s="595"/>
      <c r="L222" s="595"/>
      <c r="M222" s="595"/>
    </row>
    <row r="223" spans="1:13" ht="19.5" customHeight="1">
      <c r="A223" s="595"/>
      <c r="B223" s="595"/>
      <c r="C223" s="595"/>
      <c r="D223" s="595"/>
      <c r="E223" s="595"/>
      <c r="F223" s="595"/>
      <c r="G223" s="595"/>
      <c r="H223" s="595"/>
      <c r="I223" s="595"/>
      <c r="J223" s="595"/>
      <c r="K223" s="595"/>
      <c r="L223" s="595"/>
      <c r="M223" s="595"/>
    </row>
    <row r="224" spans="1:13" ht="19.5" customHeight="1">
      <c r="A224" s="595"/>
      <c r="B224" s="595"/>
      <c r="C224" s="595"/>
      <c r="D224" s="595"/>
      <c r="E224" s="595"/>
      <c r="F224" s="595"/>
      <c r="G224" s="595"/>
      <c r="H224" s="595"/>
      <c r="I224" s="595"/>
      <c r="J224" s="595"/>
      <c r="K224" s="595"/>
      <c r="L224" s="595"/>
      <c r="M224" s="595"/>
    </row>
    <row r="225" spans="1:13" ht="19.5" customHeight="1">
      <c r="A225" s="595"/>
      <c r="B225" s="595"/>
      <c r="C225" s="595"/>
      <c r="D225" s="595"/>
      <c r="E225" s="595"/>
      <c r="F225" s="595"/>
      <c r="G225" s="595"/>
      <c r="H225" s="595"/>
      <c r="I225" s="595"/>
      <c r="J225" s="595"/>
      <c r="K225" s="595"/>
      <c r="L225" s="595"/>
      <c r="M225" s="595"/>
    </row>
    <row r="226" spans="1:13" ht="19.5" customHeight="1">
      <c r="A226" s="595"/>
      <c r="B226" s="595"/>
      <c r="C226" s="595"/>
      <c r="D226" s="595"/>
      <c r="E226" s="595"/>
      <c r="F226" s="595"/>
      <c r="G226" s="595"/>
      <c r="H226" s="595"/>
      <c r="I226" s="595"/>
      <c r="J226" s="595"/>
      <c r="K226" s="595"/>
      <c r="L226" s="595"/>
      <c r="M226" s="595"/>
    </row>
    <row r="227" spans="1:13" ht="19.5" customHeight="1">
      <c r="A227" s="595"/>
      <c r="B227" s="595"/>
      <c r="C227" s="595"/>
      <c r="D227" s="595"/>
      <c r="E227" s="595"/>
      <c r="F227" s="595"/>
      <c r="G227" s="595"/>
      <c r="H227" s="595"/>
      <c r="I227" s="595"/>
      <c r="J227" s="595"/>
      <c r="K227" s="595"/>
      <c r="L227" s="595"/>
      <c r="M227" s="595"/>
    </row>
    <row r="228" spans="1:13" ht="19.5" customHeight="1">
      <c r="A228" s="595"/>
      <c r="B228" s="595"/>
      <c r="C228" s="595"/>
      <c r="D228" s="595"/>
      <c r="E228" s="595"/>
      <c r="F228" s="595"/>
      <c r="G228" s="595"/>
      <c r="H228" s="595"/>
      <c r="I228" s="595"/>
      <c r="J228" s="595"/>
      <c r="K228" s="595"/>
      <c r="L228" s="595"/>
      <c r="M228" s="595"/>
    </row>
    <row r="229" spans="1:13" ht="19.5" customHeight="1">
      <c r="A229" s="595"/>
      <c r="B229" s="595"/>
      <c r="C229" s="595"/>
      <c r="D229" s="595"/>
      <c r="E229" s="595"/>
      <c r="F229" s="595"/>
      <c r="G229" s="595"/>
      <c r="H229" s="595"/>
      <c r="I229" s="595"/>
      <c r="J229" s="595"/>
      <c r="K229" s="595"/>
      <c r="L229" s="595"/>
      <c r="M229" s="595"/>
    </row>
    <row r="230" spans="1:13" ht="19.5" customHeight="1">
      <c r="A230" s="595"/>
      <c r="B230" s="595"/>
      <c r="C230" s="595"/>
      <c r="D230" s="595"/>
      <c r="E230" s="595"/>
      <c r="F230" s="595"/>
      <c r="G230" s="595"/>
      <c r="H230" s="595"/>
      <c r="I230" s="595"/>
      <c r="J230" s="595"/>
      <c r="K230" s="595"/>
      <c r="L230" s="595"/>
      <c r="M230" s="595"/>
    </row>
    <row r="231" spans="1:13" ht="19.5" customHeight="1">
      <c r="A231" s="595"/>
      <c r="B231" s="595"/>
      <c r="C231" s="595"/>
      <c r="D231" s="595"/>
      <c r="E231" s="595"/>
      <c r="F231" s="595"/>
      <c r="G231" s="595"/>
      <c r="H231" s="595"/>
      <c r="I231" s="595"/>
      <c r="J231" s="595"/>
      <c r="K231" s="595"/>
      <c r="L231" s="595"/>
      <c r="M231" s="595"/>
    </row>
    <row r="232" spans="1:13" ht="19.5" customHeight="1">
      <c r="A232" s="595"/>
      <c r="B232" s="595"/>
      <c r="C232" s="595"/>
      <c r="D232" s="595"/>
      <c r="E232" s="595"/>
      <c r="F232" s="595"/>
      <c r="G232" s="595"/>
      <c r="H232" s="595"/>
      <c r="I232" s="595"/>
      <c r="J232" s="595"/>
      <c r="K232" s="595"/>
      <c r="L232" s="595"/>
      <c r="M232" s="595"/>
    </row>
    <row r="233" spans="1:13" ht="19.5" customHeight="1">
      <c r="A233" s="595"/>
      <c r="B233" s="595"/>
      <c r="C233" s="595"/>
      <c r="D233" s="595"/>
      <c r="E233" s="595"/>
      <c r="F233" s="595"/>
      <c r="G233" s="595"/>
      <c r="H233" s="595"/>
      <c r="I233" s="595"/>
      <c r="J233" s="595"/>
      <c r="K233" s="595"/>
      <c r="L233" s="595"/>
      <c r="M233" s="595"/>
    </row>
    <row r="234" spans="1:13" ht="19.5" customHeight="1">
      <c r="A234" s="595"/>
      <c r="B234" s="595"/>
      <c r="C234" s="595"/>
      <c r="D234" s="595"/>
      <c r="E234" s="595"/>
      <c r="F234" s="595"/>
      <c r="G234" s="595"/>
      <c r="H234" s="595"/>
      <c r="I234" s="595"/>
      <c r="J234" s="595"/>
      <c r="K234" s="595"/>
      <c r="L234" s="595"/>
      <c r="M234" s="595"/>
    </row>
    <row r="235" spans="1:13" ht="19.5" customHeight="1">
      <c r="A235" s="595"/>
      <c r="B235" s="595"/>
      <c r="C235" s="595"/>
      <c r="D235" s="595"/>
      <c r="E235" s="595"/>
      <c r="F235" s="595"/>
      <c r="G235" s="595"/>
      <c r="H235" s="595"/>
      <c r="I235" s="595"/>
      <c r="J235" s="595"/>
      <c r="K235" s="595"/>
      <c r="L235" s="595"/>
      <c r="M235" s="595"/>
    </row>
    <row r="236" spans="1:13" ht="19.5" customHeight="1">
      <c r="A236" s="595"/>
      <c r="B236" s="595"/>
      <c r="C236" s="595"/>
      <c r="D236" s="595"/>
      <c r="E236" s="595"/>
      <c r="F236" s="595"/>
      <c r="G236" s="595"/>
      <c r="H236" s="595"/>
      <c r="I236" s="595"/>
      <c r="J236" s="595"/>
      <c r="K236" s="595"/>
      <c r="L236" s="595"/>
      <c r="M236" s="595"/>
    </row>
    <row r="237" spans="1:13" ht="19.5" customHeight="1">
      <c r="A237" s="595"/>
      <c r="B237" s="595"/>
      <c r="C237" s="595"/>
      <c r="D237" s="595"/>
      <c r="E237" s="595"/>
      <c r="F237" s="595"/>
      <c r="G237" s="595"/>
      <c r="H237" s="595"/>
      <c r="I237" s="595"/>
      <c r="J237" s="595"/>
      <c r="K237" s="595"/>
      <c r="L237" s="595"/>
      <c r="M237" s="595"/>
    </row>
    <row r="238" spans="1:13" ht="19.5" customHeight="1">
      <c r="A238" s="595"/>
      <c r="B238" s="595"/>
      <c r="C238" s="595"/>
      <c r="D238" s="595"/>
      <c r="E238" s="595"/>
      <c r="F238" s="595"/>
      <c r="G238" s="595"/>
      <c r="H238" s="595"/>
      <c r="I238" s="595"/>
      <c r="J238" s="595"/>
      <c r="K238" s="595"/>
      <c r="L238" s="595"/>
      <c r="M238" s="595"/>
    </row>
    <row r="239" spans="1:13" ht="19.5" customHeight="1">
      <c r="A239" s="595"/>
      <c r="B239" s="595"/>
      <c r="C239" s="595"/>
      <c r="D239" s="595"/>
      <c r="E239" s="595"/>
      <c r="F239" s="595"/>
      <c r="G239" s="595"/>
      <c r="H239" s="595"/>
      <c r="I239" s="595"/>
      <c r="J239" s="595"/>
      <c r="K239" s="595"/>
      <c r="L239" s="595"/>
      <c r="M239" s="595"/>
    </row>
    <row r="240" spans="1:13" ht="19.5" customHeight="1">
      <c r="A240" s="595"/>
      <c r="B240" s="595"/>
      <c r="C240" s="595"/>
      <c r="D240" s="595"/>
      <c r="E240" s="595"/>
      <c r="F240" s="595"/>
      <c r="G240" s="595"/>
      <c r="H240" s="595"/>
      <c r="I240" s="595"/>
      <c r="J240" s="595"/>
      <c r="K240" s="595"/>
      <c r="L240" s="595"/>
      <c r="M240" s="595"/>
    </row>
    <row r="241" spans="1:13" ht="19.5" customHeight="1">
      <c r="A241" s="595"/>
      <c r="B241" s="595"/>
      <c r="C241" s="595"/>
      <c r="D241" s="595"/>
      <c r="E241" s="595"/>
      <c r="F241" s="595"/>
      <c r="G241" s="595"/>
      <c r="H241" s="595"/>
      <c r="I241" s="595"/>
      <c r="J241" s="595"/>
      <c r="K241" s="595"/>
      <c r="L241" s="595"/>
      <c r="M241" s="595"/>
    </row>
    <row r="242" spans="1:13" ht="19.5" customHeight="1">
      <c r="A242" s="595"/>
      <c r="B242" s="595"/>
      <c r="C242" s="595"/>
      <c r="D242" s="595"/>
      <c r="E242" s="595"/>
      <c r="F242" s="595"/>
      <c r="G242" s="595"/>
      <c r="H242" s="595"/>
      <c r="I242" s="595"/>
      <c r="J242" s="595"/>
      <c r="K242" s="595"/>
      <c r="L242" s="595"/>
      <c r="M242" s="595"/>
    </row>
    <row r="243" spans="1:13" ht="19.5" customHeight="1">
      <c r="A243" s="595"/>
      <c r="B243" s="595"/>
      <c r="C243" s="595"/>
      <c r="D243" s="595"/>
      <c r="E243" s="595"/>
      <c r="F243" s="595"/>
      <c r="G243" s="595"/>
      <c r="H243" s="595"/>
      <c r="I243" s="595"/>
      <c r="J243" s="595"/>
      <c r="K243" s="595"/>
      <c r="L243" s="595"/>
      <c r="M243" s="595"/>
    </row>
    <row r="244" spans="1:13" ht="19.5" customHeight="1">
      <c r="A244" s="595"/>
      <c r="B244" s="595"/>
      <c r="C244" s="595"/>
      <c r="D244" s="595"/>
      <c r="E244" s="595"/>
      <c r="F244" s="595"/>
      <c r="G244" s="595"/>
      <c r="H244" s="595"/>
      <c r="I244" s="595"/>
      <c r="J244" s="595"/>
      <c r="K244" s="595"/>
      <c r="L244" s="595"/>
      <c r="M244" s="595"/>
    </row>
    <row r="245" spans="1:13" ht="19.5" customHeight="1">
      <c r="A245" s="595"/>
      <c r="B245" s="595"/>
      <c r="C245" s="595"/>
      <c r="D245" s="595"/>
      <c r="E245" s="595"/>
      <c r="F245" s="595"/>
      <c r="G245" s="595"/>
      <c r="H245" s="595"/>
      <c r="I245" s="595"/>
      <c r="J245" s="595"/>
      <c r="K245" s="595"/>
      <c r="L245" s="595"/>
      <c r="M245" s="595"/>
    </row>
    <row r="246" spans="1:13" ht="19.5" customHeight="1">
      <c r="A246" s="595"/>
      <c r="B246" s="595"/>
      <c r="C246" s="595"/>
      <c r="D246" s="595"/>
      <c r="E246" s="595"/>
      <c r="F246" s="595"/>
      <c r="G246" s="595"/>
      <c r="H246" s="595"/>
      <c r="I246" s="595"/>
      <c r="J246" s="595"/>
      <c r="K246" s="595"/>
      <c r="L246" s="595"/>
      <c r="M246" s="595"/>
    </row>
    <row r="247" spans="1:13" ht="19.5" customHeight="1">
      <c r="A247" s="595"/>
      <c r="B247" s="595"/>
      <c r="C247" s="595"/>
      <c r="D247" s="595"/>
      <c r="E247" s="595"/>
      <c r="F247" s="595"/>
      <c r="G247" s="595"/>
      <c r="H247" s="595"/>
      <c r="I247" s="595"/>
      <c r="J247" s="595"/>
      <c r="K247" s="595"/>
      <c r="L247" s="595"/>
      <c r="M247" s="595"/>
    </row>
    <row r="248" spans="1:13" ht="19.5" customHeight="1">
      <c r="A248" s="595"/>
      <c r="B248" s="595"/>
      <c r="C248" s="595"/>
      <c r="D248" s="595"/>
      <c r="E248" s="595"/>
      <c r="F248" s="595"/>
      <c r="G248" s="595"/>
      <c r="H248" s="595"/>
      <c r="I248" s="595"/>
      <c r="J248" s="595"/>
      <c r="K248" s="595"/>
      <c r="L248" s="595"/>
      <c r="M248" s="595"/>
    </row>
    <row r="249" spans="1:13" ht="19.5" customHeight="1">
      <c r="A249" s="595"/>
      <c r="B249" s="595"/>
      <c r="C249" s="595"/>
      <c r="D249" s="595"/>
      <c r="E249" s="595"/>
      <c r="F249" s="595"/>
      <c r="G249" s="595"/>
      <c r="H249" s="595"/>
      <c r="I249" s="595"/>
      <c r="J249" s="595"/>
      <c r="K249" s="595"/>
      <c r="L249" s="595"/>
      <c r="M249" s="595"/>
    </row>
    <row r="250" spans="1:13" ht="19.5" customHeight="1">
      <c r="A250" s="595"/>
      <c r="B250" s="595"/>
      <c r="C250" s="595"/>
      <c r="D250" s="595"/>
      <c r="E250" s="595"/>
      <c r="F250" s="595"/>
      <c r="G250" s="595"/>
      <c r="H250" s="595"/>
      <c r="I250" s="595"/>
      <c r="J250" s="595"/>
      <c r="K250" s="595"/>
      <c r="L250" s="595"/>
      <c r="M250" s="595"/>
    </row>
    <row r="251" spans="1:13" ht="19.5" customHeight="1">
      <c r="A251" s="595"/>
      <c r="B251" s="595"/>
      <c r="C251" s="595"/>
      <c r="D251" s="595"/>
      <c r="E251" s="595"/>
      <c r="F251" s="595"/>
      <c r="G251" s="595"/>
      <c r="H251" s="595"/>
      <c r="I251" s="595"/>
      <c r="J251" s="595"/>
      <c r="K251" s="595"/>
      <c r="L251" s="595"/>
      <c r="M251" s="595"/>
    </row>
    <row r="252" spans="1:13" ht="19.5" customHeight="1">
      <c r="A252" s="595"/>
      <c r="B252" s="595"/>
      <c r="C252" s="595"/>
      <c r="D252" s="595"/>
      <c r="E252" s="595"/>
      <c r="F252" s="595"/>
      <c r="G252" s="595"/>
      <c r="H252" s="595"/>
      <c r="I252" s="595"/>
      <c r="J252" s="595"/>
      <c r="K252" s="595"/>
      <c r="L252" s="595"/>
      <c r="M252" s="595"/>
    </row>
    <row r="253" spans="1:13" ht="19.5" customHeight="1">
      <c r="A253" s="595"/>
      <c r="B253" s="595"/>
      <c r="C253" s="595"/>
      <c r="D253" s="595"/>
      <c r="E253" s="595"/>
      <c r="F253" s="595"/>
      <c r="G253" s="595"/>
      <c r="H253" s="595"/>
      <c r="I253" s="595"/>
      <c r="J253" s="595"/>
      <c r="K253" s="595"/>
      <c r="L253" s="595"/>
      <c r="M253" s="595"/>
    </row>
    <row r="254" spans="1:13" ht="19.5" customHeight="1">
      <c r="A254" s="595"/>
      <c r="B254" s="595"/>
      <c r="C254" s="595"/>
      <c r="D254" s="595"/>
      <c r="E254" s="595"/>
      <c r="F254" s="595"/>
      <c r="G254" s="595"/>
      <c r="H254" s="595"/>
      <c r="I254" s="595"/>
      <c r="J254" s="595"/>
      <c r="K254" s="595"/>
      <c r="L254" s="595"/>
      <c r="M254" s="595"/>
    </row>
    <row r="255" spans="1:13" ht="19.5" customHeight="1">
      <c r="A255" s="595"/>
      <c r="B255" s="595"/>
      <c r="C255" s="595"/>
      <c r="D255" s="595"/>
      <c r="E255" s="595"/>
      <c r="F255" s="595"/>
      <c r="G255" s="595"/>
      <c r="H255" s="595"/>
      <c r="I255" s="595"/>
      <c r="J255" s="595"/>
      <c r="K255" s="595"/>
      <c r="L255" s="595"/>
      <c r="M255" s="595"/>
    </row>
    <row r="256" spans="1:13" ht="19.5" customHeight="1">
      <c r="A256" s="595"/>
      <c r="B256" s="595"/>
      <c r="C256" s="595"/>
      <c r="D256" s="595"/>
      <c r="E256" s="595"/>
      <c r="F256" s="595"/>
      <c r="G256" s="595"/>
      <c r="H256" s="595"/>
      <c r="I256" s="595"/>
      <c r="J256" s="595"/>
      <c r="K256" s="595"/>
      <c r="L256" s="595"/>
      <c r="M256" s="595"/>
    </row>
    <row r="257" spans="1:13" ht="19.5" customHeight="1">
      <c r="A257" s="595"/>
      <c r="B257" s="595"/>
      <c r="C257" s="595"/>
      <c r="D257" s="595"/>
      <c r="E257" s="595"/>
      <c r="F257" s="595"/>
      <c r="G257" s="595"/>
      <c r="H257" s="595"/>
      <c r="I257" s="595"/>
      <c r="J257" s="595"/>
      <c r="K257" s="595"/>
      <c r="L257" s="595"/>
      <c r="M257" s="595"/>
    </row>
    <row r="258" spans="1:13" ht="19.5" customHeight="1">
      <c r="A258" s="595"/>
      <c r="B258" s="595"/>
      <c r="C258" s="595"/>
      <c r="D258" s="595"/>
      <c r="E258" s="595"/>
      <c r="F258" s="595"/>
      <c r="G258" s="595"/>
      <c r="H258" s="595"/>
      <c r="I258" s="595"/>
      <c r="J258" s="595"/>
      <c r="K258" s="595"/>
      <c r="L258" s="595"/>
      <c r="M258" s="595"/>
    </row>
    <row r="259" spans="1:13" ht="19.5" customHeight="1">
      <c r="A259" s="595"/>
      <c r="B259" s="595"/>
      <c r="C259" s="595"/>
      <c r="D259" s="595"/>
      <c r="E259" s="595"/>
      <c r="F259" s="595"/>
      <c r="G259" s="595"/>
      <c r="H259" s="595"/>
      <c r="I259" s="595"/>
      <c r="J259" s="595"/>
      <c r="K259" s="595"/>
      <c r="L259" s="595"/>
      <c r="M259" s="595"/>
    </row>
    <row r="260" spans="1:13" ht="19.5" customHeight="1">
      <c r="A260" s="595"/>
      <c r="B260" s="595"/>
      <c r="C260" s="595"/>
      <c r="D260" s="595"/>
      <c r="E260" s="595"/>
      <c r="F260" s="595"/>
      <c r="G260" s="595"/>
      <c r="H260" s="595"/>
      <c r="I260" s="595"/>
      <c r="J260" s="595"/>
      <c r="K260" s="595"/>
      <c r="L260" s="595"/>
      <c r="M260" s="595"/>
    </row>
    <row r="261" spans="1:13" ht="19.5" customHeight="1">
      <c r="A261" s="595"/>
      <c r="B261" s="595"/>
      <c r="C261" s="595"/>
      <c r="D261" s="595"/>
      <c r="E261" s="595"/>
      <c r="F261" s="595"/>
      <c r="G261" s="595"/>
      <c r="H261" s="595"/>
      <c r="I261" s="595"/>
      <c r="J261" s="595"/>
      <c r="K261" s="595"/>
      <c r="L261" s="595"/>
      <c r="M261" s="595"/>
    </row>
    <row r="262" spans="1:13" ht="19.5" customHeight="1">
      <c r="A262" s="595"/>
      <c r="B262" s="595"/>
      <c r="C262" s="595"/>
      <c r="D262" s="595"/>
      <c r="E262" s="595"/>
      <c r="F262" s="595"/>
      <c r="G262" s="595"/>
      <c r="H262" s="595"/>
      <c r="I262" s="595"/>
      <c r="J262" s="595"/>
      <c r="K262" s="595"/>
      <c r="L262" s="595"/>
      <c r="M262" s="595"/>
    </row>
    <row r="263" spans="1:13" ht="19.5" customHeight="1">
      <c r="A263" s="595"/>
      <c r="B263" s="595"/>
      <c r="C263" s="595"/>
      <c r="D263" s="595"/>
      <c r="E263" s="595"/>
      <c r="F263" s="595"/>
      <c r="G263" s="595"/>
      <c r="H263" s="595"/>
      <c r="I263" s="595"/>
      <c r="J263" s="595"/>
      <c r="K263" s="595"/>
      <c r="L263" s="595"/>
      <c r="M263" s="595"/>
    </row>
    <row r="264" spans="1:13" ht="19.5" customHeight="1">
      <c r="A264" s="595"/>
      <c r="B264" s="595"/>
      <c r="C264" s="595"/>
      <c r="D264" s="595"/>
      <c r="E264" s="595"/>
      <c r="F264" s="595"/>
      <c r="G264" s="595"/>
      <c r="H264" s="595"/>
      <c r="I264" s="595"/>
      <c r="J264" s="595"/>
      <c r="K264" s="595"/>
      <c r="L264" s="595"/>
      <c r="M264" s="595"/>
    </row>
    <row r="265" spans="1:13" ht="19.5" customHeight="1">
      <c r="A265" s="595"/>
      <c r="B265" s="595"/>
      <c r="C265" s="595"/>
      <c r="D265" s="595"/>
      <c r="E265" s="595"/>
      <c r="F265" s="595"/>
      <c r="G265" s="595"/>
      <c r="H265" s="595"/>
      <c r="I265" s="595"/>
      <c r="J265" s="595"/>
      <c r="K265" s="595"/>
      <c r="L265" s="595"/>
      <c r="M265" s="595"/>
    </row>
    <row r="266" spans="1:13" ht="19.5" customHeight="1">
      <c r="A266" s="595"/>
      <c r="B266" s="595"/>
      <c r="C266" s="595"/>
      <c r="D266" s="595"/>
      <c r="E266" s="595"/>
      <c r="F266" s="595"/>
      <c r="G266" s="595"/>
      <c r="H266" s="595"/>
      <c r="I266" s="595"/>
      <c r="J266" s="595"/>
      <c r="K266" s="595"/>
      <c r="L266" s="595"/>
      <c r="M266" s="595"/>
    </row>
    <row r="267" spans="1:13" ht="19.5" customHeight="1">
      <c r="A267" s="595"/>
      <c r="B267" s="595"/>
      <c r="C267" s="595"/>
      <c r="D267" s="595"/>
      <c r="E267" s="595"/>
      <c r="F267" s="595"/>
      <c r="G267" s="595"/>
      <c r="H267" s="595"/>
      <c r="I267" s="595"/>
      <c r="J267" s="595"/>
      <c r="K267" s="595"/>
      <c r="L267" s="595"/>
      <c r="M267" s="595"/>
    </row>
    <row r="268" spans="1:13" ht="19.5" customHeight="1">
      <c r="A268" s="595"/>
      <c r="B268" s="595"/>
      <c r="C268" s="595"/>
      <c r="D268" s="595"/>
      <c r="E268" s="595"/>
      <c r="F268" s="595"/>
      <c r="G268" s="595"/>
      <c r="H268" s="595"/>
      <c r="I268" s="595"/>
      <c r="J268" s="595"/>
      <c r="K268" s="595"/>
      <c r="L268" s="595"/>
      <c r="M268" s="595"/>
    </row>
    <row r="269" spans="1:13" ht="19.5" customHeight="1">
      <c r="A269" s="595"/>
      <c r="B269" s="595"/>
      <c r="C269" s="595"/>
      <c r="D269" s="595"/>
      <c r="E269" s="595"/>
      <c r="F269" s="595"/>
      <c r="G269" s="595"/>
      <c r="H269" s="595"/>
      <c r="I269" s="595"/>
      <c r="J269" s="595"/>
      <c r="K269" s="595"/>
      <c r="L269" s="595"/>
      <c r="M269" s="595"/>
    </row>
    <row r="270" spans="1:13" ht="19.5" customHeight="1">
      <c r="A270" s="595"/>
      <c r="B270" s="595"/>
      <c r="C270" s="595"/>
      <c r="D270" s="595"/>
      <c r="E270" s="595"/>
      <c r="F270" s="595"/>
      <c r="G270" s="595"/>
      <c r="H270" s="595"/>
      <c r="I270" s="595"/>
      <c r="J270" s="595"/>
      <c r="K270" s="595"/>
      <c r="L270" s="595"/>
      <c r="M270" s="595"/>
    </row>
    <row r="271" spans="1:13" ht="19.5" customHeight="1">
      <c r="A271" s="595"/>
      <c r="B271" s="595"/>
      <c r="C271" s="595"/>
      <c r="D271" s="595"/>
      <c r="E271" s="595"/>
      <c r="F271" s="595"/>
      <c r="G271" s="595"/>
      <c r="H271" s="595"/>
      <c r="I271" s="595"/>
      <c r="J271" s="595"/>
      <c r="K271" s="595"/>
      <c r="L271" s="595"/>
      <c r="M271" s="595"/>
    </row>
    <row r="272" spans="1:13" ht="19.5" customHeight="1">
      <c r="A272" s="595"/>
      <c r="B272" s="595"/>
      <c r="C272" s="595"/>
      <c r="D272" s="595"/>
      <c r="E272" s="595"/>
      <c r="F272" s="595"/>
      <c r="G272" s="595"/>
      <c r="H272" s="595"/>
      <c r="I272" s="595"/>
      <c r="J272" s="595"/>
      <c r="K272" s="595"/>
      <c r="L272" s="595"/>
      <c r="M272" s="595"/>
    </row>
    <row r="273" spans="1:13" ht="19.5" customHeight="1">
      <c r="A273" s="595"/>
      <c r="B273" s="595"/>
      <c r="C273" s="595"/>
      <c r="D273" s="595"/>
      <c r="E273" s="595"/>
      <c r="F273" s="595"/>
      <c r="G273" s="595"/>
      <c r="H273" s="595"/>
      <c r="I273" s="595"/>
      <c r="J273" s="595"/>
      <c r="K273" s="595"/>
      <c r="L273" s="595"/>
      <c r="M273" s="595"/>
    </row>
    <row r="274" spans="1:13" ht="19.5" customHeight="1">
      <c r="A274" s="595"/>
      <c r="B274" s="595"/>
      <c r="C274" s="595"/>
      <c r="D274" s="595"/>
      <c r="E274" s="595"/>
      <c r="F274" s="595"/>
      <c r="G274" s="595"/>
      <c r="H274" s="595"/>
      <c r="I274" s="595"/>
      <c r="J274" s="595"/>
      <c r="K274" s="595"/>
      <c r="L274" s="595"/>
      <c r="M274" s="595"/>
    </row>
    <row r="275" spans="1:13" ht="19.5" customHeight="1">
      <c r="A275" s="595"/>
      <c r="B275" s="595"/>
      <c r="C275" s="595"/>
      <c r="D275" s="595"/>
      <c r="E275" s="595"/>
      <c r="F275" s="595"/>
      <c r="G275" s="595"/>
      <c r="H275" s="595"/>
      <c r="I275" s="595"/>
      <c r="J275" s="595"/>
      <c r="K275" s="595"/>
      <c r="L275" s="595"/>
      <c r="M275" s="595"/>
    </row>
    <row r="276" spans="1:13" ht="19.5" customHeight="1">
      <c r="A276" s="595"/>
      <c r="B276" s="595"/>
      <c r="C276" s="595"/>
      <c r="D276" s="595"/>
      <c r="E276" s="595"/>
      <c r="F276" s="595"/>
      <c r="G276" s="595"/>
      <c r="H276" s="595"/>
      <c r="I276" s="595"/>
      <c r="J276" s="595"/>
      <c r="K276" s="595"/>
      <c r="L276" s="595"/>
      <c r="M276" s="595"/>
    </row>
    <row r="277" spans="1:13" ht="19.5" customHeight="1">
      <c r="A277" s="595"/>
      <c r="B277" s="595"/>
      <c r="C277" s="595"/>
      <c r="D277" s="595"/>
      <c r="E277" s="595"/>
      <c r="F277" s="595"/>
      <c r="G277" s="595"/>
      <c r="H277" s="595"/>
      <c r="I277" s="595"/>
      <c r="J277" s="595"/>
      <c r="K277" s="595"/>
      <c r="L277" s="595"/>
      <c r="M277" s="595"/>
    </row>
    <row r="278" spans="1:13" ht="19.5" customHeight="1">
      <c r="A278" s="595"/>
      <c r="B278" s="595"/>
      <c r="C278" s="595"/>
      <c r="D278" s="595"/>
      <c r="E278" s="595"/>
      <c r="F278" s="595"/>
      <c r="G278" s="595"/>
      <c r="H278" s="595"/>
      <c r="I278" s="595"/>
      <c r="J278" s="595"/>
      <c r="K278" s="595"/>
      <c r="L278" s="595"/>
      <c r="M278" s="595"/>
    </row>
    <row r="279" spans="1:13" ht="19.5" customHeight="1">
      <c r="A279" s="595"/>
      <c r="B279" s="595"/>
      <c r="C279" s="595"/>
      <c r="D279" s="595"/>
      <c r="E279" s="595"/>
      <c r="F279" s="595"/>
      <c r="G279" s="595"/>
      <c r="H279" s="595"/>
      <c r="I279" s="595"/>
      <c r="J279" s="595"/>
      <c r="K279" s="595"/>
      <c r="L279" s="595"/>
      <c r="M279" s="595"/>
    </row>
    <row r="280" spans="1:13" ht="19.5" customHeight="1">
      <c r="A280" s="595"/>
      <c r="B280" s="595"/>
      <c r="C280" s="595"/>
      <c r="D280" s="595"/>
      <c r="E280" s="595"/>
      <c r="F280" s="595"/>
      <c r="G280" s="595"/>
      <c r="H280" s="595"/>
      <c r="I280" s="595"/>
      <c r="J280" s="595"/>
      <c r="K280" s="595"/>
      <c r="L280" s="595"/>
      <c r="M280" s="595"/>
    </row>
    <row r="281" spans="1:13" ht="19.5" customHeight="1">
      <c r="A281" s="595"/>
      <c r="B281" s="595"/>
      <c r="C281" s="595"/>
      <c r="D281" s="595"/>
      <c r="E281" s="595"/>
      <c r="F281" s="595"/>
      <c r="G281" s="595"/>
      <c r="H281" s="595"/>
      <c r="I281" s="595"/>
      <c r="J281" s="595"/>
      <c r="K281" s="595"/>
      <c r="L281" s="595"/>
      <c r="M281" s="595"/>
    </row>
    <row r="282" spans="1:13" ht="19.5" customHeight="1">
      <c r="A282" s="595"/>
      <c r="B282" s="595"/>
      <c r="C282" s="595"/>
      <c r="D282" s="595"/>
      <c r="E282" s="595"/>
      <c r="F282" s="595"/>
      <c r="G282" s="595"/>
      <c r="H282" s="595"/>
      <c r="I282" s="595"/>
      <c r="J282" s="595"/>
      <c r="K282" s="595"/>
      <c r="L282" s="595"/>
      <c r="M282" s="595"/>
    </row>
    <row r="283" spans="1:13" ht="19.5" customHeight="1">
      <c r="A283" s="595"/>
      <c r="B283" s="595"/>
      <c r="C283" s="595"/>
      <c r="D283" s="595"/>
      <c r="E283" s="595"/>
      <c r="F283" s="595"/>
      <c r="G283" s="595"/>
      <c r="H283" s="595"/>
      <c r="I283" s="595"/>
      <c r="J283" s="595"/>
      <c r="K283" s="595"/>
      <c r="L283" s="595"/>
      <c r="M283" s="595"/>
    </row>
    <row r="284" spans="1:13" ht="19.5" customHeight="1">
      <c r="A284" s="595"/>
      <c r="B284" s="595"/>
      <c r="C284" s="595"/>
      <c r="D284" s="595"/>
      <c r="E284" s="595"/>
      <c r="F284" s="595"/>
      <c r="G284" s="595"/>
      <c r="H284" s="595"/>
      <c r="I284" s="595"/>
      <c r="J284" s="595"/>
      <c r="K284" s="595"/>
      <c r="L284" s="595"/>
      <c r="M284" s="595"/>
    </row>
    <row r="285" spans="1:13" ht="19.5" customHeight="1">
      <c r="A285" s="595"/>
      <c r="B285" s="595"/>
      <c r="C285" s="595"/>
      <c r="D285" s="595"/>
      <c r="E285" s="595"/>
      <c r="F285" s="595"/>
      <c r="G285" s="595"/>
      <c r="H285" s="595"/>
      <c r="I285" s="595"/>
      <c r="J285" s="595"/>
      <c r="K285" s="595"/>
      <c r="L285" s="595"/>
      <c r="M285" s="595"/>
    </row>
    <row r="286" spans="1:13" ht="19.5" customHeight="1">
      <c r="A286" s="595"/>
      <c r="B286" s="595"/>
      <c r="C286" s="595"/>
      <c r="D286" s="595"/>
      <c r="E286" s="595"/>
      <c r="F286" s="595"/>
      <c r="G286" s="595"/>
      <c r="H286" s="595"/>
      <c r="I286" s="595"/>
      <c r="J286" s="595"/>
      <c r="K286" s="595"/>
      <c r="L286" s="595"/>
      <c r="M286" s="595"/>
    </row>
    <row r="287" spans="1:13" ht="19.5" customHeight="1">
      <c r="A287" s="595"/>
      <c r="B287" s="595"/>
      <c r="C287" s="595"/>
      <c r="D287" s="595"/>
      <c r="E287" s="595"/>
      <c r="F287" s="595"/>
      <c r="G287" s="595"/>
      <c r="H287" s="595"/>
      <c r="I287" s="595"/>
      <c r="J287" s="595"/>
      <c r="K287" s="595"/>
      <c r="L287" s="595"/>
      <c r="M287" s="595"/>
    </row>
    <row r="288" spans="1:13" ht="19.5" customHeight="1">
      <c r="A288" s="595"/>
      <c r="B288" s="595"/>
      <c r="C288" s="595"/>
      <c r="D288" s="595"/>
      <c r="E288" s="595"/>
      <c r="F288" s="595"/>
      <c r="G288" s="595"/>
      <c r="H288" s="595"/>
      <c r="I288" s="595"/>
      <c r="J288" s="595"/>
      <c r="K288" s="595"/>
      <c r="L288" s="595"/>
      <c r="M288" s="595"/>
    </row>
    <row r="289" spans="1:13" ht="19.5" customHeight="1">
      <c r="A289" s="595"/>
      <c r="B289" s="595"/>
      <c r="C289" s="595"/>
      <c r="D289" s="595"/>
      <c r="E289" s="595"/>
      <c r="F289" s="595"/>
      <c r="G289" s="595"/>
      <c r="H289" s="595"/>
      <c r="I289" s="595"/>
      <c r="J289" s="595"/>
      <c r="K289" s="595"/>
      <c r="L289" s="595"/>
      <c r="M289" s="595"/>
    </row>
    <row r="290" spans="1:13" ht="19.5" customHeight="1">
      <c r="A290" s="595"/>
      <c r="B290" s="595"/>
      <c r="C290" s="595"/>
      <c r="D290" s="595"/>
      <c r="E290" s="595"/>
      <c r="F290" s="595"/>
      <c r="G290" s="595"/>
      <c r="H290" s="595"/>
      <c r="I290" s="595"/>
      <c r="J290" s="595"/>
      <c r="K290" s="595"/>
      <c r="L290" s="595"/>
      <c r="M290" s="595"/>
    </row>
    <row r="291" spans="1:13" ht="19.5" customHeight="1">
      <c r="A291" s="595"/>
      <c r="B291" s="595"/>
      <c r="C291" s="595"/>
      <c r="D291" s="595"/>
      <c r="E291" s="595"/>
      <c r="F291" s="595"/>
      <c r="G291" s="595"/>
      <c r="H291" s="595"/>
      <c r="I291" s="595"/>
      <c r="J291" s="595"/>
      <c r="K291" s="595"/>
      <c r="L291" s="595"/>
      <c r="M291" s="595"/>
    </row>
    <row r="292" spans="1:13" ht="19.5" customHeight="1">
      <c r="A292" s="595"/>
      <c r="B292" s="595"/>
      <c r="C292" s="595"/>
      <c r="D292" s="595"/>
      <c r="E292" s="595"/>
      <c r="F292" s="595"/>
      <c r="G292" s="595"/>
      <c r="H292" s="595"/>
      <c r="I292" s="595"/>
      <c r="J292" s="595"/>
      <c r="K292" s="595"/>
      <c r="L292" s="595"/>
      <c r="M292" s="595"/>
    </row>
    <row r="293" spans="1:13" ht="19.5" customHeight="1">
      <c r="A293" s="595"/>
      <c r="B293" s="595"/>
      <c r="C293" s="595"/>
      <c r="D293" s="595"/>
      <c r="E293" s="595"/>
      <c r="F293" s="595"/>
      <c r="G293" s="595"/>
      <c r="H293" s="595"/>
      <c r="I293" s="595"/>
      <c r="J293" s="595"/>
      <c r="K293" s="595"/>
      <c r="L293" s="595"/>
      <c r="M293" s="595"/>
    </row>
    <row r="294" spans="1:13" ht="19.5" customHeight="1">
      <c r="A294" s="595"/>
      <c r="B294" s="595"/>
      <c r="C294" s="595"/>
      <c r="D294" s="595"/>
      <c r="E294" s="595"/>
      <c r="F294" s="595"/>
      <c r="G294" s="595"/>
      <c r="H294" s="595"/>
      <c r="I294" s="595"/>
      <c r="J294" s="595"/>
      <c r="K294" s="595"/>
      <c r="L294" s="595"/>
      <c r="M294" s="595"/>
    </row>
    <row r="295" spans="1:13" ht="19.5" customHeight="1">
      <c r="A295" s="595"/>
      <c r="B295" s="595"/>
      <c r="C295" s="595"/>
      <c r="D295" s="595"/>
      <c r="E295" s="595"/>
      <c r="F295" s="595"/>
      <c r="G295" s="595"/>
      <c r="H295" s="595"/>
      <c r="I295" s="595"/>
      <c r="J295" s="595"/>
      <c r="K295" s="595"/>
      <c r="L295" s="595"/>
      <c r="M295" s="595"/>
    </row>
    <row r="296" spans="1:13" ht="19.5" customHeight="1">
      <c r="A296" s="595"/>
      <c r="B296" s="595"/>
      <c r="C296" s="595"/>
      <c r="D296" s="595"/>
      <c r="E296" s="595"/>
      <c r="F296" s="595"/>
      <c r="G296" s="595"/>
      <c r="H296" s="595"/>
      <c r="I296" s="595"/>
      <c r="J296" s="595"/>
      <c r="K296" s="595"/>
      <c r="L296" s="595"/>
      <c r="M296" s="595"/>
    </row>
    <row r="297" spans="1:13" ht="19.5" customHeight="1">
      <c r="A297" s="595"/>
      <c r="B297" s="595"/>
      <c r="C297" s="595"/>
      <c r="D297" s="595"/>
      <c r="E297" s="595"/>
      <c r="F297" s="595"/>
      <c r="G297" s="595"/>
      <c r="H297" s="595"/>
      <c r="I297" s="595"/>
      <c r="J297" s="595"/>
      <c r="K297" s="595"/>
      <c r="L297" s="595"/>
      <c r="M297" s="595"/>
    </row>
    <row r="298" spans="1:13" ht="19.5" customHeight="1">
      <c r="A298" s="595"/>
      <c r="B298" s="595"/>
      <c r="C298" s="595"/>
      <c r="D298" s="595"/>
      <c r="E298" s="595"/>
      <c r="F298" s="595"/>
      <c r="G298" s="595"/>
      <c r="H298" s="595"/>
      <c r="I298" s="595"/>
      <c r="J298" s="595"/>
      <c r="K298" s="595"/>
      <c r="L298" s="595"/>
      <c r="M298" s="595"/>
    </row>
    <row r="299" spans="1:13" ht="19.5" customHeight="1">
      <c r="A299" s="595"/>
      <c r="B299" s="595"/>
      <c r="C299" s="595"/>
      <c r="D299" s="595"/>
      <c r="E299" s="595"/>
      <c r="F299" s="595"/>
      <c r="G299" s="595"/>
      <c r="H299" s="595"/>
      <c r="I299" s="595"/>
      <c r="J299" s="595"/>
      <c r="K299" s="595"/>
      <c r="L299" s="595"/>
      <c r="M299" s="595"/>
    </row>
    <row r="300" spans="1:13" ht="19.5" customHeight="1">
      <c r="A300" s="595"/>
      <c r="B300" s="595"/>
      <c r="C300" s="595"/>
      <c r="D300" s="595"/>
      <c r="E300" s="595"/>
      <c r="F300" s="595"/>
      <c r="G300" s="595"/>
      <c r="H300" s="595"/>
      <c r="I300" s="595"/>
      <c r="J300" s="595"/>
      <c r="K300" s="595"/>
      <c r="L300" s="595"/>
      <c r="M300" s="595"/>
    </row>
    <row r="301" spans="1:13" ht="19.5" customHeight="1">
      <c r="A301" s="595"/>
      <c r="B301" s="595"/>
      <c r="C301" s="595"/>
      <c r="D301" s="595"/>
      <c r="E301" s="595"/>
      <c r="F301" s="595"/>
      <c r="G301" s="595"/>
      <c r="H301" s="595"/>
      <c r="I301" s="595"/>
      <c r="J301" s="595"/>
      <c r="K301" s="595"/>
      <c r="L301" s="595"/>
      <c r="M301" s="595"/>
    </row>
    <row r="302" spans="1:13" ht="19.5" customHeight="1">
      <c r="A302" s="595"/>
      <c r="B302" s="595"/>
      <c r="C302" s="595"/>
      <c r="D302" s="595"/>
      <c r="E302" s="595"/>
      <c r="F302" s="595"/>
      <c r="G302" s="595"/>
      <c r="H302" s="595"/>
      <c r="I302" s="595"/>
      <c r="J302" s="595"/>
      <c r="K302" s="595"/>
      <c r="L302" s="595"/>
      <c r="M302" s="595"/>
    </row>
    <row r="303" spans="1:13" ht="19.5" customHeight="1">
      <c r="A303" s="595"/>
      <c r="B303" s="595"/>
      <c r="C303" s="595"/>
      <c r="D303" s="595"/>
      <c r="E303" s="595"/>
      <c r="F303" s="595"/>
      <c r="G303" s="595"/>
      <c r="H303" s="595"/>
      <c r="I303" s="595"/>
      <c r="J303" s="595"/>
      <c r="K303" s="595"/>
      <c r="L303" s="595"/>
      <c r="M303" s="595"/>
    </row>
    <row r="304" spans="1:13" ht="19.5" customHeight="1">
      <c r="A304" s="595"/>
      <c r="B304" s="595"/>
      <c r="C304" s="595"/>
      <c r="D304" s="595"/>
      <c r="E304" s="595"/>
      <c r="F304" s="595"/>
      <c r="G304" s="595"/>
      <c r="H304" s="595"/>
      <c r="I304" s="595"/>
      <c r="J304" s="595"/>
      <c r="K304" s="595"/>
      <c r="L304" s="595"/>
      <c r="M304" s="595"/>
    </row>
    <row r="305" spans="1:13" ht="19.5" customHeight="1">
      <c r="A305" s="595"/>
      <c r="B305" s="595"/>
      <c r="C305" s="595"/>
      <c r="D305" s="595"/>
      <c r="E305" s="595"/>
      <c r="F305" s="595"/>
      <c r="G305" s="595"/>
      <c r="H305" s="595"/>
      <c r="I305" s="595"/>
      <c r="J305" s="595"/>
      <c r="K305" s="595"/>
      <c r="L305" s="595"/>
      <c r="M305" s="595"/>
    </row>
    <row r="306" spans="1:13" ht="19.5" customHeight="1">
      <c r="A306" s="595"/>
      <c r="B306" s="595"/>
      <c r="C306" s="595"/>
      <c r="D306" s="595"/>
      <c r="E306" s="595"/>
      <c r="F306" s="595"/>
      <c r="G306" s="595"/>
      <c r="H306" s="595"/>
      <c r="I306" s="595"/>
      <c r="J306" s="595"/>
      <c r="K306" s="595"/>
      <c r="L306" s="595"/>
      <c r="M306" s="595"/>
    </row>
    <row r="307" spans="1:13" ht="19.5" customHeight="1">
      <c r="A307" s="595"/>
      <c r="B307" s="595"/>
      <c r="C307" s="595"/>
      <c r="D307" s="595"/>
      <c r="E307" s="595"/>
      <c r="F307" s="595"/>
      <c r="G307" s="595"/>
      <c r="H307" s="595"/>
      <c r="I307" s="595"/>
      <c r="J307" s="595"/>
      <c r="K307" s="595"/>
      <c r="L307" s="595"/>
      <c r="M307" s="595"/>
    </row>
    <row r="308" spans="1:13" ht="19.5" customHeight="1">
      <c r="A308" s="595"/>
      <c r="B308" s="595"/>
      <c r="C308" s="595"/>
      <c r="D308" s="595"/>
      <c r="E308" s="595"/>
      <c r="F308" s="595"/>
      <c r="G308" s="595"/>
      <c r="H308" s="595"/>
      <c r="I308" s="595"/>
      <c r="J308" s="595"/>
      <c r="K308" s="595"/>
      <c r="L308" s="595"/>
      <c r="M308" s="595"/>
    </row>
    <row r="309" spans="1:13" ht="19.5" customHeight="1">
      <c r="A309" s="595"/>
      <c r="B309" s="595"/>
      <c r="C309" s="595"/>
      <c r="D309" s="595"/>
      <c r="E309" s="595"/>
      <c r="F309" s="595"/>
      <c r="G309" s="595"/>
      <c r="H309" s="595"/>
      <c r="I309" s="595"/>
      <c r="J309" s="595"/>
      <c r="K309" s="595"/>
      <c r="L309" s="595"/>
      <c r="M309" s="595"/>
    </row>
    <row r="310" spans="1:13" ht="19.5" customHeight="1">
      <c r="A310" s="595"/>
      <c r="B310" s="595"/>
      <c r="C310" s="595"/>
      <c r="D310" s="595"/>
      <c r="E310" s="595"/>
      <c r="F310" s="595"/>
      <c r="G310" s="595"/>
      <c r="H310" s="595"/>
      <c r="I310" s="595"/>
      <c r="J310" s="595"/>
      <c r="K310" s="595"/>
      <c r="L310" s="595"/>
      <c r="M310" s="595"/>
    </row>
    <row r="311" spans="1:13" ht="19.5" customHeight="1">
      <c r="A311" s="595"/>
      <c r="B311" s="595"/>
      <c r="C311" s="595"/>
      <c r="D311" s="595"/>
      <c r="E311" s="595"/>
      <c r="F311" s="595"/>
      <c r="G311" s="595"/>
      <c r="H311" s="595"/>
      <c r="I311" s="595"/>
      <c r="J311" s="595"/>
      <c r="K311" s="595"/>
      <c r="L311" s="595"/>
      <c r="M311" s="595"/>
    </row>
    <row r="312" spans="1:13" ht="19.5" customHeight="1">
      <c r="A312" s="595"/>
      <c r="B312" s="595"/>
      <c r="C312" s="595"/>
      <c r="D312" s="595"/>
      <c r="E312" s="595"/>
      <c r="F312" s="595"/>
      <c r="G312" s="595"/>
      <c r="H312" s="595"/>
      <c r="I312" s="595"/>
      <c r="J312" s="595"/>
      <c r="K312" s="595"/>
      <c r="L312" s="595"/>
      <c r="M312" s="595"/>
    </row>
    <row r="313" spans="1:13" ht="19.5" customHeight="1">
      <c r="A313" s="595"/>
      <c r="B313" s="595"/>
      <c r="C313" s="595"/>
      <c r="D313" s="595"/>
      <c r="E313" s="595"/>
      <c r="F313" s="595"/>
      <c r="G313" s="595"/>
      <c r="H313" s="595"/>
      <c r="I313" s="595"/>
      <c r="J313" s="595"/>
      <c r="K313" s="595"/>
      <c r="L313" s="595"/>
      <c r="M313" s="595"/>
    </row>
    <row r="314" spans="1:13" ht="19.5" customHeight="1">
      <c r="A314" s="595"/>
      <c r="B314" s="595"/>
      <c r="C314" s="595"/>
      <c r="D314" s="595"/>
      <c r="E314" s="595"/>
      <c r="F314" s="595"/>
      <c r="G314" s="595"/>
      <c r="H314" s="595"/>
      <c r="I314" s="595"/>
      <c r="J314" s="595"/>
      <c r="K314" s="595"/>
      <c r="L314" s="595"/>
      <c r="M314" s="595"/>
    </row>
    <row r="315" spans="1:13" ht="19.5" customHeight="1">
      <c r="A315" s="595"/>
      <c r="B315" s="595"/>
      <c r="C315" s="595"/>
      <c r="D315" s="595"/>
      <c r="E315" s="595"/>
      <c r="F315" s="595"/>
      <c r="G315" s="595"/>
      <c r="H315" s="595"/>
      <c r="I315" s="595"/>
      <c r="J315" s="595"/>
      <c r="K315" s="595"/>
      <c r="L315" s="595"/>
      <c r="M315" s="595"/>
    </row>
    <row r="316" spans="1:13" ht="19.5" customHeight="1">
      <c r="A316" s="595"/>
      <c r="B316" s="595"/>
      <c r="C316" s="595"/>
      <c r="D316" s="595"/>
      <c r="E316" s="595"/>
      <c r="F316" s="595"/>
      <c r="G316" s="595"/>
      <c r="H316" s="595"/>
      <c r="I316" s="595"/>
      <c r="J316" s="595"/>
      <c r="K316" s="595"/>
      <c r="L316" s="595"/>
      <c r="M316" s="595"/>
    </row>
    <row r="317" spans="1:13" ht="19.5" customHeight="1">
      <c r="A317" s="595"/>
      <c r="B317" s="595"/>
      <c r="C317" s="595"/>
      <c r="D317" s="595"/>
      <c r="E317" s="595"/>
      <c r="F317" s="595"/>
      <c r="G317" s="595"/>
      <c r="H317" s="595"/>
      <c r="I317" s="595"/>
      <c r="J317" s="595"/>
      <c r="K317" s="595"/>
      <c r="L317" s="595"/>
      <c r="M317" s="595"/>
    </row>
    <row r="318" spans="1:13" ht="19.5" customHeight="1">
      <c r="A318" s="595"/>
      <c r="B318" s="595"/>
      <c r="C318" s="595"/>
      <c r="D318" s="595"/>
      <c r="E318" s="595"/>
      <c r="F318" s="595"/>
      <c r="G318" s="595"/>
      <c r="H318" s="595"/>
      <c r="I318" s="595"/>
      <c r="J318" s="595"/>
      <c r="K318" s="595"/>
      <c r="L318" s="595"/>
      <c r="M318" s="595"/>
    </row>
    <row r="319" spans="1:13" ht="19.5" customHeight="1">
      <c r="A319" s="595"/>
      <c r="B319" s="595"/>
      <c r="C319" s="595"/>
      <c r="D319" s="595"/>
      <c r="E319" s="595"/>
      <c r="F319" s="595"/>
      <c r="G319" s="595"/>
      <c r="H319" s="595"/>
      <c r="I319" s="595"/>
      <c r="J319" s="595"/>
      <c r="K319" s="595"/>
      <c r="L319" s="595"/>
      <c r="M319" s="595"/>
    </row>
    <row r="320" spans="1:13" ht="19.5" customHeight="1">
      <c r="A320" s="595"/>
      <c r="B320" s="595"/>
      <c r="C320" s="595"/>
      <c r="D320" s="595"/>
      <c r="E320" s="595"/>
      <c r="F320" s="595"/>
      <c r="G320" s="595"/>
      <c r="H320" s="595"/>
      <c r="I320" s="595"/>
      <c r="J320" s="595"/>
      <c r="K320" s="595"/>
      <c r="L320" s="595"/>
      <c r="M320" s="595"/>
    </row>
    <row r="321" spans="1:13" ht="19.5" customHeight="1">
      <c r="A321" s="595"/>
      <c r="B321" s="595"/>
      <c r="C321" s="595"/>
      <c r="D321" s="595"/>
      <c r="E321" s="595"/>
      <c r="F321" s="595"/>
      <c r="G321" s="595"/>
      <c r="H321" s="595"/>
      <c r="I321" s="595"/>
      <c r="J321" s="595"/>
      <c r="K321" s="595"/>
      <c r="L321" s="595"/>
      <c r="M321" s="595"/>
    </row>
    <row r="322" spans="1:13" ht="19.5" customHeight="1">
      <c r="A322" s="595"/>
      <c r="B322" s="595"/>
      <c r="C322" s="595"/>
      <c r="D322" s="595"/>
      <c r="E322" s="595"/>
      <c r="F322" s="595"/>
      <c r="G322" s="595"/>
      <c r="H322" s="595"/>
      <c r="I322" s="595"/>
      <c r="J322" s="595"/>
      <c r="K322" s="595"/>
      <c r="L322" s="595"/>
      <c r="M322" s="595"/>
    </row>
    <row r="323" spans="1:13" ht="19.5" customHeight="1">
      <c r="A323" s="595"/>
      <c r="B323" s="595"/>
      <c r="C323" s="595"/>
      <c r="D323" s="595"/>
      <c r="E323" s="595"/>
      <c r="F323" s="595"/>
      <c r="G323" s="595"/>
      <c r="H323" s="595"/>
      <c r="I323" s="595"/>
      <c r="J323" s="595"/>
      <c r="K323" s="595"/>
      <c r="L323" s="595"/>
      <c r="M323" s="595"/>
    </row>
    <row r="324" spans="1:13" ht="19.5" customHeight="1">
      <c r="A324" s="595"/>
      <c r="B324" s="595"/>
      <c r="C324" s="595"/>
      <c r="D324" s="595"/>
      <c r="E324" s="595"/>
      <c r="F324" s="595"/>
      <c r="G324" s="595"/>
      <c r="H324" s="595"/>
      <c r="I324" s="595"/>
      <c r="J324" s="595"/>
      <c r="K324" s="595"/>
      <c r="L324" s="595"/>
      <c r="M324" s="595"/>
    </row>
    <row r="325" spans="1:13" ht="19.5" customHeight="1">
      <c r="A325" s="595"/>
      <c r="B325" s="595"/>
      <c r="C325" s="595"/>
      <c r="D325" s="595"/>
      <c r="E325" s="595"/>
      <c r="F325" s="595"/>
      <c r="G325" s="595"/>
      <c r="H325" s="595"/>
      <c r="I325" s="595"/>
      <c r="J325" s="595"/>
      <c r="K325" s="595"/>
      <c r="L325" s="595"/>
      <c r="M325" s="595"/>
    </row>
    <row r="326" spans="1:13" ht="19.5" customHeight="1">
      <c r="A326" s="595"/>
      <c r="B326" s="595"/>
      <c r="C326" s="595"/>
      <c r="D326" s="595"/>
      <c r="E326" s="595"/>
      <c r="F326" s="595"/>
      <c r="G326" s="595"/>
      <c r="H326" s="595"/>
      <c r="I326" s="595"/>
      <c r="J326" s="595"/>
      <c r="K326" s="595"/>
      <c r="L326" s="595"/>
      <c r="M326" s="595"/>
    </row>
    <row r="327" spans="1:13" ht="19.5" customHeight="1">
      <c r="A327" s="595"/>
      <c r="B327" s="595"/>
      <c r="C327" s="595"/>
      <c r="D327" s="595"/>
      <c r="E327" s="595"/>
      <c r="F327" s="595"/>
      <c r="G327" s="595"/>
      <c r="H327" s="595"/>
      <c r="I327" s="595"/>
      <c r="J327" s="595"/>
      <c r="K327" s="595"/>
      <c r="L327" s="595"/>
      <c r="M327" s="595"/>
    </row>
    <row r="328" spans="1:13" ht="19.5" customHeight="1">
      <c r="A328" s="595"/>
      <c r="B328" s="595"/>
      <c r="C328" s="595"/>
      <c r="D328" s="595"/>
      <c r="E328" s="595"/>
      <c r="F328" s="595"/>
      <c r="G328" s="595"/>
      <c r="H328" s="595"/>
      <c r="I328" s="595"/>
      <c r="J328" s="595"/>
      <c r="K328" s="595"/>
      <c r="L328" s="595"/>
      <c r="M328" s="595"/>
    </row>
    <row r="329" spans="1:13" ht="19.5" customHeight="1">
      <c r="A329" s="595"/>
      <c r="B329" s="595"/>
      <c r="C329" s="595"/>
      <c r="D329" s="595"/>
      <c r="E329" s="595"/>
      <c r="F329" s="595"/>
      <c r="G329" s="595"/>
      <c r="H329" s="595"/>
      <c r="I329" s="595"/>
      <c r="J329" s="595"/>
      <c r="K329" s="595"/>
      <c r="L329" s="595"/>
      <c r="M329" s="595"/>
    </row>
    <row r="330" spans="1:13" ht="19.5" customHeight="1">
      <c r="A330" s="595"/>
      <c r="B330" s="595"/>
      <c r="C330" s="595"/>
      <c r="D330" s="595"/>
      <c r="E330" s="595"/>
      <c r="F330" s="595"/>
      <c r="G330" s="595"/>
      <c r="H330" s="595"/>
      <c r="I330" s="595"/>
      <c r="J330" s="595"/>
      <c r="K330" s="595"/>
      <c r="L330" s="595"/>
      <c r="M330" s="595"/>
    </row>
    <row r="331" spans="1:13" ht="19.5" customHeight="1">
      <c r="A331" s="595"/>
      <c r="B331" s="595"/>
      <c r="C331" s="595"/>
      <c r="D331" s="595"/>
      <c r="E331" s="595"/>
      <c r="F331" s="595"/>
      <c r="G331" s="595"/>
      <c r="H331" s="595"/>
      <c r="I331" s="595"/>
      <c r="J331" s="595"/>
      <c r="K331" s="595"/>
      <c r="L331" s="595"/>
      <c r="M331" s="595"/>
    </row>
    <row r="332" spans="1:13" ht="19.5" customHeight="1">
      <c r="A332" s="595"/>
      <c r="B332" s="595"/>
      <c r="C332" s="595"/>
      <c r="D332" s="595"/>
      <c r="E332" s="595"/>
      <c r="F332" s="595"/>
      <c r="G332" s="595"/>
      <c r="H332" s="595"/>
      <c r="I332" s="595"/>
      <c r="J332" s="595"/>
      <c r="K332" s="595"/>
      <c r="L332" s="595"/>
      <c r="M332" s="595"/>
    </row>
    <row r="333" spans="1:13" ht="19.5" customHeight="1">
      <c r="A333" s="595"/>
      <c r="B333" s="595"/>
      <c r="C333" s="595"/>
      <c r="D333" s="595"/>
      <c r="E333" s="595"/>
      <c r="F333" s="595"/>
      <c r="G333" s="595"/>
      <c r="H333" s="595"/>
      <c r="I333" s="595"/>
      <c r="J333" s="595"/>
      <c r="K333" s="595"/>
      <c r="L333" s="595"/>
      <c r="M333" s="595"/>
    </row>
    <row r="334" spans="1:13" ht="19.5" customHeight="1">
      <c r="A334" s="595"/>
      <c r="B334" s="595"/>
      <c r="C334" s="595"/>
      <c r="D334" s="595"/>
      <c r="E334" s="595"/>
      <c r="F334" s="595"/>
      <c r="G334" s="595"/>
      <c r="H334" s="595"/>
      <c r="I334" s="595"/>
      <c r="J334" s="595"/>
      <c r="K334" s="595"/>
      <c r="L334" s="595"/>
      <c r="M334" s="595"/>
    </row>
    <row r="335" spans="1:13" ht="19.5" customHeight="1">
      <c r="A335" s="595"/>
      <c r="B335" s="595"/>
      <c r="C335" s="595"/>
      <c r="D335" s="595"/>
      <c r="E335" s="595"/>
      <c r="F335" s="595"/>
      <c r="G335" s="595"/>
      <c r="H335" s="595"/>
      <c r="I335" s="595"/>
      <c r="J335" s="595"/>
      <c r="K335" s="595"/>
      <c r="L335" s="595"/>
      <c r="M335" s="595"/>
    </row>
    <row r="336" spans="1:13" ht="19.5" customHeight="1">
      <c r="A336" s="595"/>
      <c r="B336" s="595"/>
      <c r="C336" s="595"/>
      <c r="D336" s="595"/>
      <c r="E336" s="595"/>
      <c r="F336" s="595"/>
      <c r="G336" s="595"/>
      <c r="H336" s="595"/>
      <c r="I336" s="595"/>
      <c r="J336" s="595"/>
      <c r="K336" s="595"/>
      <c r="L336" s="595"/>
      <c r="M336" s="595"/>
    </row>
    <row r="337" spans="1:13" ht="19.5" customHeight="1">
      <c r="A337" s="595"/>
      <c r="B337" s="595"/>
      <c r="C337" s="595"/>
      <c r="D337" s="595"/>
      <c r="E337" s="595"/>
      <c r="F337" s="595"/>
      <c r="G337" s="595"/>
      <c r="H337" s="595"/>
      <c r="I337" s="595"/>
      <c r="J337" s="595"/>
      <c r="K337" s="595"/>
      <c r="L337" s="595"/>
      <c r="M337" s="595"/>
    </row>
    <row r="338" spans="1:13" ht="19.5" customHeight="1">
      <c r="A338" s="595"/>
      <c r="B338" s="595"/>
      <c r="C338" s="595"/>
      <c r="D338" s="595"/>
      <c r="E338" s="595"/>
      <c r="F338" s="595"/>
      <c r="G338" s="595"/>
      <c r="H338" s="595"/>
      <c r="I338" s="595"/>
      <c r="J338" s="595"/>
      <c r="K338" s="595"/>
      <c r="L338" s="595"/>
      <c r="M338" s="595"/>
    </row>
    <row r="339" spans="1:13" ht="19.5" customHeight="1">
      <c r="A339" s="595"/>
      <c r="B339" s="595"/>
      <c r="C339" s="595"/>
      <c r="D339" s="595"/>
      <c r="E339" s="595"/>
      <c r="F339" s="595"/>
      <c r="G339" s="595"/>
      <c r="H339" s="595"/>
      <c r="I339" s="595"/>
      <c r="J339" s="595"/>
      <c r="K339" s="595"/>
      <c r="L339" s="595"/>
      <c r="M339" s="595"/>
    </row>
    <row r="340" spans="1:13" ht="19.5" customHeight="1">
      <c r="A340" s="595"/>
      <c r="B340" s="595"/>
      <c r="C340" s="595"/>
      <c r="D340" s="595"/>
      <c r="E340" s="595"/>
      <c r="F340" s="595"/>
      <c r="G340" s="595"/>
      <c r="H340" s="595"/>
      <c r="I340" s="595"/>
      <c r="J340" s="595"/>
      <c r="K340" s="595"/>
      <c r="L340" s="595"/>
      <c r="M340" s="595"/>
    </row>
    <row r="341" spans="1:13" ht="19.5" customHeight="1">
      <c r="A341" s="595"/>
      <c r="B341" s="595"/>
      <c r="C341" s="595"/>
      <c r="D341" s="595"/>
      <c r="E341" s="595"/>
      <c r="F341" s="595"/>
      <c r="G341" s="595"/>
      <c r="H341" s="595"/>
      <c r="I341" s="595"/>
      <c r="J341" s="595"/>
      <c r="K341" s="595"/>
      <c r="L341" s="595"/>
      <c r="M341" s="595"/>
    </row>
    <row r="342" spans="1:13" ht="19.5" customHeight="1">
      <c r="A342" s="595"/>
      <c r="B342" s="595"/>
      <c r="C342" s="595"/>
      <c r="D342" s="595"/>
      <c r="E342" s="595"/>
      <c r="F342" s="595"/>
      <c r="G342" s="595"/>
      <c r="H342" s="595"/>
      <c r="I342" s="595"/>
      <c r="J342" s="595"/>
      <c r="K342" s="595"/>
      <c r="L342" s="595"/>
      <c r="M342" s="595"/>
    </row>
    <row r="343" spans="1:13" ht="19.5" customHeight="1">
      <c r="A343" s="595"/>
      <c r="B343" s="595"/>
      <c r="C343" s="595"/>
      <c r="D343" s="595"/>
      <c r="E343" s="595"/>
      <c r="F343" s="595"/>
      <c r="G343" s="595"/>
      <c r="H343" s="595"/>
      <c r="I343" s="595"/>
      <c r="J343" s="595"/>
      <c r="K343" s="595"/>
      <c r="L343" s="595"/>
      <c r="M343" s="595"/>
    </row>
    <row r="344" spans="1:13" ht="19.5" customHeight="1">
      <c r="A344" s="595"/>
      <c r="B344" s="595"/>
      <c r="C344" s="595"/>
      <c r="D344" s="595"/>
      <c r="E344" s="595"/>
      <c r="F344" s="595"/>
      <c r="G344" s="595"/>
      <c r="H344" s="595"/>
      <c r="I344" s="595"/>
      <c r="J344" s="595"/>
      <c r="K344" s="595"/>
      <c r="L344" s="595"/>
      <c r="M344" s="595"/>
    </row>
    <row r="345" spans="1:13" ht="19.5" customHeight="1">
      <c r="A345" s="595"/>
      <c r="B345" s="595"/>
      <c r="C345" s="595"/>
      <c r="D345" s="595"/>
      <c r="E345" s="595"/>
      <c r="F345" s="595"/>
      <c r="G345" s="595"/>
      <c r="H345" s="595"/>
      <c r="I345" s="595"/>
      <c r="J345" s="595"/>
      <c r="K345" s="595"/>
      <c r="L345" s="595"/>
      <c r="M345" s="595"/>
    </row>
    <row r="346" spans="1:13" ht="19.5" customHeight="1">
      <c r="A346" s="595"/>
      <c r="B346" s="595"/>
      <c r="C346" s="595"/>
      <c r="D346" s="595"/>
      <c r="E346" s="595"/>
      <c r="F346" s="595"/>
      <c r="G346" s="595"/>
      <c r="H346" s="595"/>
      <c r="I346" s="595"/>
      <c r="J346" s="595"/>
      <c r="K346" s="595"/>
      <c r="L346" s="595"/>
      <c r="M346" s="595"/>
    </row>
    <row r="347" spans="1:13" ht="19.5" customHeight="1">
      <c r="A347" s="595"/>
      <c r="B347" s="595"/>
      <c r="C347" s="595"/>
      <c r="D347" s="595"/>
      <c r="E347" s="595"/>
      <c r="F347" s="595"/>
      <c r="G347" s="595"/>
      <c r="H347" s="595"/>
      <c r="I347" s="595"/>
      <c r="J347" s="595"/>
      <c r="K347" s="595"/>
      <c r="L347" s="595"/>
      <c r="M347" s="595"/>
    </row>
    <row r="348" spans="1:13" ht="19.5" customHeight="1">
      <c r="A348" s="595"/>
      <c r="B348" s="595"/>
      <c r="C348" s="595"/>
      <c r="D348" s="595"/>
      <c r="E348" s="595"/>
      <c r="F348" s="595"/>
      <c r="G348" s="595"/>
      <c r="H348" s="595"/>
      <c r="I348" s="595"/>
      <c r="J348" s="595"/>
      <c r="K348" s="595"/>
      <c r="L348" s="595"/>
      <c r="M348" s="595"/>
    </row>
    <row r="349" spans="1:13" ht="19.5" customHeight="1">
      <c r="A349" s="595"/>
      <c r="B349" s="595"/>
      <c r="C349" s="595"/>
      <c r="D349" s="595"/>
      <c r="E349" s="595"/>
      <c r="F349" s="595"/>
      <c r="G349" s="595"/>
      <c r="H349" s="595"/>
      <c r="I349" s="595"/>
      <c r="J349" s="595"/>
      <c r="K349" s="595"/>
      <c r="L349" s="595"/>
      <c r="M349" s="595"/>
    </row>
    <row r="350" spans="1:13" ht="19.5" customHeight="1">
      <c r="A350" s="595"/>
      <c r="B350" s="595"/>
      <c r="C350" s="595"/>
      <c r="D350" s="595"/>
      <c r="E350" s="595"/>
      <c r="F350" s="595"/>
      <c r="G350" s="595"/>
      <c r="H350" s="595"/>
      <c r="I350" s="595"/>
      <c r="J350" s="595"/>
      <c r="K350" s="595"/>
      <c r="L350" s="595"/>
      <c r="M350" s="595"/>
    </row>
    <row r="351" spans="1:13" ht="19.5" customHeight="1">
      <c r="A351" s="595"/>
      <c r="B351" s="595"/>
      <c r="C351" s="595"/>
      <c r="D351" s="595"/>
      <c r="E351" s="595"/>
      <c r="F351" s="595"/>
      <c r="G351" s="595"/>
      <c r="H351" s="595"/>
      <c r="I351" s="595"/>
      <c r="J351" s="595"/>
      <c r="K351" s="595"/>
      <c r="L351" s="595"/>
      <c r="M351" s="595"/>
    </row>
    <row r="352" spans="1:13" ht="19.5" customHeight="1">
      <c r="A352" s="595"/>
      <c r="B352" s="595"/>
      <c r="C352" s="595"/>
      <c r="D352" s="595"/>
      <c r="E352" s="595"/>
      <c r="F352" s="595"/>
      <c r="G352" s="595"/>
      <c r="H352" s="595"/>
      <c r="I352" s="595"/>
      <c r="J352" s="595"/>
      <c r="K352" s="595"/>
      <c r="L352" s="595"/>
      <c r="M352" s="595"/>
    </row>
    <row r="353" spans="1:13" ht="19.5" customHeight="1">
      <c r="A353" s="595"/>
      <c r="B353" s="595"/>
      <c r="C353" s="595"/>
      <c r="D353" s="595"/>
      <c r="E353" s="595"/>
      <c r="F353" s="595"/>
      <c r="G353" s="595"/>
      <c r="H353" s="595"/>
      <c r="I353" s="595"/>
      <c r="J353" s="595"/>
      <c r="K353" s="595"/>
      <c r="L353" s="595"/>
      <c r="M353" s="595"/>
    </row>
    <row r="354" spans="1:13" ht="19.5" customHeight="1">
      <c r="A354" s="595"/>
      <c r="B354" s="595"/>
      <c r="C354" s="595"/>
      <c r="D354" s="595"/>
      <c r="E354" s="595"/>
      <c r="F354" s="595"/>
      <c r="G354" s="595"/>
      <c r="H354" s="595"/>
      <c r="I354" s="595"/>
      <c r="J354" s="595"/>
      <c r="K354" s="595"/>
      <c r="L354" s="595"/>
      <c r="M354" s="595"/>
    </row>
    <row r="355" spans="1:13" ht="19.5" customHeight="1">
      <c r="A355" s="595"/>
      <c r="B355" s="595"/>
      <c r="C355" s="595"/>
      <c r="D355" s="595"/>
      <c r="E355" s="595"/>
      <c r="F355" s="595"/>
      <c r="G355" s="595"/>
      <c r="H355" s="595"/>
      <c r="I355" s="595"/>
      <c r="J355" s="595"/>
      <c r="K355" s="595"/>
      <c r="L355" s="595"/>
      <c r="M355" s="595"/>
    </row>
    <row r="356" spans="1:13" ht="19.5" customHeight="1">
      <c r="A356" s="595"/>
      <c r="B356" s="595"/>
      <c r="C356" s="595"/>
      <c r="D356" s="595"/>
      <c r="E356" s="595"/>
      <c r="F356" s="595"/>
      <c r="G356" s="595"/>
      <c r="H356" s="595"/>
      <c r="I356" s="595"/>
      <c r="J356" s="595"/>
      <c r="K356" s="595"/>
      <c r="L356" s="595"/>
      <c r="M356" s="595"/>
    </row>
    <row r="357" spans="1:13" ht="19.5" customHeight="1">
      <c r="A357" s="595"/>
      <c r="B357" s="595"/>
      <c r="C357" s="595"/>
      <c r="D357" s="595"/>
      <c r="E357" s="595"/>
      <c r="F357" s="595"/>
      <c r="G357" s="595"/>
      <c r="H357" s="595"/>
      <c r="I357" s="595"/>
      <c r="J357" s="595"/>
      <c r="K357" s="595"/>
      <c r="L357" s="595"/>
      <c r="M357" s="595"/>
    </row>
    <row r="358" spans="1:13" ht="19.5" customHeight="1">
      <c r="A358" s="595"/>
      <c r="B358" s="595"/>
      <c r="C358" s="595"/>
      <c r="D358" s="595"/>
      <c r="E358" s="595"/>
      <c r="F358" s="595"/>
      <c r="G358" s="595"/>
      <c r="H358" s="595"/>
      <c r="I358" s="595"/>
      <c r="J358" s="595"/>
      <c r="K358" s="595"/>
      <c r="L358" s="595"/>
      <c r="M358" s="595"/>
    </row>
    <row r="359" spans="1:13" ht="19.5" customHeight="1">
      <c r="A359" s="595"/>
      <c r="B359" s="595"/>
      <c r="C359" s="595"/>
      <c r="D359" s="595"/>
      <c r="E359" s="595"/>
      <c r="F359" s="595"/>
      <c r="G359" s="595"/>
      <c r="H359" s="595"/>
      <c r="I359" s="595"/>
      <c r="J359" s="595"/>
      <c r="K359" s="595"/>
      <c r="L359" s="595"/>
      <c r="M359" s="595"/>
    </row>
    <row r="360" spans="1:13" ht="19.5" customHeight="1">
      <c r="A360" s="595"/>
      <c r="B360" s="595"/>
      <c r="C360" s="595"/>
      <c r="D360" s="595"/>
      <c r="E360" s="595"/>
      <c r="F360" s="595"/>
      <c r="G360" s="595"/>
      <c r="H360" s="595"/>
      <c r="I360" s="595"/>
      <c r="J360" s="595"/>
      <c r="K360" s="595"/>
      <c r="L360" s="595"/>
      <c r="M360" s="595"/>
    </row>
    <row r="361" spans="1:13" ht="19.5" customHeight="1">
      <c r="A361" s="595"/>
      <c r="B361" s="595"/>
      <c r="C361" s="595"/>
      <c r="D361" s="595"/>
      <c r="E361" s="595"/>
      <c r="F361" s="595"/>
      <c r="G361" s="595"/>
      <c r="H361" s="595"/>
      <c r="I361" s="595"/>
      <c r="J361" s="595"/>
      <c r="K361" s="595"/>
      <c r="L361" s="595"/>
      <c r="M361" s="595"/>
    </row>
    <row r="362" spans="1:13" ht="19.5" customHeight="1">
      <c r="A362" s="595"/>
      <c r="B362" s="595"/>
      <c r="C362" s="595"/>
      <c r="D362" s="595"/>
      <c r="E362" s="595"/>
      <c r="F362" s="595"/>
      <c r="G362" s="595"/>
      <c r="H362" s="595"/>
      <c r="I362" s="595"/>
      <c r="J362" s="595"/>
      <c r="K362" s="595"/>
      <c r="L362" s="595"/>
      <c r="M362" s="595"/>
    </row>
    <row r="363" spans="1:13" ht="19.5" customHeight="1">
      <c r="A363" s="595"/>
      <c r="B363" s="595"/>
      <c r="C363" s="595"/>
      <c r="D363" s="595"/>
      <c r="E363" s="595"/>
      <c r="F363" s="595"/>
      <c r="G363" s="595"/>
      <c r="H363" s="595"/>
      <c r="I363" s="595"/>
      <c r="J363" s="595"/>
      <c r="K363" s="595"/>
      <c r="L363" s="595"/>
      <c r="M363" s="595"/>
    </row>
    <row r="364" spans="1:13" ht="19.5" customHeight="1">
      <c r="A364" s="595"/>
      <c r="B364" s="595"/>
      <c r="C364" s="595"/>
      <c r="D364" s="595"/>
      <c r="E364" s="595"/>
      <c r="F364" s="595"/>
      <c r="G364" s="595"/>
      <c r="H364" s="595"/>
      <c r="I364" s="595"/>
      <c r="J364" s="595"/>
      <c r="K364" s="595"/>
      <c r="L364" s="595"/>
      <c r="M364" s="595"/>
    </row>
    <row r="365" spans="1:13" ht="19.5" customHeight="1">
      <c r="A365" s="595"/>
      <c r="B365" s="595"/>
      <c r="C365" s="595"/>
      <c r="D365" s="595"/>
      <c r="E365" s="595"/>
      <c r="F365" s="595"/>
      <c r="G365" s="595"/>
      <c r="H365" s="595"/>
      <c r="I365" s="595"/>
      <c r="J365" s="595"/>
      <c r="K365" s="595"/>
      <c r="L365" s="595"/>
      <c r="M365" s="595"/>
    </row>
    <row r="366" spans="1:13" ht="19.5" customHeight="1">
      <c r="A366" s="595"/>
      <c r="B366" s="595"/>
      <c r="C366" s="595"/>
      <c r="D366" s="595"/>
      <c r="E366" s="595"/>
      <c r="F366" s="595"/>
      <c r="G366" s="595"/>
      <c r="H366" s="595"/>
      <c r="I366" s="595"/>
      <c r="J366" s="595"/>
      <c r="K366" s="595"/>
      <c r="L366" s="595"/>
      <c r="M366" s="595"/>
    </row>
    <row r="367" spans="1:13" ht="19.5" customHeight="1">
      <c r="A367" s="595"/>
      <c r="B367" s="595"/>
      <c r="C367" s="595"/>
      <c r="D367" s="595"/>
      <c r="E367" s="595"/>
      <c r="F367" s="595"/>
      <c r="G367" s="595"/>
      <c r="H367" s="595"/>
      <c r="I367" s="595"/>
      <c r="J367" s="595"/>
      <c r="K367" s="595"/>
      <c r="L367" s="595"/>
      <c r="M367" s="595"/>
    </row>
    <row r="368" spans="1:13" ht="19.5" customHeight="1">
      <c r="A368" s="595"/>
      <c r="B368" s="595"/>
      <c r="C368" s="595"/>
      <c r="D368" s="595"/>
      <c r="E368" s="595"/>
      <c r="F368" s="595"/>
      <c r="G368" s="595"/>
      <c r="H368" s="595"/>
      <c r="I368" s="595"/>
      <c r="J368" s="595"/>
      <c r="K368" s="595"/>
      <c r="L368" s="595"/>
      <c r="M368" s="595"/>
    </row>
    <row r="369" spans="1:13" ht="19.5" customHeight="1">
      <c r="A369" s="595"/>
      <c r="B369" s="595"/>
      <c r="C369" s="595"/>
      <c r="D369" s="595"/>
      <c r="E369" s="595"/>
      <c r="F369" s="595"/>
      <c r="G369" s="595"/>
      <c r="H369" s="595"/>
      <c r="I369" s="595"/>
      <c r="J369" s="595"/>
      <c r="K369" s="595"/>
      <c r="L369" s="595"/>
      <c r="M369" s="595"/>
    </row>
    <row r="370" spans="1:13" ht="19.5" customHeight="1">
      <c r="A370" s="595"/>
      <c r="B370" s="595"/>
      <c r="C370" s="595"/>
      <c r="D370" s="595"/>
      <c r="E370" s="595"/>
      <c r="F370" s="595"/>
      <c r="G370" s="595"/>
      <c r="H370" s="595"/>
      <c r="I370" s="595"/>
      <c r="J370" s="595"/>
      <c r="K370" s="595"/>
      <c r="L370" s="595"/>
      <c r="M370" s="595"/>
    </row>
    <row r="371" spans="1:13" ht="19.5" customHeight="1">
      <c r="A371" s="595"/>
      <c r="B371" s="595"/>
      <c r="C371" s="595"/>
      <c r="D371" s="595"/>
      <c r="E371" s="595"/>
      <c r="F371" s="595"/>
      <c r="G371" s="595"/>
      <c r="H371" s="595"/>
      <c r="I371" s="595"/>
      <c r="J371" s="595"/>
      <c r="K371" s="595"/>
      <c r="L371" s="595"/>
      <c r="M371" s="595"/>
    </row>
    <row r="372" spans="1:13" ht="19.5" customHeight="1">
      <c r="A372" s="595"/>
      <c r="B372" s="595"/>
      <c r="C372" s="595"/>
      <c r="D372" s="595"/>
      <c r="E372" s="595"/>
      <c r="F372" s="595"/>
      <c r="G372" s="595"/>
      <c r="H372" s="595"/>
      <c r="I372" s="595"/>
      <c r="J372" s="595"/>
      <c r="K372" s="595"/>
      <c r="L372" s="595"/>
      <c r="M372" s="595"/>
    </row>
    <row r="373" spans="1:13" ht="19.5" customHeight="1">
      <c r="A373" s="595"/>
      <c r="B373" s="595"/>
      <c r="C373" s="595"/>
      <c r="D373" s="595"/>
      <c r="E373" s="595"/>
      <c r="F373" s="595"/>
      <c r="G373" s="595"/>
      <c r="H373" s="595"/>
      <c r="I373" s="595"/>
      <c r="J373" s="595"/>
      <c r="K373" s="595"/>
      <c r="L373" s="595"/>
      <c r="M373" s="595"/>
    </row>
    <row r="374" spans="1:13" ht="19.5" customHeight="1">
      <c r="A374" s="595"/>
      <c r="B374" s="595"/>
      <c r="C374" s="595"/>
      <c r="D374" s="595"/>
      <c r="E374" s="595"/>
      <c r="F374" s="595"/>
      <c r="G374" s="595"/>
      <c r="H374" s="595"/>
      <c r="I374" s="595"/>
      <c r="J374" s="595"/>
      <c r="K374" s="595"/>
      <c r="L374" s="595"/>
      <c r="M374" s="595"/>
    </row>
    <row r="375" spans="1:13" ht="19.5" customHeight="1">
      <c r="A375" s="595"/>
      <c r="B375" s="595"/>
      <c r="C375" s="595"/>
      <c r="D375" s="595"/>
      <c r="E375" s="595"/>
      <c r="F375" s="595"/>
      <c r="G375" s="595"/>
      <c r="H375" s="595"/>
      <c r="I375" s="595"/>
      <c r="J375" s="595"/>
      <c r="K375" s="595"/>
      <c r="L375" s="595"/>
      <c r="M375" s="595"/>
    </row>
    <row r="376" spans="1:13" ht="19.5" customHeight="1">
      <c r="A376" s="595"/>
      <c r="B376" s="595"/>
      <c r="C376" s="595"/>
      <c r="D376" s="595"/>
      <c r="E376" s="595"/>
      <c r="F376" s="595"/>
      <c r="G376" s="595"/>
      <c r="H376" s="595"/>
      <c r="I376" s="595"/>
      <c r="J376" s="595"/>
      <c r="K376" s="595"/>
      <c r="L376" s="595"/>
      <c r="M376" s="595"/>
    </row>
    <row r="377" spans="1:13" ht="19.5" customHeight="1">
      <c r="A377" s="595"/>
      <c r="B377" s="595"/>
      <c r="C377" s="595"/>
      <c r="D377" s="595"/>
      <c r="E377" s="595"/>
      <c r="F377" s="595"/>
      <c r="G377" s="595"/>
      <c r="H377" s="595"/>
      <c r="I377" s="595"/>
      <c r="J377" s="595"/>
      <c r="K377" s="595"/>
      <c r="L377" s="595"/>
      <c r="M377" s="595"/>
    </row>
    <row r="378" spans="1:13" ht="19.5" customHeight="1">
      <c r="A378" s="595"/>
      <c r="B378" s="595"/>
      <c r="C378" s="595"/>
      <c r="D378" s="595"/>
      <c r="E378" s="595"/>
      <c r="F378" s="595"/>
      <c r="G378" s="595"/>
      <c r="H378" s="595"/>
      <c r="I378" s="595"/>
      <c r="J378" s="595"/>
      <c r="K378" s="595"/>
      <c r="L378" s="595"/>
      <c r="M378" s="595"/>
    </row>
    <row r="379" spans="1:13" ht="19.5" customHeight="1">
      <c r="A379" s="595"/>
      <c r="B379" s="595"/>
      <c r="C379" s="595"/>
      <c r="D379" s="595"/>
      <c r="E379" s="595"/>
      <c r="F379" s="595"/>
      <c r="G379" s="595"/>
      <c r="H379" s="595"/>
      <c r="I379" s="595"/>
      <c r="J379" s="595"/>
      <c r="K379" s="595"/>
      <c r="L379" s="595"/>
      <c r="M379" s="595"/>
    </row>
    <row r="380" spans="1:13" ht="19.5" customHeight="1">
      <c r="A380" s="595"/>
      <c r="B380" s="595"/>
      <c r="C380" s="595"/>
      <c r="D380" s="595"/>
      <c r="E380" s="595"/>
      <c r="F380" s="595"/>
      <c r="G380" s="595"/>
      <c r="H380" s="595"/>
      <c r="I380" s="595"/>
      <c r="J380" s="595"/>
      <c r="K380" s="595"/>
      <c r="L380" s="595"/>
      <c r="M380" s="595"/>
    </row>
    <row r="381" spans="1:13" ht="19.5" customHeight="1">
      <c r="A381" s="595"/>
      <c r="B381" s="595"/>
      <c r="C381" s="595"/>
      <c r="D381" s="595"/>
      <c r="E381" s="595"/>
      <c r="F381" s="595"/>
      <c r="G381" s="595"/>
      <c r="H381" s="595"/>
      <c r="I381" s="595"/>
      <c r="J381" s="595"/>
      <c r="K381" s="595"/>
      <c r="L381" s="595"/>
      <c r="M381" s="595"/>
    </row>
    <row r="382" spans="1:13" ht="19.5" customHeight="1">
      <c r="A382" s="595"/>
      <c r="B382" s="595"/>
      <c r="C382" s="595"/>
      <c r="D382" s="595"/>
      <c r="E382" s="595"/>
      <c r="F382" s="595"/>
      <c r="G382" s="595"/>
      <c r="H382" s="595"/>
      <c r="I382" s="595"/>
      <c r="J382" s="595"/>
      <c r="K382" s="595"/>
      <c r="L382" s="595"/>
      <c r="M382" s="595"/>
    </row>
    <row r="383" spans="1:13" ht="19.5" customHeight="1">
      <c r="A383" s="595"/>
      <c r="B383" s="595"/>
      <c r="C383" s="595"/>
      <c r="D383" s="595"/>
      <c r="E383" s="595"/>
      <c r="F383" s="595"/>
      <c r="G383" s="595"/>
      <c r="H383" s="595"/>
      <c r="I383" s="595"/>
      <c r="J383" s="595"/>
      <c r="K383" s="595"/>
      <c r="L383" s="595"/>
      <c r="M383" s="595"/>
    </row>
    <row r="384" spans="1:13" ht="19.5" customHeight="1">
      <c r="A384" s="595"/>
      <c r="B384" s="595"/>
      <c r="C384" s="595"/>
      <c r="D384" s="595"/>
      <c r="E384" s="595"/>
      <c r="F384" s="595"/>
      <c r="G384" s="595"/>
      <c r="H384" s="595"/>
      <c r="I384" s="595"/>
      <c r="J384" s="595"/>
      <c r="K384" s="595"/>
      <c r="L384" s="595"/>
      <c r="M384" s="595"/>
    </row>
    <row r="385" spans="1:13" ht="19.5" customHeight="1">
      <c r="A385" s="595"/>
      <c r="B385" s="595"/>
      <c r="C385" s="595"/>
      <c r="D385" s="595"/>
      <c r="E385" s="595"/>
      <c r="F385" s="595"/>
      <c r="G385" s="595"/>
      <c r="H385" s="595"/>
      <c r="I385" s="595"/>
      <c r="J385" s="595"/>
      <c r="K385" s="595"/>
      <c r="L385" s="595"/>
      <c r="M385" s="595"/>
    </row>
    <row r="386" spans="1:13" ht="19.5" customHeight="1">
      <c r="A386" s="595"/>
      <c r="B386" s="595"/>
      <c r="C386" s="595"/>
      <c r="D386" s="595"/>
      <c r="E386" s="595"/>
      <c r="F386" s="595"/>
      <c r="G386" s="595"/>
      <c r="H386" s="595"/>
      <c r="I386" s="595"/>
      <c r="J386" s="595"/>
      <c r="K386" s="595"/>
      <c r="L386" s="595"/>
      <c r="M386" s="595"/>
    </row>
    <row r="387" spans="1:13" ht="19.5" customHeight="1">
      <c r="A387" s="595"/>
      <c r="B387" s="595"/>
      <c r="C387" s="595"/>
      <c r="D387" s="595"/>
      <c r="E387" s="595"/>
      <c r="F387" s="595"/>
      <c r="G387" s="595"/>
      <c r="H387" s="595"/>
      <c r="I387" s="595"/>
      <c r="J387" s="595"/>
      <c r="K387" s="595"/>
      <c r="L387" s="595"/>
      <c r="M387" s="595"/>
    </row>
    <row r="388" spans="1:13" ht="19.5" customHeight="1">
      <c r="A388" s="595"/>
      <c r="B388" s="595"/>
      <c r="C388" s="595"/>
      <c r="D388" s="595"/>
      <c r="E388" s="595"/>
      <c r="F388" s="595"/>
      <c r="G388" s="595"/>
      <c r="H388" s="595"/>
      <c r="I388" s="595"/>
      <c r="J388" s="595"/>
      <c r="K388" s="595"/>
      <c r="L388" s="595"/>
      <c r="M388" s="595"/>
    </row>
    <row r="389" spans="1:13" ht="19.5" customHeight="1">
      <c r="A389" s="595"/>
      <c r="B389" s="595"/>
      <c r="C389" s="595"/>
      <c r="D389" s="595"/>
      <c r="E389" s="595"/>
      <c r="F389" s="595"/>
      <c r="G389" s="595"/>
      <c r="H389" s="595"/>
      <c r="I389" s="595"/>
      <c r="J389" s="595"/>
      <c r="K389" s="595"/>
      <c r="L389" s="595"/>
      <c r="M389" s="595"/>
    </row>
    <row r="390" spans="1:13" ht="19.5" customHeight="1">
      <c r="A390" s="595"/>
      <c r="B390" s="595"/>
      <c r="C390" s="595"/>
      <c r="D390" s="595"/>
      <c r="E390" s="595"/>
      <c r="F390" s="595"/>
      <c r="G390" s="595"/>
      <c r="H390" s="595"/>
      <c r="I390" s="595"/>
      <c r="J390" s="595"/>
      <c r="K390" s="595"/>
      <c r="L390" s="595"/>
      <c r="M390" s="595"/>
    </row>
    <row r="391" spans="1:13" ht="19.5" customHeight="1">
      <c r="A391" s="595"/>
      <c r="B391" s="595"/>
      <c r="C391" s="595"/>
      <c r="D391" s="595"/>
      <c r="E391" s="595"/>
      <c r="F391" s="595"/>
      <c r="G391" s="595"/>
      <c r="H391" s="595"/>
      <c r="I391" s="595"/>
      <c r="J391" s="595"/>
      <c r="K391" s="595"/>
      <c r="L391" s="595"/>
      <c r="M391" s="595"/>
    </row>
    <row r="392" spans="1:13" ht="19.5" customHeight="1">
      <c r="A392" s="595"/>
      <c r="B392" s="595"/>
      <c r="C392" s="595"/>
      <c r="D392" s="595"/>
      <c r="E392" s="595"/>
      <c r="F392" s="595"/>
      <c r="G392" s="595"/>
      <c r="H392" s="595"/>
      <c r="I392" s="595"/>
      <c r="J392" s="595"/>
      <c r="K392" s="595"/>
      <c r="L392" s="595"/>
      <c r="M392" s="595"/>
    </row>
    <row r="393" spans="1:13" ht="19.5" customHeight="1">
      <c r="A393" s="595"/>
      <c r="B393" s="595"/>
      <c r="C393" s="595"/>
      <c r="D393" s="595"/>
      <c r="E393" s="595"/>
      <c r="F393" s="595"/>
      <c r="G393" s="595"/>
      <c r="H393" s="595"/>
      <c r="I393" s="595"/>
      <c r="J393" s="595"/>
      <c r="K393" s="595"/>
      <c r="L393" s="595"/>
      <c r="M393" s="595"/>
    </row>
    <row r="394" spans="1:13" ht="19.5" customHeight="1">
      <c r="A394" s="595"/>
      <c r="B394" s="595"/>
      <c r="C394" s="595"/>
      <c r="D394" s="595"/>
      <c r="E394" s="595"/>
      <c r="F394" s="595"/>
      <c r="G394" s="595"/>
      <c r="H394" s="595"/>
      <c r="I394" s="595"/>
      <c r="J394" s="595"/>
      <c r="K394" s="595"/>
      <c r="L394" s="595"/>
      <c r="M394" s="595"/>
    </row>
    <row r="395" spans="1:13" ht="19.5" customHeight="1">
      <c r="A395" s="595"/>
      <c r="B395" s="595"/>
      <c r="C395" s="595"/>
      <c r="D395" s="595"/>
      <c r="E395" s="595"/>
      <c r="F395" s="595"/>
      <c r="G395" s="595"/>
      <c r="H395" s="595"/>
      <c r="I395" s="595"/>
      <c r="J395" s="595"/>
      <c r="K395" s="595"/>
      <c r="L395" s="595"/>
      <c r="M395" s="595"/>
    </row>
    <row r="396" spans="1:13" ht="19.5" customHeight="1">
      <c r="A396" s="595"/>
      <c r="B396" s="595"/>
      <c r="C396" s="595"/>
      <c r="D396" s="595"/>
      <c r="E396" s="595"/>
      <c r="F396" s="595"/>
      <c r="G396" s="595"/>
      <c r="H396" s="595"/>
      <c r="I396" s="595"/>
      <c r="J396" s="595"/>
      <c r="K396" s="595"/>
      <c r="L396" s="595"/>
      <c r="M396" s="595"/>
    </row>
    <row r="397" spans="1:13" ht="19.5" customHeight="1">
      <c r="A397" s="595"/>
      <c r="B397" s="595"/>
      <c r="C397" s="595"/>
      <c r="D397" s="595"/>
      <c r="E397" s="595"/>
      <c r="F397" s="595"/>
      <c r="G397" s="595"/>
      <c r="H397" s="595"/>
      <c r="I397" s="595"/>
      <c r="J397" s="595"/>
      <c r="K397" s="595"/>
      <c r="L397" s="595"/>
      <c r="M397" s="595"/>
    </row>
    <row r="398" spans="1:13" ht="19.5" customHeight="1">
      <c r="A398" s="595"/>
      <c r="B398" s="595"/>
      <c r="C398" s="595"/>
      <c r="D398" s="595"/>
      <c r="E398" s="595"/>
      <c r="F398" s="595"/>
      <c r="G398" s="595"/>
      <c r="H398" s="595"/>
      <c r="I398" s="595"/>
      <c r="J398" s="595"/>
      <c r="K398" s="595"/>
      <c r="L398" s="595"/>
      <c r="M398" s="595"/>
    </row>
    <row r="399" spans="1:13" ht="19.5" customHeight="1">
      <c r="A399" s="595"/>
      <c r="B399" s="595"/>
      <c r="C399" s="595"/>
      <c r="D399" s="595"/>
      <c r="E399" s="595"/>
      <c r="F399" s="595"/>
      <c r="G399" s="595"/>
      <c r="H399" s="595"/>
      <c r="I399" s="595"/>
      <c r="J399" s="595"/>
      <c r="K399" s="595"/>
      <c r="L399" s="595"/>
      <c r="M399" s="595"/>
    </row>
    <row r="400" spans="1:13" ht="19.5" customHeight="1">
      <c r="A400" s="595"/>
      <c r="B400" s="595"/>
      <c r="C400" s="595"/>
      <c r="D400" s="595"/>
      <c r="E400" s="595"/>
      <c r="F400" s="595"/>
      <c r="G400" s="595"/>
      <c r="H400" s="595"/>
      <c r="I400" s="595"/>
      <c r="J400" s="595"/>
      <c r="K400" s="595"/>
      <c r="L400" s="595"/>
      <c r="M400" s="595"/>
    </row>
    <row r="401" spans="1:13" ht="19.5" customHeight="1">
      <c r="A401" s="595"/>
      <c r="B401" s="595"/>
      <c r="C401" s="595"/>
      <c r="D401" s="595"/>
      <c r="E401" s="595"/>
      <c r="F401" s="595"/>
      <c r="G401" s="595"/>
      <c r="H401" s="595"/>
      <c r="I401" s="595"/>
      <c r="J401" s="595"/>
      <c r="K401" s="595"/>
      <c r="L401" s="595"/>
      <c r="M401" s="595"/>
    </row>
    <row r="402" spans="1:13" ht="19.5" customHeight="1">
      <c r="A402" s="595"/>
      <c r="B402" s="595"/>
      <c r="C402" s="595"/>
      <c r="D402" s="595"/>
      <c r="E402" s="595"/>
      <c r="F402" s="595"/>
      <c r="G402" s="595"/>
      <c r="H402" s="595"/>
      <c r="I402" s="595"/>
      <c r="J402" s="595"/>
      <c r="K402" s="595"/>
      <c r="L402" s="595"/>
      <c r="M402" s="595"/>
    </row>
    <row r="403" spans="1:13" ht="19.5" customHeight="1">
      <c r="A403" s="595"/>
      <c r="B403" s="595"/>
      <c r="C403" s="595"/>
      <c r="D403" s="595"/>
      <c r="E403" s="595"/>
      <c r="F403" s="595"/>
      <c r="G403" s="595"/>
      <c r="H403" s="595"/>
      <c r="I403" s="595"/>
      <c r="J403" s="595"/>
      <c r="K403" s="595"/>
      <c r="L403" s="595"/>
      <c r="M403" s="595"/>
    </row>
    <row r="404" spans="1:13" ht="19.5" customHeight="1">
      <c r="A404" s="595"/>
      <c r="B404" s="595"/>
      <c r="C404" s="595"/>
      <c r="D404" s="595"/>
      <c r="E404" s="595"/>
      <c r="F404" s="595"/>
      <c r="G404" s="595"/>
      <c r="H404" s="595"/>
      <c r="I404" s="595"/>
      <c r="J404" s="595"/>
      <c r="K404" s="595"/>
      <c r="L404" s="595"/>
      <c r="M404" s="595"/>
    </row>
    <row r="405" spans="1:13" ht="19.5" customHeight="1">
      <c r="A405" s="595"/>
      <c r="B405" s="595"/>
      <c r="C405" s="595"/>
      <c r="D405" s="595"/>
      <c r="E405" s="595"/>
      <c r="F405" s="595"/>
      <c r="G405" s="595"/>
      <c r="H405" s="595"/>
      <c r="I405" s="595"/>
      <c r="J405" s="595"/>
      <c r="K405" s="595"/>
      <c r="L405" s="595"/>
      <c r="M405" s="595"/>
    </row>
    <row r="406" spans="1:13" ht="19.5" customHeight="1">
      <c r="A406" s="595"/>
      <c r="B406" s="595"/>
      <c r="C406" s="595"/>
      <c r="D406" s="595"/>
      <c r="E406" s="595"/>
      <c r="F406" s="595"/>
      <c r="G406" s="595"/>
      <c r="H406" s="595"/>
      <c r="I406" s="595"/>
      <c r="J406" s="595"/>
      <c r="K406" s="595"/>
      <c r="L406" s="595"/>
      <c r="M406" s="595"/>
    </row>
    <row r="407" spans="1:13" ht="19.5" customHeight="1">
      <c r="A407" s="595"/>
      <c r="B407" s="595"/>
      <c r="C407" s="595"/>
      <c r="D407" s="595"/>
      <c r="E407" s="595"/>
      <c r="F407" s="595"/>
      <c r="G407" s="595"/>
      <c r="H407" s="595"/>
      <c r="I407" s="595"/>
      <c r="J407" s="595"/>
      <c r="K407" s="595"/>
      <c r="L407" s="595"/>
      <c r="M407" s="595"/>
    </row>
    <row r="408" spans="1:13" ht="19.5" customHeight="1">
      <c r="A408" s="595"/>
      <c r="B408" s="595"/>
      <c r="C408" s="595"/>
      <c r="D408" s="595"/>
      <c r="E408" s="595"/>
      <c r="F408" s="595"/>
      <c r="G408" s="595"/>
      <c r="H408" s="595"/>
      <c r="I408" s="595"/>
      <c r="J408" s="595"/>
      <c r="K408" s="595"/>
      <c r="L408" s="595"/>
      <c r="M408" s="595"/>
    </row>
    <row r="409" spans="1:13" ht="19.5" customHeight="1">
      <c r="A409" s="595"/>
      <c r="B409" s="595"/>
      <c r="C409" s="595"/>
      <c r="D409" s="595"/>
      <c r="E409" s="595"/>
      <c r="F409" s="595"/>
      <c r="G409" s="595"/>
      <c r="H409" s="595"/>
      <c r="I409" s="595"/>
      <c r="J409" s="595"/>
      <c r="K409" s="595"/>
      <c r="L409" s="595"/>
      <c r="M409" s="595"/>
    </row>
    <row r="410" spans="1:13" ht="19.5" customHeight="1">
      <c r="A410" s="595"/>
      <c r="B410" s="595"/>
      <c r="C410" s="595"/>
      <c r="D410" s="595"/>
      <c r="E410" s="595"/>
      <c r="F410" s="595"/>
      <c r="G410" s="595"/>
      <c r="H410" s="595"/>
      <c r="I410" s="595"/>
      <c r="J410" s="595"/>
      <c r="K410" s="595"/>
      <c r="L410" s="595"/>
      <c r="M410" s="595"/>
    </row>
    <row r="411" spans="1:13" ht="19.5" customHeight="1">
      <c r="A411" s="595"/>
      <c r="B411" s="595"/>
      <c r="C411" s="595"/>
      <c r="D411" s="595"/>
      <c r="E411" s="595"/>
      <c r="F411" s="595"/>
      <c r="G411" s="595"/>
      <c r="H411" s="595"/>
      <c r="I411" s="595"/>
      <c r="J411" s="595"/>
      <c r="K411" s="595"/>
      <c r="L411" s="595"/>
      <c r="M411" s="595"/>
    </row>
    <row r="412" spans="1:13" ht="19.5" customHeight="1">
      <c r="A412" s="595"/>
      <c r="B412" s="595"/>
      <c r="C412" s="595"/>
      <c r="D412" s="595"/>
      <c r="E412" s="595"/>
      <c r="F412" s="595"/>
      <c r="G412" s="595"/>
      <c r="H412" s="595"/>
      <c r="I412" s="595"/>
      <c r="J412" s="595"/>
      <c r="K412" s="595"/>
      <c r="L412" s="595"/>
      <c r="M412" s="595"/>
    </row>
    <row r="413" spans="1:13" ht="19.5" customHeight="1">
      <c r="A413" s="595"/>
      <c r="B413" s="595"/>
      <c r="C413" s="595"/>
      <c r="D413" s="595"/>
      <c r="E413" s="595"/>
      <c r="F413" s="595"/>
      <c r="G413" s="595"/>
      <c r="H413" s="595"/>
      <c r="I413" s="595"/>
      <c r="J413" s="595"/>
      <c r="K413" s="595"/>
      <c r="L413" s="595"/>
      <c r="M413" s="595"/>
    </row>
    <row r="414" spans="1:13" ht="19.5" customHeight="1">
      <c r="A414" s="595"/>
      <c r="B414" s="595"/>
      <c r="C414" s="595"/>
      <c r="D414" s="595"/>
      <c r="E414" s="595"/>
      <c r="F414" s="595"/>
      <c r="G414" s="595"/>
      <c r="H414" s="595"/>
      <c r="I414" s="595"/>
      <c r="J414" s="595"/>
      <c r="K414" s="595"/>
      <c r="L414" s="595"/>
      <c r="M414" s="595"/>
    </row>
    <row r="415" spans="1:13" ht="19.5" customHeight="1">
      <c r="A415" s="595"/>
      <c r="B415" s="595"/>
      <c r="C415" s="595"/>
      <c r="D415" s="595"/>
      <c r="E415" s="595"/>
      <c r="F415" s="595"/>
      <c r="G415" s="595"/>
      <c r="H415" s="595"/>
      <c r="I415" s="595"/>
      <c r="J415" s="595"/>
      <c r="K415" s="595"/>
      <c r="L415" s="595"/>
      <c r="M415" s="595"/>
    </row>
    <row r="416" spans="1:13" ht="19.5" customHeight="1">
      <c r="A416" s="595"/>
      <c r="B416" s="595"/>
      <c r="C416" s="595"/>
      <c r="D416" s="595"/>
      <c r="E416" s="595"/>
      <c r="F416" s="595"/>
      <c r="G416" s="595"/>
      <c r="H416" s="595"/>
      <c r="I416" s="595"/>
      <c r="J416" s="595"/>
      <c r="K416" s="595"/>
      <c r="L416" s="595"/>
      <c r="M416" s="595"/>
    </row>
    <row r="417" spans="1:13" ht="19.5" customHeight="1">
      <c r="A417" s="595"/>
      <c r="B417" s="595"/>
      <c r="C417" s="595"/>
      <c r="D417" s="595"/>
      <c r="E417" s="595"/>
      <c r="F417" s="595"/>
      <c r="G417" s="595"/>
      <c r="H417" s="595"/>
      <c r="I417" s="595"/>
      <c r="J417" s="595"/>
      <c r="K417" s="595"/>
      <c r="L417" s="595"/>
      <c r="M417" s="595"/>
    </row>
    <row r="418" spans="1:13" ht="19.5" customHeight="1">
      <c r="A418" s="595"/>
      <c r="B418" s="595"/>
      <c r="C418" s="595"/>
      <c r="D418" s="595"/>
      <c r="E418" s="595"/>
      <c r="F418" s="595"/>
      <c r="G418" s="595"/>
      <c r="H418" s="595"/>
      <c r="I418" s="595"/>
      <c r="J418" s="595"/>
      <c r="K418" s="595"/>
      <c r="L418" s="595"/>
      <c r="M418" s="595"/>
    </row>
    <row r="419" spans="1:13" ht="19.5" customHeight="1">
      <c r="A419" s="595"/>
      <c r="B419" s="595"/>
      <c r="C419" s="595"/>
      <c r="D419" s="595"/>
      <c r="E419" s="595"/>
      <c r="F419" s="595"/>
      <c r="G419" s="595"/>
      <c r="H419" s="595"/>
      <c r="I419" s="595"/>
      <c r="J419" s="595"/>
      <c r="K419" s="595"/>
      <c r="L419" s="595"/>
      <c r="M419" s="595"/>
    </row>
    <row r="420" spans="1:13" ht="19.5" customHeight="1">
      <c r="A420" s="595"/>
      <c r="B420" s="595"/>
      <c r="C420" s="595"/>
      <c r="D420" s="595"/>
      <c r="E420" s="595"/>
      <c r="F420" s="595"/>
      <c r="G420" s="595"/>
      <c r="H420" s="595"/>
      <c r="I420" s="595"/>
      <c r="J420" s="595"/>
      <c r="K420" s="595"/>
      <c r="L420" s="595"/>
      <c r="M420" s="595"/>
    </row>
    <row r="421" spans="1:13" ht="19.5" customHeight="1">
      <c r="A421" s="595"/>
      <c r="B421" s="595"/>
      <c r="C421" s="595"/>
      <c r="D421" s="595"/>
      <c r="E421" s="595"/>
      <c r="F421" s="595"/>
      <c r="G421" s="595"/>
      <c r="H421" s="595"/>
      <c r="I421" s="595"/>
      <c r="J421" s="595"/>
      <c r="K421" s="595"/>
      <c r="L421" s="595"/>
      <c r="M421" s="595"/>
    </row>
    <row r="422" spans="1:13" ht="19.5" customHeight="1">
      <c r="A422" s="595"/>
      <c r="B422" s="595"/>
      <c r="C422" s="595"/>
      <c r="D422" s="595"/>
      <c r="E422" s="595"/>
      <c r="F422" s="595"/>
      <c r="G422" s="595"/>
      <c r="H422" s="595"/>
      <c r="I422" s="595"/>
      <c r="J422" s="595"/>
      <c r="K422" s="595"/>
      <c r="L422" s="595"/>
      <c r="M422" s="595"/>
    </row>
    <row r="423" spans="1:13" ht="19.5" customHeight="1">
      <c r="A423" s="595"/>
      <c r="B423" s="595"/>
      <c r="C423" s="595"/>
      <c r="D423" s="595"/>
      <c r="E423" s="595"/>
      <c r="F423" s="595"/>
      <c r="G423" s="595"/>
      <c r="H423" s="595"/>
      <c r="I423" s="595"/>
      <c r="J423" s="595"/>
      <c r="K423" s="595"/>
      <c r="L423" s="595"/>
      <c r="M423" s="595"/>
    </row>
    <row r="424" spans="1:13" ht="19.5" customHeight="1">
      <c r="A424" s="595"/>
      <c r="B424" s="595"/>
      <c r="C424" s="595"/>
      <c r="D424" s="595"/>
      <c r="E424" s="595"/>
      <c r="F424" s="595"/>
      <c r="G424" s="595"/>
      <c r="H424" s="595"/>
      <c r="I424" s="595"/>
      <c r="J424" s="595"/>
      <c r="K424" s="595"/>
      <c r="L424" s="595"/>
      <c r="M424" s="595"/>
    </row>
    <row r="425" spans="1:13" ht="19.5" customHeight="1">
      <c r="A425" s="595"/>
      <c r="B425" s="595"/>
      <c r="C425" s="595"/>
      <c r="D425" s="595"/>
      <c r="E425" s="595"/>
      <c r="F425" s="595"/>
      <c r="G425" s="595"/>
      <c r="H425" s="595"/>
      <c r="I425" s="595"/>
      <c r="J425" s="595"/>
      <c r="K425" s="595"/>
      <c r="L425" s="595"/>
      <c r="M425" s="595"/>
    </row>
    <row r="426" spans="1:13" ht="19.5" customHeight="1">
      <c r="A426" s="595"/>
      <c r="B426" s="595"/>
      <c r="C426" s="595"/>
      <c r="D426" s="595"/>
      <c r="E426" s="595"/>
      <c r="F426" s="595"/>
      <c r="G426" s="595"/>
      <c r="H426" s="595"/>
      <c r="I426" s="595"/>
      <c r="J426" s="595"/>
      <c r="K426" s="595"/>
      <c r="L426" s="595"/>
      <c r="M426" s="595"/>
    </row>
    <row r="427" spans="1:13" ht="19.5" customHeight="1">
      <c r="A427" s="595"/>
      <c r="B427" s="595"/>
      <c r="C427" s="595"/>
      <c r="D427" s="595"/>
      <c r="E427" s="595"/>
      <c r="F427" s="595"/>
      <c r="G427" s="595"/>
      <c r="H427" s="595"/>
      <c r="I427" s="595"/>
      <c r="J427" s="595"/>
      <c r="K427" s="595"/>
      <c r="L427" s="595"/>
      <c r="M427" s="595"/>
    </row>
    <row r="428" spans="1:13" ht="19.5" customHeight="1">
      <c r="A428" s="595"/>
      <c r="B428" s="595"/>
      <c r="C428" s="595"/>
      <c r="D428" s="595"/>
      <c r="E428" s="595"/>
      <c r="F428" s="595"/>
      <c r="G428" s="595"/>
      <c r="H428" s="595"/>
      <c r="I428" s="595"/>
      <c r="J428" s="595"/>
      <c r="K428" s="595"/>
      <c r="L428" s="595"/>
      <c r="M428" s="595"/>
    </row>
    <row r="429" spans="1:13" ht="19.5" customHeight="1">
      <c r="A429" s="595"/>
      <c r="B429" s="595"/>
      <c r="C429" s="595"/>
      <c r="D429" s="595"/>
      <c r="E429" s="595"/>
      <c r="F429" s="595"/>
      <c r="G429" s="595"/>
      <c r="H429" s="595"/>
      <c r="I429" s="595"/>
      <c r="J429" s="595"/>
      <c r="K429" s="595"/>
      <c r="L429" s="595"/>
      <c r="M429" s="595"/>
    </row>
    <row r="430" spans="1:13" ht="19.5" customHeight="1">
      <c r="A430" s="595"/>
      <c r="B430" s="595"/>
      <c r="C430" s="595"/>
      <c r="D430" s="595"/>
      <c r="E430" s="595"/>
      <c r="F430" s="595"/>
      <c r="G430" s="595"/>
      <c r="H430" s="595"/>
      <c r="I430" s="595"/>
      <c r="J430" s="595"/>
      <c r="K430" s="595"/>
      <c r="L430" s="595"/>
      <c r="M430" s="595"/>
    </row>
    <row r="431" spans="1:13" ht="19.5" customHeight="1">
      <c r="A431" s="595"/>
      <c r="B431" s="595"/>
      <c r="C431" s="595"/>
      <c r="D431" s="595"/>
      <c r="E431" s="595"/>
      <c r="F431" s="595"/>
      <c r="G431" s="595"/>
      <c r="H431" s="595"/>
      <c r="I431" s="595"/>
      <c r="J431" s="595"/>
      <c r="K431" s="595"/>
      <c r="L431" s="595"/>
      <c r="M431" s="595"/>
    </row>
    <row r="432" spans="1:13" ht="19.5" customHeight="1">
      <c r="A432" s="595"/>
      <c r="B432" s="595"/>
      <c r="C432" s="595"/>
      <c r="D432" s="595"/>
      <c r="E432" s="595"/>
      <c r="F432" s="595"/>
      <c r="G432" s="595"/>
      <c r="H432" s="595"/>
      <c r="I432" s="595"/>
      <c r="J432" s="595"/>
      <c r="K432" s="595"/>
      <c r="L432" s="595"/>
      <c r="M432" s="595"/>
    </row>
    <row r="433" spans="1:13" ht="19.5" customHeight="1">
      <c r="A433" s="595"/>
      <c r="B433" s="595"/>
      <c r="C433" s="595"/>
      <c r="D433" s="595"/>
      <c r="E433" s="595"/>
      <c r="F433" s="595"/>
      <c r="G433" s="595"/>
      <c r="H433" s="595"/>
      <c r="I433" s="595"/>
      <c r="J433" s="595"/>
      <c r="K433" s="595"/>
      <c r="L433" s="595"/>
      <c r="M433" s="595"/>
    </row>
    <row r="434" spans="1:13" ht="19.5" customHeight="1">
      <c r="A434" s="595"/>
      <c r="B434" s="595"/>
      <c r="C434" s="595"/>
      <c r="D434" s="595"/>
      <c r="E434" s="595"/>
      <c r="F434" s="595"/>
      <c r="G434" s="595"/>
      <c r="H434" s="595"/>
      <c r="I434" s="595"/>
      <c r="J434" s="595"/>
      <c r="K434" s="595"/>
      <c r="L434" s="595"/>
      <c r="M434" s="595"/>
    </row>
    <row r="435" spans="1:13" ht="19.5" customHeight="1">
      <c r="A435" s="595"/>
      <c r="B435" s="595"/>
      <c r="C435" s="595"/>
      <c r="D435" s="595"/>
      <c r="E435" s="595"/>
      <c r="F435" s="595"/>
      <c r="G435" s="595"/>
      <c r="H435" s="595"/>
      <c r="I435" s="595"/>
      <c r="J435" s="595"/>
      <c r="K435" s="595"/>
      <c r="L435" s="595"/>
      <c r="M435" s="595"/>
    </row>
    <row r="436" spans="1:13" ht="19.5" customHeight="1">
      <c r="A436" s="595"/>
      <c r="B436" s="595"/>
      <c r="C436" s="595"/>
      <c r="D436" s="595"/>
      <c r="E436" s="595"/>
      <c r="F436" s="595"/>
      <c r="G436" s="595"/>
      <c r="H436" s="595"/>
      <c r="I436" s="595"/>
      <c r="J436" s="595"/>
      <c r="K436" s="595"/>
      <c r="L436" s="595"/>
      <c r="M436" s="595"/>
    </row>
    <row r="437" spans="1:13" ht="19.5" customHeight="1">
      <c r="A437" s="595"/>
      <c r="B437" s="595"/>
      <c r="C437" s="595"/>
      <c r="D437" s="595"/>
      <c r="E437" s="595"/>
      <c r="F437" s="595"/>
      <c r="G437" s="595"/>
      <c r="H437" s="595"/>
      <c r="I437" s="595"/>
      <c r="J437" s="595"/>
      <c r="K437" s="595"/>
      <c r="L437" s="595"/>
      <c r="M437" s="595"/>
    </row>
    <row r="438" spans="1:13" ht="19.5" customHeight="1">
      <c r="A438" s="595"/>
      <c r="B438" s="595"/>
      <c r="C438" s="595"/>
      <c r="D438" s="595"/>
      <c r="E438" s="595"/>
      <c r="F438" s="595"/>
      <c r="G438" s="595"/>
      <c r="H438" s="595"/>
      <c r="I438" s="595"/>
      <c r="J438" s="595"/>
      <c r="K438" s="595"/>
      <c r="L438" s="595"/>
      <c r="M438" s="595"/>
    </row>
    <row r="439" spans="1:13" ht="19.5" customHeight="1">
      <c r="A439" s="595"/>
      <c r="B439" s="595"/>
      <c r="C439" s="595"/>
      <c r="D439" s="595"/>
      <c r="E439" s="595"/>
      <c r="F439" s="595"/>
      <c r="G439" s="595"/>
      <c r="H439" s="595"/>
      <c r="I439" s="595"/>
      <c r="J439" s="595"/>
      <c r="K439" s="595"/>
      <c r="L439" s="595"/>
      <c r="M439" s="595"/>
    </row>
    <row r="440" spans="1:13" ht="19.5" customHeight="1">
      <c r="A440" s="595"/>
      <c r="B440" s="595"/>
      <c r="C440" s="595"/>
      <c r="D440" s="595"/>
      <c r="E440" s="595"/>
      <c r="F440" s="595"/>
      <c r="G440" s="595"/>
      <c r="H440" s="595"/>
      <c r="I440" s="595"/>
      <c r="J440" s="595"/>
      <c r="K440" s="595"/>
      <c r="L440" s="595"/>
      <c r="M440" s="595"/>
    </row>
    <row r="441" spans="1:13" ht="19.5" customHeight="1">
      <c r="A441" s="595"/>
      <c r="B441" s="595"/>
      <c r="C441" s="595"/>
      <c r="D441" s="595"/>
      <c r="E441" s="595"/>
      <c r="F441" s="595"/>
      <c r="G441" s="595"/>
      <c r="H441" s="595"/>
      <c r="I441" s="595"/>
      <c r="J441" s="595"/>
      <c r="K441" s="595"/>
      <c r="L441" s="595"/>
      <c r="M441" s="595"/>
    </row>
    <row r="442" spans="1:13" ht="19.5" customHeight="1">
      <c r="A442" s="595"/>
      <c r="B442" s="595"/>
      <c r="C442" s="595"/>
      <c r="D442" s="595"/>
      <c r="E442" s="595"/>
      <c r="F442" s="595"/>
      <c r="G442" s="595"/>
      <c r="H442" s="595"/>
      <c r="I442" s="595"/>
      <c r="J442" s="595"/>
      <c r="K442" s="595"/>
      <c r="L442" s="595"/>
      <c r="M442" s="595"/>
    </row>
    <row r="443" spans="1:13" ht="19.5" customHeight="1">
      <c r="A443" s="595"/>
      <c r="B443" s="595"/>
      <c r="C443" s="595"/>
      <c r="D443" s="595"/>
      <c r="E443" s="595"/>
      <c r="F443" s="595"/>
      <c r="G443" s="595"/>
      <c r="H443" s="595"/>
      <c r="I443" s="595"/>
      <c r="J443" s="595"/>
      <c r="K443" s="595"/>
      <c r="L443" s="595"/>
      <c r="M443" s="595"/>
    </row>
    <row r="444" spans="1:13" ht="19.5" customHeight="1">
      <c r="A444" s="595"/>
      <c r="B444" s="595"/>
      <c r="C444" s="595"/>
      <c r="D444" s="595"/>
      <c r="E444" s="595"/>
      <c r="F444" s="595"/>
      <c r="G444" s="595"/>
      <c r="H444" s="595"/>
      <c r="I444" s="595"/>
      <c r="J444" s="595"/>
      <c r="K444" s="595"/>
      <c r="L444" s="595"/>
      <c r="M444" s="595"/>
    </row>
    <row r="445" spans="1:13" ht="19.5" customHeight="1">
      <c r="A445" s="595"/>
      <c r="B445" s="595"/>
      <c r="C445" s="595"/>
      <c r="D445" s="595"/>
      <c r="E445" s="595"/>
      <c r="F445" s="595"/>
      <c r="G445" s="595"/>
      <c r="H445" s="595"/>
      <c r="I445" s="595"/>
      <c r="J445" s="595"/>
      <c r="K445" s="595"/>
      <c r="L445" s="595"/>
      <c r="M445" s="595"/>
    </row>
    <row r="446" spans="1:13" ht="19.5" customHeight="1">
      <c r="A446" s="595"/>
      <c r="B446" s="595"/>
      <c r="C446" s="595"/>
      <c r="D446" s="595"/>
      <c r="E446" s="595"/>
      <c r="F446" s="595"/>
      <c r="G446" s="595"/>
      <c r="H446" s="595"/>
      <c r="I446" s="595"/>
      <c r="J446" s="595"/>
      <c r="K446" s="595"/>
      <c r="L446" s="595"/>
      <c r="M446" s="595"/>
    </row>
    <row r="447" spans="1:13" ht="19.5" customHeight="1">
      <c r="A447" s="595"/>
      <c r="B447" s="595"/>
      <c r="C447" s="595"/>
      <c r="D447" s="595"/>
      <c r="E447" s="595"/>
      <c r="F447" s="595"/>
      <c r="G447" s="595"/>
      <c r="H447" s="595"/>
      <c r="I447" s="595"/>
      <c r="J447" s="595"/>
      <c r="K447" s="595"/>
      <c r="L447" s="595"/>
      <c r="M447" s="595"/>
    </row>
    <row r="448" spans="1:13" ht="19.5" customHeight="1">
      <c r="A448" s="595"/>
      <c r="B448" s="595"/>
      <c r="C448" s="595"/>
      <c r="D448" s="595"/>
      <c r="E448" s="595"/>
      <c r="F448" s="595"/>
      <c r="G448" s="595"/>
      <c r="H448" s="595"/>
      <c r="I448" s="595"/>
      <c r="J448" s="595"/>
      <c r="K448" s="595"/>
      <c r="L448" s="595"/>
      <c r="M448" s="595"/>
    </row>
    <row r="449" spans="1:13" ht="19.5" customHeight="1">
      <c r="A449" s="595"/>
      <c r="B449" s="595"/>
      <c r="C449" s="595"/>
      <c r="D449" s="595"/>
      <c r="E449" s="595"/>
      <c r="F449" s="595"/>
      <c r="G449" s="595"/>
      <c r="H449" s="595"/>
      <c r="I449" s="595"/>
      <c r="J449" s="595"/>
      <c r="K449" s="595"/>
      <c r="L449" s="595"/>
      <c r="M449" s="595"/>
    </row>
    <row r="450" spans="1:13" ht="19.5" customHeight="1">
      <c r="A450" s="595"/>
      <c r="B450" s="595"/>
      <c r="C450" s="595"/>
      <c r="D450" s="595"/>
      <c r="E450" s="595"/>
      <c r="F450" s="595"/>
      <c r="G450" s="595"/>
      <c r="H450" s="595"/>
      <c r="I450" s="595"/>
      <c r="J450" s="595"/>
      <c r="K450" s="595"/>
      <c r="L450" s="595"/>
      <c r="M450" s="595"/>
    </row>
    <row r="451" spans="1:13" ht="19.5" customHeight="1">
      <c r="A451" s="595"/>
      <c r="B451" s="595"/>
      <c r="C451" s="595"/>
      <c r="D451" s="595"/>
      <c r="E451" s="595"/>
      <c r="F451" s="595"/>
      <c r="G451" s="595"/>
      <c r="H451" s="595"/>
      <c r="I451" s="595"/>
      <c r="J451" s="595"/>
      <c r="K451" s="595"/>
      <c r="L451" s="595"/>
      <c r="M451" s="595"/>
    </row>
    <row r="452" spans="1:13" ht="19.5" customHeight="1">
      <c r="A452" s="595"/>
      <c r="B452" s="595"/>
      <c r="C452" s="595"/>
      <c r="D452" s="595"/>
      <c r="E452" s="595"/>
      <c r="F452" s="595"/>
      <c r="G452" s="595"/>
      <c r="H452" s="595"/>
      <c r="I452" s="595"/>
      <c r="J452" s="595"/>
      <c r="K452" s="595"/>
      <c r="L452" s="595"/>
      <c r="M452" s="595"/>
    </row>
    <row r="453" spans="1:13" ht="19.5" customHeight="1">
      <c r="A453" s="595"/>
      <c r="B453" s="595"/>
      <c r="C453" s="595"/>
      <c r="D453" s="595"/>
      <c r="E453" s="595"/>
      <c r="F453" s="595"/>
      <c r="G453" s="595"/>
      <c r="H453" s="595"/>
      <c r="I453" s="595"/>
      <c r="J453" s="595"/>
      <c r="K453" s="595"/>
      <c r="L453" s="595"/>
      <c r="M453" s="595"/>
    </row>
    <row r="454" spans="1:13" ht="19.5" customHeight="1">
      <c r="A454" s="595"/>
      <c r="B454" s="595"/>
      <c r="C454" s="595"/>
      <c r="D454" s="595"/>
      <c r="E454" s="595"/>
      <c r="F454" s="595"/>
      <c r="G454" s="595"/>
      <c r="H454" s="595"/>
      <c r="I454" s="595"/>
      <c r="J454" s="595"/>
      <c r="K454" s="595"/>
      <c r="L454" s="595"/>
      <c r="M454" s="595"/>
    </row>
    <row r="455" spans="1:13" ht="19.5" customHeight="1">
      <c r="A455" s="595"/>
      <c r="B455" s="595"/>
      <c r="C455" s="595"/>
      <c r="D455" s="595"/>
      <c r="E455" s="595"/>
      <c r="F455" s="595"/>
      <c r="G455" s="595"/>
      <c r="H455" s="595"/>
      <c r="I455" s="595"/>
      <c r="J455" s="595"/>
      <c r="K455" s="595"/>
      <c r="L455" s="595"/>
      <c r="M455" s="595"/>
    </row>
    <row r="456" spans="1:13" ht="19.5" customHeight="1">
      <c r="A456" s="595"/>
      <c r="B456" s="595"/>
      <c r="C456" s="595"/>
      <c r="D456" s="595"/>
      <c r="E456" s="595"/>
      <c r="F456" s="595"/>
      <c r="G456" s="595"/>
      <c r="H456" s="595"/>
      <c r="I456" s="595"/>
      <c r="J456" s="595"/>
      <c r="K456" s="595"/>
      <c r="L456" s="595"/>
      <c r="M456" s="595"/>
    </row>
    <row r="457" spans="1:13" ht="19.5" customHeight="1">
      <c r="A457" s="595"/>
      <c r="B457" s="595"/>
      <c r="C457" s="595"/>
      <c r="D457" s="595"/>
      <c r="E457" s="595"/>
      <c r="F457" s="595"/>
      <c r="G457" s="595"/>
      <c r="H457" s="595"/>
      <c r="I457" s="595"/>
      <c r="J457" s="595"/>
      <c r="K457" s="595"/>
      <c r="L457" s="595"/>
      <c r="M457" s="595"/>
    </row>
    <row r="458" spans="1:13" ht="19.5" customHeight="1">
      <c r="A458" s="595"/>
      <c r="B458" s="595"/>
      <c r="C458" s="595"/>
      <c r="D458" s="595"/>
      <c r="E458" s="595"/>
      <c r="F458" s="595"/>
      <c r="G458" s="595"/>
      <c r="H458" s="595"/>
      <c r="I458" s="595"/>
      <c r="J458" s="595"/>
      <c r="K458" s="595"/>
      <c r="L458" s="595"/>
      <c r="M458" s="595"/>
    </row>
    <row r="459" spans="1:13" ht="19.5" customHeight="1">
      <c r="A459" s="595"/>
      <c r="B459" s="595"/>
      <c r="C459" s="595"/>
      <c r="D459" s="595"/>
      <c r="E459" s="595"/>
      <c r="F459" s="595"/>
      <c r="G459" s="595"/>
      <c r="H459" s="595"/>
      <c r="I459" s="595"/>
      <c r="J459" s="595"/>
      <c r="K459" s="595"/>
      <c r="L459" s="595"/>
      <c r="M459" s="595"/>
    </row>
    <row r="460" spans="1:13" ht="19.5" customHeight="1">
      <c r="A460" s="595"/>
      <c r="B460" s="595"/>
      <c r="C460" s="595"/>
      <c r="D460" s="595"/>
      <c r="E460" s="595"/>
      <c r="F460" s="595"/>
      <c r="G460" s="595"/>
      <c r="H460" s="595"/>
      <c r="I460" s="595"/>
      <c r="J460" s="595"/>
      <c r="K460" s="595"/>
      <c r="L460" s="595"/>
      <c r="M460" s="595"/>
    </row>
    <row r="461" spans="1:13" ht="19.5" customHeight="1">
      <c r="A461" s="595"/>
      <c r="B461" s="595"/>
      <c r="C461" s="595"/>
      <c r="D461" s="595"/>
      <c r="E461" s="595"/>
      <c r="F461" s="595"/>
      <c r="G461" s="595"/>
      <c r="H461" s="595"/>
      <c r="I461" s="595"/>
      <c r="J461" s="595"/>
      <c r="K461" s="595"/>
      <c r="L461" s="595"/>
      <c r="M461" s="595"/>
    </row>
    <row r="462" spans="1:13" ht="19.5" customHeight="1">
      <c r="A462" s="595"/>
      <c r="B462" s="595"/>
      <c r="C462" s="595"/>
      <c r="D462" s="595"/>
      <c r="E462" s="595"/>
      <c r="F462" s="595"/>
      <c r="G462" s="595"/>
      <c r="H462" s="595"/>
      <c r="I462" s="595"/>
      <c r="J462" s="595"/>
      <c r="K462" s="595"/>
      <c r="L462" s="595"/>
      <c r="M462" s="595"/>
    </row>
    <row r="463" spans="1:13" ht="19.5" customHeight="1">
      <c r="A463" s="595"/>
      <c r="B463" s="595"/>
      <c r="C463" s="595"/>
      <c r="D463" s="595"/>
      <c r="E463" s="595"/>
      <c r="F463" s="595"/>
      <c r="G463" s="595"/>
      <c r="H463" s="595"/>
      <c r="I463" s="595"/>
      <c r="J463" s="595"/>
      <c r="K463" s="595"/>
      <c r="L463" s="595"/>
      <c r="M463" s="595"/>
    </row>
    <row r="464" spans="1:13" ht="19.5" customHeight="1">
      <c r="A464" s="595"/>
      <c r="B464" s="595"/>
      <c r="C464" s="595"/>
      <c r="D464" s="595"/>
      <c r="E464" s="595"/>
      <c r="F464" s="595"/>
      <c r="G464" s="595"/>
      <c r="H464" s="595"/>
      <c r="I464" s="595"/>
      <c r="J464" s="595"/>
      <c r="K464" s="595"/>
      <c r="L464" s="595"/>
      <c r="M464" s="595"/>
    </row>
    <row r="465" spans="1:13" ht="19.5" customHeight="1">
      <c r="A465" s="595"/>
      <c r="B465" s="595"/>
      <c r="C465" s="595"/>
      <c r="D465" s="595"/>
      <c r="E465" s="595"/>
      <c r="F465" s="595"/>
      <c r="G465" s="595"/>
      <c r="H465" s="595"/>
      <c r="I465" s="595"/>
      <c r="J465" s="595"/>
      <c r="K465" s="595"/>
      <c r="L465" s="595"/>
      <c r="M465" s="595"/>
    </row>
    <row r="466" spans="1:13" ht="19.5" customHeight="1">
      <c r="A466" s="595"/>
      <c r="B466" s="595"/>
      <c r="C466" s="595"/>
      <c r="D466" s="595"/>
      <c r="E466" s="595"/>
      <c r="F466" s="595"/>
      <c r="G466" s="595"/>
      <c r="H466" s="595"/>
      <c r="I466" s="595"/>
      <c r="J466" s="595"/>
      <c r="K466" s="595"/>
      <c r="L466" s="595"/>
      <c r="M466" s="595"/>
    </row>
    <row r="467" spans="1:13" ht="19.5" customHeight="1">
      <c r="A467" s="595"/>
      <c r="B467" s="595"/>
      <c r="C467" s="595"/>
      <c r="D467" s="595"/>
      <c r="E467" s="595"/>
      <c r="F467" s="595"/>
      <c r="G467" s="595"/>
      <c r="H467" s="595"/>
      <c r="I467" s="595"/>
      <c r="J467" s="595"/>
      <c r="K467" s="595"/>
      <c r="L467" s="595"/>
      <c r="M467" s="595"/>
    </row>
    <row r="468" spans="1:13" ht="19.5" customHeight="1">
      <c r="A468" s="595"/>
      <c r="B468" s="595"/>
      <c r="C468" s="595"/>
      <c r="D468" s="595"/>
      <c r="E468" s="595"/>
      <c r="F468" s="595"/>
      <c r="G468" s="595"/>
      <c r="H468" s="595"/>
      <c r="I468" s="595"/>
      <c r="J468" s="595"/>
      <c r="K468" s="595"/>
      <c r="L468" s="595"/>
      <c r="M468" s="595"/>
    </row>
    <row r="469" spans="1:13" ht="19.5" customHeight="1">
      <c r="A469" s="595"/>
      <c r="B469" s="595"/>
      <c r="C469" s="595"/>
      <c r="D469" s="595"/>
      <c r="E469" s="595"/>
      <c r="F469" s="595"/>
      <c r="G469" s="595"/>
      <c r="H469" s="595"/>
      <c r="I469" s="595"/>
      <c r="J469" s="595"/>
      <c r="K469" s="595"/>
      <c r="L469" s="595"/>
      <c r="M469" s="595"/>
    </row>
    <row r="470" spans="1:13" ht="19.5" customHeight="1">
      <c r="A470" s="595"/>
      <c r="B470" s="595"/>
      <c r="C470" s="595"/>
      <c r="D470" s="595"/>
      <c r="E470" s="595"/>
      <c r="F470" s="595"/>
      <c r="G470" s="595"/>
      <c r="H470" s="595"/>
      <c r="I470" s="595"/>
      <c r="J470" s="595"/>
      <c r="K470" s="595"/>
      <c r="L470" s="595"/>
      <c r="M470" s="595"/>
    </row>
    <row r="471" spans="1:13" ht="19.5" customHeight="1">
      <c r="A471" s="595"/>
      <c r="B471" s="595"/>
      <c r="C471" s="595"/>
      <c r="D471" s="595"/>
      <c r="E471" s="595"/>
      <c r="F471" s="595"/>
      <c r="G471" s="595"/>
      <c r="H471" s="595"/>
      <c r="I471" s="595"/>
      <c r="J471" s="595"/>
      <c r="K471" s="595"/>
      <c r="L471" s="595"/>
      <c r="M471" s="595"/>
    </row>
    <row r="472" spans="1:13" ht="19.5" customHeight="1">
      <c r="A472" s="595"/>
      <c r="B472" s="595"/>
      <c r="C472" s="595"/>
      <c r="D472" s="595"/>
      <c r="E472" s="595"/>
      <c r="F472" s="595"/>
      <c r="G472" s="595"/>
      <c r="H472" s="595"/>
      <c r="I472" s="595"/>
      <c r="J472" s="595"/>
      <c r="K472" s="595"/>
      <c r="L472" s="595"/>
      <c r="M472" s="595"/>
    </row>
    <row r="473" spans="1:13" ht="19.5" customHeight="1">
      <c r="A473" s="595"/>
      <c r="B473" s="595"/>
      <c r="C473" s="595"/>
      <c r="D473" s="595"/>
      <c r="E473" s="595"/>
      <c r="F473" s="595"/>
      <c r="G473" s="595"/>
      <c r="H473" s="595"/>
      <c r="I473" s="595"/>
      <c r="J473" s="595"/>
      <c r="K473" s="595"/>
      <c r="L473" s="595"/>
      <c r="M473" s="595"/>
    </row>
    <row r="474" spans="1:13" ht="19.5" customHeight="1">
      <c r="A474" s="595"/>
      <c r="B474" s="595"/>
      <c r="C474" s="595"/>
      <c r="D474" s="595"/>
      <c r="E474" s="595"/>
      <c r="F474" s="595"/>
      <c r="G474" s="595"/>
      <c r="H474" s="595"/>
      <c r="I474" s="595"/>
      <c r="J474" s="595"/>
      <c r="K474" s="595"/>
      <c r="L474" s="595"/>
      <c r="M474" s="595"/>
    </row>
    <row r="475" spans="1:13" ht="19.5" customHeight="1">
      <c r="A475" s="595"/>
      <c r="B475" s="595"/>
      <c r="C475" s="595"/>
      <c r="D475" s="595"/>
      <c r="E475" s="595"/>
      <c r="F475" s="595"/>
      <c r="G475" s="595"/>
      <c r="H475" s="595"/>
      <c r="I475" s="595"/>
      <c r="J475" s="595"/>
      <c r="K475" s="595"/>
      <c r="L475" s="595"/>
      <c r="M475" s="595"/>
    </row>
    <row r="476" spans="1:13" ht="19.5" customHeight="1">
      <c r="A476" s="595"/>
      <c r="B476" s="595"/>
      <c r="C476" s="595"/>
      <c r="D476" s="595"/>
      <c r="E476" s="595"/>
      <c r="F476" s="595"/>
      <c r="G476" s="595"/>
      <c r="H476" s="595"/>
      <c r="I476" s="595"/>
      <c r="J476" s="595"/>
      <c r="K476" s="595"/>
      <c r="L476" s="595"/>
      <c r="M476" s="595"/>
    </row>
    <row r="477" spans="1:13" ht="19.5" customHeight="1">
      <c r="A477" s="595"/>
      <c r="B477" s="595"/>
      <c r="C477" s="595"/>
      <c r="D477" s="595"/>
      <c r="E477" s="595"/>
      <c r="F477" s="595"/>
      <c r="G477" s="595"/>
      <c r="H477" s="595"/>
      <c r="I477" s="595"/>
      <c r="J477" s="595"/>
      <c r="K477" s="595"/>
      <c r="L477" s="595"/>
      <c r="M477" s="595"/>
    </row>
    <row r="478" spans="1:13" ht="19.5" customHeight="1">
      <c r="A478" s="595"/>
      <c r="B478" s="595"/>
      <c r="C478" s="595"/>
      <c r="D478" s="595"/>
      <c r="E478" s="595"/>
      <c r="F478" s="595"/>
      <c r="G478" s="595"/>
      <c r="H478" s="595"/>
      <c r="I478" s="595"/>
      <c r="J478" s="595"/>
      <c r="K478" s="595"/>
      <c r="L478" s="595"/>
      <c r="M478" s="595"/>
    </row>
    <row r="479" spans="1:13" ht="19.5" customHeight="1">
      <c r="A479" s="595"/>
      <c r="B479" s="595"/>
      <c r="C479" s="595"/>
      <c r="D479" s="595"/>
      <c r="E479" s="595"/>
      <c r="F479" s="595"/>
      <c r="G479" s="595"/>
      <c r="H479" s="595"/>
      <c r="I479" s="595"/>
      <c r="J479" s="595"/>
      <c r="K479" s="595"/>
      <c r="L479" s="595"/>
      <c r="M479" s="595"/>
    </row>
    <row r="480" spans="1:13" ht="19.5" customHeight="1">
      <c r="A480" s="595"/>
      <c r="B480" s="595"/>
      <c r="C480" s="595"/>
      <c r="D480" s="595"/>
      <c r="E480" s="595"/>
      <c r="F480" s="595"/>
      <c r="G480" s="595"/>
      <c r="H480" s="595"/>
      <c r="I480" s="595"/>
      <c r="J480" s="595"/>
      <c r="K480" s="595"/>
      <c r="L480" s="595"/>
      <c r="M480" s="595"/>
    </row>
    <row r="481" spans="1:13" ht="19.5" customHeight="1">
      <c r="A481" s="595"/>
      <c r="B481" s="595"/>
      <c r="C481" s="595"/>
      <c r="D481" s="595"/>
      <c r="E481" s="595"/>
      <c r="F481" s="595"/>
      <c r="G481" s="595"/>
      <c r="H481" s="595"/>
      <c r="I481" s="595"/>
      <c r="J481" s="595"/>
      <c r="K481" s="595"/>
      <c r="L481" s="595"/>
      <c r="M481" s="595"/>
    </row>
    <row r="482" spans="1:13" ht="19.5" customHeight="1">
      <c r="A482" s="595"/>
      <c r="B482" s="595"/>
      <c r="C482" s="595"/>
      <c r="D482" s="595"/>
      <c r="E482" s="595"/>
      <c r="F482" s="595"/>
      <c r="G482" s="595"/>
      <c r="H482" s="595"/>
      <c r="I482" s="595"/>
      <c r="J482" s="595"/>
      <c r="K482" s="595"/>
      <c r="L482" s="595"/>
      <c r="M482" s="595"/>
    </row>
    <row r="483" spans="1:13" ht="19.5" customHeight="1">
      <c r="A483" s="595"/>
      <c r="B483" s="595"/>
      <c r="C483" s="595"/>
      <c r="D483" s="595"/>
      <c r="E483" s="595"/>
      <c r="F483" s="595"/>
      <c r="G483" s="595"/>
      <c r="H483" s="595"/>
      <c r="I483" s="595"/>
      <c r="J483" s="595"/>
      <c r="K483" s="595"/>
      <c r="L483" s="595"/>
      <c r="M483" s="595"/>
    </row>
    <row r="484" spans="1:13" ht="19.5" customHeight="1">
      <c r="A484" s="595"/>
      <c r="B484" s="595"/>
      <c r="C484" s="595"/>
      <c r="D484" s="595"/>
      <c r="E484" s="595"/>
      <c r="F484" s="595"/>
      <c r="G484" s="595"/>
      <c r="H484" s="595"/>
      <c r="I484" s="595"/>
      <c r="J484" s="595"/>
      <c r="K484" s="595"/>
      <c r="L484" s="595"/>
      <c r="M484" s="595"/>
    </row>
    <row r="485" spans="1:13" ht="19.5" customHeight="1">
      <c r="A485" s="595"/>
      <c r="B485" s="595"/>
      <c r="C485" s="595"/>
      <c r="D485" s="595"/>
      <c r="E485" s="595"/>
      <c r="F485" s="595"/>
      <c r="G485" s="595"/>
      <c r="H485" s="595"/>
      <c r="I485" s="595"/>
      <c r="J485" s="595"/>
      <c r="K485" s="595"/>
      <c r="L485" s="595"/>
      <c r="M485" s="595"/>
    </row>
    <row r="486" spans="1:13" ht="19.5" customHeight="1">
      <c r="A486" s="595"/>
      <c r="B486" s="595"/>
      <c r="C486" s="595"/>
      <c r="D486" s="595"/>
      <c r="E486" s="595"/>
      <c r="F486" s="595"/>
      <c r="G486" s="595"/>
      <c r="H486" s="595"/>
      <c r="I486" s="595"/>
      <c r="J486" s="595"/>
      <c r="K486" s="595"/>
      <c r="L486" s="595"/>
      <c r="M486" s="595"/>
    </row>
    <row r="487" spans="1:13" ht="19.5" customHeight="1">
      <c r="A487" s="595"/>
      <c r="B487" s="595"/>
      <c r="C487" s="595"/>
      <c r="D487" s="595"/>
      <c r="E487" s="595"/>
      <c r="F487" s="595"/>
      <c r="G487" s="595"/>
      <c r="H487" s="595"/>
      <c r="I487" s="595"/>
      <c r="J487" s="595"/>
      <c r="K487" s="595"/>
      <c r="L487" s="595"/>
      <c r="M487" s="595"/>
    </row>
    <row r="488" spans="1:13" ht="19.5" customHeight="1">
      <c r="A488" s="595"/>
      <c r="B488" s="595"/>
      <c r="C488" s="595"/>
      <c r="D488" s="595"/>
      <c r="E488" s="595"/>
      <c r="F488" s="595"/>
      <c r="G488" s="595"/>
      <c r="H488" s="595"/>
      <c r="I488" s="595"/>
      <c r="J488" s="595"/>
      <c r="K488" s="595"/>
      <c r="L488" s="595"/>
      <c r="M488" s="595"/>
    </row>
    <row r="489" spans="1:13" ht="19.5" customHeight="1">
      <c r="A489" s="595"/>
      <c r="B489" s="595"/>
      <c r="C489" s="595"/>
      <c r="D489" s="595"/>
      <c r="E489" s="595"/>
      <c r="F489" s="595"/>
      <c r="G489" s="595"/>
      <c r="H489" s="595"/>
      <c r="I489" s="595"/>
      <c r="J489" s="595"/>
      <c r="K489" s="595"/>
      <c r="L489" s="595"/>
      <c r="M489" s="595"/>
    </row>
    <row r="490" spans="1:13" ht="19.5" customHeight="1">
      <c r="A490" s="595"/>
      <c r="B490" s="595"/>
      <c r="C490" s="595"/>
      <c r="D490" s="595"/>
      <c r="E490" s="595"/>
      <c r="F490" s="595"/>
      <c r="G490" s="595"/>
      <c r="H490" s="595"/>
      <c r="I490" s="595"/>
      <c r="J490" s="595"/>
      <c r="K490" s="595"/>
      <c r="L490" s="595"/>
      <c r="M490" s="595"/>
    </row>
    <row r="491" spans="1:13" ht="19.5" customHeight="1">
      <c r="A491" s="595"/>
      <c r="B491" s="595"/>
      <c r="C491" s="595"/>
      <c r="D491" s="595"/>
      <c r="E491" s="595"/>
      <c r="F491" s="595"/>
      <c r="G491" s="595"/>
      <c r="H491" s="595"/>
      <c r="I491" s="595"/>
      <c r="J491" s="595"/>
      <c r="K491" s="595"/>
      <c r="L491" s="595"/>
      <c r="M491" s="595"/>
    </row>
    <row r="492" spans="1:13" ht="19.5" customHeight="1">
      <c r="A492" s="595"/>
      <c r="B492" s="595"/>
      <c r="C492" s="595"/>
      <c r="D492" s="595"/>
      <c r="E492" s="595"/>
      <c r="F492" s="595"/>
      <c r="G492" s="595"/>
      <c r="H492" s="595"/>
      <c r="I492" s="595"/>
      <c r="J492" s="595"/>
      <c r="K492" s="595"/>
      <c r="L492" s="595"/>
      <c r="M492" s="595"/>
    </row>
    <row r="493" spans="1:13" ht="19.5" customHeight="1">
      <c r="A493" s="595"/>
      <c r="B493" s="595"/>
      <c r="C493" s="595"/>
      <c r="D493" s="595"/>
      <c r="E493" s="595"/>
      <c r="F493" s="595"/>
      <c r="G493" s="595"/>
      <c r="H493" s="595"/>
      <c r="I493" s="595"/>
      <c r="J493" s="595"/>
      <c r="K493" s="595"/>
      <c r="L493" s="595"/>
      <c r="M493" s="595"/>
    </row>
    <row r="494" spans="1:13" ht="19.5" customHeight="1">
      <c r="A494" s="595"/>
      <c r="B494" s="595"/>
      <c r="C494" s="595"/>
      <c r="D494" s="595"/>
      <c r="E494" s="595"/>
      <c r="F494" s="595"/>
      <c r="G494" s="595"/>
      <c r="H494" s="595"/>
      <c r="I494" s="595"/>
      <c r="J494" s="595"/>
      <c r="K494" s="595"/>
      <c r="L494" s="595"/>
      <c r="M494" s="595"/>
    </row>
    <row r="495" spans="1:13" ht="19.5" customHeight="1">
      <c r="A495" s="595"/>
      <c r="B495" s="595"/>
      <c r="C495" s="595"/>
      <c r="D495" s="595"/>
      <c r="E495" s="595"/>
      <c r="F495" s="595"/>
      <c r="G495" s="595"/>
      <c r="H495" s="595"/>
      <c r="I495" s="595"/>
      <c r="J495" s="595"/>
      <c r="K495" s="595"/>
      <c r="L495" s="595"/>
      <c r="M495" s="595"/>
    </row>
    <row r="496" spans="1:13" ht="19.5" customHeight="1">
      <c r="A496" s="595"/>
      <c r="B496" s="595"/>
      <c r="C496" s="595"/>
      <c r="D496" s="595"/>
      <c r="E496" s="595"/>
      <c r="F496" s="595"/>
      <c r="G496" s="595"/>
      <c r="H496" s="595"/>
      <c r="I496" s="595"/>
      <c r="J496" s="595"/>
      <c r="K496" s="595"/>
      <c r="L496" s="595"/>
      <c r="M496" s="595"/>
    </row>
    <row r="497" spans="1:13" ht="19.5" customHeight="1">
      <c r="A497" s="595"/>
      <c r="B497" s="595"/>
      <c r="C497" s="595"/>
      <c r="D497" s="595"/>
      <c r="E497" s="595"/>
      <c r="F497" s="595"/>
      <c r="G497" s="595"/>
      <c r="H497" s="595"/>
      <c r="I497" s="595"/>
      <c r="J497" s="595"/>
      <c r="K497" s="595"/>
      <c r="L497" s="595"/>
      <c r="M497" s="595"/>
    </row>
    <row r="498" spans="1:13" ht="19.5" customHeight="1">
      <c r="A498" s="595"/>
      <c r="B498" s="595"/>
      <c r="C498" s="595"/>
      <c r="D498" s="595"/>
      <c r="E498" s="595"/>
      <c r="F498" s="595"/>
      <c r="G498" s="595"/>
      <c r="H498" s="595"/>
      <c r="I498" s="595"/>
      <c r="J498" s="595"/>
      <c r="K498" s="595"/>
      <c r="L498" s="595"/>
      <c r="M498" s="595"/>
    </row>
    <row r="499" spans="1:13" ht="19.5" customHeight="1">
      <c r="A499" s="595"/>
      <c r="B499" s="595"/>
      <c r="C499" s="595"/>
      <c r="D499" s="595"/>
      <c r="E499" s="595"/>
      <c r="F499" s="595"/>
      <c r="G499" s="595"/>
      <c r="H499" s="595"/>
      <c r="I499" s="595"/>
      <c r="J499" s="595"/>
      <c r="K499" s="595"/>
      <c r="L499" s="595"/>
      <c r="M499" s="595"/>
    </row>
    <row r="500" spans="1:13" ht="19.5" customHeight="1">
      <c r="A500" s="595"/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</row>
    <row r="501" spans="1:13" ht="19.5" customHeight="1">
      <c r="A501" s="595"/>
      <c r="B501" s="595"/>
      <c r="C501" s="595"/>
      <c r="D501" s="595"/>
      <c r="E501" s="595"/>
      <c r="F501" s="595"/>
      <c r="G501" s="595"/>
      <c r="H501" s="595"/>
      <c r="I501" s="595"/>
      <c r="J501" s="595"/>
      <c r="K501" s="595"/>
      <c r="L501" s="595"/>
      <c r="M501" s="595"/>
    </row>
    <row r="502" spans="1:13" ht="19.5" customHeight="1">
      <c r="A502" s="595"/>
      <c r="B502" s="595"/>
      <c r="C502" s="595"/>
      <c r="D502" s="595"/>
      <c r="E502" s="595"/>
      <c r="F502" s="595"/>
      <c r="G502" s="595"/>
      <c r="H502" s="595"/>
      <c r="I502" s="595"/>
      <c r="J502" s="595"/>
      <c r="K502" s="595"/>
      <c r="L502" s="595"/>
      <c r="M502" s="595"/>
    </row>
    <row r="503" spans="1:13" ht="19.5" customHeight="1">
      <c r="A503" s="595"/>
      <c r="B503" s="595"/>
      <c r="C503" s="595"/>
      <c r="D503" s="595"/>
      <c r="E503" s="595"/>
      <c r="F503" s="595"/>
      <c r="G503" s="595"/>
      <c r="H503" s="595"/>
      <c r="I503" s="595"/>
      <c r="J503" s="595"/>
      <c r="K503" s="595"/>
      <c r="L503" s="595"/>
      <c r="M503" s="595"/>
    </row>
    <row r="504" spans="1:13" ht="19.5" customHeight="1">
      <c r="A504" s="595"/>
      <c r="B504" s="595"/>
      <c r="C504" s="595"/>
      <c r="D504" s="595"/>
      <c r="E504" s="595"/>
      <c r="F504" s="595"/>
      <c r="G504" s="595"/>
      <c r="H504" s="595"/>
      <c r="I504" s="595"/>
      <c r="J504" s="595"/>
      <c r="K504" s="595"/>
      <c r="L504" s="595"/>
      <c r="M504" s="595"/>
    </row>
    <row r="505" spans="1:13" ht="19.5" customHeight="1">
      <c r="A505" s="595"/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</row>
    <row r="506" spans="1:13" ht="19.5" customHeight="1">
      <c r="A506" s="595"/>
      <c r="B506" s="595"/>
      <c r="C506" s="595"/>
      <c r="D506" s="595"/>
      <c r="E506" s="595"/>
      <c r="F506" s="595"/>
      <c r="G506" s="595"/>
      <c r="H506" s="595"/>
      <c r="I506" s="595"/>
      <c r="J506" s="595"/>
      <c r="K506" s="595"/>
      <c r="L506" s="595"/>
      <c r="M506" s="595"/>
    </row>
    <row r="507" spans="1:13" ht="19.5" customHeight="1">
      <c r="A507" s="595"/>
      <c r="B507" s="595"/>
      <c r="C507" s="595"/>
      <c r="D507" s="595"/>
      <c r="E507" s="595"/>
      <c r="F507" s="595"/>
      <c r="G507" s="595"/>
      <c r="H507" s="595"/>
      <c r="I507" s="595"/>
      <c r="J507" s="595"/>
      <c r="K507" s="595"/>
      <c r="L507" s="595"/>
      <c r="M507" s="595"/>
    </row>
    <row r="508" spans="1:13" ht="19.5" customHeight="1">
      <c r="A508" s="595"/>
      <c r="B508" s="595"/>
      <c r="C508" s="595"/>
      <c r="D508" s="595"/>
      <c r="E508" s="595"/>
      <c r="F508" s="595"/>
      <c r="G508" s="595"/>
      <c r="H508" s="595"/>
      <c r="I508" s="595"/>
      <c r="J508" s="595"/>
      <c r="K508" s="595"/>
      <c r="L508" s="595"/>
      <c r="M508" s="595"/>
    </row>
    <row r="509" spans="1:13" ht="19.5" customHeight="1">
      <c r="A509" s="595"/>
      <c r="B509" s="595"/>
      <c r="C509" s="595"/>
      <c r="D509" s="595"/>
      <c r="E509" s="595"/>
      <c r="F509" s="595"/>
      <c r="G509" s="595"/>
      <c r="H509" s="595"/>
      <c r="I509" s="595"/>
      <c r="J509" s="595"/>
      <c r="K509" s="595"/>
      <c r="L509" s="595"/>
      <c r="M509" s="595"/>
    </row>
    <row r="510" spans="1:13" ht="19.5" customHeight="1">
      <c r="A510" s="595"/>
      <c r="B510" s="595"/>
      <c r="C510" s="595"/>
      <c r="D510" s="595"/>
      <c r="E510" s="595"/>
      <c r="F510" s="595"/>
      <c r="G510" s="595"/>
      <c r="H510" s="595"/>
      <c r="I510" s="595"/>
      <c r="J510" s="595"/>
      <c r="K510" s="595"/>
      <c r="L510" s="595"/>
      <c r="M510" s="595"/>
    </row>
    <row r="511" spans="1:13" ht="19.5" customHeight="1">
      <c r="A511" s="595"/>
      <c r="B511" s="595"/>
      <c r="C511" s="595"/>
      <c r="D511" s="595"/>
      <c r="E511" s="595"/>
      <c r="F511" s="595"/>
      <c r="G511" s="595"/>
      <c r="H511" s="595"/>
      <c r="I511" s="595"/>
      <c r="J511" s="595"/>
      <c r="K511" s="595"/>
      <c r="L511" s="595"/>
      <c r="M511" s="595"/>
    </row>
    <row r="512" spans="1:13" ht="19.5" customHeight="1">
      <c r="A512" s="595"/>
      <c r="B512" s="595"/>
      <c r="C512" s="595"/>
      <c r="D512" s="595"/>
      <c r="E512" s="595"/>
      <c r="F512" s="595"/>
      <c r="G512" s="595"/>
      <c r="H512" s="595"/>
      <c r="I512" s="595"/>
      <c r="J512" s="595"/>
      <c r="K512" s="595"/>
      <c r="L512" s="595"/>
      <c r="M512" s="595"/>
    </row>
    <row r="513" spans="1:13" ht="19.5" customHeight="1">
      <c r="A513" s="595"/>
      <c r="B513" s="595"/>
      <c r="C513" s="595"/>
      <c r="D513" s="595"/>
      <c r="E513" s="595"/>
      <c r="F513" s="595"/>
      <c r="G513" s="595"/>
      <c r="H513" s="595"/>
      <c r="I513" s="595"/>
      <c r="J513" s="595"/>
      <c r="K513" s="595"/>
      <c r="L513" s="595"/>
      <c r="M513" s="595"/>
    </row>
    <row r="514" spans="1:13" ht="19.5" customHeight="1">
      <c r="A514" s="595"/>
      <c r="B514" s="595"/>
      <c r="C514" s="595"/>
      <c r="D514" s="595"/>
      <c r="E514" s="595"/>
      <c r="F514" s="595"/>
      <c r="G514" s="595"/>
      <c r="H514" s="595"/>
      <c r="I514" s="595"/>
      <c r="J514" s="595"/>
      <c r="K514" s="595"/>
      <c r="L514" s="595"/>
      <c r="M514" s="595"/>
    </row>
    <row r="515" spans="1:13" ht="19.5" customHeight="1">
      <c r="A515" s="595"/>
      <c r="B515" s="595"/>
      <c r="C515" s="595"/>
      <c r="D515" s="595"/>
      <c r="E515" s="595"/>
      <c r="F515" s="595"/>
      <c r="G515" s="595"/>
      <c r="H515" s="595"/>
      <c r="I515" s="595"/>
      <c r="J515" s="595"/>
      <c r="K515" s="595"/>
      <c r="L515" s="595"/>
      <c r="M515" s="595"/>
    </row>
    <row r="516" spans="1:13" ht="19.5" customHeight="1">
      <c r="A516" s="595"/>
      <c r="B516" s="595"/>
      <c r="C516" s="595"/>
      <c r="D516" s="595"/>
      <c r="E516" s="595"/>
      <c r="F516" s="595"/>
      <c r="G516" s="595"/>
      <c r="H516" s="595"/>
      <c r="I516" s="595"/>
      <c r="J516" s="595"/>
      <c r="K516" s="595"/>
      <c r="L516" s="595"/>
      <c r="M516" s="595"/>
    </row>
    <row r="517" spans="1:13" ht="19.5" customHeight="1">
      <c r="A517" s="595"/>
      <c r="B517" s="595"/>
      <c r="C517" s="595"/>
      <c r="D517" s="595"/>
      <c r="E517" s="595"/>
      <c r="F517" s="595"/>
      <c r="G517" s="595"/>
      <c r="H517" s="595"/>
      <c r="I517" s="595"/>
      <c r="J517" s="595"/>
      <c r="K517" s="595"/>
      <c r="L517" s="595"/>
      <c r="M517" s="595"/>
    </row>
    <row r="518" spans="1:13" ht="19.5" customHeight="1">
      <c r="A518" s="595"/>
      <c r="B518" s="595"/>
      <c r="C518" s="595"/>
      <c r="D518" s="595"/>
      <c r="E518" s="595"/>
      <c r="F518" s="595"/>
      <c r="G518" s="595"/>
      <c r="H518" s="595"/>
      <c r="I518" s="595"/>
      <c r="J518" s="595"/>
      <c r="K518" s="595"/>
      <c r="L518" s="595"/>
      <c r="M518" s="595"/>
    </row>
    <row r="519" spans="1:13" ht="19.5" customHeight="1">
      <c r="A519" s="595"/>
      <c r="B519" s="595"/>
      <c r="C519" s="595"/>
      <c r="D519" s="595"/>
      <c r="E519" s="595"/>
      <c r="F519" s="595"/>
      <c r="G519" s="595"/>
      <c r="H519" s="595"/>
      <c r="I519" s="595"/>
      <c r="J519" s="595"/>
      <c r="K519" s="595"/>
      <c r="L519" s="595"/>
      <c r="M519" s="595"/>
    </row>
    <row r="520" spans="1:13" ht="19.5" customHeight="1">
      <c r="A520" s="595"/>
      <c r="B520" s="595"/>
      <c r="C520" s="595"/>
      <c r="D520" s="595"/>
      <c r="E520" s="595"/>
      <c r="F520" s="595"/>
      <c r="G520" s="595"/>
      <c r="H520" s="595"/>
      <c r="I520" s="595"/>
      <c r="J520" s="595"/>
      <c r="K520" s="595"/>
      <c r="L520" s="595"/>
      <c r="M520" s="595"/>
    </row>
    <row r="521" spans="1:13" ht="19.5" customHeight="1">
      <c r="A521" s="595"/>
      <c r="B521" s="595"/>
      <c r="C521" s="595"/>
      <c r="D521" s="595"/>
      <c r="E521" s="595"/>
      <c r="F521" s="595"/>
      <c r="G521" s="595"/>
      <c r="H521" s="595"/>
      <c r="I521" s="595"/>
      <c r="J521" s="595"/>
      <c r="K521" s="595"/>
      <c r="L521" s="595"/>
      <c r="M521" s="595"/>
    </row>
    <row r="522" spans="1:13" ht="19.5" customHeight="1">
      <c r="A522" s="595"/>
      <c r="B522" s="595"/>
      <c r="C522" s="595"/>
      <c r="D522" s="595"/>
      <c r="E522" s="595"/>
      <c r="F522" s="595"/>
      <c r="G522" s="595"/>
      <c r="H522" s="595"/>
      <c r="I522" s="595"/>
      <c r="J522" s="595"/>
      <c r="K522" s="595"/>
      <c r="L522" s="595"/>
      <c r="M522" s="595"/>
    </row>
    <row r="523" spans="1:13" ht="19.5" customHeight="1">
      <c r="A523" s="595"/>
      <c r="B523" s="595"/>
      <c r="C523" s="595"/>
      <c r="D523" s="595"/>
      <c r="E523" s="595"/>
      <c r="F523" s="595"/>
      <c r="G523" s="595"/>
      <c r="H523" s="595"/>
      <c r="I523" s="595"/>
      <c r="J523" s="595"/>
      <c r="K523" s="595"/>
      <c r="L523" s="595"/>
      <c r="M523" s="595"/>
    </row>
    <row r="524" spans="1:13" ht="19.5" customHeight="1">
      <c r="A524" s="595"/>
      <c r="B524" s="595"/>
      <c r="C524" s="595"/>
      <c r="D524" s="595"/>
      <c r="E524" s="595"/>
      <c r="F524" s="595"/>
      <c r="G524" s="595"/>
      <c r="H524" s="595"/>
      <c r="I524" s="595"/>
      <c r="J524" s="595"/>
      <c r="K524" s="595"/>
      <c r="L524" s="595"/>
      <c r="M524" s="595"/>
    </row>
    <row r="525" spans="1:13" ht="19.5" customHeight="1">
      <c r="A525" s="595"/>
      <c r="B525" s="595"/>
      <c r="C525" s="595"/>
      <c r="D525" s="595"/>
      <c r="E525" s="595"/>
      <c r="F525" s="595"/>
      <c r="G525" s="595"/>
      <c r="H525" s="595"/>
      <c r="I525" s="595"/>
      <c r="J525" s="595"/>
      <c r="K525" s="595"/>
      <c r="L525" s="595"/>
      <c r="M525" s="595"/>
    </row>
    <row r="526" spans="1:13" ht="19.5" customHeight="1">
      <c r="A526" s="595"/>
      <c r="B526" s="595"/>
      <c r="C526" s="595"/>
      <c r="D526" s="595"/>
      <c r="E526" s="595"/>
      <c r="F526" s="595"/>
      <c r="G526" s="595"/>
      <c r="H526" s="595"/>
      <c r="I526" s="595"/>
      <c r="J526" s="595"/>
      <c r="K526" s="595"/>
      <c r="L526" s="595"/>
      <c r="M526" s="595"/>
    </row>
    <row r="527" spans="1:13" ht="19.5" customHeight="1">
      <c r="A527" s="595"/>
      <c r="B527" s="595"/>
      <c r="C527" s="595"/>
      <c r="D527" s="595"/>
      <c r="E527" s="595"/>
      <c r="F527" s="595"/>
      <c r="G527" s="595"/>
      <c r="H527" s="595"/>
      <c r="I527" s="595"/>
      <c r="J527" s="595"/>
      <c r="K527" s="595"/>
      <c r="L527" s="595"/>
      <c r="M527" s="595"/>
    </row>
    <row r="528" spans="1:13" ht="19.5" customHeight="1">
      <c r="A528" s="595"/>
      <c r="B528" s="595"/>
      <c r="C528" s="595"/>
      <c r="D528" s="595"/>
      <c r="E528" s="595"/>
      <c r="F528" s="595"/>
      <c r="G528" s="595"/>
      <c r="H528" s="595"/>
      <c r="I528" s="595"/>
      <c r="J528" s="595"/>
      <c r="K528" s="595"/>
      <c r="L528" s="595"/>
      <c r="M528" s="595"/>
    </row>
    <row r="529" spans="1:13" ht="19.5" customHeight="1">
      <c r="A529" s="595"/>
      <c r="B529" s="595"/>
      <c r="C529" s="595"/>
      <c r="D529" s="595"/>
      <c r="E529" s="595"/>
      <c r="F529" s="595"/>
      <c r="G529" s="595"/>
      <c r="H529" s="595"/>
      <c r="I529" s="595"/>
      <c r="J529" s="595"/>
      <c r="K529" s="595"/>
      <c r="L529" s="595"/>
      <c r="M529" s="595"/>
    </row>
    <row r="530" spans="1:13" ht="19.5" customHeight="1">
      <c r="A530" s="595"/>
      <c r="B530" s="595"/>
      <c r="C530" s="595"/>
      <c r="D530" s="595"/>
      <c r="E530" s="595"/>
      <c r="F530" s="595"/>
      <c r="G530" s="595"/>
      <c r="H530" s="595"/>
      <c r="I530" s="595"/>
      <c r="J530" s="595"/>
      <c r="K530" s="595"/>
      <c r="L530" s="595"/>
      <c r="M530" s="595"/>
    </row>
    <row r="531" spans="1:13" ht="19.5" customHeight="1">
      <c r="A531" s="595"/>
      <c r="B531" s="595"/>
      <c r="C531" s="595"/>
      <c r="D531" s="595"/>
      <c r="E531" s="595"/>
      <c r="F531" s="595"/>
      <c r="G531" s="595"/>
      <c r="H531" s="595"/>
      <c r="I531" s="595"/>
      <c r="J531" s="595"/>
      <c r="K531" s="595"/>
      <c r="L531" s="595"/>
      <c r="M531" s="595"/>
    </row>
    <row r="532" spans="1:13" ht="19.5" customHeight="1">
      <c r="A532" s="595"/>
      <c r="B532" s="595"/>
      <c r="C532" s="595"/>
      <c r="D532" s="595"/>
      <c r="E532" s="595"/>
      <c r="F532" s="595"/>
      <c r="G532" s="595"/>
      <c r="H532" s="595"/>
      <c r="I532" s="595"/>
      <c r="J532" s="595"/>
      <c r="K532" s="595"/>
      <c r="L532" s="595"/>
      <c r="M532" s="595"/>
    </row>
    <row r="533" spans="1:13" ht="19.5" customHeight="1">
      <c r="A533" s="595"/>
      <c r="B533" s="595"/>
      <c r="C533" s="595"/>
      <c r="D533" s="595"/>
      <c r="E533" s="595"/>
      <c r="F533" s="595"/>
      <c r="G533" s="595"/>
      <c r="H533" s="595"/>
      <c r="I533" s="595"/>
      <c r="J533" s="595"/>
      <c r="K533" s="595"/>
      <c r="L533" s="595"/>
      <c r="M533" s="595"/>
    </row>
    <row r="534" spans="1:13" ht="19.5" customHeight="1">
      <c r="A534" s="595"/>
      <c r="B534" s="595"/>
      <c r="C534" s="595"/>
      <c r="D534" s="595"/>
      <c r="E534" s="595"/>
      <c r="F534" s="595"/>
      <c r="G534" s="595"/>
      <c r="H534" s="595"/>
      <c r="I534" s="595"/>
      <c r="J534" s="595"/>
      <c r="K534" s="595"/>
      <c r="L534" s="595"/>
      <c r="M534" s="595"/>
    </row>
    <row r="535" spans="1:13" ht="19.5" customHeight="1">
      <c r="A535" s="595"/>
      <c r="B535" s="595"/>
      <c r="C535" s="595"/>
      <c r="D535" s="595"/>
      <c r="E535" s="595"/>
      <c r="F535" s="595"/>
      <c r="G535" s="595"/>
      <c r="H535" s="595"/>
      <c r="I535" s="595"/>
      <c r="J535" s="595"/>
      <c r="K535" s="595"/>
      <c r="L535" s="595"/>
      <c r="M535" s="595"/>
    </row>
    <row r="536" spans="1:13" ht="19.5" customHeight="1">
      <c r="A536" s="595"/>
      <c r="B536" s="595"/>
      <c r="C536" s="595"/>
      <c r="D536" s="595"/>
      <c r="E536" s="595"/>
      <c r="F536" s="595"/>
      <c r="G536" s="595"/>
      <c r="H536" s="595"/>
      <c r="I536" s="595"/>
      <c r="J536" s="595"/>
      <c r="K536" s="595"/>
      <c r="L536" s="595"/>
      <c r="M536" s="595"/>
    </row>
    <row r="537" spans="1:13" ht="19.5" customHeight="1">
      <c r="A537" s="595"/>
      <c r="B537" s="595"/>
      <c r="C537" s="595"/>
      <c r="D537" s="595"/>
      <c r="E537" s="595"/>
      <c r="F537" s="595"/>
      <c r="G537" s="595"/>
      <c r="H537" s="595"/>
      <c r="I537" s="595"/>
      <c r="J537" s="595"/>
      <c r="K537" s="595"/>
      <c r="L537" s="595"/>
      <c r="M537" s="595"/>
    </row>
    <row r="538" spans="1:13" ht="19.5" customHeight="1">
      <c r="A538" s="595"/>
      <c r="B538" s="595"/>
      <c r="C538" s="595"/>
      <c r="D538" s="595"/>
      <c r="E538" s="595"/>
      <c r="F538" s="595"/>
      <c r="G538" s="595"/>
      <c r="H538" s="595"/>
      <c r="I538" s="595"/>
      <c r="J538" s="595"/>
      <c r="K538" s="595"/>
      <c r="L538" s="595"/>
      <c r="M538" s="595"/>
    </row>
    <row r="539" spans="1:13" ht="19.5" customHeight="1">
      <c r="A539" s="595"/>
      <c r="B539" s="595"/>
      <c r="C539" s="595"/>
      <c r="D539" s="595"/>
      <c r="E539" s="595"/>
      <c r="F539" s="595"/>
      <c r="G539" s="595"/>
      <c r="H539" s="595"/>
      <c r="I539" s="595"/>
      <c r="J539" s="595"/>
      <c r="K539" s="595"/>
      <c r="L539" s="595"/>
      <c r="M539" s="595"/>
    </row>
    <row r="540" spans="1:13" ht="19.5" customHeight="1">
      <c r="A540" s="595"/>
      <c r="B540" s="595"/>
      <c r="C540" s="595"/>
      <c r="D540" s="595"/>
      <c r="E540" s="595"/>
      <c r="F540" s="595"/>
      <c r="G540" s="595"/>
      <c r="H540" s="595"/>
      <c r="I540" s="595"/>
      <c r="J540" s="595"/>
      <c r="K540" s="595"/>
      <c r="L540" s="595"/>
      <c r="M540" s="595"/>
    </row>
    <row r="541" spans="1:13" ht="19.5" customHeight="1">
      <c r="A541" s="595"/>
      <c r="B541" s="595"/>
      <c r="C541" s="595"/>
      <c r="D541" s="595"/>
      <c r="E541" s="595"/>
      <c r="F541" s="595"/>
      <c r="G541" s="595"/>
      <c r="H541" s="595"/>
      <c r="I541" s="595"/>
      <c r="J541" s="595"/>
      <c r="K541" s="595"/>
      <c r="L541" s="595"/>
      <c r="M541" s="595"/>
    </row>
    <row r="542" spans="1:13" ht="19.5" customHeight="1">
      <c r="A542" s="595"/>
      <c r="B542" s="595"/>
      <c r="C542" s="595"/>
      <c r="D542" s="595"/>
      <c r="E542" s="595"/>
      <c r="F542" s="595"/>
      <c r="G542" s="595"/>
      <c r="H542" s="595"/>
      <c r="I542" s="595"/>
      <c r="J542" s="595"/>
      <c r="K542" s="595"/>
      <c r="L542" s="595"/>
      <c r="M542" s="595"/>
    </row>
    <row r="543" spans="1:13" ht="19.5" customHeight="1">
      <c r="A543" s="595"/>
      <c r="B543" s="595"/>
      <c r="C543" s="595"/>
      <c r="D543" s="595"/>
      <c r="E543" s="595"/>
      <c r="F543" s="595"/>
      <c r="G543" s="595"/>
      <c r="H543" s="595"/>
      <c r="I543" s="595"/>
      <c r="J543" s="595"/>
      <c r="K543" s="595"/>
      <c r="L543" s="595"/>
      <c r="M543" s="595"/>
    </row>
    <row r="544" spans="1:13" ht="19.5" customHeight="1">
      <c r="A544" s="595"/>
      <c r="B544" s="595"/>
      <c r="C544" s="595"/>
      <c r="D544" s="595"/>
      <c r="E544" s="595"/>
      <c r="F544" s="595"/>
      <c r="G544" s="595"/>
      <c r="H544" s="595"/>
      <c r="I544" s="595"/>
      <c r="J544" s="595"/>
      <c r="K544" s="595"/>
      <c r="L544" s="595"/>
      <c r="M544" s="595"/>
    </row>
    <row r="545" spans="1:13" ht="19.5" customHeight="1">
      <c r="A545" s="595"/>
      <c r="B545" s="595"/>
      <c r="C545" s="595"/>
      <c r="D545" s="595"/>
      <c r="E545" s="595"/>
      <c r="F545" s="595"/>
      <c r="G545" s="595"/>
      <c r="H545" s="595"/>
      <c r="I545" s="595"/>
      <c r="J545" s="595"/>
      <c r="K545" s="595"/>
      <c r="L545" s="595"/>
      <c r="M545" s="595"/>
    </row>
    <row r="546" spans="1:13" ht="19.5" customHeight="1">
      <c r="A546" s="595"/>
      <c r="B546" s="595"/>
      <c r="C546" s="595"/>
      <c r="D546" s="595"/>
      <c r="E546" s="595"/>
      <c r="F546" s="595"/>
      <c r="G546" s="595"/>
      <c r="H546" s="595"/>
      <c r="I546" s="595"/>
      <c r="J546" s="595"/>
      <c r="K546" s="595"/>
      <c r="L546" s="595"/>
      <c r="M546" s="595"/>
    </row>
    <row r="547" spans="1:13" ht="19.5" customHeight="1">
      <c r="A547" s="595"/>
      <c r="B547" s="595"/>
      <c r="C547" s="595"/>
      <c r="D547" s="595"/>
      <c r="E547" s="595"/>
      <c r="F547" s="595"/>
      <c r="G547" s="595"/>
      <c r="H547" s="595"/>
      <c r="I547" s="595"/>
      <c r="J547" s="595"/>
      <c r="K547" s="595"/>
      <c r="L547" s="595"/>
      <c r="M547" s="595"/>
    </row>
    <row r="548" spans="1:13" ht="19.5" customHeight="1">
      <c r="A548" s="595"/>
      <c r="B548" s="595"/>
      <c r="C548" s="595"/>
      <c r="D548" s="595"/>
      <c r="E548" s="595"/>
      <c r="F548" s="595"/>
      <c r="G548" s="595"/>
      <c r="H548" s="595"/>
      <c r="I548" s="595"/>
      <c r="J548" s="595"/>
      <c r="K548" s="595"/>
      <c r="L548" s="595"/>
      <c r="M548" s="595"/>
    </row>
    <row r="549" spans="1:13" ht="19.5" customHeight="1">
      <c r="A549" s="595"/>
      <c r="B549" s="595"/>
      <c r="C549" s="595"/>
      <c r="D549" s="595"/>
      <c r="E549" s="595"/>
      <c r="F549" s="595"/>
      <c r="G549" s="595"/>
      <c r="H549" s="595"/>
      <c r="I549" s="595"/>
      <c r="J549" s="595"/>
      <c r="K549" s="595"/>
      <c r="L549" s="595"/>
      <c r="M549" s="595"/>
    </row>
    <row r="550" spans="1:13" ht="19.5" customHeight="1">
      <c r="A550" s="595"/>
      <c r="B550" s="595"/>
      <c r="C550" s="595"/>
      <c r="D550" s="595"/>
      <c r="E550" s="595"/>
      <c r="F550" s="595"/>
      <c r="G550" s="595"/>
      <c r="H550" s="595"/>
      <c r="I550" s="595"/>
      <c r="J550" s="595"/>
      <c r="K550" s="595"/>
      <c r="L550" s="595"/>
      <c r="M550" s="595"/>
    </row>
    <row r="551" spans="1:13" ht="19.5" customHeight="1">
      <c r="A551" s="595"/>
      <c r="B551" s="595"/>
      <c r="C551" s="595"/>
      <c r="D551" s="595"/>
      <c r="E551" s="595"/>
      <c r="F551" s="595"/>
      <c r="G551" s="595"/>
      <c r="H551" s="595"/>
      <c r="I551" s="595"/>
      <c r="J551" s="595"/>
      <c r="K551" s="595"/>
      <c r="L551" s="595"/>
      <c r="M551" s="595"/>
    </row>
    <row r="552" spans="1:13" ht="19.5" customHeight="1">
      <c r="A552" s="595"/>
      <c r="B552" s="595"/>
      <c r="C552" s="595"/>
      <c r="D552" s="595"/>
      <c r="E552" s="595"/>
      <c r="F552" s="595"/>
      <c r="G552" s="595"/>
      <c r="H552" s="595"/>
      <c r="I552" s="595"/>
      <c r="J552" s="595"/>
      <c r="K552" s="595"/>
      <c r="L552" s="595"/>
      <c r="M552" s="595"/>
    </row>
    <row r="553" spans="1:13" ht="19.5" customHeight="1">
      <c r="A553" s="595"/>
      <c r="B553" s="595"/>
      <c r="C553" s="595"/>
      <c r="D553" s="595"/>
      <c r="E553" s="595"/>
      <c r="F553" s="595"/>
      <c r="G553" s="595"/>
      <c r="H553" s="595"/>
      <c r="I553" s="595"/>
      <c r="J553" s="595"/>
      <c r="K553" s="595"/>
      <c r="L553" s="595"/>
      <c r="M553" s="595"/>
    </row>
    <row r="554" spans="1:13" ht="19.5" customHeight="1">
      <c r="A554" s="595"/>
      <c r="B554" s="595"/>
      <c r="C554" s="595"/>
      <c r="D554" s="595"/>
      <c r="E554" s="595"/>
      <c r="F554" s="595"/>
      <c r="G554" s="595"/>
      <c r="H554" s="595"/>
      <c r="I554" s="595"/>
      <c r="J554" s="595"/>
      <c r="K554" s="595"/>
      <c r="L554" s="595"/>
      <c r="M554" s="595"/>
    </row>
    <row r="555" spans="1:13" ht="19.5" customHeight="1">
      <c r="A555" s="595"/>
      <c r="B555" s="595"/>
      <c r="C555" s="595"/>
      <c r="D555" s="595"/>
      <c r="E555" s="595"/>
      <c r="F555" s="595"/>
      <c r="G555" s="595"/>
      <c r="H555" s="595"/>
      <c r="I555" s="595"/>
      <c r="J555" s="595"/>
      <c r="K555" s="595"/>
      <c r="L555" s="595"/>
      <c r="M555" s="595"/>
    </row>
    <row r="556" spans="1:13" ht="19.5" customHeight="1">
      <c r="A556" s="595"/>
      <c r="B556" s="595"/>
      <c r="C556" s="595"/>
      <c r="D556" s="595"/>
      <c r="E556" s="595"/>
      <c r="F556" s="595"/>
      <c r="G556" s="595"/>
      <c r="H556" s="595"/>
      <c r="I556" s="595"/>
      <c r="J556" s="595"/>
      <c r="K556" s="595"/>
      <c r="L556" s="595"/>
      <c r="M556" s="595"/>
    </row>
    <row r="557" spans="1:13" ht="19.5" customHeight="1">
      <c r="A557" s="595"/>
      <c r="B557" s="595"/>
      <c r="C557" s="595"/>
      <c r="D557" s="595"/>
      <c r="E557" s="595"/>
      <c r="F557" s="595"/>
      <c r="G557" s="595"/>
      <c r="H557" s="595"/>
      <c r="I557" s="595"/>
      <c r="J557" s="595"/>
      <c r="K557" s="595"/>
      <c r="L557" s="595"/>
      <c r="M557" s="595"/>
    </row>
    <row r="558" spans="1:13" ht="19.5" customHeight="1">
      <c r="A558" s="595"/>
      <c r="B558" s="595"/>
      <c r="C558" s="595"/>
      <c r="D558" s="595"/>
      <c r="E558" s="595"/>
      <c r="F558" s="595"/>
      <c r="G558" s="595"/>
      <c r="H558" s="595"/>
      <c r="I558" s="595"/>
      <c r="J558" s="595"/>
      <c r="K558" s="595"/>
      <c r="L558" s="595"/>
      <c r="M558" s="595"/>
    </row>
    <row r="559" spans="1:13" ht="19.5" customHeight="1">
      <c r="D559" s="595"/>
      <c r="E559" s="595"/>
      <c r="F559" s="595"/>
      <c r="H559" s="595"/>
      <c r="I559" s="595"/>
      <c r="J559" s="595"/>
    </row>
  </sheetData>
  <sortState xmlns:xlrd2="http://schemas.microsoft.com/office/spreadsheetml/2017/richdata2" ref="B3:E12">
    <sortCondition descending="1" ref="D3:D12"/>
  </sortState>
  <mergeCells count="2">
    <mergeCell ref="D1:F1"/>
    <mergeCell ref="H1:J1"/>
  </mergeCells>
  <phoneticPr fontId="40" type="noConversion"/>
  <hyperlinks>
    <hyperlink ref="B1" location="Summary!B6" display="back to summary" xr:uid="{00000000-0004-0000-0D00-000000000000}"/>
    <hyperlink ref="L2" location="Summary!L10" display="back to sum" xr:uid="{00000000-0004-0000-0D00-000001000000}"/>
  </hyperlinks>
  <printOptions gridLines="1"/>
  <pageMargins left="0" right="0" top="0.37" bottom="0.25" header="0.15" footer="0.14000000000000001"/>
  <pageSetup paperSize="9" scale="81" fitToHeight="3" orientation="landscape" r:id="rId1"/>
  <headerFooter alignWithMargins="0">
    <oddHeader>&amp;R&amp;F--&amp;A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indexed="12"/>
  </sheetPr>
  <dimension ref="A1:I6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59" sqref="D59"/>
    </sheetView>
  </sheetViews>
  <sheetFormatPr baseColWidth="10" defaultColWidth="26.19921875" defaultRowHeight="21" customHeight="1"/>
  <cols>
    <col min="1" max="1" width="7.796875" style="404" customWidth="1"/>
    <col min="2" max="2" width="23.796875" style="404" customWidth="1"/>
    <col min="3" max="3" width="11.3984375" style="404" bestFit="1" customWidth="1"/>
    <col min="4" max="4" width="22.19921875" style="404" bestFit="1" customWidth="1"/>
    <col min="5" max="5" width="20.796875" style="404" bestFit="1" customWidth="1"/>
    <col min="6" max="6" width="19.796875" style="404" customWidth="1"/>
    <col min="7" max="7" width="16.19921875" style="404" customWidth="1"/>
    <col min="8" max="16384" width="26.19921875" style="404"/>
  </cols>
  <sheetData>
    <row r="1" spans="1:9" ht="21" customHeight="1">
      <c r="A1" s="1104" t="s">
        <v>2143</v>
      </c>
      <c r="F1" s="721"/>
      <c r="G1" s="721"/>
    </row>
    <row r="2" spans="1:9" ht="21" customHeight="1" thickBot="1"/>
    <row r="3" spans="1:9" s="558" customFormat="1" ht="21" customHeight="1" thickTop="1">
      <c r="A3" s="1106" t="s">
        <v>936</v>
      </c>
      <c r="B3" s="1107" t="s">
        <v>436</v>
      </c>
      <c r="C3" s="1108" t="s">
        <v>2144</v>
      </c>
      <c r="D3" s="1108" t="s">
        <v>2145</v>
      </c>
      <c r="E3" s="1108" t="s">
        <v>2146</v>
      </c>
      <c r="F3" s="1108" t="s">
        <v>2147</v>
      </c>
      <c r="G3" s="1108" t="s">
        <v>2148</v>
      </c>
      <c r="H3" s="994"/>
    </row>
    <row r="4" spans="1:9" s="541" customFormat="1" ht="21" customHeight="1">
      <c r="A4" s="1117" t="s">
        <v>937</v>
      </c>
      <c r="B4" s="1109"/>
      <c r="C4" s="1118">
        <v>1079</v>
      </c>
      <c r="D4" s="1118">
        <v>9660426</v>
      </c>
      <c r="E4" s="1118">
        <v>7315096</v>
      </c>
      <c r="F4" s="1118">
        <v>2345330</v>
      </c>
      <c r="G4" s="1119">
        <v>0.24277707836072654</v>
      </c>
      <c r="H4" s="996"/>
    </row>
    <row r="5" spans="1:9" s="541" customFormat="1" ht="21" customHeight="1">
      <c r="A5" s="1113"/>
      <c r="B5" s="1110" t="s">
        <v>398</v>
      </c>
      <c r="C5" s="1111">
        <v>282</v>
      </c>
      <c r="D5" s="1111">
        <v>649911</v>
      </c>
      <c r="E5" s="1111">
        <v>427618</v>
      </c>
      <c r="F5" s="1111">
        <v>222293</v>
      </c>
      <c r="G5" s="1112">
        <v>0.34203606339945009</v>
      </c>
      <c r="H5" s="996"/>
    </row>
    <row r="6" spans="1:9" s="541" customFormat="1" ht="21" customHeight="1">
      <c r="A6" s="1113"/>
      <c r="B6" s="1110" t="s">
        <v>1872</v>
      </c>
      <c r="C6" s="1111">
        <v>2</v>
      </c>
      <c r="D6" s="1111">
        <v>28300</v>
      </c>
      <c r="E6" s="1111">
        <v>16919</v>
      </c>
      <c r="F6" s="1111">
        <v>11381</v>
      </c>
      <c r="G6" s="1112">
        <v>0.4021554770318021</v>
      </c>
      <c r="H6" s="996"/>
    </row>
    <row r="7" spans="1:9" s="541" customFormat="1" ht="21" customHeight="1">
      <c r="A7" s="1113"/>
      <c r="B7" s="1110" t="s">
        <v>1751</v>
      </c>
      <c r="C7" s="1111">
        <v>28</v>
      </c>
      <c r="D7" s="1111">
        <v>593617</v>
      </c>
      <c r="E7" s="1111">
        <v>394077</v>
      </c>
      <c r="F7" s="1111">
        <v>199540</v>
      </c>
      <c r="G7" s="1112">
        <v>0.33614266437787327</v>
      </c>
      <c r="H7" s="996"/>
    </row>
    <row r="8" spans="1:9" s="541" customFormat="1" ht="21" customHeight="1">
      <c r="A8" s="1113"/>
      <c r="B8" s="1110" t="s">
        <v>2011</v>
      </c>
      <c r="C8" s="1111">
        <v>17</v>
      </c>
      <c r="D8" s="1111">
        <v>501025</v>
      </c>
      <c r="E8" s="1111">
        <v>356480</v>
      </c>
      <c r="F8" s="1111">
        <v>144545</v>
      </c>
      <c r="G8" s="1112">
        <v>0.28849857791527367</v>
      </c>
      <c r="H8" s="996"/>
    </row>
    <row r="9" spans="1:9" s="541" customFormat="1" ht="21" customHeight="1">
      <c r="A9" s="1113"/>
      <c r="B9" s="1110" t="s">
        <v>2003</v>
      </c>
      <c r="C9" s="1111">
        <v>17</v>
      </c>
      <c r="D9" s="1111">
        <v>418090</v>
      </c>
      <c r="E9" s="1111">
        <v>287361</v>
      </c>
      <c r="F9" s="1111">
        <v>130729</v>
      </c>
      <c r="G9" s="1112">
        <v>0.31268148006410101</v>
      </c>
      <c r="H9" s="996"/>
    </row>
    <row r="10" spans="1:9" s="541" customFormat="1" ht="21" customHeight="1">
      <c r="A10" s="1113"/>
      <c r="B10" s="1110" t="s">
        <v>2010</v>
      </c>
      <c r="C10" s="1111">
        <v>25</v>
      </c>
      <c r="D10" s="1111">
        <v>401276</v>
      </c>
      <c r="E10" s="1111">
        <v>320704</v>
      </c>
      <c r="F10" s="1111">
        <v>80572</v>
      </c>
      <c r="G10" s="1112">
        <v>0.20078948155384324</v>
      </c>
      <c r="H10" s="996"/>
      <c r="I10" s="695"/>
    </row>
    <row r="11" spans="1:9" s="541" customFormat="1" ht="21" customHeight="1">
      <c r="A11" s="1113"/>
      <c r="B11" s="1110" t="s">
        <v>547</v>
      </c>
      <c r="C11" s="1111">
        <v>359</v>
      </c>
      <c r="D11" s="1111">
        <v>5286698</v>
      </c>
      <c r="E11" s="1111">
        <v>4026894</v>
      </c>
      <c r="F11" s="1111">
        <v>1259804</v>
      </c>
      <c r="G11" s="1112">
        <v>0.23829694830308068</v>
      </c>
      <c r="H11" s="996"/>
    </row>
    <row r="12" spans="1:9" s="541" customFormat="1" ht="21" customHeight="1">
      <c r="A12" s="1113"/>
      <c r="B12" s="1110" t="s">
        <v>1264</v>
      </c>
      <c r="C12" s="1111">
        <v>20</v>
      </c>
      <c r="D12" s="1111">
        <v>282999</v>
      </c>
      <c r="E12" s="1111">
        <v>203541</v>
      </c>
      <c r="F12" s="1111">
        <v>79458</v>
      </c>
      <c r="G12" s="1112">
        <v>0.28077131014597223</v>
      </c>
      <c r="H12" s="996"/>
    </row>
    <row r="13" spans="1:9" s="541" customFormat="1" ht="21" customHeight="1">
      <c r="A13" s="1113"/>
      <c r="B13" s="1110" t="s">
        <v>1900</v>
      </c>
      <c r="C13" s="1111">
        <v>10</v>
      </c>
      <c r="D13" s="1111">
        <v>231680</v>
      </c>
      <c r="E13" s="1111">
        <v>176907</v>
      </c>
      <c r="F13" s="1111">
        <v>54773</v>
      </c>
      <c r="G13" s="1112">
        <v>0.23641660911602211</v>
      </c>
      <c r="H13" s="996"/>
    </row>
    <row r="14" spans="1:9" s="541" customFormat="1" ht="21" customHeight="1">
      <c r="A14" s="1113"/>
      <c r="B14" s="1110" t="s">
        <v>492</v>
      </c>
      <c r="C14" s="1111">
        <v>241</v>
      </c>
      <c r="D14" s="1111">
        <v>214613</v>
      </c>
      <c r="E14" s="1111">
        <v>148158</v>
      </c>
      <c r="F14" s="1111">
        <v>66455</v>
      </c>
      <c r="G14" s="1112">
        <v>0.30965039396495087</v>
      </c>
      <c r="H14" s="996"/>
    </row>
    <row r="15" spans="1:9" s="541" customFormat="1" ht="21" customHeight="1">
      <c r="A15" s="1113"/>
      <c r="B15" s="1110" t="s">
        <v>2004</v>
      </c>
      <c r="C15" s="1111">
        <v>50</v>
      </c>
      <c r="D15" s="1111">
        <v>693105</v>
      </c>
      <c r="E15" s="1111">
        <v>610002</v>
      </c>
      <c r="F15" s="1111">
        <v>83103</v>
      </c>
      <c r="G15" s="1112">
        <v>0.11989958231436795</v>
      </c>
      <c r="H15" s="996"/>
    </row>
    <row r="16" spans="1:9" s="541" customFormat="1" ht="21" customHeight="1">
      <c r="A16" s="1113"/>
      <c r="B16" s="1110" t="s">
        <v>1260</v>
      </c>
      <c r="C16" s="1111">
        <v>16</v>
      </c>
      <c r="D16" s="1111">
        <v>291255</v>
      </c>
      <c r="E16" s="1111">
        <v>276643</v>
      </c>
      <c r="F16" s="1111">
        <v>14612</v>
      </c>
      <c r="G16" s="1112">
        <v>5.0169095809514001E-2</v>
      </c>
      <c r="H16" s="996"/>
    </row>
    <row r="17" spans="1:9" ht="21" customHeight="1">
      <c r="A17" s="1113"/>
      <c r="B17" s="1110" t="s">
        <v>2149</v>
      </c>
      <c r="C17" s="1111">
        <v>2</v>
      </c>
      <c r="D17" s="1111">
        <v>22956</v>
      </c>
      <c r="E17" s="1111">
        <v>20664</v>
      </c>
      <c r="F17" s="1111">
        <v>2292</v>
      </c>
      <c r="G17" s="1112">
        <v>9.9843178254051229E-2</v>
      </c>
    </row>
    <row r="18" spans="1:9" s="541" customFormat="1" ht="21" customHeight="1">
      <c r="A18" s="1113"/>
      <c r="B18" s="1110" t="s">
        <v>1242</v>
      </c>
      <c r="C18" s="1111">
        <v>10</v>
      </c>
      <c r="D18" s="1111">
        <v>44901</v>
      </c>
      <c r="E18" s="1111">
        <v>49128</v>
      </c>
      <c r="F18" s="1111">
        <v>-4227</v>
      </c>
      <c r="G18" s="1112">
        <v>-9.4140442306407432E-2</v>
      </c>
      <c r="H18" s="996"/>
      <c r="I18" s="1027"/>
    </row>
    <row r="19" spans="1:9" ht="21" customHeight="1">
      <c r="A19" s="1113"/>
      <c r="B19" s="1114"/>
      <c r="C19" s="1115"/>
      <c r="D19" s="1115"/>
      <c r="E19" s="1115"/>
      <c r="F19" s="1115"/>
      <c r="G19" s="1116"/>
    </row>
    <row r="20" spans="1:9" s="541" customFormat="1" ht="21" customHeight="1">
      <c r="A20" s="1117" t="s">
        <v>938</v>
      </c>
      <c r="B20" s="1109"/>
      <c r="C20" s="1118">
        <v>14255</v>
      </c>
      <c r="D20" s="1118">
        <v>65629388</v>
      </c>
      <c r="E20" s="1118">
        <v>57335550</v>
      </c>
      <c r="F20" s="1118">
        <v>8293838</v>
      </c>
      <c r="G20" s="1119">
        <v>0.12637384337638499</v>
      </c>
      <c r="H20" s="996"/>
    </row>
    <row r="21" spans="1:9" s="541" customFormat="1" ht="21" customHeight="1">
      <c r="A21" s="1113"/>
      <c r="B21" s="1110" t="s">
        <v>557</v>
      </c>
      <c r="C21" s="1111">
        <v>1150</v>
      </c>
      <c r="D21" s="1111">
        <v>1490092</v>
      </c>
      <c r="E21" s="1111">
        <v>1206528</v>
      </c>
      <c r="F21" s="1111">
        <v>283564</v>
      </c>
      <c r="G21" s="1112">
        <v>0.19029965934989249</v>
      </c>
      <c r="H21" s="996"/>
    </row>
    <row r="22" spans="1:9" s="541" customFormat="1" ht="21" customHeight="1">
      <c r="A22" s="1113"/>
      <c r="B22" s="1110" t="s">
        <v>1257</v>
      </c>
      <c r="C22" s="1111">
        <v>100</v>
      </c>
      <c r="D22" s="1111">
        <v>18081</v>
      </c>
      <c r="E22" s="1111">
        <v>17653</v>
      </c>
      <c r="F22" s="1111">
        <v>428</v>
      </c>
      <c r="G22" s="1112">
        <v>2.3671257120734472E-2</v>
      </c>
      <c r="H22" s="996"/>
    </row>
    <row r="23" spans="1:9" s="541" customFormat="1" ht="21" customHeight="1">
      <c r="A23" s="1113"/>
      <c r="B23" s="1110" t="s">
        <v>592</v>
      </c>
      <c r="C23" s="1111">
        <v>30</v>
      </c>
      <c r="D23" s="1111">
        <v>136282</v>
      </c>
      <c r="E23" s="1111">
        <v>84650</v>
      </c>
      <c r="F23" s="1111">
        <v>51632</v>
      </c>
      <c r="G23" s="1112">
        <v>0.37886147840507184</v>
      </c>
      <c r="H23" s="996"/>
    </row>
    <row r="24" spans="1:9" s="541" customFormat="1" ht="21" customHeight="1">
      <c r="A24" s="1113"/>
      <c r="B24" s="1110" t="s">
        <v>581</v>
      </c>
      <c r="C24" s="1111">
        <v>200</v>
      </c>
      <c r="D24" s="1111">
        <v>224109</v>
      </c>
      <c r="E24" s="1111">
        <v>140231</v>
      </c>
      <c r="F24" s="1111">
        <v>83878</v>
      </c>
      <c r="G24" s="1112">
        <v>0.37427323311424354</v>
      </c>
      <c r="H24" s="996"/>
    </row>
    <row r="25" spans="1:9" s="541" customFormat="1" ht="21" customHeight="1">
      <c r="A25" s="1113"/>
      <c r="B25" s="1110" t="s">
        <v>1787</v>
      </c>
      <c r="C25" s="1111">
        <v>1230</v>
      </c>
      <c r="D25" s="1111">
        <v>13030942</v>
      </c>
      <c r="E25" s="1111">
        <v>10476780</v>
      </c>
      <c r="F25" s="1111">
        <v>2554162</v>
      </c>
      <c r="G25" s="1112">
        <v>0.19600747206149793</v>
      </c>
      <c r="H25" s="996"/>
    </row>
    <row r="26" spans="1:9" s="541" customFormat="1" ht="21" customHeight="1">
      <c r="A26" s="1113"/>
      <c r="B26" s="1110" t="s">
        <v>558</v>
      </c>
      <c r="C26" s="1111">
        <v>2417</v>
      </c>
      <c r="D26" s="1111">
        <v>15367460</v>
      </c>
      <c r="E26" s="1111">
        <v>12568406</v>
      </c>
      <c r="F26" s="1111">
        <v>2799054</v>
      </c>
      <c r="G26" s="1112">
        <v>0.18214161611613111</v>
      </c>
      <c r="H26" s="996"/>
    </row>
    <row r="27" spans="1:9" s="541" customFormat="1" ht="21" customHeight="1">
      <c r="A27" s="1113"/>
      <c r="B27" s="1110" t="s">
        <v>1256</v>
      </c>
      <c r="C27" s="1111">
        <v>300</v>
      </c>
      <c r="D27" s="1111">
        <v>245309</v>
      </c>
      <c r="E27" s="1111">
        <v>155380</v>
      </c>
      <c r="F27" s="1111">
        <v>89929</v>
      </c>
      <c r="G27" s="1112">
        <v>0.36659478453705324</v>
      </c>
      <c r="H27" s="996"/>
    </row>
    <row r="28" spans="1:9" s="541" customFormat="1" ht="21" customHeight="1">
      <c r="A28" s="1113"/>
      <c r="B28" s="1110" t="s">
        <v>1265</v>
      </c>
      <c r="C28" s="1111">
        <v>150</v>
      </c>
      <c r="D28" s="1111">
        <v>185534</v>
      </c>
      <c r="E28" s="1111">
        <v>124594</v>
      </c>
      <c r="F28" s="1111">
        <v>60940</v>
      </c>
      <c r="G28" s="1112">
        <v>0.32845731779619908</v>
      </c>
      <c r="H28" s="996"/>
    </row>
    <row r="29" spans="1:9" s="541" customFormat="1" ht="21" customHeight="1">
      <c r="A29" s="1113"/>
      <c r="B29" s="1110" t="s">
        <v>556</v>
      </c>
      <c r="C29" s="1111">
        <v>1290</v>
      </c>
      <c r="D29" s="1111">
        <v>393774</v>
      </c>
      <c r="E29" s="1111">
        <v>492665</v>
      </c>
      <c r="F29" s="1111">
        <v>-98891</v>
      </c>
      <c r="G29" s="1112">
        <v>-0.25113643866786534</v>
      </c>
      <c r="H29" s="996"/>
    </row>
    <row r="30" spans="1:9" s="541" customFormat="1" ht="21" customHeight="1">
      <c r="A30" s="1113"/>
      <c r="B30" s="1110" t="s">
        <v>2150</v>
      </c>
      <c r="C30" s="1111">
        <v>250</v>
      </c>
      <c r="D30" s="1111">
        <v>28100</v>
      </c>
      <c r="E30" s="1111">
        <v>163914</v>
      </c>
      <c r="F30" s="1111">
        <v>-135814</v>
      </c>
      <c r="G30" s="1112">
        <v>-4.8332384341637011</v>
      </c>
      <c r="H30" s="996"/>
    </row>
    <row r="31" spans="1:9" s="541" customFormat="1" ht="21" customHeight="1">
      <c r="A31" s="1113"/>
      <c r="B31" s="1110" t="s">
        <v>601</v>
      </c>
      <c r="C31" s="1111">
        <v>380</v>
      </c>
      <c r="D31" s="1111">
        <v>2713650</v>
      </c>
      <c r="E31" s="1111">
        <v>2837667</v>
      </c>
      <c r="F31" s="1111">
        <v>-124017</v>
      </c>
      <c r="G31" s="1112">
        <v>-4.5701177381018185E-2</v>
      </c>
      <c r="H31" s="996"/>
    </row>
    <row r="32" spans="1:9" s="541" customFormat="1" ht="21" customHeight="1">
      <c r="A32" s="1113"/>
      <c r="B32" s="1110" t="s">
        <v>2151</v>
      </c>
      <c r="C32" s="1111">
        <v>150</v>
      </c>
      <c r="D32" s="1111">
        <v>19075</v>
      </c>
      <c r="E32" s="1111">
        <v>106594</v>
      </c>
      <c r="F32" s="1111">
        <v>-87519</v>
      </c>
      <c r="G32" s="1112">
        <v>-4.5881520314547837</v>
      </c>
      <c r="H32" s="996"/>
    </row>
    <row r="33" spans="1:9" s="541" customFormat="1" ht="21" customHeight="1">
      <c r="A33" s="1113"/>
      <c r="B33" s="1110" t="s">
        <v>555</v>
      </c>
      <c r="C33" s="1111">
        <v>3267</v>
      </c>
      <c r="D33" s="1111">
        <v>21761496</v>
      </c>
      <c r="E33" s="1111">
        <v>20795250</v>
      </c>
      <c r="F33" s="1111">
        <v>966246</v>
      </c>
      <c r="G33" s="1112">
        <v>4.4401634887601481E-2</v>
      </c>
      <c r="H33" s="996"/>
    </row>
    <row r="34" spans="1:9" ht="21" customHeight="1">
      <c r="A34" s="1113"/>
      <c r="B34" s="1110" t="s">
        <v>1261</v>
      </c>
      <c r="C34" s="1111">
        <v>800</v>
      </c>
      <c r="D34" s="1111">
        <v>3511392</v>
      </c>
      <c r="E34" s="1111">
        <v>2781742</v>
      </c>
      <c r="F34" s="1111">
        <v>729650</v>
      </c>
      <c r="G34" s="1112">
        <v>0.20779508525393917</v>
      </c>
    </row>
    <row r="35" spans="1:9" s="541" customFormat="1" ht="21" customHeight="1">
      <c r="A35" s="1113"/>
      <c r="B35" s="1110" t="s">
        <v>940</v>
      </c>
      <c r="C35" s="1111">
        <v>150</v>
      </c>
      <c r="D35" s="1111">
        <v>12685</v>
      </c>
      <c r="E35" s="1111">
        <v>8880</v>
      </c>
      <c r="F35" s="1111">
        <v>3805</v>
      </c>
      <c r="G35" s="1112">
        <v>0.29996058336618053</v>
      </c>
      <c r="H35" s="996"/>
      <c r="I35" s="1027"/>
    </row>
    <row r="36" spans="1:9" s="541" customFormat="1" ht="21" customHeight="1">
      <c r="A36" s="1113"/>
      <c r="B36" s="1110" t="s">
        <v>2152</v>
      </c>
      <c r="C36" s="1111">
        <v>200</v>
      </c>
      <c r="D36" s="1111">
        <v>137872</v>
      </c>
      <c r="E36" s="1111">
        <v>138803</v>
      </c>
      <c r="F36" s="1111">
        <v>-931</v>
      </c>
      <c r="G36" s="1112">
        <v>-6.7526401299756299E-3</v>
      </c>
      <c r="H36" s="996"/>
    </row>
    <row r="37" spans="1:9" s="541" customFormat="1" ht="21" customHeight="1">
      <c r="A37" s="1113"/>
      <c r="B37" s="1110" t="s">
        <v>882</v>
      </c>
      <c r="C37" s="1111">
        <v>960</v>
      </c>
      <c r="D37" s="1111">
        <v>293748</v>
      </c>
      <c r="E37" s="1111">
        <v>374202</v>
      </c>
      <c r="F37" s="1111">
        <v>-80454</v>
      </c>
      <c r="G37" s="1112">
        <v>-0.27388782221495978</v>
      </c>
      <c r="H37" s="996"/>
    </row>
    <row r="38" spans="1:9" ht="21" customHeight="1">
      <c r="A38" s="1113"/>
      <c r="B38" s="1110" t="s">
        <v>2068</v>
      </c>
      <c r="C38" s="1111">
        <v>3</v>
      </c>
      <c r="D38" s="1111">
        <v>73500</v>
      </c>
      <c r="E38" s="1111">
        <v>62362</v>
      </c>
      <c r="F38" s="1111">
        <v>11138</v>
      </c>
      <c r="G38" s="1112">
        <v>0.15153741496598638</v>
      </c>
    </row>
    <row r="39" spans="1:9" ht="21" customHeight="1">
      <c r="A39" s="1113"/>
      <c r="B39" s="1110" t="s">
        <v>547</v>
      </c>
      <c r="C39" s="1111">
        <v>104</v>
      </c>
      <c r="D39" s="1111">
        <v>1444810</v>
      </c>
      <c r="E39" s="1111">
        <v>1098403</v>
      </c>
      <c r="F39" s="1111">
        <v>346407</v>
      </c>
      <c r="G39" s="1112">
        <v>0.23975955315923894</v>
      </c>
    </row>
    <row r="40" spans="1:9" ht="21" customHeight="1">
      <c r="A40" s="1113"/>
      <c r="B40" s="1110" t="s">
        <v>492</v>
      </c>
      <c r="C40" s="1111">
        <v>122</v>
      </c>
      <c r="D40" s="1111">
        <v>337651</v>
      </c>
      <c r="E40" s="1111">
        <v>246471</v>
      </c>
      <c r="F40" s="1111">
        <v>91180</v>
      </c>
      <c r="G40" s="1112">
        <v>0.27004214410737715</v>
      </c>
    </row>
    <row r="41" spans="1:9" ht="21" customHeight="1">
      <c r="A41" s="1113"/>
      <c r="B41" s="1110" t="s">
        <v>2019</v>
      </c>
      <c r="C41" s="1111">
        <v>1000</v>
      </c>
      <c r="D41" s="1111">
        <v>4192935</v>
      </c>
      <c r="E41" s="1111">
        <v>3445373</v>
      </c>
      <c r="F41" s="1111">
        <v>747562</v>
      </c>
      <c r="G41" s="1112">
        <v>0.17829086308278091</v>
      </c>
    </row>
    <row r="42" spans="1:9" ht="21" customHeight="1">
      <c r="A42" s="1113"/>
      <c r="B42" s="1110" t="s">
        <v>2153</v>
      </c>
      <c r="C42" s="1111">
        <v>1</v>
      </c>
      <c r="D42" s="1111">
        <v>5391</v>
      </c>
      <c r="E42" s="1111">
        <v>4869</v>
      </c>
      <c r="F42" s="1111">
        <v>522</v>
      </c>
      <c r="G42" s="1112">
        <v>9.6828046744574292E-2</v>
      </c>
    </row>
    <row r="43" spans="1:9" ht="21" customHeight="1">
      <c r="A43" s="1113"/>
      <c r="B43" s="1110" t="s">
        <v>1242</v>
      </c>
      <c r="C43" s="1111">
        <v>1</v>
      </c>
      <c r="D43" s="1111">
        <v>5500</v>
      </c>
      <c r="E43" s="1111">
        <v>4133</v>
      </c>
      <c r="F43" s="1111">
        <v>1367</v>
      </c>
      <c r="G43" s="1112">
        <v>0.24854545454545454</v>
      </c>
    </row>
    <row r="44" spans="1:9" ht="21" customHeight="1">
      <c r="A44" s="1113"/>
      <c r="B44" s="1114"/>
      <c r="C44" s="1115"/>
      <c r="D44" s="1115"/>
      <c r="E44" s="1115"/>
      <c r="F44" s="1115"/>
      <c r="G44" s="1116"/>
    </row>
    <row r="45" spans="1:9" ht="21" customHeight="1">
      <c r="A45" s="1117" t="s">
        <v>939</v>
      </c>
      <c r="B45" s="1109"/>
      <c r="C45" s="1118">
        <v>922</v>
      </c>
      <c r="D45" s="1118">
        <v>6841562</v>
      </c>
      <c r="E45" s="1118">
        <v>6276014</v>
      </c>
      <c r="F45" s="1118">
        <v>565548</v>
      </c>
      <c r="G45" s="1119">
        <v>8.2663578872777879E-2</v>
      </c>
    </row>
    <row r="46" spans="1:9" ht="21" customHeight="1">
      <c r="A46" s="1113"/>
      <c r="B46" s="1110" t="s">
        <v>398</v>
      </c>
      <c r="C46" s="1111">
        <v>240</v>
      </c>
      <c r="D46" s="1111">
        <v>72683</v>
      </c>
      <c r="E46" s="1111">
        <v>107844</v>
      </c>
      <c r="F46" s="1111">
        <v>-35161</v>
      </c>
      <c r="G46" s="1112">
        <v>-0.48375823782727734</v>
      </c>
    </row>
    <row r="47" spans="1:9" ht="21" customHeight="1">
      <c r="A47" s="1113"/>
      <c r="B47" s="1110" t="s">
        <v>547</v>
      </c>
      <c r="C47" s="1111">
        <v>411</v>
      </c>
      <c r="D47" s="1111">
        <v>5461180</v>
      </c>
      <c r="E47" s="1111">
        <v>5033627</v>
      </c>
      <c r="F47" s="1111">
        <v>427553</v>
      </c>
      <c r="G47" s="1112">
        <v>7.8289490549661431E-2</v>
      </c>
    </row>
    <row r="48" spans="1:9" ht="21" customHeight="1">
      <c r="A48" s="1113"/>
      <c r="B48" s="1110" t="s">
        <v>492</v>
      </c>
      <c r="C48" s="1111">
        <v>4</v>
      </c>
      <c r="D48" s="1111">
        <v>7835</v>
      </c>
      <c r="E48" s="1111">
        <v>5820</v>
      </c>
      <c r="F48" s="1111">
        <v>2015</v>
      </c>
      <c r="G48" s="1112">
        <v>0.25717932354818124</v>
      </c>
    </row>
    <row r="49" spans="1:7" ht="21" customHeight="1">
      <c r="A49" s="1113"/>
      <c r="B49" s="1110" t="s">
        <v>1242</v>
      </c>
      <c r="C49" s="1111">
        <v>267</v>
      </c>
      <c r="D49" s="1111">
        <v>1299864</v>
      </c>
      <c r="E49" s="1111">
        <v>1128723</v>
      </c>
      <c r="F49" s="1111">
        <v>171141</v>
      </c>
      <c r="G49" s="1112">
        <v>0.13166069681135872</v>
      </c>
    </row>
    <row r="50" spans="1:7" ht="21" customHeight="1" thickBot="1">
      <c r="A50" s="1113"/>
      <c r="B50" s="1114"/>
      <c r="C50" s="1115"/>
      <c r="D50" s="1115"/>
      <c r="E50" s="1115"/>
      <c r="F50" s="1115"/>
      <c r="G50" s="1116"/>
    </row>
    <row r="51" spans="1:7" ht="21" customHeight="1" thickTop="1" thickBot="1">
      <c r="A51" s="1120" t="s">
        <v>2154</v>
      </c>
      <c r="B51" s="1121"/>
      <c r="C51" s="1122">
        <v>16256</v>
      </c>
      <c r="D51" s="1122">
        <v>82131376</v>
      </c>
      <c r="E51" s="1122">
        <v>70926660</v>
      </c>
      <c r="F51" s="1122">
        <v>11204716</v>
      </c>
      <c r="G51" s="1123">
        <v>0.13642430634548239</v>
      </c>
    </row>
    <row r="52" spans="1:7" ht="21" customHeight="1" thickTop="1">
      <c r="A52" s="1020"/>
      <c r="B52" s="999"/>
      <c r="C52" s="1014"/>
      <c r="D52" s="1014"/>
      <c r="E52" s="1014"/>
      <c r="F52" s="1014"/>
      <c r="G52" s="992"/>
    </row>
    <row r="53" spans="1:7" ht="21" customHeight="1">
      <c r="A53" s="1020"/>
      <c r="B53" s="999"/>
      <c r="C53" s="1014"/>
      <c r="D53" s="1014"/>
      <c r="E53" s="1014"/>
      <c r="F53" s="1014"/>
      <c r="G53" s="992"/>
    </row>
    <row r="54" spans="1:7" ht="21" customHeight="1">
      <c r="A54" s="1020"/>
      <c r="B54" s="999"/>
      <c r="C54" s="1014"/>
      <c r="D54" s="1014"/>
      <c r="E54" s="1014"/>
      <c r="F54" s="1014"/>
      <c r="G54" s="992"/>
    </row>
    <row r="55" spans="1:7" ht="21" customHeight="1">
      <c r="B55" s="404" t="s">
        <v>1883</v>
      </c>
      <c r="D55" s="600">
        <f>IS明細!R20</f>
        <v>3539</v>
      </c>
      <c r="E55" s="600">
        <f>IS明細!R88</f>
        <v>0</v>
      </c>
      <c r="F55" s="721"/>
      <c r="G55" s="721"/>
    </row>
    <row r="56" spans="1:7" ht="21" customHeight="1">
      <c r="B56" s="541" t="s">
        <v>1884</v>
      </c>
      <c r="D56" s="600"/>
      <c r="E56" s="600">
        <f>IS明細!R39+IS明細!R27</f>
        <v>0</v>
      </c>
      <c r="F56" s="721"/>
      <c r="G56" s="721"/>
    </row>
    <row r="57" spans="1:7" ht="21" customHeight="1">
      <c r="B57" s="404" t="s">
        <v>1885</v>
      </c>
      <c r="D57" s="854"/>
      <c r="E57" s="854">
        <f>IS明細!R77</f>
        <v>23984</v>
      </c>
      <c r="F57" s="721"/>
      <c r="G57" s="721"/>
    </row>
    <row r="58" spans="1:7" ht="21" customHeight="1">
      <c r="D58" s="600">
        <f>SUM(D51:D57)</f>
        <v>82134915</v>
      </c>
      <c r="E58" s="600">
        <f>SUM(E51:E57)</f>
        <v>70950644</v>
      </c>
      <c r="F58" s="600"/>
      <c r="G58" s="721"/>
    </row>
    <row r="59" spans="1:7" ht="21" customHeight="1">
      <c r="B59" s="404" t="s">
        <v>1886</v>
      </c>
      <c r="D59" s="600">
        <f>IS明細!R21</f>
        <v>82134915</v>
      </c>
      <c r="E59" s="600">
        <f>IS明細!R89</f>
        <v>70950644</v>
      </c>
      <c r="F59" s="721"/>
      <c r="G59" s="721"/>
    </row>
    <row r="60" spans="1:7" ht="21" customHeight="1" thickBot="1">
      <c r="B60" s="404" t="s">
        <v>1887</v>
      </c>
      <c r="D60" s="724">
        <f>D58-D59</f>
        <v>0</v>
      </c>
      <c r="E60" s="724">
        <f>E58-E59</f>
        <v>0</v>
      </c>
      <c r="F60" s="721"/>
      <c r="G60" s="721"/>
    </row>
    <row r="61" spans="1:7" ht="21" customHeight="1" thickTop="1"/>
  </sheetData>
  <sortState xmlns:xlrd2="http://schemas.microsoft.com/office/spreadsheetml/2017/richdata2" ref="A4:G20">
    <sortCondition descending="1" ref="D4:D20"/>
  </sortState>
  <phoneticPr fontId="40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>
    <tabColor indexed="24"/>
  </sheetPr>
  <dimension ref="A1:V47"/>
  <sheetViews>
    <sheetView workbookViewId="0">
      <pane xSplit="2" ySplit="1" topLeftCell="C35" activePane="bottomRight" state="frozen"/>
      <selection pane="topRight" activeCell="C1" sqref="C1"/>
      <selection pane="bottomLeft" activeCell="A2" sqref="A2"/>
      <selection pane="bottomRight" activeCell="C32" sqref="C32"/>
    </sheetView>
  </sheetViews>
  <sheetFormatPr baseColWidth="10" defaultColWidth="9.19921875" defaultRowHeight="18.75" customHeight="1"/>
  <cols>
    <col min="1" max="1" width="34.796875" style="404" customWidth="1"/>
    <col min="2" max="2" width="9.796875" style="404" customWidth="1"/>
    <col min="3" max="3" width="17.796875" style="404" customWidth="1"/>
    <col min="4" max="4" width="17.19921875" style="404" customWidth="1"/>
    <col min="5" max="5" width="16.19921875" style="404" customWidth="1"/>
    <col min="6" max="6" width="14.59765625" style="404" bestFit="1" customWidth="1"/>
    <col min="7" max="7" width="16.19921875" style="404" bestFit="1" customWidth="1"/>
    <col min="8" max="8" width="10.19921875" style="404" customWidth="1"/>
    <col min="9" max="9" width="12.3984375" style="404" customWidth="1"/>
    <col min="10" max="10" width="10.19921875" style="404" customWidth="1"/>
    <col min="11" max="11" width="12.796875" style="404" customWidth="1"/>
    <col min="12" max="15" width="10.19921875" style="404" customWidth="1"/>
    <col min="16" max="16" width="12.19921875" style="404" customWidth="1"/>
    <col min="17" max="17" width="7.796875" style="404" bestFit="1" customWidth="1"/>
    <col min="18" max="18" width="12.796875" style="404" customWidth="1"/>
    <col min="19" max="19" width="12.19921875" style="404" customWidth="1"/>
    <col min="20" max="20" width="11.796875" style="404" bestFit="1" customWidth="1"/>
    <col min="21" max="16384" width="9.19921875" style="404"/>
  </cols>
  <sheetData>
    <row r="1" spans="1:22" s="574" customFormat="1" ht="30" customHeight="1">
      <c r="A1" s="865" t="str">
        <f>客戶毛利排行!A1</f>
        <v>2017 August</v>
      </c>
      <c r="B1" s="864" t="s">
        <v>442</v>
      </c>
      <c r="C1" s="864" t="s">
        <v>443</v>
      </c>
      <c r="D1" s="863" t="s">
        <v>342</v>
      </c>
      <c r="E1" s="831" t="s">
        <v>0</v>
      </c>
      <c r="F1" s="862" t="str">
        <f>TWN_前十大客戶!L1</f>
        <v>2017 July Note</v>
      </c>
      <c r="G1" s="833" t="s">
        <v>1873</v>
      </c>
      <c r="H1" s="861" t="s">
        <v>1874</v>
      </c>
      <c r="I1" s="860"/>
      <c r="J1" s="860"/>
      <c r="K1" s="860"/>
      <c r="L1" s="860"/>
      <c r="M1" s="860"/>
      <c r="N1" s="860"/>
      <c r="O1" s="860"/>
      <c r="U1" s="859"/>
      <c r="V1" s="859"/>
    </row>
    <row r="2" spans="1:22" s="541" customFormat="1" ht="16.5" customHeight="1">
      <c r="A2" s="1011" t="s">
        <v>1242</v>
      </c>
      <c r="B2" s="998">
        <v>278</v>
      </c>
      <c r="C2" s="998">
        <v>1350265</v>
      </c>
      <c r="D2" s="998">
        <v>168281</v>
      </c>
      <c r="E2" s="573">
        <f>D2/C2*100</f>
        <v>12.46281285525434</v>
      </c>
      <c r="G2" s="823">
        <f>VLOOKUP(A2,'產品別毛利表-未扣製費分攤'!A:L,12,FALSE)</f>
        <v>15.679923910250103</v>
      </c>
      <c r="H2" s="573"/>
      <c r="I2" s="857"/>
      <c r="J2" s="573"/>
      <c r="K2" s="573"/>
      <c r="L2" s="573"/>
      <c r="M2" s="573"/>
      <c r="N2" s="573"/>
      <c r="O2" s="573"/>
      <c r="U2" s="856"/>
      <c r="V2" s="856"/>
    </row>
    <row r="3" spans="1:22" s="541" customFormat="1" ht="16.5" customHeight="1">
      <c r="A3" s="1011" t="s">
        <v>2149</v>
      </c>
      <c r="B3" s="998">
        <v>2</v>
      </c>
      <c r="C3" s="998">
        <v>22956</v>
      </c>
      <c r="D3" s="998">
        <v>2292</v>
      </c>
      <c r="E3" s="573">
        <f t="shared" ref="E3:E35" si="0">D3/C3*100</f>
        <v>9.9843178254051228</v>
      </c>
      <c r="G3" s="823">
        <f>VLOOKUP(A3,'產品別毛利表-未扣製費分攤'!A:L,12,FALSE)</f>
        <v>20.690277051751174</v>
      </c>
      <c r="H3" s="573"/>
      <c r="I3" s="857"/>
      <c r="J3" s="573"/>
      <c r="K3" s="573"/>
      <c r="L3" s="573"/>
      <c r="M3" s="573"/>
      <c r="N3" s="573"/>
      <c r="O3" s="573"/>
      <c r="U3" s="856"/>
      <c r="V3" s="856"/>
    </row>
    <row r="4" spans="1:22" s="541" customFormat="1" ht="16.5" customHeight="1">
      <c r="A4" s="1011" t="s">
        <v>1260</v>
      </c>
      <c r="B4" s="998">
        <v>16</v>
      </c>
      <c r="C4" s="998">
        <v>291255</v>
      </c>
      <c r="D4" s="998">
        <v>14612</v>
      </c>
      <c r="E4" s="573">
        <f t="shared" si="0"/>
        <v>5.0169095809513999</v>
      </c>
      <c r="G4" s="823">
        <f>VLOOKUP(A4,'產品別毛利表-未扣製費分攤'!A:L,12,FALSE)</f>
        <v>16.146332251806836</v>
      </c>
      <c r="H4" s="573"/>
      <c r="I4" s="857"/>
      <c r="J4" s="573"/>
      <c r="K4" s="573"/>
      <c r="L4" s="573"/>
      <c r="M4" s="573"/>
      <c r="N4" s="573"/>
      <c r="O4" s="573"/>
      <c r="U4" s="856"/>
      <c r="V4" s="856"/>
    </row>
    <row r="5" spans="1:22" s="541" customFormat="1" ht="16.5" customHeight="1">
      <c r="A5" s="1011" t="s">
        <v>2004</v>
      </c>
      <c r="B5" s="998">
        <v>50</v>
      </c>
      <c r="C5" s="998">
        <v>693105</v>
      </c>
      <c r="D5" s="998">
        <v>83103</v>
      </c>
      <c r="E5" s="573">
        <f t="shared" si="0"/>
        <v>11.989958231436795</v>
      </c>
      <c r="G5" s="823">
        <f>VLOOKUP(A5,'產品別毛利表-未扣製費分攤'!A:L,12,FALSE)</f>
        <v>22.564690775567918</v>
      </c>
      <c r="H5" s="573"/>
      <c r="I5" s="857"/>
      <c r="J5" s="573"/>
      <c r="K5" s="573"/>
      <c r="L5" s="573"/>
      <c r="M5" s="573"/>
      <c r="N5" s="573"/>
      <c r="O5" s="573"/>
      <c r="U5" s="856"/>
      <c r="V5" s="856"/>
    </row>
    <row r="6" spans="1:22" s="541" customFormat="1" ht="16.5" customHeight="1">
      <c r="A6" s="1011" t="s">
        <v>2153</v>
      </c>
      <c r="B6" s="998">
        <v>1</v>
      </c>
      <c r="C6" s="998">
        <v>5391</v>
      </c>
      <c r="D6" s="998">
        <v>522</v>
      </c>
      <c r="E6" s="573">
        <f t="shared" si="0"/>
        <v>9.6828046744574294</v>
      </c>
      <c r="G6" s="823">
        <f>VLOOKUP(A6,'產品別毛利表-未扣製費分攤'!A:L,12,FALSE)</f>
        <v>9.6828046744574294</v>
      </c>
      <c r="H6" s="573"/>
      <c r="I6" s="857"/>
      <c r="J6" s="573"/>
      <c r="K6" s="573"/>
      <c r="L6" s="573"/>
      <c r="M6" s="573"/>
      <c r="N6" s="573"/>
      <c r="O6" s="573"/>
      <c r="U6" s="856"/>
      <c r="V6" s="856"/>
    </row>
    <row r="7" spans="1:22" s="541" customFormat="1" ht="16.5" customHeight="1">
      <c r="A7" s="1011" t="s">
        <v>2019</v>
      </c>
      <c r="B7" s="998">
        <v>1000</v>
      </c>
      <c r="C7" s="998">
        <v>4192935</v>
      </c>
      <c r="D7" s="998">
        <v>747562</v>
      </c>
      <c r="E7" s="573">
        <f t="shared" si="0"/>
        <v>17.829086308278093</v>
      </c>
      <c r="G7" s="823">
        <f>VLOOKUP(A7,'產品別毛利表-未扣製費分攤'!A:L,12,FALSE)</f>
        <v>31.880580071000388</v>
      </c>
      <c r="H7" s="573"/>
      <c r="I7" s="857"/>
      <c r="J7" s="573"/>
      <c r="K7" s="573"/>
      <c r="L7" s="573"/>
      <c r="M7" s="573"/>
      <c r="N7" s="573"/>
      <c r="O7" s="573"/>
      <c r="U7" s="856"/>
      <c r="V7" s="856"/>
    </row>
    <row r="8" spans="1:22" s="541" customFormat="1" ht="16.5" customHeight="1">
      <c r="A8" s="1011" t="s">
        <v>1900</v>
      </c>
      <c r="B8" s="998">
        <v>10</v>
      </c>
      <c r="C8" s="998">
        <v>231680</v>
      </c>
      <c r="D8" s="998">
        <v>54773</v>
      </c>
      <c r="E8" s="573">
        <f t="shared" si="0"/>
        <v>23.641660911602212</v>
      </c>
      <c r="G8" s="823">
        <f>VLOOKUP(A8,'產品別毛利表-未扣製費分攤'!A:L,12,FALSE)</f>
        <v>33.973060543278081</v>
      </c>
      <c r="H8" s="573"/>
      <c r="I8" s="857"/>
      <c r="J8" s="573"/>
      <c r="K8" s="573"/>
      <c r="L8" s="573"/>
      <c r="M8" s="573"/>
      <c r="N8" s="573"/>
      <c r="O8" s="573"/>
      <c r="U8" s="856"/>
      <c r="V8" s="856"/>
    </row>
    <row r="9" spans="1:22" s="541" customFormat="1" ht="16.5" customHeight="1">
      <c r="A9" s="1011" t="s">
        <v>1264</v>
      </c>
      <c r="B9" s="998">
        <v>20</v>
      </c>
      <c r="C9" s="998">
        <v>282999</v>
      </c>
      <c r="D9" s="998">
        <v>79458</v>
      </c>
      <c r="E9" s="573">
        <f t="shared" si="0"/>
        <v>28.077131014597224</v>
      </c>
      <c r="G9" s="823">
        <f>VLOOKUP(A9,'產品別毛利表-未扣製費分攤'!A:L,12,FALSE)</f>
        <v>37.352075449029854</v>
      </c>
      <c r="H9" s="573"/>
      <c r="I9" s="857"/>
      <c r="J9" s="573"/>
      <c r="K9" s="573"/>
      <c r="L9" s="573"/>
      <c r="M9" s="573"/>
      <c r="N9" s="573"/>
      <c r="O9" s="573"/>
      <c r="U9" s="856"/>
      <c r="V9" s="856"/>
    </row>
    <row r="10" spans="1:22" s="541" customFormat="1" ht="16.5" customHeight="1">
      <c r="A10" s="1011" t="s">
        <v>547</v>
      </c>
      <c r="B10" s="998">
        <v>874</v>
      </c>
      <c r="C10" s="998">
        <v>12192688</v>
      </c>
      <c r="D10" s="998">
        <v>2033764</v>
      </c>
      <c r="E10" s="573">
        <f t="shared" si="0"/>
        <v>16.680193899819301</v>
      </c>
      <c r="G10" s="823">
        <f>VLOOKUP(A10,'產品別毛利表-未扣製費分攤'!A:L,12,FALSE)</f>
        <v>29.411567490285982</v>
      </c>
      <c r="H10" s="573"/>
      <c r="I10" s="857"/>
      <c r="J10" s="573"/>
      <c r="K10" s="573"/>
      <c r="L10" s="573"/>
      <c r="M10" s="573"/>
      <c r="N10" s="573"/>
      <c r="O10" s="573"/>
      <c r="U10" s="856"/>
      <c r="V10" s="856"/>
    </row>
    <row r="11" spans="1:22" s="541" customFormat="1" ht="16.5" customHeight="1">
      <c r="A11" s="1011" t="s">
        <v>2010</v>
      </c>
      <c r="B11" s="998">
        <v>25</v>
      </c>
      <c r="C11" s="998">
        <v>401276</v>
      </c>
      <c r="D11" s="998">
        <v>80572</v>
      </c>
      <c r="E11" s="573">
        <f t="shared" si="0"/>
        <v>20.078948155384325</v>
      </c>
      <c r="G11" s="823">
        <f>VLOOKUP(A11,'產品別毛利表-未扣製費分攤'!A:L,12,FALSE)</f>
        <v>31.264765398379168</v>
      </c>
      <c r="H11" s="573"/>
      <c r="I11" s="857"/>
      <c r="J11" s="573"/>
      <c r="K11" s="573"/>
      <c r="L11" s="573"/>
      <c r="M11" s="573"/>
      <c r="N11" s="573"/>
      <c r="O11" s="573"/>
      <c r="U11" s="856"/>
      <c r="V11" s="856"/>
    </row>
    <row r="12" spans="1:22" s="541" customFormat="1" ht="16.5" customHeight="1">
      <c r="A12" s="1011" t="s">
        <v>2003</v>
      </c>
      <c r="B12" s="1029">
        <v>17</v>
      </c>
      <c r="C12" s="1001">
        <v>418090</v>
      </c>
      <c r="D12" s="1001">
        <v>130729</v>
      </c>
      <c r="E12" s="573">
        <f t="shared" si="0"/>
        <v>31.268148006410101</v>
      </c>
      <c r="G12" s="823">
        <f>VLOOKUP(A12,'產品別毛利表-未扣製費分攤'!A:L,12,FALSE)</f>
        <v>37.825579420698894</v>
      </c>
      <c r="H12" s="573"/>
      <c r="I12" s="857"/>
      <c r="J12" s="573"/>
      <c r="K12" s="573"/>
      <c r="L12" s="573"/>
      <c r="M12" s="573"/>
      <c r="N12" s="573"/>
      <c r="O12" s="573"/>
      <c r="U12" s="856"/>
      <c r="V12" s="856"/>
    </row>
    <row r="13" spans="1:22" s="541" customFormat="1" ht="16.5" customHeight="1">
      <c r="A13" s="1011" t="s">
        <v>2011</v>
      </c>
      <c r="B13" s="1029">
        <v>17</v>
      </c>
      <c r="C13" s="1001">
        <v>501025</v>
      </c>
      <c r="D13" s="1001">
        <v>144545</v>
      </c>
      <c r="E13" s="573">
        <f t="shared" si="0"/>
        <v>28.849857791527366</v>
      </c>
      <c r="G13" s="823">
        <f>VLOOKUP(A13,'產品別毛利表-未扣製費分攤'!A:L,12,FALSE)</f>
        <v>33.451418791477479</v>
      </c>
      <c r="H13" s="573"/>
      <c r="I13" s="857"/>
      <c r="J13" s="573"/>
      <c r="K13" s="573"/>
      <c r="L13" s="573"/>
      <c r="M13" s="573"/>
      <c r="N13" s="573"/>
      <c r="O13" s="573"/>
      <c r="U13" s="856"/>
      <c r="V13" s="856"/>
    </row>
    <row r="14" spans="1:22" s="541" customFormat="1" ht="16.5" customHeight="1">
      <c r="A14" s="1011" t="s">
        <v>2068</v>
      </c>
      <c r="B14" s="998">
        <v>3</v>
      </c>
      <c r="C14" s="998">
        <v>73500</v>
      </c>
      <c r="D14" s="998">
        <v>11138</v>
      </c>
      <c r="E14" s="573">
        <f t="shared" si="0"/>
        <v>15.153741496598638</v>
      </c>
      <c r="G14" s="823">
        <f>VLOOKUP(A14,'產品別毛利表-未扣製費分攤'!A:L,12,FALSE)</f>
        <v>15.609542857142852</v>
      </c>
      <c r="H14" s="573"/>
      <c r="I14" s="857"/>
      <c r="J14" s="573"/>
      <c r="K14" s="573"/>
      <c r="L14" s="573"/>
      <c r="M14" s="573"/>
      <c r="N14" s="573"/>
      <c r="O14" s="573"/>
      <c r="U14" s="856"/>
      <c r="V14" s="856"/>
    </row>
    <row r="15" spans="1:22" s="541" customFormat="1" ht="16.5" customHeight="1">
      <c r="A15" s="1011" t="s">
        <v>1751</v>
      </c>
      <c r="B15" s="998">
        <v>28</v>
      </c>
      <c r="C15" s="998">
        <v>593617</v>
      </c>
      <c r="D15" s="998">
        <v>199540</v>
      </c>
      <c r="E15" s="573">
        <f t="shared" si="0"/>
        <v>33.614266437787329</v>
      </c>
      <c r="G15" s="823">
        <f>VLOOKUP(A15,'產品別毛利表-未扣製費分攤'!A:L,12,FALSE)</f>
        <v>39.432356468901666</v>
      </c>
      <c r="H15" s="573"/>
      <c r="I15" s="857"/>
      <c r="J15" s="573"/>
      <c r="K15" s="573"/>
      <c r="L15" s="573"/>
      <c r="M15" s="573"/>
      <c r="N15" s="573"/>
      <c r="O15" s="573"/>
      <c r="U15" s="856"/>
      <c r="V15" s="856"/>
    </row>
    <row r="16" spans="1:22" s="541" customFormat="1" ht="16.5" customHeight="1">
      <c r="A16" s="1011" t="s">
        <v>1872</v>
      </c>
      <c r="B16" s="998">
        <v>2</v>
      </c>
      <c r="C16" s="998">
        <v>28300</v>
      </c>
      <c r="D16" s="998">
        <v>11381</v>
      </c>
      <c r="E16" s="573">
        <f t="shared" si="0"/>
        <v>40.215547703180206</v>
      </c>
      <c r="G16" s="823">
        <f>VLOOKUP(A16,'產品別毛利表-未扣製費分攤'!A:L,12,FALSE)</f>
        <v>40.678445229681984</v>
      </c>
      <c r="H16" s="573"/>
      <c r="I16" s="857"/>
      <c r="J16" s="573"/>
      <c r="K16" s="573"/>
      <c r="L16" s="573"/>
      <c r="M16" s="573"/>
      <c r="N16" s="573"/>
      <c r="O16" s="573"/>
      <c r="U16" s="856"/>
      <c r="V16" s="856"/>
    </row>
    <row r="17" spans="1:22" s="541" customFormat="1" ht="16.5" customHeight="1">
      <c r="A17" s="1011" t="s">
        <v>882</v>
      </c>
      <c r="B17" s="998">
        <v>960</v>
      </c>
      <c r="C17" s="998">
        <v>293748</v>
      </c>
      <c r="D17" s="998">
        <v>-80454</v>
      </c>
      <c r="E17" s="573">
        <f>D17/C17*100</f>
        <v>-27.388782221495976</v>
      </c>
      <c r="F17" s="568"/>
      <c r="G17" s="823">
        <f>VLOOKUP(A17,'產品別毛利表-未扣製費分攤'!A:L,12,FALSE)</f>
        <v>7.8352160909296824</v>
      </c>
      <c r="H17" s="573"/>
      <c r="I17" s="857"/>
      <c r="J17" s="573"/>
      <c r="K17" s="573"/>
      <c r="L17" s="573"/>
      <c r="M17" s="573"/>
      <c r="N17" s="573"/>
      <c r="O17" s="573"/>
      <c r="U17" s="856"/>
      <c r="V17" s="856"/>
    </row>
    <row r="18" spans="1:22" s="541" customFormat="1" ht="16.5" customHeight="1">
      <c r="A18" s="1011" t="s">
        <v>2152</v>
      </c>
      <c r="B18" s="998">
        <v>200</v>
      </c>
      <c r="C18" s="998">
        <v>137872</v>
      </c>
      <c r="D18" s="998">
        <v>-931</v>
      </c>
      <c r="E18" s="573">
        <f>D18/C18*100</f>
        <v>-0.675264012997563</v>
      </c>
      <c r="G18" s="823">
        <f>VLOOKUP(A18,'產品別毛利表-未扣製費分攤'!A:L,12,FALSE)</f>
        <v>11.258993849367529</v>
      </c>
      <c r="H18" s="573"/>
      <c r="I18" s="857"/>
      <c r="J18" s="573"/>
      <c r="K18" s="573"/>
      <c r="L18" s="573"/>
      <c r="M18" s="573"/>
      <c r="N18" s="573"/>
      <c r="O18" s="573"/>
      <c r="U18" s="856"/>
      <c r="V18" s="856"/>
    </row>
    <row r="19" spans="1:22" s="541" customFormat="1" ht="16.5" customHeight="1">
      <c r="A19" s="1011" t="s">
        <v>940</v>
      </c>
      <c r="B19" s="998">
        <v>150</v>
      </c>
      <c r="C19" s="998">
        <v>12685</v>
      </c>
      <c r="D19" s="998">
        <v>3805</v>
      </c>
      <c r="E19" s="573">
        <f t="shared" si="0"/>
        <v>29.996058336618052</v>
      </c>
      <c r="G19" s="823">
        <f>VLOOKUP(A19,'產品別毛利表-未扣製費分攤'!A:L,12,FALSE)</f>
        <v>29.996058336618052</v>
      </c>
      <c r="H19" s="573"/>
      <c r="I19" s="857"/>
      <c r="J19" s="573"/>
      <c r="K19" s="573"/>
      <c r="L19" s="573"/>
      <c r="M19" s="573"/>
      <c r="N19" s="573"/>
      <c r="O19" s="573"/>
      <c r="U19" s="856"/>
      <c r="V19" s="856"/>
    </row>
    <row r="20" spans="1:22" s="541" customFormat="1" ht="16.5" customHeight="1">
      <c r="A20" s="1011" t="s">
        <v>1261</v>
      </c>
      <c r="B20" s="998">
        <v>800</v>
      </c>
      <c r="C20" s="998">
        <v>3511392</v>
      </c>
      <c r="D20" s="998">
        <v>729650</v>
      </c>
      <c r="E20" s="573">
        <f t="shared" si="0"/>
        <v>20.779508525393915</v>
      </c>
      <c r="G20" s="823">
        <f>VLOOKUP(A20,'產品別毛利表-未扣製費分攤'!A:L,12,FALSE)</f>
        <v>34.491777121437877</v>
      </c>
      <c r="H20" s="573"/>
      <c r="I20" s="857"/>
      <c r="J20" s="573"/>
      <c r="K20" s="573"/>
      <c r="L20" s="573"/>
      <c r="M20" s="573"/>
      <c r="N20" s="573"/>
      <c r="O20" s="573"/>
      <c r="U20" s="856"/>
      <c r="V20" s="856"/>
    </row>
    <row r="21" spans="1:22" s="541" customFormat="1" ht="16.5" customHeight="1">
      <c r="A21" s="1011" t="s">
        <v>555</v>
      </c>
      <c r="B21" s="998">
        <v>3267</v>
      </c>
      <c r="C21" s="998">
        <v>21761496</v>
      </c>
      <c r="D21" s="998">
        <v>966246</v>
      </c>
      <c r="E21" s="573">
        <f t="shared" si="0"/>
        <v>4.440163488760148</v>
      </c>
      <c r="G21" s="823">
        <f>VLOOKUP(A21,'產品別毛利表-未扣製費分攤'!A:L,12,FALSE)</f>
        <v>23.287006138849822</v>
      </c>
      <c r="H21" s="573"/>
      <c r="I21" s="857"/>
      <c r="J21" s="573"/>
      <c r="K21" s="573"/>
      <c r="L21" s="573"/>
      <c r="M21" s="573"/>
      <c r="N21" s="573"/>
      <c r="O21" s="573"/>
      <c r="U21" s="856"/>
      <c r="V21" s="856"/>
    </row>
    <row r="22" spans="1:22" s="541" customFormat="1" ht="16.5" customHeight="1">
      <c r="A22" s="1011" t="s">
        <v>2151</v>
      </c>
      <c r="B22" s="998">
        <v>150</v>
      </c>
      <c r="C22" s="998">
        <v>19075</v>
      </c>
      <c r="D22" s="998">
        <v>-87519</v>
      </c>
      <c r="E22" s="573">
        <f t="shared" si="0"/>
        <v>-458.81520314547839</v>
      </c>
      <c r="F22" s="567"/>
      <c r="G22" s="823">
        <f>VLOOKUP(A22,'產品別毛利表-未扣製費分攤'!A:L,12,FALSE)</f>
        <v>-400.41152031454777</v>
      </c>
      <c r="H22" s="573"/>
      <c r="I22" s="857"/>
      <c r="J22" s="573"/>
      <c r="K22" s="573"/>
      <c r="L22" s="573"/>
      <c r="M22" s="573"/>
      <c r="N22" s="573"/>
      <c r="O22" s="573"/>
      <c r="U22" s="856"/>
      <c r="V22" s="856"/>
    </row>
    <row r="23" spans="1:22" s="541" customFormat="1" ht="16.5" customHeight="1">
      <c r="A23" s="1011" t="s">
        <v>601</v>
      </c>
      <c r="B23" s="998">
        <v>380</v>
      </c>
      <c r="C23" s="998">
        <v>2713650</v>
      </c>
      <c r="D23" s="998">
        <v>-124017</v>
      </c>
      <c r="E23" s="573">
        <f t="shared" si="0"/>
        <v>-4.5701177381018185</v>
      </c>
      <c r="G23" s="823">
        <f>VLOOKUP(A23,'產品別毛利表-未扣製費分攤'!A:L,12,FALSE)</f>
        <v>14.208759419969413</v>
      </c>
      <c r="H23" s="573"/>
      <c r="I23" s="857"/>
      <c r="J23" s="573"/>
      <c r="K23" s="573"/>
      <c r="L23" s="573"/>
      <c r="M23" s="573"/>
      <c r="N23" s="573"/>
      <c r="O23" s="573"/>
      <c r="U23" s="856"/>
      <c r="V23" s="856"/>
    </row>
    <row r="24" spans="1:22" s="541" customFormat="1" ht="16.5" customHeight="1">
      <c r="A24" s="1011" t="s">
        <v>2150</v>
      </c>
      <c r="B24" s="998">
        <v>250</v>
      </c>
      <c r="C24" s="998">
        <v>28100</v>
      </c>
      <c r="D24" s="998">
        <v>-135814</v>
      </c>
      <c r="E24" s="573">
        <f t="shared" si="0"/>
        <v>-483.3238434163701</v>
      </c>
      <c r="G24" s="823">
        <f>VLOOKUP(A24,'產品別毛利表-未扣製費分攤'!A:L,12,FALSE)</f>
        <v>-417.25622775800713</v>
      </c>
      <c r="H24" s="573"/>
      <c r="I24" s="857"/>
      <c r="J24" s="573"/>
      <c r="K24" s="573"/>
      <c r="L24" s="573"/>
      <c r="M24" s="573"/>
      <c r="N24" s="573"/>
      <c r="O24" s="573"/>
      <c r="U24" s="856"/>
      <c r="V24" s="856"/>
    </row>
    <row r="25" spans="1:22" s="541" customFormat="1" ht="16.5" customHeight="1">
      <c r="A25" s="1011" t="s">
        <v>556</v>
      </c>
      <c r="B25" s="998">
        <v>1290</v>
      </c>
      <c r="C25" s="998">
        <v>393774</v>
      </c>
      <c r="D25" s="998">
        <v>-98891</v>
      </c>
      <c r="E25" s="573">
        <f t="shared" si="0"/>
        <v>-25.113643866786532</v>
      </c>
      <c r="G25" s="823">
        <f>VLOOKUP(A25,'產品別毛利表-未扣製費分攤'!A:L,12,FALSE)</f>
        <v>6.9236941142639559</v>
      </c>
      <c r="H25" s="573"/>
      <c r="I25" s="857"/>
      <c r="J25" s="573"/>
      <c r="K25" s="573"/>
      <c r="L25" s="573"/>
      <c r="M25" s="573"/>
      <c r="N25" s="573"/>
      <c r="O25" s="573"/>
      <c r="U25" s="856"/>
      <c r="V25" s="856"/>
    </row>
    <row r="26" spans="1:22" s="541" customFormat="1" ht="16.5" customHeight="1">
      <c r="A26" s="1011" t="s">
        <v>1265</v>
      </c>
      <c r="B26" s="998">
        <v>150</v>
      </c>
      <c r="C26" s="998">
        <v>185534</v>
      </c>
      <c r="D26" s="998">
        <v>60940</v>
      </c>
      <c r="E26" s="573">
        <f t="shared" si="0"/>
        <v>32.845731779619911</v>
      </c>
      <c r="G26" s="823">
        <f>VLOOKUP(A26,'產品別毛利表-未扣製費分攤'!A:L,12,FALSE)</f>
        <v>40.652387163538748</v>
      </c>
      <c r="H26" s="573"/>
      <c r="I26" s="857"/>
      <c r="J26" s="573"/>
      <c r="K26" s="573"/>
      <c r="L26" s="573"/>
      <c r="M26" s="573"/>
      <c r="N26" s="573"/>
      <c r="O26" s="573"/>
      <c r="U26" s="856"/>
      <c r="V26" s="856"/>
    </row>
    <row r="27" spans="1:22" s="541" customFormat="1" ht="16.5" customHeight="1">
      <c r="A27" s="1011" t="s">
        <v>1256</v>
      </c>
      <c r="B27" s="998">
        <v>300</v>
      </c>
      <c r="C27" s="998">
        <v>245309</v>
      </c>
      <c r="D27" s="998">
        <v>89929</v>
      </c>
      <c r="E27" s="573">
        <f t="shared" si="0"/>
        <v>36.659478453705326</v>
      </c>
      <c r="G27" s="823">
        <f>VLOOKUP(A27,'產品別毛利表-未扣製費分攤'!A:L,12,FALSE)</f>
        <v>46.91633857705996</v>
      </c>
      <c r="H27" s="573"/>
      <c r="I27" s="857"/>
      <c r="J27" s="573"/>
      <c r="K27" s="573"/>
      <c r="L27" s="573"/>
      <c r="M27" s="573"/>
      <c r="N27" s="573"/>
      <c r="O27" s="573"/>
      <c r="U27" s="856"/>
      <c r="V27" s="856"/>
    </row>
    <row r="28" spans="1:22" s="541" customFormat="1" ht="16.5" customHeight="1">
      <c r="A28" s="1011" t="s">
        <v>558</v>
      </c>
      <c r="B28" s="998">
        <v>2417</v>
      </c>
      <c r="C28" s="998">
        <v>15367460</v>
      </c>
      <c r="D28" s="998">
        <v>2799054</v>
      </c>
      <c r="E28" s="573">
        <f t="shared" si="0"/>
        <v>18.214161611613111</v>
      </c>
      <c r="G28" s="823">
        <f>VLOOKUP(A28,'產品別毛利表-未扣製費分攤'!A:L,12,FALSE)</f>
        <v>20.21756811142831</v>
      </c>
      <c r="H28" s="573"/>
      <c r="I28" s="857"/>
      <c r="J28" s="573"/>
      <c r="K28" s="573"/>
      <c r="L28" s="573"/>
      <c r="M28" s="573"/>
      <c r="N28" s="573"/>
      <c r="O28" s="573"/>
      <c r="U28" s="856"/>
      <c r="V28" s="856"/>
    </row>
    <row r="29" spans="1:22" s="541" customFormat="1" ht="16.5" customHeight="1">
      <c r="A29" s="1011" t="s">
        <v>1787</v>
      </c>
      <c r="B29" s="998">
        <v>1230</v>
      </c>
      <c r="C29" s="998">
        <v>13030942</v>
      </c>
      <c r="D29" s="998">
        <v>2554162</v>
      </c>
      <c r="E29" s="573">
        <f t="shared" si="0"/>
        <v>19.600747206149794</v>
      </c>
      <c r="G29" s="823">
        <f>VLOOKUP(A29,'產品別毛利表-未扣製費分攤'!A:L,12,FALSE)</f>
        <v>20.894510120603719</v>
      </c>
      <c r="H29" s="573"/>
      <c r="I29" s="857"/>
      <c r="J29" s="573"/>
      <c r="K29" s="573"/>
      <c r="L29" s="573"/>
      <c r="M29" s="573"/>
      <c r="N29" s="573"/>
      <c r="O29" s="573"/>
      <c r="U29" s="856"/>
      <c r="V29" s="856"/>
    </row>
    <row r="30" spans="1:22" s="541" customFormat="1" ht="16.5" customHeight="1">
      <c r="A30" s="1044" t="s">
        <v>581</v>
      </c>
      <c r="B30" s="560">
        <v>200</v>
      </c>
      <c r="C30" s="560">
        <v>224109</v>
      </c>
      <c r="D30" s="560">
        <v>83878</v>
      </c>
      <c r="E30" s="573">
        <f t="shared" si="0"/>
        <v>37.427323311424352</v>
      </c>
      <c r="G30" s="823">
        <f>VLOOKUP(A30,'產品別毛利表-未扣製費分攤'!A:L,12,FALSE)</f>
        <v>46.264094703916399</v>
      </c>
      <c r="H30" s="573"/>
      <c r="I30" s="857"/>
      <c r="J30" s="573"/>
      <c r="K30" s="573"/>
      <c r="L30" s="573"/>
      <c r="M30" s="573"/>
      <c r="N30" s="573"/>
      <c r="O30" s="573"/>
      <c r="U30" s="856"/>
      <c r="V30" s="856"/>
    </row>
    <row r="31" spans="1:22" s="541" customFormat="1" ht="16.5" customHeight="1">
      <c r="A31" s="1044" t="s">
        <v>592</v>
      </c>
      <c r="B31" s="560">
        <v>30</v>
      </c>
      <c r="C31" s="560">
        <v>136282</v>
      </c>
      <c r="D31" s="560">
        <v>51632</v>
      </c>
      <c r="E31" s="573">
        <f t="shared" si="0"/>
        <v>37.886147840507185</v>
      </c>
      <c r="G31" s="823">
        <f>VLOOKUP(A31,'產品別毛利表-未扣製費分攤'!A:L,12,FALSE)</f>
        <v>39.328670697524252</v>
      </c>
      <c r="H31" s="573"/>
      <c r="I31" s="857"/>
      <c r="J31" s="573"/>
      <c r="K31" s="573"/>
      <c r="L31" s="573"/>
      <c r="M31" s="573"/>
      <c r="N31" s="573"/>
      <c r="O31" s="573"/>
      <c r="U31" s="856"/>
      <c r="V31" s="856"/>
    </row>
    <row r="32" spans="1:22" s="541" customFormat="1" ht="16.5" customHeight="1">
      <c r="A32" s="404" t="s">
        <v>1257</v>
      </c>
      <c r="B32" s="600">
        <v>100</v>
      </c>
      <c r="C32" s="600">
        <v>18081</v>
      </c>
      <c r="D32" s="600">
        <v>428</v>
      </c>
      <c r="E32" s="573">
        <f t="shared" si="0"/>
        <v>2.367125712073447</v>
      </c>
      <c r="G32" s="823">
        <f>VLOOKUP(A32,'產品別毛利表-未扣製費分攤'!A:L,12,FALSE)</f>
        <v>38.249366321156465</v>
      </c>
      <c r="H32" s="573"/>
      <c r="I32" s="857"/>
      <c r="J32" s="573"/>
      <c r="K32" s="573"/>
      <c r="L32" s="573"/>
      <c r="M32" s="573"/>
      <c r="N32" s="573"/>
      <c r="O32" s="573"/>
      <c r="U32" s="856"/>
      <c r="V32" s="856"/>
    </row>
    <row r="33" spans="1:22" s="541" customFormat="1" ht="16.5" customHeight="1">
      <c r="A33" s="1044" t="s">
        <v>557</v>
      </c>
      <c r="B33" s="560">
        <v>1150</v>
      </c>
      <c r="C33" s="560">
        <v>1490092</v>
      </c>
      <c r="D33" s="560">
        <v>283564</v>
      </c>
      <c r="E33" s="573">
        <f t="shared" si="0"/>
        <v>19.029965934989249</v>
      </c>
      <c r="G33" s="823">
        <f>VLOOKUP(A33,'產品別毛利表-未扣製費分攤'!A:L,12,FALSE)</f>
        <v>26.533640137655929</v>
      </c>
      <c r="H33" s="573"/>
      <c r="I33" s="857"/>
      <c r="J33" s="573"/>
      <c r="K33" s="573"/>
      <c r="L33" s="573"/>
      <c r="M33" s="573"/>
      <c r="N33" s="573"/>
      <c r="O33" s="573"/>
      <c r="U33" s="856"/>
      <c r="V33" s="856"/>
    </row>
    <row r="34" spans="1:22" s="541" customFormat="1" ht="16.5" customHeight="1">
      <c r="A34" s="404" t="s">
        <v>398</v>
      </c>
      <c r="B34" s="600">
        <v>522</v>
      </c>
      <c r="C34" s="600">
        <v>722594</v>
      </c>
      <c r="D34" s="600">
        <v>187132</v>
      </c>
      <c r="E34" s="573">
        <f t="shared" si="0"/>
        <v>25.897253506118233</v>
      </c>
      <c r="G34" s="823">
        <f>VLOOKUP(A34,'產品別毛利表-未扣製費分攤'!A:L,12,FALSE)</f>
        <v>33.936429946545466</v>
      </c>
      <c r="H34" s="573"/>
      <c r="I34" s="857"/>
      <c r="J34" s="573"/>
      <c r="K34" s="573"/>
      <c r="L34" s="573"/>
      <c r="M34" s="573"/>
      <c r="N34" s="573"/>
      <c r="O34" s="573"/>
      <c r="U34" s="856"/>
      <c r="V34" s="856"/>
    </row>
    <row r="35" spans="1:22" ht="16.5" customHeight="1">
      <c r="A35" s="404" t="s">
        <v>492</v>
      </c>
      <c r="B35" s="600">
        <v>367</v>
      </c>
      <c r="C35" s="600">
        <v>560099</v>
      </c>
      <c r="D35" s="600">
        <v>159650</v>
      </c>
      <c r="E35" s="573">
        <f t="shared" si="0"/>
        <v>28.50388949096499</v>
      </c>
      <c r="F35" s="541"/>
      <c r="G35" s="823">
        <f>VLOOKUP(A35,'產品別毛利表-未扣製費分攤'!A:L,12,FALSE)</f>
        <v>0</v>
      </c>
    </row>
    <row r="36" spans="1:22" ht="16.5" customHeight="1">
      <c r="A36" s="710"/>
      <c r="B36" s="600"/>
      <c r="C36" s="600"/>
      <c r="D36" s="600"/>
      <c r="E36" s="600"/>
      <c r="F36" s="600"/>
      <c r="G36" s="823"/>
    </row>
    <row r="37" spans="1:22" s="541" customFormat="1" ht="16.5" customHeight="1">
      <c r="A37" s="858"/>
      <c r="B37" s="560"/>
      <c r="C37" s="560"/>
      <c r="D37" s="560"/>
      <c r="E37" s="560"/>
      <c r="F37" s="560"/>
      <c r="G37" s="823"/>
      <c r="H37" s="573"/>
      <c r="I37" s="857"/>
      <c r="J37" s="573"/>
      <c r="K37" s="573"/>
      <c r="L37" s="573"/>
      <c r="M37" s="573"/>
      <c r="N37" s="573"/>
      <c r="O37" s="573"/>
      <c r="U37" s="856"/>
      <c r="V37" s="856"/>
    </row>
    <row r="38" spans="1:22" s="541" customFormat="1" ht="16.5" customHeight="1">
      <c r="A38" s="855"/>
      <c r="B38" s="854"/>
      <c r="C38" s="853"/>
      <c r="D38" s="853"/>
      <c r="E38" s="852"/>
      <c r="F38" s="851"/>
      <c r="G38" s="850"/>
      <c r="H38" s="573"/>
      <c r="I38" s="573"/>
      <c r="J38" s="573"/>
      <c r="K38" s="573"/>
      <c r="L38" s="573"/>
      <c r="M38" s="573"/>
      <c r="N38" s="573"/>
      <c r="O38" s="573"/>
      <c r="U38" s="856"/>
      <c r="V38" s="856"/>
    </row>
    <row r="39" spans="1:22" s="574" customFormat="1" ht="16.5" customHeight="1">
      <c r="A39" s="848" t="s">
        <v>1875</v>
      </c>
      <c r="B39" s="583">
        <f>SUM(B2:B38)</f>
        <v>16256</v>
      </c>
      <c r="C39" s="583">
        <f>SUM(C2:C38)</f>
        <v>82131376</v>
      </c>
      <c r="D39" s="583">
        <f>SUM(D2:D38)</f>
        <v>11204716</v>
      </c>
      <c r="E39" s="573">
        <f>D39/C39*100</f>
        <v>13.642430634548239</v>
      </c>
      <c r="G39" s="849">
        <v>23.839684883037719</v>
      </c>
      <c r="H39" s="585"/>
      <c r="I39" s="585"/>
      <c r="J39" s="585"/>
      <c r="K39" s="585"/>
      <c r="L39" s="585"/>
      <c r="M39" s="585"/>
      <c r="N39" s="585"/>
      <c r="O39" s="585"/>
      <c r="U39" s="859"/>
      <c r="V39" s="859"/>
    </row>
    <row r="40" spans="1:22" s="574" customFormat="1" ht="16.5" customHeight="1">
      <c r="A40" s="848" t="s">
        <v>1876</v>
      </c>
      <c r="B40" s="583"/>
      <c r="C40" s="583">
        <f>IS明細!R20</f>
        <v>3539</v>
      </c>
      <c r="D40" s="583">
        <f>IS明細!R20-IS明細!R88</f>
        <v>3539</v>
      </c>
      <c r="E40" s="573"/>
      <c r="G40" s="847"/>
      <c r="H40" s="585"/>
      <c r="I40" s="585"/>
      <c r="J40" s="585"/>
      <c r="K40" s="585"/>
      <c r="L40" s="585"/>
      <c r="M40" s="585"/>
      <c r="N40" s="585"/>
      <c r="O40" s="585"/>
      <c r="U40" s="859"/>
      <c r="V40" s="859"/>
    </row>
    <row r="41" spans="1:22" s="574" customFormat="1" ht="16.5" customHeight="1">
      <c r="A41" s="848" t="s">
        <v>1877</v>
      </c>
      <c r="B41" s="583"/>
      <c r="C41" s="583"/>
      <c r="D41" s="583"/>
      <c r="E41" s="585"/>
      <c r="G41" s="846"/>
      <c r="H41" s="585"/>
      <c r="I41" s="585"/>
      <c r="J41" s="585"/>
      <c r="K41" s="585"/>
      <c r="L41" s="585"/>
      <c r="M41" s="585"/>
      <c r="N41" s="585"/>
      <c r="O41" s="585"/>
      <c r="U41" s="859"/>
      <c r="V41" s="859"/>
    </row>
    <row r="42" spans="1:22" s="574" customFormat="1" ht="16.5" customHeight="1">
      <c r="A42" s="848" t="s">
        <v>1878</v>
      </c>
      <c r="B42" s="583"/>
      <c r="C42" s="583"/>
      <c r="D42" s="583">
        <f>-IS明細!R39</f>
        <v>0</v>
      </c>
      <c r="E42" s="585"/>
      <c r="G42" s="846"/>
      <c r="H42" s="585"/>
      <c r="I42" s="585"/>
      <c r="J42" s="585"/>
      <c r="K42" s="585"/>
      <c r="L42" s="585"/>
      <c r="M42" s="585"/>
      <c r="N42" s="585"/>
      <c r="O42" s="585"/>
      <c r="U42" s="859"/>
      <c r="V42" s="859"/>
    </row>
    <row r="43" spans="1:22" s="574" customFormat="1" ht="16.5" customHeight="1">
      <c r="A43" s="848" t="s">
        <v>1879</v>
      </c>
      <c r="B43" s="583"/>
      <c r="C43" s="583"/>
      <c r="D43" s="583">
        <f>-IS明細!R27</f>
        <v>0</v>
      </c>
      <c r="E43" s="585"/>
      <c r="G43" s="846"/>
      <c r="H43" s="585"/>
      <c r="I43" s="585"/>
      <c r="J43" s="585"/>
      <c r="K43" s="585"/>
      <c r="L43" s="585"/>
      <c r="M43" s="585"/>
      <c r="N43" s="585"/>
      <c r="O43" s="585"/>
      <c r="U43" s="859"/>
      <c r="V43" s="859"/>
    </row>
    <row r="44" spans="1:22" s="574" customFormat="1" ht="16.5" customHeight="1">
      <c r="A44" s="845" t="s">
        <v>1880</v>
      </c>
      <c r="B44" s="583"/>
      <c r="C44" s="583"/>
      <c r="D44" s="583">
        <f>-(IS明細!R77+IS明細!R78)</f>
        <v>-23984</v>
      </c>
      <c r="E44" s="585"/>
      <c r="F44" s="844"/>
      <c r="G44" s="846"/>
      <c r="H44" s="585"/>
      <c r="I44" s="585"/>
      <c r="J44" s="585"/>
      <c r="K44" s="585"/>
      <c r="L44" s="585"/>
      <c r="M44" s="585"/>
      <c r="N44" s="585"/>
      <c r="O44" s="585"/>
      <c r="U44" s="859"/>
      <c r="V44" s="859"/>
    </row>
    <row r="45" spans="1:22" s="574" customFormat="1" ht="16.5" customHeight="1" thickBot="1">
      <c r="A45" s="843" t="s">
        <v>348</v>
      </c>
      <c r="B45" s="842"/>
      <c r="C45" s="842">
        <f>SUM(C39:C44)</f>
        <v>82134915</v>
      </c>
      <c r="D45" s="842">
        <f>SUM(D39:D44)</f>
        <v>11184271</v>
      </c>
      <c r="E45" s="841">
        <f>D45/C45*100</f>
        <v>13.616950842403625</v>
      </c>
      <c r="F45" s="840"/>
      <c r="G45" s="839"/>
      <c r="H45" s="585"/>
      <c r="I45" s="585"/>
      <c r="J45" s="585"/>
      <c r="K45" s="585"/>
      <c r="L45" s="585"/>
      <c r="M45" s="585"/>
      <c r="N45" s="585"/>
      <c r="O45" s="585"/>
      <c r="U45" s="859"/>
      <c r="V45" s="859"/>
    </row>
    <row r="46" spans="1:22" s="574" customFormat="1" ht="16.5" customHeight="1">
      <c r="A46" s="838"/>
      <c r="B46" s="837" t="s">
        <v>1881</v>
      </c>
      <c r="C46" s="837">
        <f>IS明細!R21</f>
        <v>82134915</v>
      </c>
      <c r="D46" s="837">
        <f>IS明細!R90</f>
        <v>11184271</v>
      </c>
      <c r="E46" s="585"/>
      <c r="G46" s="836"/>
      <c r="H46" s="585"/>
      <c r="I46" s="585"/>
      <c r="J46" s="585"/>
      <c r="K46" s="585"/>
      <c r="L46" s="585"/>
      <c r="M46" s="585"/>
      <c r="N46" s="585"/>
      <c r="O46" s="585"/>
      <c r="U46" s="859"/>
      <c r="V46" s="859"/>
    </row>
    <row r="47" spans="1:22" s="574" customFormat="1" ht="16.5" customHeight="1">
      <c r="A47" s="838"/>
      <c r="B47" s="837" t="s">
        <v>1882</v>
      </c>
      <c r="C47" s="837">
        <f>C45-C46</f>
        <v>0</v>
      </c>
      <c r="D47" s="837">
        <f>D45-D46</f>
        <v>0</v>
      </c>
      <c r="E47" s="585"/>
      <c r="G47" s="836"/>
      <c r="H47" s="585"/>
      <c r="I47" s="585"/>
      <c r="J47" s="585"/>
      <c r="K47" s="585"/>
      <c r="L47" s="585"/>
      <c r="M47" s="585"/>
      <c r="N47" s="585"/>
      <c r="O47" s="585"/>
      <c r="U47" s="859"/>
      <c r="V47" s="859"/>
    </row>
  </sheetData>
  <sortState xmlns:xlrd2="http://schemas.microsoft.com/office/spreadsheetml/2017/richdata2" ref="A2:W22">
    <sortCondition descending="1" ref="A2:A22"/>
  </sortState>
  <phoneticPr fontId="56" type="noConversion"/>
  <hyperlinks>
    <hyperlink ref="H1" location="Summary!G6" display="back to summar" xr:uid="{00000000-0004-0000-0F00-000000000000}"/>
  </hyperlinks>
  <printOptions horizontalCentered="1" gridLines="1"/>
  <pageMargins left="0" right="0" top="0.44" bottom="0.23622047244094491" header="0.15748031496062992" footer="0.15748031496062992"/>
  <pageSetup paperSize="9" orientation="landscape" r:id="rId1"/>
  <headerFooter alignWithMargins="0">
    <oddHeader>&amp;R&amp;F--&amp;A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indexed="24"/>
  </sheetPr>
  <dimension ref="A1:T48"/>
  <sheetViews>
    <sheetView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J47" sqref="J47"/>
    </sheetView>
  </sheetViews>
  <sheetFormatPr baseColWidth="10" defaultColWidth="9.19921875" defaultRowHeight="18.75" customHeight="1"/>
  <cols>
    <col min="1" max="1" width="37.3984375" style="404" bestFit="1" customWidth="1"/>
    <col min="2" max="2" width="7.796875" style="404" bestFit="1" customWidth="1"/>
    <col min="3" max="3" width="19.59765625" style="404" bestFit="1" customWidth="1"/>
    <col min="4" max="4" width="18.796875" style="404" customWidth="1"/>
    <col min="5" max="5" width="11.19921875" style="404" bestFit="1" customWidth="1"/>
    <col min="6" max="6" width="17.3984375" style="404" bestFit="1" customWidth="1"/>
    <col min="7" max="7" width="12.59765625" style="404" customWidth="1"/>
    <col min="8" max="8" width="16.19921875" style="404" bestFit="1" customWidth="1"/>
    <col min="9" max="9" width="16.796875" style="404" customWidth="1"/>
    <col min="10" max="10" width="19.19921875" style="404" bestFit="1" customWidth="1"/>
    <col min="11" max="11" width="13" style="404" hidden="1" customWidth="1"/>
    <col min="12" max="12" width="19.19921875" style="404" bestFit="1" customWidth="1"/>
    <col min="13" max="13" width="12.19921875" style="404" hidden="1" customWidth="1"/>
    <col min="14" max="14" width="10.796875" style="404" hidden="1" customWidth="1"/>
    <col min="15" max="15" width="11" style="404" hidden="1" customWidth="1"/>
    <col min="16" max="16" width="12.19921875" style="404" hidden="1" customWidth="1"/>
    <col min="17" max="17" width="3.59765625" style="404" customWidth="1"/>
    <col min="18" max="18" width="11.796875" style="404" bestFit="1" customWidth="1"/>
    <col min="19" max="19" width="12.19921875" style="404" customWidth="1"/>
    <col min="20" max="20" width="10.796875" style="404" customWidth="1"/>
    <col min="21" max="16384" width="9.19921875" style="404"/>
  </cols>
  <sheetData>
    <row r="1" spans="1:20" s="403" customFormat="1" ht="18.75" customHeight="1">
      <c r="A1" s="824" t="str">
        <f>客戶毛利排行!A1</f>
        <v>2017 August</v>
      </c>
      <c r="B1" s="825" t="s">
        <v>442</v>
      </c>
      <c r="C1" s="826" t="s">
        <v>1754</v>
      </c>
      <c r="D1" s="826" t="s">
        <v>1755</v>
      </c>
      <c r="E1" s="826" t="s">
        <v>1756</v>
      </c>
      <c r="F1" s="826" t="s">
        <v>1757</v>
      </c>
      <c r="G1" s="826" t="s">
        <v>1758</v>
      </c>
      <c r="H1" s="826" t="s">
        <v>1759</v>
      </c>
      <c r="I1" s="829" t="s">
        <v>342</v>
      </c>
      <c r="J1" s="831" t="s">
        <v>0</v>
      </c>
      <c r="K1" s="832" t="s">
        <v>2013</v>
      </c>
      <c r="L1" s="833" t="s">
        <v>1760</v>
      </c>
      <c r="M1" s="534" t="s">
        <v>1761</v>
      </c>
      <c r="N1" s="534" t="s">
        <v>1762</v>
      </c>
      <c r="O1" s="534"/>
      <c r="P1" s="534" t="s">
        <v>1763</v>
      </c>
      <c r="Q1" s="534"/>
      <c r="S1" s="834"/>
      <c r="T1" s="834"/>
    </row>
    <row r="2" spans="1:20" s="403" customFormat="1" ht="18" customHeight="1">
      <c r="A2" s="1004" t="s">
        <v>1242</v>
      </c>
      <c r="B2" s="547">
        <v>278</v>
      </c>
      <c r="C2" s="835">
        <v>1350265</v>
      </c>
      <c r="D2" s="830">
        <v>1138544.4754132614</v>
      </c>
      <c r="E2" s="830">
        <v>3927</v>
      </c>
      <c r="F2" s="830">
        <f>C2-D2-E2</f>
        <v>207793.52458673855</v>
      </c>
      <c r="G2" s="830">
        <f>F2/B2</f>
        <v>747.4587215350308</v>
      </c>
      <c r="H2" s="828">
        <f>F2/C2*100</f>
        <v>15.389092110566338</v>
      </c>
      <c r="I2" s="543">
        <v>168281</v>
      </c>
      <c r="J2" s="561">
        <f t="shared" ref="J2:J15" si="0">I2/C2*100</f>
        <v>12.46281285525434</v>
      </c>
      <c r="K2" s="567"/>
      <c r="L2" s="823">
        <f>(C2-D2)/C2*100</f>
        <v>15.679923910250103</v>
      </c>
      <c r="M2" s="827">
        <f>D2/C2</f>
        <v>0.84320076089749896</v>
      </c>
      <c r="N2" s="822">
        <f>E2/C2</f>
        <v>2.9083179968376577E-3</v>
      </c>
      <c r="O2" s="827">
        <f>N2+M2</f>
        <v>0.84610907889433662</v>
      </c>
      <c r="P2" s="827">
        <f>1-O2-J2/100</f>
        <v>2.9262792553119976E-2</v>
      </c>
      <c r="Q2" s="827"/>
      <c r="R2" s="827"/>
      <c r="S2" s="536"/>
      <c r="T2" s="536"/>
    </row>
    <row r="3" spans="1:20" s="403" customFormat="1" ht="18" customHeight="1">
      <c r="A3" s="1004" t="s">
        <v>2149</v>
      </c>
      <c r="B3" s="547">
        <v>2</v>
      </c>
      <c r="C3" s="835">
        <v>22956</v>
      </c>
      <c r="D3" s="830">
        <v>18206.34</v>
      </c>
      <c r="E3" s="830">
        <v>1136</v>
      </c>
      <c r="F3" s="830">
        <f t="shared" ref="F3:F22" si="1">C3-D3-E3</f>
        <v>3613.66</v>
      </c>
      <c r="G3" s="830">
        <f t="shared" ref="G3:G22" si="2">F3/B3</f>
        <v>1806.83</v>
      </c>
      <c r="H3" s="828">
        <f t="shared" ref="H3:H22" si="3">F3/C3*100</f>
        <v>15.741679735145494</v>
      </c>
      <c r="I3" s="543">
        <v>2292</v>
      </c>
      <c r="J3" s="561">
        <f t="shared" si="0"/>
        <v>9.9843178254051228</v>
      </c>
      <c r="K3" s="567"/>
      <c r="L3" s="823">
        <f t="shared" ref="L3:L18" si="4">(C3-D3)/C3*100</f>
        <v>20.690277051751174</v>
      </c>
      <c r="M3" s="827">
        <f t="shared" ref="M3:M20" si="5">D3/C3</f>
        <v>0.79309722948248829</v>
      </c>
      <c r="N3" s="822">
        <f t="shared" ref="N3:N20" si="6">E3/C3</f>
        <v>4.9485973166056803E-2</v>
      </c>
      <c r="O3" s="827">
        <f t="shared" ref="O3:O20" si="7">N3+M3</f>
        <v>0.84258320264854514</v>
      </c>
      <c r="P3" s="827">
        <f t="shared" ref="P3:P20" si="8">1-O3-J3/100</f>
        <v>5.7573619097403633E-2</v>
      </c>
      <c r="Q3" s="827"/>
      <c r="R3" s="827"/>
      <c r="S3" s="536"/>
      <c r="T3" s="536"/>
    </row>
    <row r="4" spans="1:20" s="403" customFormat="1" ht="18" customHeight="1">
      <c r="A4" s="1004" t="s">
        <v>1260</v>
      </c>
      <c r="B4" s="547">
        <v>16</v>
      </c>
      <c r="C4" s="835">
        <v>291255</v>
      </c>
      <c r="D4" s="830">
        <v>244228</v>
      </c>
      <c r="E4" s="830">
        <v>14955</v>
      </c>
      <c r="F4" s="830">
        <f t="shared" si="1"/>
        <v>32072</v>
      </c>
      <c r="G4" s="830">
        <f t="shared" si="2"/>
        <v>2004.5</v>
      </c>
      <c r="H4" s="828">
        <f t="shared" si="3"/>
        <v>11.011656452249746</v>
      </c>
      <c r="I4" s="543">
        <v>14612</v>
      </c>
      <c r="J4" s="561">
        <f t="shared" si="0"/>
        <v>5.0169095809513999</v>
      </c>
      <c r="K4" s="567"/>
      <c r="L4" s="823">
        <f t="shared" si="4"/>
        <v>16.146332251806836</v>
      </c>
      <c r="M4" s="827">
        <f t="shared" si="5"/>
        <v>0.83853667748193161</v>
      </c>
      <c r="N4" s="822">
        <f t="shared" si="6"/>
        <v>5.1346757995570889E-2</v>
      </c>
      <c r="O4" s="827">
        <f t="shared" si="7"/>
        <v>0.88988343547750248</v>
      </c>
      <c r="P4" s="827">
        <f t="shared" si="8"/>
        <v>5.9947468712983516E-2</v>
      </c>
      <c r="Q4" s="827"/>
      <c r="R4" s="827"/>
      <c r="S4" s="536"/>
      <c r="T4" s="536"/>
    </row>
    <row r="5" spans="1:20" s="403" customFormat="1" ht="18" customHeight="1">
      <c r="A5" s="1004" t="s">
        <v>2004</v>
      </c>
      <c r="B5" s="547">
        <v>50</v>
      </c>
      <c r="C5" s="835">
        <v>693105</v>
      </c>
      <c r="D5" s="830">
        <v>536708</v>
      </c>
      <c r="E5" s="830">
        <v>49520</v>
      </c>
      <c r="F5" s="830">
        <f t="shared" si="1"/>
        <v>106877</v>
      </c>
      <c r="G5" s="830">
        <f t="shared" si="2"/>
        <v>2137.54</v>
      </c>
      <c r="H5" s="828">
        <f t="shared" si="3"/>
        <v>15.420030154161346</v>
      </c>
      <c r="I5" s="543">
        <v>83103</v>
      </c>
      <c r="J5" s="561">
        <f t="shared" si="0"/>
        <v>11.989958231436795</v>
      </c>
      <c r="K5" s="567"/>
      <c r="L5" s="823">
        <f t="shared" si="4"/>
        <v>22.564690775567918</v>
      </c>
      <c r="M5" s="827">
        <f t="shared" si="5"/>
        <v>0.77435309224432081</v>
      </c>
      <c r="N5" s="822">
        <f t="shared" si="6"/>
        <v>7.1446606214065692E-2</v>
      </c>
      <c r="O5" s="827">
        <f t="shared" si="7"/>
        <v>0.84579969845838654</v>
      </c>
      <c r="P5" s="827">
        <f t="shared" si="8"/>
        <v>3.4300719227245507E-2</v>
      </c>
      <c r="Q5" s="827"/>
      <c r="R5" s="827"/>
      <c r="S5" s="536"/>
      <c r="T5" s="536"/>
    </row>
    <row r="6" spans="1:20" s="403" customFormat="1" ht="18" customHeight="1">
      <c r="A6" s="1004" t="s">
        <v>2153</v>
      </c>
      <c r="B6" s="547">
        <v>1</v>
      </c>
      <c r="C6" s="835">
        <v>5391</v>
      </c>
      <c r="D6" s="830">
        <v>4869</v>
      </c>
      <c r="E6" s="830">
        <v>0</v>
      </c>
      <c r="F6" s="830">
        <f t="shared" si="1"/>
        <v>522</v>
      </c>
      <c r="G6" s="830">
        <f t="shared" si="2"/>
        <v>522</v>
      </c>
      <c r="H6" s="828">
        <f t="shared" si="3"/>
        <v>9.6828046744574294</v>
      </c>
      <c r="I6" s="543">
        <v>522</v>
      </c>
      <c r="J6" s="561">
        <f t="shared" si="0"/>
        <v>9.6828046744574294</v>
      </c>
      <c r="K6" s="567"/>
      <c r="L6" s="823">
        <f t="shared" si="4"/>
        <v>9.6828046744574294</v>
      </c>
      <c r="M6" s="827">
        <f t="shared" si="5"/>
        <v>0.90317195325542576</v>
      </c>
      <c r="N6" s="822">
        <f t="shared" si="6"/>
        <v>0</v>
      </c>
      <c r="O6" s="827">
        <f t="shared" si="7"/>
        <v>0.90317195325542576</v>
      </c>
      <c r="P6" s="827">
        <f t="shared" si="8"/>
        <v>0</v>
      </c>
      <c r="Q6" s="827"/>
      <c r="R6" s="827"/>
      <c r="S6" s="536"/>
      <c r="T6" s="536"/>
    </row>
    <row r="7" spans="1:20" s="403" customFormat="1" ht="18" customHeight="1">
      <c r="A7" s="1004" t="s">
        <v>2019</v>
      </c>
      <c r="B7" s="547">
        <v>1000</v>
      </c>
      <c r="C7" s="835">
        <v>4192935</v>
      </c>
      <c r="D7" s="830">
        <v>2856203</v>
      </c>
      <c r="E7" s="830">
        <v>392700</v>
      </c>
      <c r="F7" s="830">
        <f t="shared" si="1"/>
        <v>944032</v>
      </c>
      <c r="G7" s="830">
        <f t="shared" si="2"/>
        <v>944.03200000000004</v>
      </c>
      <c r="H7" s="828">
        <f t="shared" si="3"/>
        <v>22.514825533904055</v>
      </c>
      <c r="I7" s="543">
        <v>747562</v>
      </c>
      <c r="J7" s="561">
        <f t="shared" si="0"/>
        <v>17.829086308278093</v>
      </c>
      <c r="K7" s="567"/>
      <c r="L7" s="823">
        <f t="shared" si="4"/>
        <v>31.880580071000388</v>
      </c>
      <c r="M7" s="827">
        <f t="shared" si="5"/>
        <v>0.68119419928999614</v>
      </c>
      <c r="N7" s="822">
        <f t="shared" si="6"/>
        <v>9.3657545370963297E-2</v>
      </c>
      <c r="O7" s="827">
        <f t="shared" si="7"/>
        <v>0.77485174466095941</v>
      </c>
      <c r="P7" s="827">
        <f t="shared" si="8"/>
        <v>4.685739225625965E-2</v>
      </c>
      <c r="Q7" s="827"/>
      <c r="R7" s="827"/>
      <c r="S7" s="536"/>
      <c r="T7" s="536"/>
    </row>
    <row r="8" spans="1:20" s="403" customFormat="1" ht="18" customHeight="1">
      <c r="A8" s="1004" t="s">
        <v>1900</v>
      </c>
      <c r="B8" s="547">
        <v>10</v>
      </c>
      <c r="C8" s="835">
        <v>231680</v>
      </c>
      <c r="D8" s="830">
        <v>152971.21333333335</v>
      </c>
      <c r="E8" s="830">
        <v>8055.9533333333329</v>
      </c>
      <c r="F8" s="830">
        <f t="shared" si="1"/>
        <v>70652.833333333314</v>
      </c>
      <c r="G8" s="830">
        <f t="shared" si="2"/>
        <v>7065.283333333331</v>
      </c>
      <c r="H8" s="828">
        <f t="shared" si="3"/>
        <v>30.495870741252297</v>
      </c>
      <c r="I8" s="543">
        <v>54773</v>
      </c>
      <c r="J8" s="561">
        <f t="shared" si="0"/>
        <v>23.641660911602212</v>
      </c>
      <c r="K8" s="404"/>
      <c r="L8" s="823">
        <f t="shared" si="4"/>
        <v>33.973060543278081</v>
      </c>
      <c r="M8" s="827">
        <f t="shared" ref="M8:M10" si="9">D8/C8</f>
        <v>0.66026939456721923</v>
      </c>
      <c r="N8" s="822">
        <f t="shared" ref="N8:N10" si="10">E8/C8</f>
        <v>3.4771898020257826E-2</v>
      </c>
      <c r="O8" s="827">
        <f t="shared" ref="O8:O10" si="11">N8+M8</f>
        <v>0.69504129258747704</v>
      </c>
      <c r="P8" s="827">
        <f t="shared" ref="P8:P10" si="12">1-O8-J8/100</f>
        <v>6.854209829650082E-2</v>
      </c>
      <c r="Q8" s="827"/>
      <c r="R8" s="827"/>
      <c r="S8" s="536"/>
      <c r="T8" s="536"/>
    </row>
    <row r="9" spans="1:20" s="403" customFormat="1" ht="18" customHeight="1">
      <c r="A9" s="1004" t="s">
        <v>1264</v>
      </c>
      <c r="B9" s="547">
        <v>20</v>
      </c>
      <c r="C9" s="835">
        <v>282999</v>
      </c>
      <c r="D9" s="830">
        <v>177293</v>
      </c>
      <c r="E9" s="830">
        <v>16112</v>
      </c>
      <c r="F9" s="830">
        <f t="shared" si="1"/>
        <v>89594</v>
      </c>
      <c r="G9" s="830">
        <f t="shared" si="2"/>
        <v>4479.7</v>
      </c>
      <c r="H9" s="828">
        <f t="shared" si="3"/>
        <v>31.658769112258344</v>
      </c>
      <c r="I9" s="543">
        <v>79458</v>
      </c>
      <c r="J9" s="561">
        <f t="shared" si="0"/>
        <v>28.077131014597224</v>
      </c>
      <c r="K9" s="567"/>
      <c r="L9" s="823">
        <f t="shared" si="4"/>
        <v>37.352075449029854</v>
      </c>
      <c r="M9" s="827">
        <f t="shared" si="9"/>
        <v>0.62647924550970147</v>
      </c>
      <c r="N9" s="822">
        <f t="shared" si="10"/>
        <v>5.693306336771508E-2</v>
      </c>
      <c r="O9" s="827">
        <f t="shared" si="11"/>
        <v>0.68341230887741655</v>
      </c>
      <c r="P9" s="827">
        <f t="shared" si="12"/>
        <v>3.5816380976611217E-2</v>
      </c>
      <c r="Q9" s="827"/>
      <c r="R9" s="827"/>
      <c r="S9" s="536"/>
      <c r="T9" s="536"/>
    </row>
    <row r="10" spans="1:20" s="403" customFormat="1" ht="18" customHeight="1">
      <c r="A10" s="1004" t="s">
        <v>547</v>
      </c>
      <c r="B10" s="547">
        <v>874</v>
      </c>
      <c r="C10" s="835">
        <v>12192688</v>
      </c>
      <c r="D10" s="830">
        <v>8606627.3399999999</v>
      </c>
      <c r="E10" s="830">
        <v>931712.84</v>
      </c>
      <c r="F10" s="830">
        <f t="shared" si="1"/>
        <v>2654347.8200000003</v>
      </c>
      <c r="G10" s="830">
        <f t="shared" si="2"/>
        <v>3037.0112356979407</v>
      </c>
      <c r="H10" s="828">
        <f t="shared" si="3"/>
        <v>21.769997067094639</v>
      </c>
      <c r="I10" s="543">
        <v>2033764</v>
      </c>
      <c r="J10" s="561">
        <f t="shared" si="0"/>
        <v>16.680193899819301</v>
      </c>
      <c r="K10" s="404"/>
      <c r="L10" s="823">
        <f t="shared" si="4"/>
        <v>29.411567490285982</v>
      </c>
      <c r="M10" s="827">
        <f t="shared" si="9"/>
        <v>0.70588432509714016</v>
      </c>
      <c r="N10" s="822">
        <f t="shared" si="10"/>
        <v>7.641570423191342E-2</v>
      </c>
      <c r="O10" s="827">
        <f t="shared" si="11"/>
        <v>0.78230002932905363</v>
      </c>
      <c r="P10" s="827">
        <f t="shared" si="12"/>
        <v>5.0898031672753363E-2</v>
      </c>
      <c r="Q10" s="827"/>
      <c r="R10" s="827"/>
      <c r="S10" s="536"/>
      <c r="T10" s="536"/>
    </row>
    <row r="11" spans="1:20" s="403" customFormat="1" ht="18" customHeight="1">
      <c r="A11" s="1004" t="s">
        <v>2010</v>
      </c>
      <c r="B11" s="547">
        <v>25</v>
      </c>
      <c r="C11" s="835">
        <v>401276</v>
      </c>
      <c r="D11" s="830">
        <v>275818</v>
      </c>
      <c r="E11" s="830">
        <v>21625</v>
      </c>
      <c r="F11" s="830">
        <f t="shared" si="1"/>
        <v>103833</v>
      </c>
      <c r="G11" s="830">
        <f t="shared" si="2"/>
        <v>4153.32</v>
      </c>
      <c r="H11" s="828">
        <f t="shared" si="3"/>
        <v>25.87570649627688</v>
      </c>
      <c r="I11" s="543">
        <v>80572</v>
      </c>
      <c r="J11" s="561">
        <f>I11/C11*100</f>
        <v>20.078948155384325</v>
      </c>
      <c r="K11" s="404"/>
      <c r="L11" s="823">
        <f t="shared" si="4"/>
        <v>31.264765398379168</v>
      </c>
      <c r="M11" s="827">
        <f t="shared" si="5"/>
        <v>0.68735234601620832</v>
      </c>
      <c r="N11" s="822">
        <f t="shared" si="6"/>
        <v>5.3890589021022936E-2</v>
      </c>
      <c r="O11" s="827">
        <f t="shared" si="7"/>
        <v>0.74124293503723127</v>
      </c>
      <c r="P11" s="827">
        <f t="shared" si="8"/>
        <v>5.7967583408925494E-2</v>
      </c>
      <c r="Q11" s="827"/>
      <c r="R11" s="827"/>
      <c r="S11" s="536"/>
      <c r="T11" s="536"/>
    </row>
    <row r="12" spans="1:20" s="403" customFormat="1" ht="18" customHeight="1">
      <c r="A12" s="1004" t="s">
        <v>2003</v>
      </c>
      <c r="B12" s="547">
        <v>17</v>
      </c>
      <c r="C12" s="835">
        <v>418090</v>
      </c>
      <c r="D12" s="830">
        <v>259945.035</v>
      </c>
      <c r="E12" s="830">
        <v>14705</v>
      </c>
      <c r="F12" s="830">
        <f t="shared" si="1"/>
        <v>143439.965</v>
      </c>
      <c r="G12" s="830">
        <f t="shared" si="2"/>
        <v>8437.6450000000004</v>
      </c>
      <c r="H12" s="828">
        <f t="shared" si="3"/>
        <v>34.308394125666716</v>
      </c>
      <c r="I12" s="543">
        <v>130729</v>
      </c>
      <c r="J12" s="561">
        <f t="shared" si="0"/>
        <v>31.268148006410101</v>
      </c>
      <c r="K12" s="404"/>
      <c r="L12" s="823">
        <f t="shared" si="4"/>
        <v>37.825579420698894</v>
      </c>
      <c r="M12" s="827">
        <f t="shared" si="5"/>
        <v>0.62174420579301104</v>
      </c>
      <c r="N12" s="822">
        <f t="shared" si="6"/>
        <v>3.51718529503217E-2</v>
      </c>
      <c r="O12" s="827">
        <f t="shared" si="7"/>
        <v>0.6569160587433327</v>
      </c>
      <c r="P12" s="827">
        <f t="shared" si="8"/>
        <v>3.0402461192566288E-2</v>
      </c>
      <c r="Q12" s="827"/>
      <c r="R12" s="827"/>
      <c r="S12" s="536"/>
      <c r="T12" s="536"/>
    </row>
    <row r="13" spans="1:20" s="403" customFormat="1" ht="18" customHeight="1">
      <c r="A13" s="1004" t="s">
        <v>2011</v>
      </c>
      <c r="B13" s="547">
        <v>17</v>
      </c>
      <c r="C13" s="835">
        <v>501025</v>
      </c>
      <c r="D13" s="830">
        <v>333425.02899999998</v>
      </c>
      <c r="E13" s="830">
        <v>14705</v>
      </c>
      <c r="F13" s="830">
        <f t="shared" si="1"/>
        <v>152894.97100000002</v>
      </c>
      <c r="G13" s="830">
        <f t="shared" si="2"/>
        <v>8993.8218235294135</v>
      </c>
      <c r="H13" s="828">
        <f t="shared" si="3"/>
        <v>30.516435507210222</v>
      </c>
      <c r="I13" s="543">
        <v>144545</v>
      </c>
      <c r="J13" s="561">
        <f t="shared" si="0"/>
        <v>28.849857791527366</v>
      </c>
      <c r="K13" s="404"/>
      <c r="L13" s="823">
        <f t="shared" si="4"/>
        <v>33.451418791477479</v>
      </c>
      <c r="M13" s="827">
        <f t="shared" si="5"/>
        <v>0.66548581208522528</v>
      </c>
      <c r="N13" s="822">
        <f t="shared" si="6"/>
        <v>2.9349832842672521E-2</v>
      </c>
      <c r="O13" s="827">
        <f t="shared" si="7"/>
        <v>0.69483564492789784</v>
      </c>
      <c r="P13" s="827">
        <f t="shared" si="8"/>
        <v>1.6665777156828487E-2</v>
      </c>
      <c r="Q13" s="827"/>
      <c r="R13" s="827"/>
      <c r="S13" s="536"/>
      <c r="T13" s="536"/>
    </row>
    <row r="14" spans="1:20" s="403" customFormat="1" ht="18" customHeight="1">
      <c r="A14" s="1004" t="s">
        <v>2068</v>
      </c>
      <c r="B14" s="547">
        <v>3</v>
      </c>
      <c r="C14" s="835">
        <v>73500</v>
      </c>
      <c r="D14" s="830">
        <v>62026.986000000004</v>
      </c>
      <c r="E14" s="830">
        <v>0</v>
      </c>
      <c r="F14" s="830">
        <f t="shared" si="1"/>
        <v>11473.013999999996</v>
      </c>
      <c r="G14" s="830">
        <f t="shared" si="2"/>
        <v>3824.3379999999984</v>
      </c>
      <c r="H14" s="828">
        <f t="shared" si="3"/>
        <v>15.609542857142852</v>
      </c>
      <c r="I14" s="543">
        <v>11138</v>
      </c>
      <c r="J14" s="561">
        <f t="shared" si="0"/>
        <v>15.153741496598638</v>
      </c>
      <c r="K14" s="404"/>
      <c r="L14" s="823">
        <f t="shared" si="4"/>
        <v>15.609542857142852</v>
      </c>
      <c r="M14" s="827">
        <f t="shared" si="5"/>
        <v>0.84390457142857145</v>
      </c>
      <c r="N14" s="822">
        <f t="shared" si="6"/>
        <v>0</v>
      </c>
      <c r="O14" s="827">
        <f t="shared" si="7"/>
        <v>0.84390457142857145</v>
      </c>
      <c r="P14" s="827">
        <f t="shared" si="8"/>
        <v>4.5580136054421683E-3</v>
      </c>
      <c r="Q14" s="827"/>
      <c r="R14" s="827"/>
      <c r="S14" s="536"/>
      <c r="T14" s="536"/>
    </row>
    <row r="15" spans="1:20" s="403" customFormat="1" ht="18" customHeight="1">
      <c r="A15" s="1004" t="s">
        <v>1751</v>
      </c>
      <c r="B15" s="547">
        <v>28</v>
      </c>
      <c r="C15" s="835">
        <v>593617</v>
      </c>
      <c r="D15" s="830">
        <v>359539.8285</v>
      </c>
      <c r="E15" s="830">
        <v>17550</v>
      </c>
      <c r="F15" s="830">
        <f t="shared" si="1"/>
        <v>216527.1715</v>
      </c>
      <c r="G15" s="830">
        <f t="shared" si="2"/>
        <v>7733.113267857143</v>
      </c>
      <c r="H15" s="828">
        <f t="shared" si="3"/>
        <v>36.475904750032427</v>
      </c>
      <c r="I15" s="543">
        <v>199540</v>
      </c>
      <c r="J15" s="561">
        <f t="shared" si="0"/>
        <v>33.614266437787329</v>
      </c>
      <c r="K15" s="404"/>
      <c r="L15" s="823">
        <f t="shared" si="4"/>
        <v>39.432356468901666</v>
      </c>
      <c r="M15" s="827">
        <f t="shared" si="5"/>
        <v>0.60567643531098336</v>
      </c>
      <c r="N15" s="822">
        <f t="shared" si="6"/>
        <v>2.9564517188692373E-2</v>
      </c>
      <c r="O15" s="827">
        <f t="shared" si="7"/>
        <v>0.63524095249967572</v>
      </c>
      <c r="P15" s="827">
        <f t="shared" si="8"/>
        <v>2.8616383122451017E-2</v>
      </c>
      <c r="S15" s="536"/>
      <c r="T15" s="536"/>
    </row>
    <row r="16" spans="1:20" s="403" customFormat="1" ht="18" customHeight="1">
      <c r="A16" s="1004" t="s">
        <v>1872</v>
      </c>
      <c r="B16" s="547">
        <v>2</v>
      </c>
      <c r="C16" s="835">
        <v>28300</v>
      </c>
      <c r="D16" s="830">
        <v>16788</v>
      </c>
      <c r="E16" s="830">
        <v>0</v>
      </c>
      <c r="F16" s="830">
        <f t="shared" si="1"/>
        <v>11512</v>
      </c>
      <c r="G16" s="830">
        <f t="shared" si="2"/>
        <v>5756</v>
      </c>
      <c r="H16" s="828">
        <f t="shared" si="3"/>
        <v>40.678445229681984</v>
      </c>
      <c r="I16" s="543">
        <v>11381</v>
      </c>
      <c r="J16" s="561">
        <f t="shared" ref="J16:J22" si="13">I16/C16*100</f>
        <v>40.215547703180206</v>
      </c>
      <c r="K16" s="404"/>
      <c r="L16" s="823">
        <f t="shared" si="4"/>
        <v>40.678445229681984</v>
      </c>
      <c r="M16" s="827">
        <f t="shared" si="5"/>
        <v>0.59321554770318019</v>
      </c>
      <c r="N16" s="822">
        <f t="shared" si="6"/>
        <v>0</v>
      </c>
      <c r="O16" s="827">
        <f t="shared" si="7"/>
        <v>0.59321554770318019</v>
      </c>
      <c r="P16" s="827">
        <f t="shared" si="8"/>
        <v>4.6289752650177651E-3</v>
      </c>
      <c r="S16" s="536"/>
      <c r="T16" s="536"/>
    </row>
    <row r="17" spans="1:20" s="403" customFormat="1" ht="18" customHeight="1">
      <c r="A17" s="1004" t="s">
        <v>882</v>
      </c>
      <c r="B17" s="547">
        <v>960</v>
      </c>
      <c r="C17" s="835">
        <v>293748</v>
      </c>
      <c r="D17" s="830">
        <v>270732.20943721588</v>
      </c>
      <c r="E17" s="830">
        <v>58778.770689776487</v>
      </c>
      <c r="F17" s="830">
        <f t="shared" si="1"/>
        <v>-35762.980126992363</v>
      </c>
      <c r="G17" s="830">
        <f t="shared" si="2"/>
        <v>-37.253104298950376</v>
      </c>
      <c r="H17" s="828">
        <f t="shared" si="3"/>
        <v>-12.174714424265821</v>
      </c>
      <c r="I17" s="543">
        <v>-80454</v>
      </c>
      <c r="J17" s="561">
        <f t="shared" si="13"/>
        <v>-27.388782221495976</v>
      </c>
      <c r="K17" s="567"/>
      <c r="L17" s="823">
        <f t="shared" si="4"/>
        <v>7.8352160909296824</v>
      </c>
      <c r="M17" s="827">
        <f t="shared" si="5"/>
        <v>0.92164783909070314</v>
      </c>
      <c r="N17" s="822">
        <f t="shared" si="6"/>
        <v>0.20009930515195504</v>
      </c>
      <c r="O17" s="827">
        <f t="shared" si="7"/>
        <v>1.1217471442426581</v>
      </c>
      <c r="P17" s="827">
        <f t="shared" si="8"/>
        <v>0.15214067797230169</v>
      </c>
      <c r="Q17" s="827"/>
      <c r="R17" s="827"/>
      <c r="S17" s="536"/>
      <c r="T17" s="536"/>
    </row>
    <row r="18" spans="1:20" s="403" customFormat="1" ht="18" customHeight="1">
      <c r="A18" s="1004" t="s">
        <v>2152</v>
      </c>
      <c r="B18" s="547">
        <v>200</v>
      </c>
      <c r="C18" s="835">
        <v>137872</v>
      </c>
      <c r="D18" s="830">
        <v>122349</v>
      </c>
      <c r="E18" s="830">
        <v>9900</v>
      </c>
      <c r="F18" s="830">
        <f t="shared" si="1"/>
        <v>5623</v>
      </c>
      <c r="G18" s="830">
        <f t="shared" si="2"/>
        <v>28.114999999999998</v>
      </c>
      <c r="H18" s="828">
        <f t="shared" si="3"/>
        <v>4.0784205640013926</v>
      </c>
      <c r="I18" s="543">
        <v>-931</v>
      </c>
      <c r="J18" s="561">
        <f t="shared" si="13"/>
        <v>-0.675264012997563</v>
      </c>
      <c r="K18" s="567"/>
      <c r="L18" s="823">
        <f t="shared" si="4"/>
        <v>11.258993849367529</v>
      </c>
      <c r="M18" s="827">
        <f t="shared" si="5"/>
        <v>0.88741006150632473</v>
      </c>
      <c r="N18" s="822">
        <f t="shared" si="6"/>
        <v>7.1805732853661361E-2</v>
      </c>
      <c r="O18" s="827">
        <f t="shared" si="7"/>
        <v>0.95921579435998605</v>
      </c>
      <c r="P18" s="827">
        <f t="shared" si="8"/>
        <v>4.753684576998958E-2</v>
      </c>
      <c r="Q18" s="827"/>
      <c r="R18" s="827"/>
      <c r="S18" s="536"/>
      <c r="T18" s="536"/>
    </row>
    <row r="19" spans="1:20" s="403" customFormat="1" ht="18" customHeight="1">
      <c r="A19" s="1004" t="s">
        <v>940</v>
      </c>
      <c r="B19" s="547">
        <v>150</v>
      </c>
      <c r="C19" s="835">
        <v>12685</v>
      </c>
      <c r="D19" s="830">
        <v>8880</v>
      </c>
      <c r="E19" s="830">
        <v>0</v>
      </c>
      <c r="F19" s="830">
        <f t="shared" si="1"/>
        <v>3805</v>
      </c>
      <c r="G19" s="830">
        <f t="shared" si="2"/>
        <v>25.366666666666667</v>
      </c>
      <c r="H19" s="828">
        <f t="shared" si="3"/>
        <v>29.996058336618052</v>
      </c>
      <c r="I19" s="543">
        <v>3805</v>
      </c>
      <c r="J19" s="561">
        <f t="shared" si="13"/>
        <v>29.996058336618052</v>
      </c>
      <c r="K19" s="567"/>
      <c r="L19" s="823">
        <f t="shared" ref="L19:L23" si="14">(C19-D19)/C19*100</f>
        <v>29.996058336618052</v>
      </c>
      <c r="M19" s="827">
        <f t="shared" si="5"/>
        <v>0.70003941663381952</v>
      </c>
      <c r="N19" s="822">
        <f t="shared" si="6"/>
        <v>0</v>
      </c>
      <c r="O19" s="827">
        <f t="shared" si="7"/>
        <v>0.70003941663381952</v>
      </c>
      <c r="P19" s="827">
        <f t="shared" si="8"/>
        <v>0</v>
      </c>
      <c r="Q19" s="827"/>
      <c r="R19" s="827"/>
      <c r="S19" s="536"/>
      <c r="T19" s="536"/>
    </row>
    <row r="20" spans="1:20" s="403" customFormat="1" ht="18" customHeight="1">
      <c r="A20" s="1004" t="s">
        <v>1261</v>
      </c>
      <c r="B20" s="547">
        <v>800</v>
      </c>
      <c r="C20" s="835">
        <v>3511392</v>
      </c>
      <c r="D20" s="830">
        <v>2300250.4975000001</v>
      </c>
      <c r="E20" s="830">
        <v>314160</v>
      </c>
      <c r="F20" s="830">
        <f t="shared" si="1"/>
        <v>896981.50249999994</v>
      </c>
      <c r="G20" s="830">
        <f t="shared" si="2"/>
        <v>1121.226878125</v>
      </c>
      <c r="H20" s="828">
        <f t="shared" si="3"/>
        <v>25.544897935063926</v>
      </c>
      <c r="I20" s="543">
        <v>729650</v>
      </c>
      <c r="J20" s="561">
        <f t="shared" si="13"/>
        <v>20.779508525393915</v>
      </c>
      <c r="K20" s="567"/>
      <c r="L20" s="823">
        <f t="shared" si="14"/>
        <v>34.491777121437877</v>
      </c>
      <c r="M20" s="827">
        <f t="shared" si="5"/>
        <v>0.65508222878562117</v>
      </c>
      <c r="N20" s="822">
        <f t="shared" si="6"/>
        <v>8.9468791863739502E-2</v>
      </c>
      <c r="O20" s="827">
        <f t="shared" si="7"/>
        <v>0.74455102064936063</v>
      </c>
      <c r="P20" s="827">
        <f t="shared" si="8"/>
        <v>4.7653894096700233E-2</v>
      </c>
      <c r="Q20" s="827"/>
      <c r="R20" s="827"/>
      <c r="S20" s="536"/>
      <c r="T20" s="536"/>
    </row>
    <row r="21" spans="1:20" s="403" customFormat="1" ht="18" customHeight="1">
      <c r="A21" s="1004" t="s">
        <v>555</v>
      </c>
      <c r="B21" s="547">
        <v>3267</v>
      </c>
      <c r="C21" s="835">
        <v>21761496</v>
      </c>
      <c r="D21" s="830">
        <v>16693895.090574441</v>
      </c>
      <c r="E21" s="830">
        <v>2561559.5719999997</v>
      </c>
      <c r="F21" s="830">
        <f t="shared" si="1"/>
        <v>2506041.3374255588</v>
      </c>
      <c r="G21" s="830">
        <f t="shared" si="2"/>
        <v>767.07723826922518</v>
      </c>
      <c r="H21" s="828">
        <f t="shared" si="3"/>
        <v>11.515942366395944</v>
      </c>
      <c r="I21" s="543">
        <v>966246</v>
      </c>
      <c r="J21" s="561">
        <f t="shared" si="13"/>
        <v>4.440163488760148</v>
      </c>
      <c r="K21" s="567"/>
      <c r="L21" s="823">
        <f t="shared" si="14"/>
        <v>23.287006138849822</v>
      </c>
      <c r="M21" s="827">
        <f t="shared" ref="M21:M22" si="15">D21/C21</f>
        <v>0.7671299386115018</v>
      </c>
      <c r="N21" s="822">
        <f t="shared" ref="N21:N22" si="16">E21/C21</f>
        <v>0.11771063772453878</v>
      </c>
      <c r="O21" s="827">
        <f t="shared" ref="O21:O22" si="17">N21+M21</f>
        <v>0.88484057633604063</v>
      </c>
      <c r="P21" s="827">
        <f t="shared" ref="P21:P22" si="18">1-O21-J21/100</f>
        <v>7.0757788776357883E-2</v>
      </c>
      <c r="Q21" s="827"/>
      <c r="R21" s="827"/>
      <c r="S21" s="536"/>
      <c r="T21" s="536"/>
    </row>
    <row r="22" spans="1:20" s="403" customFormat="1" ht="18" customHeight="1">
      <c r="A22" s="1004" t="s">
        <v>2151</v>
      </c>
      <c r="B22" s="547">
        <v>150</v>
      </c>
      <c r="C22" s="835">
        <v>19075</v>
      </c>
      <c r="D22" s="830">
        <v>95453.497499999998</v>
      </c>
      <c r="E22" s="830">
        <v>7425</v>
      </c>
      <c r="F22" s="830">
        <f t="shared" si="1"/>
        <v>-83803.497499999998</v>
      </c>
      <c r="G22" s="830">
        <f t="shared" si="2"/>
        <v>-558.68998333333332</v>
      </c>
      <c r="H22" s="828">
        <f t="shared" si="3"/>
        <v>-439.33681520314548</v>
      </c>
      <c r="I22" s="543">
        <v>-87519</v>
      </c>
      <c r="J22" s="561">
        <f t="shared" si="13"/>
        <v>-458.81520314547839</v>
      </c>
      <c r="K22" s="567"/>
      <c r="L22" s="823">
        <f t="shared" si="14"/>
        <v>-400.41152031454777</v>
      </c>
      <c r="M22" s="827">
        <f t="shared" si="15"/>
        <v>5.0041152031454779</v>
      </c>
      <c r="N22" s="822">
        <f t="shared" si="16"/>
        <v>0.38925294888597639</v>
      </c>
      <c r="O22" s="827">
        <f t="shared" si="17"/>
        <v>5.3933681520314547</v>
      </c>
      <c r="P22" s="827">
        <f t="shared" si="18"/>
        <v>0.19478387942332898</v>
      </c>
      <c r="Q22" s="827"/>
      <c r="R22" s="827"/>
      <c r="S22" s="536"/>
      <c r="T22" s="536"/>
    </row>
    <row r="23" spans="1:20" s="403" customFormat="1" ht="16.5" customHeight="1">
      <c r="A23" s="1004" t="s">
        <v>601</v>
      </c>
      <c r="B23" s="547">
        <v>380</v>
      </c>
      <c r="C23" s="835">
        <v>2713650</v>
      </c>
      <c r="D23" s="830">
        <v>2328074</v>
      </c>
      <c r="E23" s="830">
        <v>315500</v>
      </c>
      <c r="F23" s="830">
        <f t="shared" ref="F23" si="19">C23-D23-E23</f>
        <v>70076</v>
      </c>
      <c r="G23" s="830">
        <f t="shared" ref="G23" si="20">F23/B23</f>
        <v>184.41052631578947</v>
      </c>
      <c r="H23" s="828">
        <f t="shared" ref="H23" si="21">F23/C23*100</f>
        <v>2.5823521824848452</v>
      </c>
      <c r="I23" s="543">
        <v>-124017</v>
      </c>
      <c r="J23" s="561">
        <f t="shared" ref="J23" si="22">I23/C23*100</f>
        <v>-4.5701177381018185</v>
      </c>
      <c r="K23" s="567"/>
      <c r="L23" s="823">
        <f t="shared" si="14"/>
        <v>14.208759419969413</v>
      </c>
      <c r="M23" s="827">
        <f t="shared" ref="M23" si="23">D23/C23</f>
        <v>0.85791240580030581</v>
      </c>
      <c r="N23" s="822">
        <f t="shared" ref="N23" si="24">E23/C23</f>
        <v>0.11626407237484569</v>
      </c>
      <c r="O23" s="827">
        <f t="shared" ref="O23" si="25">N23+M23</f>
        <v>0.97417647817515152</v>
      </c>
      <c r="P23" s="827">
        <f t="shared" ref="P23" si="26">1-O23-J23/100</f>
        <v>7.1524699205866668E-2</v>
      </c>
      <c r="Q23" s="827"/>
      <c r="R23" s="827"/>
      <c r="S23" s="536"/>
      <c r="T23" s="536"/>
    </row>
    <row r="24" spans="1:20" ht="16.5" customHeight="1">
      <c r="A24" s="1004" t="s">
        <v>2150</v>
      </c>
      <c r="B24" s="547">
        <v>250</v>
      </c>
      <c r="C24" s="835">
        <v>28100</v>
      </c>
      <c r="D24" s="830">
        <v>145349</v>
      </c>
      <c r="E24" s="830">
        <v>12375</v>
      </c>
      <c r="F24" s="830">
        <f t="shared" ref="F24:F34" si="27">C24-D24-E24</f>
        <v>-129624</v>
      </c>
      <c r="G24" s="830">
        <f t="shared" ref="G24:G34" si="28">F24/B24</f>
        <v>-518.49599999999998</v>
      </c>
      <c r="H24" s="828">
        <f t="shared" ref="H24:H34" si="29">F24/C24*100</f>
        <v>-461.29537366548038</v>
      </c>
      <c r="I24" s="543">
        <v>-135814</v>
      </c>
      <c r="J24" s="561">
        <f t="shared" ref="J24:J34" si="30">I24/C24*100</f>
        <v>-483.3238434163701</v>
      </c>
      <c r="K24" s="567"/>
      <c r="L24" s="823">
        <f t="shared" ref="L24:L34" si="31">(C24-D24)/C24*100</f>
        <v>-417.25622775800713</v>
      </c>
      <c r="M24" s="827"/>
      <c r="N24" s="822"/>
      <c r="O24" s="827"/>
      <c r="P24" s="827"/>
    </row>
    <row r="25" spans="1:20" ht="16.5" customHeight="1">
      <c r="A25" s="1004" t="s">
        <v>556</v>
      </c>
      <c r="B25" s="547">
        <v>1290</v>
      </c>
      <c r="C25" s="835">
        <v>393774</v>
      </c>
      <c r="D25" s="830">
        <v>366510.29273849825</v>
      </c>
      <c r="E25" s="830">
        <v>81483.812048146734</v>
      </c>
      <c r="F25" s="830">
        <f t="shared" si="27"/>
        <v>-54220.104786644981</v>
      </c>
      <c r="G25" s="830">
        <f t="shared" si="28"/>
        <v>-42.031088981895337</v>
      </c>
      <c r="H25" s="828">
        <f t="shared" si="29"/>
        <v>-13.769346068212981</v>
      </c>
      <c r="I25" s="543">
        <v>-98891</v>
      </c>
      <c r="J25" s="561">
        <f t="shared" si="30"/>
        <v>-25.113643866786532</v>
      </c>
      <c r="K25" s="567"/>
      <c r="L25" s="823">
        <f t="shared" si="31"/>
        <v>6.9236941142639559</v>
      </c>
      <c r="M25" s="827"/>
      <c r="N25" s="822"/>
      <c r="O25" s="827"/>
      <c r="P25" s="827"/>
    </row>
    <row r="26" spans="1:20" ht="16.5" customHeight="1">
      <c r="A26" s="1004" t="s">
        <v>1265</v>
      </c>
      <c r="B26" s="547">
        <v>150</v>
      </c>
      <c r="C26" s="835">
        <v>185534</v>
      </c>
      <c r="D26" s="830">
        <v>110110.00000000001</v>
      </c>
      <c r="E26" s="830">
        <v>9300</v>
      </c>
      <c r="F26" s="830">
        <f t="shared" si="27"/>
        <v>66123.999999999985</v>
      </c>
      <c r="G26" s="830">
        <f t="shared" si="28"/>
        <v>440.8266666666666</v>
      </c>
      <c r="H26" s="828">
        <f t="shared" si="29"/>
        <v>35.639828818437586</v>
      </c>
      <c r="I26" s="543">
        <v>60940</v>
      </c>
      <c r="J26" s="561">
        <f t="shared" si="30"/>
        <v>32.845731779619911</v>
      </c>
      <c r="K26" s="567"/>
      <c r="L26" s="823">
        <f t="shared" si="31"/>
        <v>40.652387163538748</v>
      </c>
      <c r="M26" s="827"/>
      <c r="N26" s="822"/>
      <c r="O26" s="827"/>
      <c r="P26" s="827"/>
    </row>
    <row r="27" spans="1:20" ht="16.5" customHeight="1">
      <c r="A27" s="1004" t="s">
        <v>1256</v>
      </c>
      <c r="B27" s="547">
        <v>300</v>
      </c>
      <c r="C27" s="835">
        <v>245309</v>
      </c>
      <c r="D27" s="830">
        <v>130218.999</v>
      </c>
      <c r="E27" s="830">
        <v>16740</v>
      </c>
      <c r="F27" s="830">
        <f t="shared" si="27"/>
        <v>98350.001000000004</v>
      </c>
      <c r="G27" s="830">
        <f t="shared" si="28"/>
        <v>327.8333366666667</v>
      </c>
      <c r="H27" s="828">
        <f t="shared" si="29"/>
        <v>40.092292170283194</v>
      </c>
      <c r="I27" s="543">
        <v>89929</v>
      </c>
      <c r="J27" s="561">
        <f t="shared" si="30"/>
        <v>36.659478453705326</v>
      </c>
      <c r="K27" s="567"/>
      <c r="L27" s="823">
        <f t="shared" si="31"/>
        <v>46.91633857705996</v>
      </c>
      <c r="M27" s="827"/>
      <c r="N27" s="822"/>
      <c r="O27" s="827"/>
      <c r="P27" s="827"/>
    </row>
    <row r="28" spans="1:20" ht="16.5" customHeight="1">
      <c r="A28" s="549" t="s">
        <v>558</v>
      </c>
      <c r="B28" s="547">
        <v>2417</v>
      </c>
      <c r="C28" s="835">
        <v>15367460</v>
      </c>
      <c r="D28" s="830">
        <v>12260533.307503499</v>
      </c>
      <c r="E28" s="830">
        <v>177750</v>
      </c>
      <c r="F28" s="830">
        <f t="shared" si="27"/>
        <v>2929176.6924965009</v>
      </c>
      <c r="G28" s="830">
        <f t="shared" si="28"/>
        <v>1211.9059546944563</v>
      </c>
      <c r="H28" s="828">
        <f t="shared" si="29"/>
        <v>19.060903314513268</v>
      </c>
      <c r="I28" s="543">
        <v>2799054</v>
      </c>
      <c r="J28" s="561">
        <f t="shared" si="30"/>
        <v>18.214161611613111</v>
      </c>
      <c r="K28" s="567"/>
      <c r="L28" s="823">
        <f t="shared" si="31"/>
        <v>20.21756811142831</v>
      </c>
      <c r="M28" s="827"/>
      <c r="N28" s="822"/>
      <c r="O28" s="827"/>
      <c r="P28" s="827"/>
    </row>
    <row r="29" spans="1:20" ht="16.5" customHeight="1">
      <c r="A29" s="549" t="s">
        <v>1787</v>
      </c>
      <c r="B29" s="547">
        <v>1230</v>
      </c>
      <c r="C29" s="835">
        <v>13030942</v>
      </c>
      <c r="D29" s="830">
        <v>10308190.504999999</v>
      </c>
      <c r="E29" s="830">
        <v>97170</v>
      </c>
      <c r="F29" s="830">
        <f t="shared" si="27"/>
        <v>2625581.495000001</v>
      </c>
      <c r="G29" s="830">
        <f t="shared" si="28"/>
        <v>2134.6191016260173</v>
      </c>
      <c r="H29" s="828">
        <f t="shared" si="29"/>
        <v>20.148823431184031</v>
      </c>
      <c r="I29" s="543">
        <v>2554162</v>
      </c>
      <c r="J29" s="561">
        <f t="shared" si="30"/>
        <v>19.600747206149794</v>
      </c>
      <c r="K29" s="567"/>
      <c r="L29" s="823">
        <f t="shared" si="31"/>
        <v>20.894510120603719</v>
      </c>
      <c r="M29" s="827"/>
      <c r="N29" s="822"/>
      <c r="O29" s="827"/>
      <c r="P29" s="827"/>
    </row>
    <row r="30" spans="1:20" ht="16.5" customHeight="1">
      <c r="A30" s="546" t="s">
        <v>581</v>
      </c>
      <c r="B30" s="547">
        <v>200</v>
      </c>
      <c r="C30" s="835">
        <v>224109</v>
      </c>
      <c r="D30" s="830">
        <v>120427</v>
      </c>
      <c r="E30" s="830">
        <v>13200</v>
      </c>
      <c r="F30" s="830">
        <f t="shared" si="27"/>
        <v>90482</v>
      </c>
      <c r="G30" s="830">
        <f t="shared" si="28"/>
        <v>452.41</v>
      </c>
      <c r="H30" s="828">
        <f t="shared" si="29"/>
        <v>40.374103672766374</v>
      </c>
      <c r="I30" s="543">
        <v>83878</v>
      </c>
      <c r="J30" s="561">
        <f t="shared" si="30"/>
        <v>37.427323311424352</v>
      </c>
      <c r="K30" s="567"/>
      <c r="L30" s="823">
        <f t="shared" si="31"/>
        <v>46.264094703916399</v>
      </c>
      <c r="M30" s="827"/>
      <c r="N30" s="822"/>
      <c r="O30" s="827"/>
      <c r="P30" s="827"/>
    </row>
    <row r="31" spans="1:20" ht="16.5" customHeight="1">
      <c r="A31" s="549" t="s">
        <v>592</v>
      </c>
      <c r="B31" s="547">
        <v>30</v>
      </c>
      <c r="C31" s="835">
        <v>136282</v>
      </c>
      <c r="D31" s="830">
        <v>82684.100999999995</v>
      </c>
      <c r="E31" s="830">
        <v>0</v>
      </c>
      <c r="F31" s="830">
        <f t="shared" si="27"/>
        <v>53597.899000000005</v>
      </c>
      <c r="G31" s="830">
        <f t="shared" si="28"/>
        <v>1786.5966333333336</v>
      </c>
      <c r="H31" s="828">
        <f t="shared" si="29"/>
        <v>39.328670697524252</v>
      </c>
      <c r="I31" s="543">
        <v>51632</v>
      </c>
      <c r="J31" s="561">
        <f t="shared" si="30"/>
        <v>37.886147840507185</v>
      </c>
      <c r="K31" s="567"/>
      <c r="L31" s="823">
        <f t="shared" si="31"/>
        <v>39.328670697524252</v>
      </c>
      <c r="M31" s="827"/>
      <c r="N31" s="822"/>
      <c r="O31" s="827"/>
      <c r="P31" s="827"/>
    </row>
    <row r="32" spans="1:20" ht="16.5" customHeight="1">
      <c r="A32" s="549" t="s">
        <v>1257</v>
      </c>
      <c r="B32" s="547">
        <v>100</v>
      </c>
      <c r="C32" s="835">
        <v>18081</v>
      </c>
      <c r="D32" s="830">
        <v>11165.1320754717</v>
      </c>
      <c r="E32" s="830">
        <v>224.15094339622647</v>
      </c>
      <c r="F32" s="830">
        <f t="shared" si="27"/>
        <v>6691.7169811320737</v>
      </c>
      <c r="G32" s="830">
        <f t="shared" si="28"/>
        <v>66.917169811320733</v>
      </c>
      <c r="H32" s="828">
        <f t="shared" si="29"/>
        <v>37.009661971860368</v>
      </c>
      <c r="I32" s="543">
        <v>428</v>
      </c>
      <c r="J32" s="561">
        <f t="shared" si="30"/>
        <v>2.367125712073447</v>
      </c>
      <c r="K32" s="567"/>
      <c r="L32" s="823">
        <f t="shared" si="31"/>
        <v>38.249366321156465</v>
      </c>
      <c r="M32" s="827"/>
      <c r="N32" s="822"/>
      <c r="O32" s="827"/>
      <c r="P32" s="827"/>
    </row>
    <row r="33" spans="1:20" ht="16.5" customHeight="1">
      <c r="A33" s="549" t="s">
        <v>557</v>
      </c>
      <c r="B33" s="547">
        <v>1150</v>
      </c>
      <c r="C33" s="835">
        <v>1490092</v>
      </c>
      <c r="D33" s="830">
        <v>1094716.351</v>
      </c>
      <c r="E33" s="830">
        <v>71300</v>
      </c>
      <c r="F33" s="830">
        <f t="shared" si="27"/>
        <v>324075.64899999998</v>
      </c>
      <c r="G33" s="830">
        <f t="shared" si="28"/>
        <v>281.80491217391301</v>
      </c>
      <c r="H33" s="828">
        <f t="shared" si="29"/>
        <v>21.748700684253048</v>
      </c>
      <c r="I33" s="543">
        <v>283564</v>
      </c>
      <c r="J33" s="561">
        <f t="shared" si="30"/>
        <v>19.029965934989249</v>
      </c>
      <c r="K33" s="567"/>
      <c r="L33" s="823">
        <f t="shared" si="31"/>
        <v>26.533640137655929</v>
      </c>
      <c r="M33" s="827"/>
      <c r="N33" s="822"/>
      <c r="O33" s="827"/>
      <c r="P33" s="827"/>
    </row>
    <row r="34" spans="1:20" ht="16.5" customHeight="1">
      <c r="A34" s="549" t="s">
        <v>398</v>
      </c>
      <c r="B34" s="547">
        <v>522</v>
      </c>
      <c r="C34" s="835">
        <v>722594</v>
      </c>
      <c r="D34" s="830">
        <v>477371.39339205925</v>
      </c>
      <c r="E34" s="830">
        <v>29868</v>
      </c>
      <c r="F34" s="830">
        <f t="shared" si="27"/>
        <v>215354.60660794075</v>
      </c>
      <c r="G34" s="830">
        <f t="shared" si="28"/>
        <v>412.55671763973322</v>
      </c>
      <c r="H34" s="828">
        <f t="shared" si="29"/>
        <v>29.802988484258208</v>
      </c>
      <c r="I34" s="543">
        <v>187132</v>
      </c>
      <c r="J34" s="561">
        <f t="shared" si="30"/>
        <v>25.897253506118233</v>
      </c>
      <c r="K34" s="567"/>
      <c r="L34" s="823">
        <f t="shared" si="31"/>
        <v>33.936429946545466</v>
      </c>
      <c r="M34" s="827"/>
      <c r="N34" s="822"/>
      <c r="O34" s="827"/>
      <c r="P34" s="827"/>
    </row>
    <row r="35" spans="1:20" ht="16.5" customHeight="1">
      <c r="A35" s="549" t="s">
        <v>492</v>
      </c>
      <c r="B35" s="547">
        <v>367</v>
      </c>
      <c r="C35" s="835">
        <v>560099</v>
      </c>
      <c r="D35" s="830"/>
      <c r="E35" s="830"/>
      <c r="F35" s="830"/>
      <c r="G35" s="830"/>
      <c r="H35" s="828"/>
      <c r="I35" s="543"/>
      <c r="J35" s="561"/>
      <c r="L35" s="823"/>
      <c r="M35" s="827"/>
      <c r="N35" s="822"/>
      <c r="O35" s="827"/>
      <c r="P35" s="827"/>
    </row>
    <row r="36" spans="1:20" ht="16.5" customHeight="1">
      <c r="A36" s="549"/>
      <c r="B36" s="547"/>
      <c r="C36" s="835"/>
      <c r="D36" s="830"/>
      <c r="E36" s="830"/>
      <c r="F36" s="830">
        <f t="shared" ref="F36" si="32">C36-D36-E36</f>
        <v>0</v>
      </c>
      <c r="G36" s="830"/>
      <c r="H36" s="828"/>
      <c r="I36" s="543"/>
      <c r="J36" s="561"/>
      <c r="L36" s="823"/>
      <c r="M36" s="827" t="e">
        <f t="shared" ref="M36:M37" si="33">D36/C36</f>
        <v>#DIV/0!</v>
      </c>
      <c r="N36" s="822" t="e">
        <f t="shared" ref="N36:N37" si="34">E36/C36</f>
        <v>#DIV/0!</v>
      </c>
      <c r="O36" s="827" t="e">
        <f t="shared" ref="O36:O37" si="35">N36+M36</f>
        <v>#DIV/0!</v>
      </c>
      <c r="P36" s="827" t="e">
        <f t="shared" ref="P36:P37" si="36">1-O36-J36/100</f>
        <v>#DIV/0!</v>
      </c>
    </row>
    <row r="37" spans="1:20" ht="16.5" customHeight="1">
      <c r="A37" s="550"/>
      <c r="C37" s="835"/>
      <c r="D37" s="830"/>
      <c r="E37" s="830"/>
      <c r="F37" s="830">
        <f t="shared" ref="F37" si="37">C37-D37-E37</f>
        <v>0</v>
      </c>
      <c r="G37" s="830"/>
      <c r="H37" s="828"/>
      <c r="I37" s="600"/>
      <c r="J37" s="561"/>
      <c r="L37" s="823"/>
      <c r="M37" s="827" t="e">
        <f t="shared" si="33"/>
        <v>#DIV/0!</v>
      </c>
      <c r="N37" s="822" t="e">
        <f t="shared" si="34"/>
        <v>#DIV/0!</v>
      </c>
      <c r="O37" s="827" t="e">
        <f t="shared" si="35"/>
        <v>#DIV/0!</v>
      </c>
      <c r="P37" s="827" t="e">
        <f t="shared" si="36"/>
        <v>#DIV/0!</v>
      </c>
    </row>
    <row r="38" spans="1:20" s="403" customFormat="1" ht="16.5" customHeight="1">
      <c r="A38" s="888"/>
      <c r="B38" s="887"/>
      <c r="C38" s="887"/>
      <c r="D38" s="886"/>
      <c r="E38" s="886"/>
      <c r="F38" s="886"/>
      <c r="G38" s="886"/>
      <c r="H38" s="885"/>
      <c r="I38" s="884"/>
      <c r="J38" s="883"/>
      <c r="K38" s="882"/>
      <c r="L38" s="881"/>
      <c r="S38" s="536"/>
      <c r="T38" s="536"/>
    </row>
    <row r="39" spans="1:20" s="403" customFormat="1" ht="18.75" customHeight="1">
      <c r="A39" s="876" t="s">
        <v>1875</v>
      </c>
      <c r="B39" s="880">
        <f>SUM(B2:B38)</f>
        <v>16256</v>
      </c>
      <c r="C39" s="879">
        <f>SUM(C2:C38)</f>
        <v>82131376</v>
      </c>
      <c r="D39" s="879">
        <f>SUM(D2:D38)</f>
        <v>61970103.623967782</v>
      </c>
      <c r="E39" s="879">
        <f>SUM(E2:E38)</f>
        <v>5263438.0990146529</v>
      </c>
      <c r="F39" s="879">
        <f>SUM(F2:F38)</f>
        <v>14337735.277017567</v>
      </c>
      <c r="G39" s="879"/>
      <c r="H39" s="879"/>
      <c r="I39" s="527">
        <f>SUM(I2:I38)</f>
        <v>11045066</v>
      </c>
      <c r="J39" s="878">
        <f>I39/C39*100</f>
        <v>13.448046943716127</v>
      </c>
      <c r="L39" s="877"/>
      <c r="S39" s="536"/>
      <c r="T39" s="536"/>
    </row>
    <row r="40" spans="1:20" s="403" customFormat="1" ht="18.75" customHeight="1">
      <c r="A40" s="876" t="s">
        <v>1876</v>
      </c>
      <c r="B40" s="527"/>
      <c r="C40" s="879">
        <f>產品別毛利表!C40</f>
        <v>3539</v>
      </c>
      <c r="D40" s="879"/>
      <c r="E40" s="879"/>
      <c r="F40" s="879"/>
      <c r="G40" s="879"/>
      <c r="H40" s="879"/>
      <c r="I40" s="527">
        <f>產品別毛利表!D40</f>
        <v>3539</v>
      </c>
      <c r="J40" s="878"/>
      <c r="L40" s="877"/>
      <c r="S40" s="536"/>
      <c r="T40" s="536"/>
    </row>
    <row r="41" spans="1:20" s="403" customFormat="1" ht="18.75" customHeight="1">
      <c r="A41" s="876" t="s">
        <v>1888</v>
      </c>
      <c r="B41" s="527"/>
      <c r="C41" s="879">
        <v>0</v>
      </c>
      <c r="D41" s="879"/>
      <c r="E41" s="879"/>
      <c r="F41" s="879"/>
      <c r="G41" s="879"/>
      <c r="H41" s="879"/>
      <c r="I41" s="527">
        <f>產品別毛利表!D41</f>
        <v>0</v>
      </c>
      <c r="J41" s="878"/>
      <c r="L41" s="877"/>
      <c r="S41" s="536"/>
      <c r="T41" s="536"/>
    </row>
    <row r="42" spans="1:20" s="403" customFormat="1" ht="18.75" customHeight="1">
      <c r="A42" s="876" t="s">
        <v>1889</v>
      </c>
      <c r="B42" s="527"/>
      <c r="C42" s="879"/>
      <c r="D42" s="879"/>
      <c r="E42" s="879"/>
      <c r="F42" s="879"/>
      <c r="G42" s="879"/>
      <c r="H42" s="879"/>
      <c r="I42" s="527">
        <f>產品別毛利表!D42</f>
        <v>0</v>
      </c>
      <c r="J42" s="878"/>
      <c r="L42" s="875"/>
      <c r="S42" s="536"/>
      <c r="T42" s="536"/>
    </row>
    <row r="43" spans="1:20" s="403" customFormat="1" ht="18.75" customHeight="1">
      <c r="A43" s="876" t="s">
        <v>1890</v>
      </c>
      <c r="B43" s="527"/>
      <c r="C43" s="879"/>
      <c r="D43" s="879"/>
      <c r="E43" s="879"/>
      <c r="F43" s="879"/>
      <c r="G43" s="879"/>
      <c r="H43" s="879"/>
      <c r="I43" s="527">
        <f>產品別毛利表!D44+產品別毛利表!D43</f>
        <v>-23984</v>
      </c>
      <c r="J43" s="878"/>
      <c r="L43" s="875"/>
      <c r="S43" s="536"/>
      <c r="T43" s="536"/>
    </row>
    <row r="44" spans="1:20" s="403" customFormat="1" ht="18.75" customHeight="1" thickBot="1">
      <c r="A44" s="874" t="s">
        <v>348</v>
      </c>
      <c r="B44" s="873"/>
      <c r="C44" s="872">
        <f>SUM(C39:C43)</f>
        <v>82134915</v>
      </c>
      <c r="D44" s="872"/>
      <c r="E44" s="872"/>
      <c r="F44" s="872"/>
      <c r="G44" s="872"/>
      <c r="H44" s="872"/>
      <c r="I44" s="873">
        <f>SUM(I39:I43)</f>
        <v>11024621</v>
      </c>
      <c r="J44" s="871"/>
      <c r="K44" s="870"/>
      <c r="L44" s="869"/>
      <c r="S44" s="536"/>
      <c r="T44" s="536"/>
    </row>
    <row r="45" spans="1:20" s="403" customFormat="1" ht="18.75" customHeight="1">
      <c r="A45" s="402"/>
      <c r="B45" s="527"/>
      <c r="C45" s="527"/>
      <c r="D45" s="527"/>
      <c r="E45" s="527"/>
      <c r="F45" s="527"/>
      <c r="G45" s="527"/>
      <c r="H45" s="527"/>
      <c r="I45" s="527"/>
      <c r="J45" s="878"/>
      <c r="L45" s="878"/>
      <c r="S45" s="536"/>
      <c r="T45" s="536"/>
    </row>
    <row r="46" spans="1:20" s="403" customFormat="1" ht="18.75" customHeight="1">
      <c r="A46" s="402"/>
      <c r="B46" s="527"/>
      <c r="C46" s="527"/>
      <c r="D46" s="527"/>
      <c r="E46" s="868" t="s">
        <v>1764</v>
      </c>
      <c r="F46" s="868">
        <f>-IS明細!P73</f>
        <v>3051936</v>
      </c>
      <c r="G46" s="880"/>
      <c r="H46" s="880"/>
      <c r="I46" s="880"/>
      <c r="J46" s="878"/>
      <c r="L46" s="878"/>
      <c r="S46" s="536"/>
      <c r="T46" s="536"/>
    </row>
    <row r="47" spans="1:20" s="403" customFormat="1" ht="18.75" customHeight="1" thickBot="1">
      <c r="A47" s="402"/>
      <c r="B47" s="527"/>
      <c r="C47" s="527"/>
      <c r="D47" s="527"/>
      <c r="E47" s="868" t="s">
        <v>1765</v>
      </c>
      <c r="F47" s="867">
        <f>F39-F46</f>
        <v>11285799.277017567</v>
      </c>
      <c r="G47" s="880"/>
      <c r="H47" s="880"/>
      <c r="I47" s="880"/>
      <c r="J47" s="866">
        <f>ROUND(F47/(C39-C21-C29)*100,2)</f>
        <v>23.84</v>
      </c>
      <c r="L47" s="878"/>
      <c r="S47" s="536"/>
      <c r="T47" s="536"/>
    </row>
    <row r="48" spans="1:20" ht="18.75" customHeight="1" thickTop="1"/>
  </sheetData>
  <phoneticPr fontId="39" type="noConversion"/>
  <printOptions gridLines="1"/>
  <pageMargins left="0" right="0" top="0.42" bottom="0.24" header="0.15" footer="0.14000000000000001"/>
  <pageSetup paperSize="9" orientation="landscape" r:id="rId1"/>
  <headerFooter alignWithMargins="0">
    <oddHeader>&amp;R&amp;F--&amp;A</oddHeader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indexed="24"/>
  </sheetPr>
  <dimension ref="A1:AS222"/>
  <sheetViews>
    <sheetView topLeftCell="AH1" workbookViewId="0">
      <selection activeCell="AL50" sqref="AL50"/>
    </sheetView>
  </sheetViews>
  <sheetFormatPr baseColWidth="10" defaultColWidth="10.19921875" defaultRowHeight="16.5" customHeight="1" outlineLevelCol="1"/>
  <cols>
    <col min="1" max="1" width="13.19921875" style="692" customWidth="1"/>
    <col min="2" max="2" width="16.19921875" style="692" customWidth="1"/>
    <col min="3" max="3" width="5.3984375" style="541" customWidth="1"/>
    <col min="4" max="4" width="7" style="692" customWidth="1"/>
    <col min="5" max="5" width="17.59765625" style="692" customWidth="1"/>
    <col min="6" max="6" width="26.3984375" style="692" bestFit="1" customWidth="1"/>
    <col min="7" max="7" width="16.796875" style="692" customWidth="1"/>
    <col min="8" max="8" width="21.19921875" style="1103" customWidth="1"/>
    <col min="9" max="9" width="13.3984375" style="1103" customWidth="1" outlineLevel="1"/>
    <col min="10" max="10" width="13" style="1103" customWidth="1" outlineLevel="1"/>
    <col min="11" max="11" width="17.19921875" style="1103" customWidth="1" outlineLevel="1"/>
    <col min="12" max="12" width="20.59765625" style="1103" customWidth="1" outlineLevel="1"/>
    <col min="13" max="13" width="12.796875" style="1103" customWidth="1" outlineLevel="1"/>
    <col min="14" max="14" width="18.19921875" style="1103" customWidth="1" outlineLevel="1"/>
    <col min="15" max="15" width="17.796875" style="1103" customWidth="1" outlineLevel="1"/>
    <col min="16" max="16" width="15.796875" style="1103" customWidth="1" outlineLevel="1"/>
    <col min="17" max="17" width="12" style="1103" customWidth="1" outlineLevel="1"/>
    <col min="18" max="18" width="15.796875" style="1103" customWidth="1" outlineLevel="1"/>
    <col min="19" max="19" width="16.796875" style="1103" customWidth="1" outlineLevel="1"/>
    <col min="20" max="22" width="15.59765625" style="1103" bestFit="1" customWidth="1"/>
    <col min="23" max="23" width="13.796875" style="1103" bestFit="1" customWidth="1"/>
    <col min="24" max="24" width="16.3984375" style="1103" bestFit="1" customWidth="1"/>
    <col min="25" max="25" width="13.796875" style="545" bestFit="1" customWidth="1"/>
    <col min="26" max="26" width="11" style="1103" bestFit="1" customWidth="1"/>
    <col min="27" max="27" width="16.796875" style="545" bestFit="1" customWidth="1"/>
    <col min="28" max="28" width="14.19921875" style="545" bestFit="1" customWidth="1"/>
    <col min="29" max="29" width="11.3984375" style="545" bestFit="1" customWidth="1"/>
    <col min="30" max="31" width="10.19921875" style="545" customWidth="1"/>
    <col min="32" max="32" width="6.3984375" style="545" bestFit="1" customWidth="1"/>
    <col min="33" max="33" width="5.19921875" style="1138" customWidth="1"/>
    <col min="34" max="34" width="9.796875" style="1132" customWidth="1"/>
    <col min="35" max="35" width="28.19921875" style="1132" customWidth="1"/>
    <col min="36" max="36" width="9.796875" style="1132" customWidth="1"/>
    <col min="37" max="37" width="17.796875" style="1132" customWidth="1"/>
    <col min="38" max="38" width="17" style="1133" customWidth="1"/>
    <col min="39" max="39" width="14.59765625" style="1133" customWidth="1"/>
    <col min="40" max="40" width="21" style="1133" customWidth="1"/>
    <col min="41" max="41" width="16.796875" style="1133" customWidth="1"/>
    <col min="42" max="42" width="23.19921875" style="1133" customWidth="1"/>
    <col min="43" max="44" width="14.59765625" style="1133" customWidth="1"/>
    <col min="45" max="45" width="23.59765625" style="1134" customWidth="1"/>
    <col min="46" max="16384" width="10.19921875" style="1132"/>
  </cols>
  <sheetData>
    <row r="1" spans="1:45" ht="16.5" customHeight="1">
      <c r="A1" s="891" t="s">
        <v>438</v>
      </c>
      <c r="B1" s="891" t="s">
        <v>439</v>
      </c>
      <c r="C1" s="1101" t="s">
        <v>888</v>
      </c>
      <c r="D1" s="1101" t="s">
        <v>2071</v>
      </c>
      <c r="E1" s="891" t="s">
        <v>483</v>
      </c>
      <c r="F1" s="1101" t="s">
        <v>436</v>
      </c>
      <c r="G1" s="891" t="s">
        <v>440</v>
      </c>
      <c r="H1" s="891" t="s">
        <v>441</v>
      </c>
      <c r="I1" s="891" t="s">
        <v>442</v>
      </c>
      <c r="J1" s="891" t="s">
        <v>5</v>
      </c>
      <c r="K1" s="891" t="s">
        <v>6</v>
      </c>
      <c r="L1" s="891" t="s">
        <v>550</v>
      </c>
      <c r="M1" s="891" t="s">
        <v>7</v>
      </c>
      <c r="N1" s="891" t="s">
        <v>8</v>
      </c>
      <c r="O1" s="891" t="s">
        <v>9</v>
      </c>
      <c r="P1" s="891" t="s">
        <v>551</v>
      </c>
      <c r="Q1" s="891" t="s">
        <v>10</v>
      </c>
      <c r="R1" s="891" t="s">
        <v>11</v>
      </c>
      <c r="S1" s="891" t="s">
        <v>12</v>
      </c>
      <c r="T1" s="891" t="s">
        <v>443</v>
      </c>
      <c r="U1" s="891" t="s">
        <v>341</v>
      </c>
      <c r="V1" s="891" t="s">
        <v>552</v>
      </c>
      <c r="W1" s="891" t="s">
        <v>379</v>
      </c>
      <c r="X1" s="891" t="s">
        <v>353</v>
      </c>
      <c r="Y1" s="891" t="s">
        <v>342</v>
      </c>
      <c r="Z1" s="892" t="s">
        <v>343</v>
      </c>
      <c r="AA1" s="891" t="s">
        <v>542</v>
      </c>
      <c r="AB1" s="892" t="s">
        <v>491</v>
      </c>
      <c r="AC1" s="892" t="s">
        <v>354</v>
      </c>
      <c r="AD1" s="892" t="s">
        <v>543</v>
      </c>
      <c r="AE1" s="892" t="s">
        <v>544</v>
      </c>
      <c r="AF1" s="540"/>
      <c r="AG1" s="1130"/>
      <c r="AH1" s="1131"/>
      <c r="AI1" s="1131"/>
      <c r="AK1" s="1133"/>
      <c r="AR1" s="1134"/>
      <c r="AS1" s="1132"/>
    </row>
    <row r="2" spans="1:45" ht="16.5" customHeight="1" thickBot="1">
      <c r="A2" s="391" t="s">
        <v>549</v>
      </c>
      <c r="B2" s="391" t="s">
        <v>563</v>
      </c>
      <c r="C2" s="391">
        <v>8</v>
      </c>
      <c r="D2" s="391" t="s">
        <v>938</v>
      </c>
      <c r="E2" s="391" t="s">
        <v>548</v>
      </c>
      <c r="F2" s="391" t="s">
        <v>2155</v>
      </c>
      <c r="G2" s="391" t="s">
        <v>2159</v>
      </c>
      <c r="H2" s="391" t="s">
        <v>2160</v>
      </c>
      <c r="I2" s="391">
        <v>1</v>
      </c>
      <c r="J2" s="391">
        <v>5391</v>
      </c>
      <c r="K2" s="391">
        <v>4869</v>
      </c>
      <c r="L2" s="391">
        <v>4869</v>
      </c>
      <c r="M2" s="391">
        <v>522</v>
      </c>
      <c r="N2" s="391">
        <v>0</v>
      </c>
      <c r="O2" s="391">
        <v>0</v>
      </c>
      <c r="P2" s="391">
        <v>0</v>
      </c>
      <c r="Q2" s="391">
        <v>522</v>
      </c>
      <c r="R2" s="391">
        <v>3371.91</v>
      </c>
      <c r="S2" s="391">
        <v>2019.09</v>
      </c>
      <c r="T2" s="391">
        <v>5391</v>
      </c>
      <c r="U2" s="391">
        <v>4869</v>
      </c>
      <c r="V2" s="391">
        <v>4869</v>
      </c>
      <c r="W2" s="391">
        <v>0</v>
      </c>
      <c r="X2" s="391">
        <v>0</v>
      </c>
      <c r="Y2" s="519">
        <v>522</v>
      </c>
      <c r="Z2" s="1102">
        <v>9.6828046744574294</v>
      </c>
      <c r="AA2" s="519">
        <v>3371.91</v>
      </c>
      <c r="AB2" s="519">
        <v>522</v>
      </c>
      <c r="AC2" s="519">
        <v>9.6828046744574294</v>
      </c>
      <c r="AD2" s="519">
        <v>37.452961695418203</v>
      </c>
      <c r="AE2" s="519">
        <v>-27.770157020960799</v>
      </c>
      <c r="AF2" s="541">
        <v>2017</v>
      </c>
      <c r="AG2" s="1130"/>
      <c r="AH2" s="1135" t="s">
        <v>2156</v>
      </c>
      <c r="AK2" s="1133"/>
      <c r="AR2" s="1134"/>
      <c r="AS2" s="1132"/>
    </row>
    <row r="3" spans="1:45" ht="18">
      <c r="A3" s="391" t="s">
        <v>549</v>
      </c>
      <c r="B3" s="391" t="s">
        <v>563</v>
      </c>
      <c r="C3" s="391">
        <v>8</v>
      </c>
      <c r="D3" s="391" t="s">
        <v>938</v>
      </c>
      <c r="E3" s="391" t="s">
        <v>548</v>
      </c>
      <c r="F3" s="391" t="s">
        <v>2019</v>
      </c>
      <c r="G3" s="391" t="s">
        <v>2020</v>
      </c>
      <c r="H3" s="391" t="s">
        <v>2025</v>
      </c>
      <c r="I3" s="391">
        <v>1000</v>
      </c>
      <c r="J3" s="391">
        <v>4192.9399999999996</v>
      </c>
      <c r="K3" s="391">
        <v>3445.37</v>
      </c>
      <c r="L3" s="391">
        <v>2856.203</v>
      </c>
      <c r="M3" s="391">
        <v>1336.7369999999996</v>
      </c>
      <c r="N3" s="391">
        <v>392.7</v>
      </c>
      <c r="O3" s="391">
        <v>196.47</v>
      </c>
      <c r="P3" s="391">
        <v>589.16999999999996</v>
      </c>
      <c r="Q3" s="391">
        <v>747.56699999999967</v>
      </c>
      <c r="R3" s="391">
        <v>2851.61</v>
      </c>
      <c r="S3" s="391">
        <v>1341.33</v>
      </c>
      <c r="T3" s="391">
        <v>4192935</v>
      </c>
      <c r="U3" s="391">
        <v>3445373</v>
      </c>
      <c r="V3" s="391">
        <v>2856203</v>
      </c>
      <c r="W3" s="391">
        <v>392700</v>
      </c>
      <c r="X3" s="391">
        <v>196470</v>
      </c>
      <c r="Y3" s="519">
        <v>747562</v>
      </c>
      <c r="Z3" s="1102">
        <v>17.829086308278093</v>
      </c>
      <c r="AA3" s="519">
        <v>2851606.12</v>
      </c>
      <c r="AB3" s="519">
        <v>1336732</v>
      </c>
      <c r="AC3" s="519">
        <v>31.880580071000388</v>
      </c>
      <c r="AD3" s="519">
        <v>31.990213955141201</v>
      </c>
      <c r="AE3" s="519">
        <v>-0.10970543306776701</v>
      </c>
      <c r="AF3" s="541">
        <v>2017</v>
      </c>
      <c r="AG3" s="1130"/>
      <c r="AH3" s="1140" t="s">
        <v>936</v>
      </c>
      <c r="AI3" s="1141" t="s">
        <v>436</v>
      </c>
      <c r="AJ3" s="1142" t="s">
        <v>521</v>
      </c>
      <c r="AK3" s="1142" t="s">
        <v>522</v>
      </c>
      <c r="AL3" s="1142" t="s">
        <v>523</v>
      </c>
      <c r="AM3" s="1142" t="s">
        <v>524</v>
      </c>
      <c r="AN3" s="1142" t="s">
        <v>1276</v>
      </c>
      <c r="AO3" s="1142" t="s">
        <v>525</v>
      </c>
      <c r="AP3" s="1142" t="s">
        <v>526</v>
      </c>
      <c r="AQ3" s="1142" t="s">
        <v>527</v>
      </c>
      <c r="AR3" s="1143" t="s">
        <v>1277</v>
      </c>
      <c r="AS3" s="1131"/>
    </row>
    <row r="4" spans="1:45" ht="18">
      <c r="A4" s="391" t="s">
        <v>549</v>
      </c>
      <c r="B4" s="391" t="s">
        <v>563</v>
      </c>
      <c r="C4" s="391">
        <v>8</v>
      </c>
      <c r="D4" s="391" t="s">
        <v>938</v>
      </c>
      <c r="E4" s="391" t="s">
        <v>548</v>
      </c>
      <c r="F4" s="391" t="s">
        <v>882</v>
      </c>
      <c r="G4" s="391" t="s">
        <v>597</v>
      </c>
      <c r="H4" s="391" t="s">
        <v>553</v>
      </c>
      <c r="I4" s="391">
        <v>710</v>
      </c>
      <c r="J4" s="391">
        <v>302.42</v>
      </c>
      <c r="K4" s="391">
        <v>393.13</v>
      </c>
      <c r="L4" s="391">
        <v>247.39606962988151</v>
      </c>
      <c r="M4" s="391">
        <v>55.023930370118507</v>
      </c>
      <c r="N4" s="391">
        <v>82.787000971516179</v>
      </c>
      <c r="O4" s="391">
        <v>62.945099999999996</v>
      </c>
      <c r="P4" s="391">
        <v>145.73210097151616</v>
      </c>
      <c r="Q4" s="391">
        <v>-90.708170601397654</v>
      </c>
      <c r="R4" s="391">
        <v>3.39</v>
      </c>
      <c r="S4" s="391">
        <v>299.02999999999997</v>
      </c>
      <c r="T4" s="391">
        <v>214719</v>
      </c>
      <c r="U4" s="391">
        <v>279121</v>
      </c>
      <c r="V4" s="391">
        <v>175651.20943721588</v>
      </c>
      <c r="W4" s="391">
        <v>58778.770689776487</v>
      </c>
      <c r="X4" s="391">
        <v>44691.021000000001</v>
      </c>
      <c r="Y4" s="519">
        <v>-64402</v>
      </c>
      <c r="Z4" s="1102">
        <v>-29.993619567900371</v>
      </c>
      <c r="AA4" s="519">
        <v>2405.61</v>
      </c>
      <c r="AB4" s="519">
        <v>39067.790562784125</v>
      </c>
      <c r="AC4" s="519">
        <v>18.194845618126074</v>
      </c>
      <c r="AD4" s="519">
        <v>98.879646393658604</v>
      </c>
      <c r="AE4" s="519">
        <v>-81.021394445763903</v>
      </c>
      <c r="AF4" s="541">
        <v>2017</v>
      </c>
      <c r="AG4" s="1130"/>
      <c r="AH4" s="1144" t="s">
        <v>937</v>
      </c>
      <c r="AI4" s="1145"/>
      <c r="AJ4" s="1146">
        <v>946</v>
      </c>
      <c r="AK4" s="1146">
        <v>10969623</v>
      </c>
      <c r="AL4" s="1146">
        <v>8331836</v>
      </c>
      <c r="AM4" s="1146">
        <v>2637787</v>
      </c>
      <c r="AN4" s="1146">
        <v>7317965.3257555552</v>
      </c>
      <c r="AO4" s="1146">
        <v>574271.79333333345</v>
      </c>
      <c r="AP4" s="1146">
        <v>439598.87884999992</v>
      </c>
      <c r="AQ4" s="1146">
        <v>3651657.6742444453</v>
      </c>
      <c r="AR4" s="1147">
        <v>0.33288816527645892</v>
      </c>
      <c r="AS4" s="1131"/>
    </row>
    <row r="5" spans="1:45" ht="18">
      <c r="A5" s="391" t="s">
        <v>549</v>
      </c>
      <c r="B5" s="391" t="s">
        <v>563</v>
      </c>
      <c r="C5" s="391">
        <v>8</v>
      </c>
      <c r="D5" s="391" t="s">
        <v>938</v>
      </c>
      <c r="E5" s="391" t="s">
        <v>548</v>
      </c>
      <c r="F5" s="391" t="s">
        <v>882</v>
      </c>
      <c r="G5" s="391" t="s">
        <v>2161</v>
      </c>
      <c r="H5" s="391" t="s">
        <v>2162</v>
      </c>
      <c r="I5" s="391">
        <v>250</v>
      </c>
      <c r="J5" s="391">
        <v>316.12</v>
      </c>
      <c r="K5" s="391">
        <v>380.32</v>
      </c>
      <c r="L5" s="391">
        <v>380.32400000000001</v>
      </c>
      <c r="M5" s="391">
        <v>-64.204000000000008</v>
      </c>
      <c r="N5" s="391">
        <v>0</v>
      </c>
      <c r="O5" s="391">
        <v>0</v>
      </c>
      <c r="P5" s="391">
        <v>0</v>
      </c>
      <c r="Q5" s="391">
        <v>-64.204000000000008</v>
      </c>
      <c r="R5" s="391">
        <v>247.56</v>
      </c>
      <c r="S5" s="391">
        <v>68.55</v>
      </c>
      <c r="T5" s="391">
        <v>79029</v>
      </c>
      <c r="U5" s="391">
        <v>95081</v>
      </c>
      <c r="V5" s="391">
        <v>95081</v>
      </c>
      <c r="W5" s="391">
        <v>0</v>
      </c>
      <c r="X5" s="391">
        <v>0</v>
      </c>
      <c r="Y5" s="519">
        <v>-16052</v>
      </c>
      <c r="Z5" s="1102">
        <v>-20.311531210062128</v>
      </c>
      <c r="AA5" s="519">
        <v>61890.58</v>
      </c>
      <c r="AB5" s="519">
        <v>-16052</v>
      </c>
      <c r="AC5" s="519">
        <v>-20.311531210062128</v>
      </c>
      <c r="AD5" s="519">
        <v>21.6862461881081</v>
      </c>
      <c r="AE5" s="519">
        <v>-41.9977773981702</v>
      </c>
      <c r="AF5" s="541">
        <v>2017</v>
      </c>
      <c r="AG5" s="1130"/>
      <c r="AH5" s="1148"/>
      <c r="AI5" s="1125" t="s">
        <v>1242</v>
      </c>
      <c r="AJ5" s="1149">
        <v>11</v>
      </c>
      <c r="AK5" s="1149">
        <v>50401</v>
      </c>
      <c r="AL5" s="1149">
        <v>53261</v>
      </c>
      <c r="AM5" s="1149">
        <v>-2860</v>
      </c>
      <c r="AN5" s="1149">
        <v>39724.6</v>
      </c>
      <c r="AO5" s="1149">
        <v>3927</v>
      </c>
      <c r="AP5" s="1149">
        <v>9609.4</v>
      </c>
      <c r="AQ5" s="1149">
        <v>10676.400000000001</v>
      </c>
      <c r="AR5" s="1150">
        <v>0.21182913037439735</v>
      </c>
      <c r="AS5" s="1131"/>
    </row>
    <row r="6" spans="1:45" ht="18">
      <c r="A6" s="391" t="s">
        <v>549</v>
      </c>
      <c r="B6" s="391" t="s">
        <v>563</v>
      </c>
      <c r="C6" s="391">
        <v>8</v>
      </c>
      <c r="D6" s="391" t="s">
        <v>938</v>
      </c>
      <c r="E6" s="391" t="s">
        <v>548</v>
      </c>
      <c r="F6" s="391" t="s">
        <v>2152</v>
      </c>
      <c r="G6" s="391" t="s">
        <v>2163</v>
      </c>
      <c r="H6" s="391" t="s">
        <v>2164</v>
      </c>
      <c r="I6" s="391">
        <v>200</v>
      </c>
      <c r="J6" s="391">
        <v>689.36</v>
      </c>
      <c r="K6" s="391">
        <v>694.02</v>
      </c>
      <c r="L6" s="391">
        <v>611.745</v>
      </c>
      <c r="M6" s="391">
        <v>77.615000000000009</v>
      </c>
      <c r="N6" s="391">
        <v>49.5</v>
      </c>
      <c r="O6" s="391">
        <v>32.770000000000003</v>
      </c>
      <c r="P6" s="391">
        <v>82.27000000000001</v>
      </c>
      <c r="Q6" s="391">
        <v>-4.6550000000000011</v>
      </c>
      <c r="R6" s="391">
        <v>548.55999999999995</v>
      </c>
      <c r="S6" s="391">
        <v>140.80000000000001</v>
      </c>
      <c r="T6" s="391">
        <v>137872</v>
      </c>
      <c r="U6" s="391">
        <v>138803</v>
      </c>
      <c r="V6" s="391">
        <v>122349</v>
      </c>
      <c r="W6" s="391">
        <v>9900</v>
      </c>
      <c r="X6" s="391">
        <v>6554.0000000000009</v>
      </c>
      <c r="Y6" s="519">
        <v>-931</v>
      </c>
      <c r="Z6" s="1102">
        <v>-0.675264012997563</v>
      </c>
      <c r="AA6" s="519">
        <v>109712.02</v>
      </c>
      <c r="AB6" s="519">
        <v>15523</v>
      </c>
      <c r="AC6" s="519">
        <v>11.258993849367529</v>
      </c>
      <c r="AD6" s="519">
        <v>20.4247265579668</v>
      </c>
      <c r="AE6" s="519">
        <v>-9.1664580190321399</v>
      </c>
      <c r="AF6" s="541">
        <v>2017</v>
      </c>
      <c r="AG6" s="1130"/>
      <c r="AH6" s="1148"/>
      <c r="AI6" s="1125" t="s">
        <v>2149</v>
      </c>
      <c r="AJ6" s="1149">
        <v>2</v>
      </c>
      <c r="AK6" s="1149">
        <v>22956</v>
      </c>
      <c r="AL6" s="1149">
        <v>20664</v>
      </c>
      <c r="AM6" s="1149">
        <v>2292</v>
      </c>
      <c r="AN6" s="1149">
        <v>18206.34</v>
      </c>
      <c r="AO6" s="1149">
        <v>1136</v>
      </c>
      <c r="AP6" s="1149">
        <v>1321.66</v>
      </c>
      <c r="AQ6" s="1149">
        <v>4749.66</v>
      </c>
      <c r="AR6" s="1150">
        <v>0.20690277051751174</v>
      </c>
      <c r="AS6" s="1131"/>
    </row>
    <row r="7" spans="1:45" ht="18">
      <c r="A7" s="391" t="s">
        <v>549</v>
      </c>
      <c r="B7" s="391" t="s">
        <v>563</v>
      </c>
      <c r="C7" s="391">
        <v>8</v>
      </c>
      <c r="D7" s="391" t="s">
        <v>938</v>
      </c>
      <c r="E7" s="391" t="s">
        <v>548</v>
      </c>
      <c r="F7" s="391" t="s">
        <v>940</v>
      </c>
      <c r="G7" s="391" t="s">
        <v>941</v>
      </c>
      <c r="H7" s="391" t="s">
        <v>942</v>
      </c>
      <c r="I7" s="391">
        <v>150</v>
      </c>
      <c r="J7" s="391">
        <v>84.57</v>
      </c>
      <c r="K7" s="391">
        <v>59.2</v>
      </c>
      <c r="L7" s="391">
        <v>59.2</v>
      </c>
      <c r="M7" s="391">
        <v>25.36999999999999</v>
      </c>
      <c r="N7" s="391">
        <v>0</v>
      </c>
      <c r="O7" s="391">
        <v>0</v>
      </c>
      <c r="P7" s="391">
        <v>0</v>
      </c>
      <c r="Q7" s="391">
        <v>25.36999999999999</v>
      </c>
      <c r="R7" s="391">
        <v>3.58</v>
      </c>
      <c r="S7" s="391">
        <v>80.989999999999995</v>
      </c>
      <c r="T7" s="391">
        <v>12685</v>
      </c>
      <c r="U7" s="391">
        <v>8880</v>
      </c>
      <c r="V7" s="391">
        <v>8880</v>
      </c>
      <c r="W7" s="391">
        <v>0</v>
      </c>
      <c r="X7" s="391">
        <v>0</v>
      </c>
      <c r="Y7" s="519">
        <v>3805</v>
      </c>
      <c r="Z7" s="1102">
        <v>29.996058336618052</v>
      </c>
      <c r="AA7" s="519">
        <v>536.27</v>
      </c>
      <c r="AB7" s="519">
        <v>3805</v>
      </c>
      <c r="AC7" s="519">
        <v>29.996058336618052</v>
      </c>
      <c r="AD7" s="519">
        <v>95.772412297989703</v>
      </c>
      <c r="AE7" s="519">
        <v>-65.776353961371598</v>
      </c>
      <c r="AF7" s="541">
        <v>2017</v>
      </c>
      <c r="AG7" s="1130"/>
      <c r="AH7" s="1148"/>
      <c r="AI7" s="1125" t="s">
        <v>1260</v>
      </c>
      <c r="AJ7" s="1149">
        <v>16</v>
      </c>
      <c r="AK7" s="1149">
        <v>291255</v>
      </c>
      <c r="AL7" s="1149">
        <v>276643</v>
      </c>
      <c r="AM7" s="1149">
        <v>14612</v>
      </c>
      <c r="AN7" s="1149">
        <v>244228</v>
      </c>
      <c r="AO7" s="1149">
        <v>14955</v>
      </c>
      <c r="AP7" s="1149">
        <v>17460</v>
      </c>
      <c r="AQ7" s="1149">
        <v>47027</v>
      </c>
      <c r="AR7" s="1150">
        <v>0.16146332251806836</v>
      </c>
      <c r="AS7" s="1131"/>
    </row>
    <row r="8" spans="1:45" ht="18">
      <c r="A8" s="391" t="s">
        <v>549</v>
      </c>
      <c r="B8" s="391" t="s">
        <v>563</v>
      </c>
      <c r="C8" s="391">
        <v>8</v>
      </c>
      <c r="D8" s="391" t="s">
        <v>938</v>
      </c>
      <c r="E8" s="391" t="s">
        <v>548</v>
      </c>
      <c r="F8" s="391" t="s">
        <v>1261</v>
      </c>
      <c r="G8" s="391" t="s">
        <v>2018</v>
      </c>
      <c r="H8" s="391" t="s">
        <v>2024</v>
      </c>
      <c r="I8" s="391">
        <v>360</v>
      </c>
      <c r="J8" s="391">
        <v>3932.54</v>
      </c>
      <c r="K8" s="391">
        <v>3228.66</v>
      </c>
      <c r="L8" s="391">
        <v>2621.8611111111113</v>
      </c>
      <c r="M8" s="391">
        <v>1310.6788888888887</v>
      </c>
      <c r="N8" s="391">
        <v>392.7</v>
      </c>
      <c r="O8" s="391">
        <v>214.1</v>
      </c>
      <c r="P8" s="391">
        <v>606.79999999999995</v>
      </c>
      <c r="Q8" s="391">
        <v>703.8788888888887</v>
      </c>
      <c r="R8" s="391">
        <v>2267.44</v>
      </c>
      <c r="S8" s="391">
        <v>1665.09</v>
      </c>
      <c r="T8" s="391">
        <v>1415713</v>
      </c>
      <c r="U8" s="391">
        <v>1162318</v>
      </c>
      <c r="V8" s="391">
        <v>943870.00000000012</v>
      </c>
      <c r="W8" s="391">
        <v>141372</v>
      </c>
      <c r="X8" s="391">
        <v>77076</v>
      </c>
      <c r="Y8" s="519">
        <v>253395</v>
      </c>
      <c r="Z8" s="1102">
        <v>17.89875490300647</v>
      </c>
      <c r="AA8" s="519">
        <v>816279.09</v>
      </c>
      <c r="AB8" s="519">
        <v>471842.99999999988</v>
      </c>
      <c r="AC8" s="519">
        <v>33.329001005147227</v>
      </c>
      <c r="AD8" s="519">
        <v>42.341485279855398</v>
      </c>
      <c r="AE8" s="519">
        <v>-9.0127526906936595</v>
      </c>
      <c r="AF8" s="541">
        <v>2017</v>
      </c>
      <c r="AG8" s="1130"/>
      <c r="AH8" s="1148"/>
      <c r="AI8" s="1125" t="s">
        <v>2004</v>
      </c>
      <c r="AJ8" s="1149">
        <v>50</v>
      </c>
      <c r="AK8" s="1149">
        <v>693105</v>
      </c>
      <c r="AL8" s="1149">
        <v>610002</v>
      </c>
      <c r="AM8" s="1149">
        <v>83103</v>
      </c>
      <c r="AN8" s="1149">
        <v>536708</v>
      </c>
      <c r="AO8" s="1149">
        <v>49520</v>
      </c>
      <c r="AP8" s="1149">
        <v>23774</v>
      </c>
      <c r="AQ8" s="1149">
        <v>156397</v>
      </c>
      <c r="AR8" s="1150">
        <v>0.22564690775567917</v>
      </c>
      <c r="AS8" s="1131"/>
    </row>
    <row r="9" spans="1:45" ht="18">
      <c r="A9" s="391" t="s">
        <v>549</v>
      </c>
      <c r="B9" s="391" t="s">
        <v>563</v>
      </c>
      <c r="C9" s="391">
        <v>8</v>
      </c>
      <c r="D9" s="391" t="s">
        <v>938</v>
      </c>
      <c r="E9" s="391" t="s">
        <v>548</v>
      </c>
      <c r="F9" s="391" t="s">
        <v>1261</v>
      </c>
      <c r="G9" s="391" t="s">
        <v>1248</v>
      </c>
      <c r="H9" s="391" t="s">
        <v>1249</v>
      </c>
      <c r="I9" s="391">
        <v>150</v>
      </c>
      <c r="J9" s="391">
        <v>3926.22</v>
      </c>
      <c r="K9" s="391">
        <v>3214.85</v>
      </c>
      <c r="L9" s="391">
        <v>2625.6766499999999</v>
      </c>
      <c r="M9" s="391">
        <v>1300.5433499999999</v>
      </c>
      <c r="N9" s="391">
        <v>392.7</v>
      </c>
      <c r="O9" s="391">
        <v>196.47</v>
      </c>
      <c r="P9" s="391">
        <v>589.16999999999996</v>
      </c>
      <c r="Q9" s="391">
        <v>711.37334999999996</v>
      </c>
      <c r="R9" s="391">
        <v>2272.12</v>
      </c>
      <c r="S9" s="391">
        <v>1654.1</v>
      </c>
      <c r="T9" s="391">
        <v>588933</v>
      </c>
      <c r="U9" s="391">
        <v>482227</v>
      </c>
      <c r="V9" s="391">
        <v>393851.4975</v>
      </c>
      <c r="W9" s="391">
        <v>58905</v>
      </c>
      <c r="X9" s="391">
        <v>29470.5</v>
      </c>
      <c r="Y9" s="519">
        <v>106706</v>
      </c>
      <c r="Z9" s="1102">
        <v>18.118529612027174</v>
      </c>
      <c r="AA9" s="519">
        <v>340817.79</v>
      </c>
      <c r="AB9" s="519">
        <v>195081.5025</v>
      </c>
      <c r="AC9" s="519">
        <v>33.124566376820454</v>
      </c>
      <c r="AD9" s="519">
        <v>42.129614934975599</v>
      </c>
      <c r="AE9" s="519">
        <v>-9.0064073714667003</v>
      </c>
      <c r="AF9" s="541">
        <v>2017</v>
      </c>
      <c r="AG9" s="1130"/>
      <c r="AH9" s="1148"/>
      <c r="AI9" s="1125" t="s">
        <v>1900</v>
      </c>
      <c r="AJ9" s="1149">
        <v>10</v>
      </c>
      <c r="AK9" s="1149">
        <v>231680</v>
      </c>
      <c r="AL9" s="1149">
        <v>176907</v>
      </c>
      <c r="AM9" s="1149">
        <v>54773</v>
      </c>
      <c r="AN9" s="1149">
        <v>152971.21333333335</v>
      </c>
      <c r="AO9" s="1149">
        <v>8055.9533333333329</v>
      </c>
      <c r="AP9" s="1149">
        <v>15879.83</v>
      </c>
      <c r="AQ9" s="1149">
        <v>78708.786666666652</v>
      </c>
      <c r="AR9" s="1150">
        <v>0.33973060543278077</v>
      </c>
      <c r="AS9" s="1131"/>
    </row>
    <row r="10" spans="1:45" ht="18">
      <c r="A10" s="391" t="s">
        <v>549</v>
      </c>
      <c r="B10" s="391" t="s">
        <v>563</v>
      </c>
      <c r="C10" s="391">
        <v>8</v>
      </c>
      <c r="D10" s="391" t="s">
        <v>938</v>
      </c>
      <c r="E10" s="391" t="s">
        <v>548</v>
      </c>
      <c r="F10" s="391" t="s">
        <v>1261</v>
      </c>
      <c r="G10" s="391" t="s">
        <v>2038</v>
      </c>
      <c r="H10" s="391" t="s">
        <v>2039</v>
      </c>
      <c r="I10" s="391">
        <v>270</v>
      </c>
      <c r="J10" s="391">
        <v>5196.6000000000004</v>
      </c>
      <c r="K10" s="391">
        <v>3919.39</v>
      </c>
      <c r="L10" s="391">
        <v>3316.1074074074072</v>
      </c>
      <c r="M10" s="391">
        <v>1880.4925925925932</v>
      </c>
      <c r="N10" s="391">
        <v>392.7</v>
      </c>
      <c r="O10" s="391">
        <v>210.57777777777778</v>
      </c>
      <c r="P10" s="391">
        <v>603.27777777777783</v>
      </c>
      <c r="Q10" s="391">
        <v>1277.2148148148153</v>
      </c>
      <c r="R10" s="391">
        <v>2943.67</v>
      </c>
      <c r="S10" s="391">
        <v>2252.9299999999998</v>
      </c>
      <c r="T10" s="391">
        <v>1403082</v>
      </c>
      <c r="U10" s="391">
        <v>1058234</v>
      </c>
      <c r="V10" s="391">
        <v>895349</v>
      </c>
      <c r="W10" s="391">
        <v>106029</v>
      </c>
      <c r="X10" s="391">
        <v>56856</v>
      </c>
      <c r="Y10" s="519">
        <v>344848</v>
      </c>
      <c r="Z10" s="1102">
        <v>24.577893522973</v>
      </c>
      <c r="AA10" s="519">
        <v>794790.17</v>
      </c>
      <c r="AB10" s="519">
        <v>507733</v>
      </c>
      <c r="AC10" s="519">
        <v>36.186979805884469</v>
      </c>
      <c r="AD10" s="519">
        <v>43.353975628295402</v>
      </c>
      <c r="AE10" s="519">
        <v>-7.2946772408882703</v>
      </c>
      <c r="AF10" s="541">
        <v>2017</v>
      </c>
      <c r="AG10" s="1130"/>
      <c r="AH10" s="1148"/>
      <c r="AI10" s="1125" t="s">
        <v>1264</v>
      </c>
      <c r="AJ10" s="1149">
        <v>20</v>
      </c>
      <c r="AK10" s="1149">
        <v>282999</v>
      </c>
      <c r="AL10" s="1149">
        <v>203541</v>
      </c>
      <c r="AM10" s="1149">
        <v>79458</v>
      </c>
      <c r="AN10" s="1149">
        <v>177293</v>
      </c>
      <c r="AO10" s="1149">
        <v>16112</v>
      </c>
      <c r="AP10" s="1149">
        <v>10136</v>
      </c>
      <c r="AQ10" s="1149">
        <v>105706</v>
      </c>
      <c r="AR10" s="1150">
        <v>0.37352075449029853</v>
      </c>
      <c r="AS10" s="1131"/>
    </row>
    <row r="11" spans="1:45" ht="18">
      <c r="A11" s="391" t="s">
        <v>549</v>
      </c>
      <c r="B11" s="391" t="s">
        <v>563</v>
      </c>
      <c r="C11" s="391">
        <v>8</v>
      </c>
      <c r="D11" s="391" t="s">
        <v>938</v>
      </c>
      <c r="E11" s="391" t="s">
        <v>548</v>
      </c>
      <c r="F11" s="391" t="s">
        <v>1261</v>
      </c>
      <c r="G11" s="391" t="s">
        <v>2040</v>
      </c>
      <c r="H11" s="391" t="s">
        <v>2041</v>
      </c>
      <c r="I11" s="391">
        <v>20</v>
      </c>
      <c r="J11" s="391">
        <v>5183.2</v>
      </c>
      <c r="K11" s="391">
        <v>3948.15</v>
      </c>
      <c r="L11" s="391">
        <v>3359</v>
      </c>
      <c r="M11" s="391">
        <v>1824.1999999999998</v>
      </c>
      <c r="N11" s="391">
        <v>392.7</v>
      </c>
      <c r="O11" s="391">
        <v>196.45</v>
      </c>
      <c r="P11" s="391">
        <v>589.15</v>
      </c>
      <c r="Q11" s="391">
        <v>1235.0499999999997</v>
      </c>
      <c r="R11" s="391">
        <v>2948.54</v>
      </c>
      <c r="S11" s="391">
        <v>2234.66</v>
      </c>
      <c r="T11" s="391">
        <v>103664</v>
      </c>
      <c r="U11" s="391">
        <v>78963</v>
      </c>
      <c r="V11" s="391">
        <v>67180</v>
      </c>
      <c r="W11" s="391">
        <v>7854</v>
      </c>
      <c r="X11" s="391">
        <v>3929</v>
      </c>
      <c r="Y11" s="519">
        <v>24701</v>
      </c>
      <c r="Z11" s="1102">
        <v>23.827944127180121</v>
      </c>
      <c r="AA11" s="519">
        <v>58970.879999999997</v>
      </c>
      <c r="AB11" s="519">
        <v>36484</v>
      </c>
      <c r="AC11" s="519">
        <v>35.194474455934561</v>
      </c>
      <c r="AD11" s="519">
        <v>43.113443191464697</v>
      </c>
      <c r="AE11" s="519">
        <v>-7.9189687355301697</v>
      </c>
      <c r="AF11" s="541">
        <v>2017</v>
      </c>
      <c r="AG11" s="1130"/>
      <c r="AH11" s="1148"/>
      <c r="AI11" s="1125" t="s">
        <v>547</v>
      </c>
      <c r="AJ11" s="1149">
        <v>463</v>
      </c>
      <c r="AK11" s="1149">
        <v>6731508</v>
      </c>
      <c r="AL11" s="1149">
        <v>5125297</v>
      </c>
      <c r="AM11" s="1149">
        <v>1606211</v>
      </c>
      <c r="AN11" s="1149">
        <v>4437378.9800000004</v>
      </c>
      <c r="AO11" s="1149">
        <v>401312.84</v>
      </c>
      <c r="AP11" s="1149">
        <v>286605.18084999995</v>
      </c>
      <c r="AQ11" s="1149">
        <v>2294129.02</v>
      </c>
      <c r="AR11" s="1150">
        <v>0.34080461911357751</v>
      </c>
      <c r="AS11" s="1131"/>
    </row>
    <row r="12" spans="1:45" ht="18">
      <c r="A12" s="391" t="s">
        <v>549</v>
      </c>
      <c r="B12" s="391" t="s">
        <v>563</v>
      </c>
      <c r="C12" s="391">
        <v>8</v>
      </c>
      <c r="D12" s="391" t="s">
        <v>938</v>
      </c>
      <c r="E12" s="391" t="s">
        <v>548</v>
      </c>
      <c r="F12" s="391" t="s">
        <v>555</v>
      </c>
      <c r="G12" s="391" t="s">
        <v>2165</v>
      </c>
      <c r="H12" s="391" t="s">
        <v>2166</v>
      </c>
      <c r="I12" s="391">
        <v>150</v>
      </c>
      <c r="J12" s="391">
        <v>7521.69</v>
      </c>
      <c r="K12" s="391">
        <v>6852.73</v>
      </c>
      <c r="L12" s="391">
        <v>5573.4833500000004</v>
      </c>
      <c r="M12" s="391">
        <v>1948.2066499999992</v>
      </c>
      <c r="N12" s="391">
        <v>850</v>
      </c>
      <c r="O12" s="391">
        <v>429.25</v>
      </c>
      <c r="P12" s="391">
        <v>1279.25</v>
      </c>
      <c r="Q12" s="391">
        <v>668.95664999999917</v>
      </c>
      <c r="R12" s="391">
        <v>5556.28</v>
      </c>
      <c r="S12" s="391">
        <v>1965.41</v>
      </c>
      <c r="T12" s="391">
        <v>1128254</v>
      </c>
      <c r="U12" s="391">
        <v>1027910</v>
      </c>
      <c r="V12" s="391">
        <v>836022.50250000006</v>
      </c>
      <c r="W12" s="391">
        <v>127500</v>
      </c>
      <c r="X12" s="391">
        <v>64387.5</v>
      </c>
      <c r="Y12" s="519">
        <v>100344</v>
      </c>
      <c r="Z12" s="1102">
        <v>8.8937420119937531</v>
      </c>
      <c r="AA12" s="519">
        <v>833442.23</v>
      </c>
      <c r="AB12" s="519">
        <v>292231.49749999994</v>
      </c>
      <c r="AC12" s="519">
        <v>25.901215284856065</v>
      </c>
      <c r="AD12" s="519">
        <v>26.129911465857798</v>
      </c>
      <c r="AE12" s="519">
        <v>-0.228651643158366</v>
      </c>
      <c r="AF12" s="541">
        <v>2017</v>
      </c>
      <c r="AG12" s="1130"/>
      <c r="AH12" s="1148"/>
      <c r="AI12" s="1125" t="s">
        <v>2010</v>
      </c>
      <c r="AJ12" s="1149">
        <v>25</v>
      </c>
      <c r="AK12" s="1149">
        <v>401276</v>
      </c>
      <c r="AL12" s="1149">
        <v>320704</v>
      </c>
      <c r="AM12" s="1149">
        <v>80572</v>
      </c>
      <c r="AN12" s="1149">
        <v>275818</v>
      </c>
      <c r="AO12" s="1149">
        <v>21625</v>
      </c>
      <c r="AP12" s="1149">
        <v>23261</v>
      </c>
      <c r="AQ12" s="1149">
        <v>125458</v>
      </c>
      <c r="AR12" s="1150">
        <v>0.31264765398379168</v>
      </c>
      <c r="AS12" s="1131"/>
    </row>
    <row r="13" spans="1:45" ht="18">
      <c r="A13" s="391" t="s">
        <v>549</v>
      </c>
      <c r="B13" s="391" t="s">
        <v>563</v>
      </c>
      <c r="C13" s="391">
        <v>8</v>
      </c>
      <c r="D13" s="391" t="s">
        <v>938</v>
      </c>
      <c r="E13" s="391" t="s">
        <v>548</v>
      </c>
      <c r="F13" s="391" t="s">
        <v>555</v>
      </c>
      <c r="G13" s="391" t="s">
        <v>2007</v>
      </c>
      <c r="H13" s="391" t="s">
        <v>2008</v>
      </c>
      <c r="I13" s="391">
        <v>100</v>
      </c>
      <c r="J13" s="391">
        <v>7319.88</v>
      </c>
      <c r="K13" s="391">
        <v>6550.86</v>
      </c>
      <c r="L13" s="391">
        <v>5340.8369230769231</v>
      </c>
      <c r="M13" s="391">
        <v>1979.043076923077</v>
      </c>
      <c r="N13" s="391">
        <v>766</v>
      </c>
      <c r="O13" s="391">
        <v>444.0231</v>
      </c>
      <c r="P13" s="391">
        <v>1210.0230999999999</v>
      </c>
      <c r="Q13" s="391">
        <v>769.01997692307714</v>
      </c>
      <c r="R13" s="391">
        <v>5407.99</v>
      </c>
      <c r="S13" s="391">
        <v>1911.89</v>
      </c>
      <c r="T13" s="391">
        <v>731988</v>
      </c>
      <c r="U13" s="391">
        <v>655086</v>
      </c>
      <c r="V13" s="391">
        <v>534083.69230769225</v>
      </c>
      <c r="W13" s="391">
        <v>76600</v>
      </c>
      <c r="X13" s="391">
        <v>44402.31</v>
      </c>
      <c r="Y13" s="519">
        <v>76902</v>
      </c>
      <c r="Z13" s="1102">
        <v>10.505909932949722</v>
      </c>
      <c r="AA13" s="519">
        <v>540799.18999999994</v>
      </c>
      <c r="AB13" s="519">
        <v>197904.30769230775</v>
      </c>
      <c r="AC13" s="519">
        <v>27.036550830383522</v>
      </c>
      <c r="AD13" s="519">
        <v>26.119118556588301</v>
      </c>
      <c r="AE13" s="519">
        <v>0.98626866535815005</v>
      </c>
      <c r="AF13" s="541">
        <v>2017</v>
      </c>
      <c r="AG13" s="1130"/>
      <c r="AH13" s="1148"/>
      <c r="AI13" s="1125" t="s">
        <v>2003</v>
      </c>
      <c r="AJ13" s="1149">
        <v>17</v>
      </c>
      <c r="AK13" s="1149">
        <v>418090</v>
      </c>
      <c r="AL13" s="1149">
        <v>287361</v>
      </c>
      <c r="AM13" s="1149">
        <v>130729</v>
      </c>
      <c r="AN13" s="1149">
        <v>259945.035</v>
      </c>
      <c r="AO13" s="1149">
        <v>14705</v>
      </c>
      <c r="AP13" s="1149">
        <v>12710.970000000001</v>
      </c>
      <c r="AQ13" s="1149">
        <v>158144.965</v>
      </c>
      <c r="AR13" s="1150">
        <v>0.3782557942069889</v>
      </c>
      <c r="AS13" s="1131"/>
    </row>
    <row r="14" spans="1:45" ht="18">
      <c r="A14" s="391" t="s">
        <v>549</v>
      </c>
      <c r="B14" s="391" t="s">
        <v>563</v>
      </c>
      <c r="C14" s="391">
        <v>8</v>
      </c>
      <c r="D14" s="391" t="s">
        <v>938</v>
      </c>
      <c r="E14" s="391" t="s">
        <v>548</v>
      </c>
      <c r="F14" s="391" t="s">
        <v>555</v>
      </c>
      <c r="G14" s="391" t="s">
        <v>1274</v>
      </c>
      <c r="H14" s="391" t="s">
        <v>1275</v>
      </c>
      <c r="I14" s="391">
        <v>900</v>
      </c>
      <c r="J14" s="391">
        <v>6579.14</v>
      </c>
      <c r="K14" s="391">
        <v>6200.15</v>
      </c>
      <c r="L14" s="391">
        <v>4948.4343255741678</v>
      </c>
      <c r="M14" s="391">
        <v>1630.7056744258325</v>
      </c>
      <c r="N14" s="391">
        <v>849.95507999999995</v>
      </c>
      <c r="O14" s="391">
        <v>401.75726429115895</v>
      </c>
      <c r="P14" s="391">
        <v>1251.7123442911588</v>
      </c>
      <c r="Q14" s="391">
        <v>378.99333013467367</v>
      </c>
      <c r="R14" s="391">
        <v>5022.3500000000004</v>
      </c>
      <c r="S14" s="391">
        <v>1556.79</v>
      </c>
      <c r="T14" s="391">
        <v>5921222</v>
      </c>
      <c r="U14" s="391">
        <v>5580132</v>
      </c>
      <c r="V14" s="391">
        <v>4453590.8930167509</v>
      </c>
      <c r="W14" s="391">
        <v>764959.57199999993</v>
      </c>
      <c r="X14" s="391">
        <v>361581.53786204307</v>
      </c>
      <c r="Y14" s="519">
        <v>341090</v>
      </c>
      <c r="Z14" s="1102">
        <v>5.7604663361718238</v>
      </c>
      <c r="AA14" s="519">
        <v>4520114.3499999996</v>
      </c>
      <c r="AB14" s="519">
        <v>1467631.1069832491</v>
      </c>
      <c r="AC14" s="519">
        <v>24.785949707395687</v>
      </c>
      <c r="AD14" s="519">
        <v>23.662474618583701</v>
      </c>
      <c r="AE14" s="519">
        <v>1.47970507618872</v>
      </c>
      <c r="AF14" s="541">
        <v>2017</v>
      </c>
      <c r="AG14" s="1130"/>
      <c r="AH14" s="1148"/>
      <c r="AI14" s="1125" t="s">
        <v>2011</v>
      </c>
      <c r="AJ14" s="1149">
        <v>17</v>
      </c>
      <c r="AK14" s="1149">
        <v>501025</v>
      </c>
      <c r="AL14" s="1149">
        <v>356480</v>
      </c>
      <c r="AM14" s="1149">
        <v>144545</v>
      </c>
      <c r="AN14" s="1149">
        <v>333425.02899999998</v>
      </c>
      <c r="AO14" s="1149">
        <v>14705</v>
      </c>
      <c r="AP14" s="1149">
        <v>8349.9699999999993</v>
      </c>
      <c r="AQ14" s="1149">
        <v>167599.97099999999</v>
      </c>
      <c r="AR14" s="1150">
        <v>0.33451418791477472</v>
      </c>
      <c r="AS14" s="1131"/>
    </row>
    <row r="15" spans="1:45" ht="18">
      <c r="A15" s="391" t="s">
        <v>549</v>
      </c>
      <c r="B15" s="391" t="s">
        <v>563</v>
      </c>
      <c r="C15" s="391">
        <v>8</v>
      </c>
      <c r="D15" s="391" t="s">
        <v>938</v>
      </c>
      <c r="E15" s="391" t="s">
        <v>548</v>
      </c>
      <c r="F15" s="391" t="s">
        <v>555</v>
      </c>
      <c r="G15" s="391" t="s">
        <v>1891</v>
      </c>
      <c r="H15" s="391" t="s">
        <v>1892</v>
      </c>
      <c r="I15" s="391">
        <v>1300</v>
      </c>
      <c r="J15" s="391">
        <v>6562.4</v>
      </c>
      <c r="K15" s="391">
        <v>6383.39</v>
      </c>
      <c r="L15" s="391">
        <v>4975.3846153846152</v>
      </c>
      <c r="M15" s="391">
        <v>1587.0153846153844</v>
      </c>
      <c r="N15" s="391">
        <v>800</v>
      </c>
      <c r="O15" s="391">
        <v>608.00461538461536</v>
      </c>
      <c r="P15" s="391">
        <v>1408.0046153846154</v>
      </c>
      <c r="Q15" s="391">
        <v>179.01076923076903</v>
      </c>
      <c r="R15" s="391">
        <v>5041.07</v>
      </c>
      <c r="S15" s="391">
        <v>1521.33</v>
      </c>
      <c r="T15" s="391">
        <v>8531117</v>
      </c>
      <c r="U15" s="391">
        <v>8298406</v>
      </c>
      <c r="V15" s="391">
        <v>6468000</v>
      </c>
      <c r="W15" s="391">
        <v>1040000</v>
      </c>
      <c r="X15" s="391">
        <v>790406</v>
      </c>
      <c r="Y15" s="519">
        <v>232711</v>
      </c>
      <c r="Z15" s="1102">
        <v>2.7277905109026168</v>
      </c>
      <c r="AA15" s="519">
        <v>6553394.3499999996</v>
      </c>
      <c r="AB15" s="519">
        <v>2063117</v>
      </c>
      <c r="AC15" s="519">
        <v>24.183433423782606</v>
      </c>
      <c r="AD15" s="519">
        <v>23.182458440319099</v>
      </c>
      <c r="AE15" s="519">
        <v>19.834867817582701</v>
      </c>
      <c r="AF15" s="541">
        <v>2017</v>
      </c>
      <c r="AG15" s="1130"/>
      <c r="AH15" s="1148"/>
      <c r="AI15" s="1125" t="s">
        <v>2068</v>
      </c>
      <c r="AJ15" s="1149">
        <v>3</v>
      </c>
      <c r="AK15" s="1149">
        <v>73500</v>
      </c>
      <c r="AL15" s="1149">
        <v>62362</v>
      </c>
      <c r="AM15" s="1149">
        <v>11138</v>
      </c>
      <c r="AN15" s="1149">
        <v>62026.986000000004</v>
      </c>
      <c r="AO15" s="1149">
        <v>0</v>
      </c>
      <c r="AP15" s="1149">
        <v>335.01</v>
      </c>
      <c r="AQ15" s="1149">
        <v>11473.013999999996</v>
      </c>
      <c r="AR15" s="1150">
        <v>0.15609542857142852</v>
      </c>
      <c r="AS15" s="1131"/>
    </row>
    <row r="16" spans="1:45" ht="18">
      <c r="A16" s="391" t="s">
        <v>549</v>
      </c>
      <c r="B16" s="391" t="s">
        <v>563</v>
      </c>
      <c r="C16" s="391">
        <v>8</v>
      </c>
      <c r="D16" s="391" t="s">
        <v>938</v>
      </c>
      <c r="E16" s="391" t="s">
        <v>548</v>
      </c>
      <c r="F16" s="391" t="s">
        <v>555</v>
      </c>
      <c r="G16" s="391" t="s">
        <v>2167</v>
      </c>
      <c r="H16" s="391" t="s">
        <v>2168</v>
      </c>
      <c r="I16" s="391">
        <v>300</v>
      </c>
      <c r="J16" s="391">
        <v>6590.01</v>
      </c>
      <c r="K16" s="391">
        <v>6319.11</v>
      </c>
      <c r="L16" s="391">
        <v>5039.8533333333335</v>
      </c>
      <c r="M16" s="391">
        <v>1550.1566666666668</v>
      </c>
      <c r="N16" s="391">
        <v>850</v>
      </c>
      <c r="O16" s="391">
        <v>429.25666666666666</v>
      </c>
      <c r="P16" s="391">
        <v>1279.2566666666667</v>
      </c>
      <c r="Q16" s="391">
        <v>270.90000000000009</v>
      </c>
      <c r="R16" s="391">
        <v>5028.9399999999996</v>
      </c>
      <c r="S16" s="391">
        <v>1561.07</v>
      </c>
      <c r="T16" s="391">
        <v>1977004</v>
      </c>
      <c r="U16" s="391">
        <v>1895733</v>
      </c>
      <c r="V16" s="391">
        <v>1511956</v>
      </c>
      <c r="W16" s="391">
        <v>255000</v>
      </c>
      <c r="X16" s="391">
        <v>128777</v>
      </c>
      <c r="Y16" s="519">
        <v>81271</v>
      </c>
      <c r="Z16" s="1102">
        <v>4.1108161642566223</v>
      </c>
      <c r="AA16" s="519">
        <v>1508682.66</v>
      </c>
      <c r="AB16" s="519">
        <v>465048</v>
      </c>
      <c r="AC16" s="519">
        <v>23.522865912259157</v>
      </c>
      <c r="AD16" s="519">
        <v>23.688436726481001</v>
      </c>
      <c r="AE16" s="519">
        <v>0.25523005416276301</v>
      </c>
      <c r="AF16" s="541">
        <v>2017</v>
      </c>
      <c r="AG16" s="1130"/>
      <c r="AH16" s="1148"/>
      <c r="AI16" s="1125" t="s">
        <v>1751</v>
      </c>
      <c r="AJ16" s="1149">
        <v>28</v>
      </c>
      <c r="AK16" s="1149">
        <v>593617</v>
      </c>
      <c r="AL16" s="1149">
        <v>394077</v>
      </c>
      <c r="AM16" s="1149">
        <v>199540</v>
      </c>
      <c r="AN16" s="1149">
        <v>359539.8285</v>
      </c>
      <c r="AO16" s="1149">
        <v>17550</v>
      </c>
      <c r="AP16" s="1149">
        <v>16987.170000000002</v>
      </c>
      <c r="AQ16" s="1149">
        <v>234077.1715</v>
      </c>
      <c r="AR16" s="1150">
        <v>0.39432356468901664</v>
      </c>
      <c r="AS16" s="1131"/>
    </row>
    <row r="17" spans="1:45" ht="18">
      <c r="A17" s="391" t="s">
        <v>549</v>
      </c>
      <c r="B17" s="391" t="s">
        <v>563</v>
      </c>
      <c r="C17" s="391">
        <v>8</v>
      </c>
      <c r="D17" s="391" t="s">
        <v>938</v>
      </c>
      <c r="E17" s="391" t="s">
        <v>548</v>
      </c>
      <c r="F17" s="391" t="s">
        <v>555</v>
      </c>
      <c r="G17" s="391" t="s">
        <v>1269</v>
      </c>
      <c r="H17" s="391" t="s">
        <v>1270</v>
      </c>
      <c r="I17" s="391">
        <v>50</v>
      </c>
      <c r="J17" s="391">
        <v>6579.14</v>
      </c>
      <c r="K17" s="391">
        <v>6212.34</v>
      </c>
      <c r="L17" s="391">
        <v>4933.08</v>
      </c>
      <c r="M17" s="391">
        <v>1646.0600000000004</v>
      </c>
      <c r="N17" s="391">
        <v>850</v>
      </c>
      <c r="O17" s="391">
        <v>429.26</v>
      </c>
      <c r="P17" s="391">
        <v>1279.26</v>
      </c>
      <c r="Q17" s="391">
        <v>366.80000000000041</v>
      </c>
      <c r="R17" s="391">
        <v>5112.7700000000004</v>
      </c>
      <c r="S17" s="391">
        <v>1466.37</v>
      </c>
      <c r="T17" s="391">
        <v>328957</v>
      </c>
      <c r="U17" s="391">
        <v>310617</v>
      </c>
      <c r="V17" s="391">
        <v>246654</v>
      </c>
      <c r="W17" s="391">
        <v>42500</v>
      </c>
      <c r="X17" s="391">
        <v>21463</v>
      </c>
      <c r="Y17" s="519">
        <v>18340</v>
      </c>
      <c r="Z17" s="1102">
        <v>5.5751967582389188</v>
      </c>
      <c r="AA17" s="519">
        <v>255638.54</v>
      </c>
      <c r="AB17" s="519">
        <v>82303</v>
      </c>
      <c r="AC17" s="519">
        <v>25.019379432570215</v>
      </c>
      <c r="AD17" s="519">
        <v>22.2881599327571</v>
      </c>
      <c r="AE17" s="519">
        <v>2.7312194998130401</v>
      </c>
      <c r="AF17" s="541">
        <v>2017</v>
      </c>
      <c r="AG17" s="1130"/>
      <c r="AH17" s="1148"/>
      <c r="AI17" s="1125" t="s">
        <v>1872</v>
      </c>
      <c r="AJ17" s="1149">
        <v>2</v>
      </c>
      <c r="AK17" s="1149">
        <v>28300</v>
      </c>
      <c r="AL17" s="1149">
        <v>16919</v>
      </c>
      <c r="AM17" s="1149">
        <v>11381</v>
      </c>
      <c r="AN17" s="1149">
        <v>16788</v>
      </c>
      <c r="AO17" s="1149">
        <v>0</v>
      </c>
      <c r="AP17" s="1149">
        <v>131</v>
      </c>
      <c r="AQ17" s="1149">
        <v>11512</v>
      </c>
      <c r="AR17" s="1150">
        <v>0.40678445229681981</v>
      </c>
      <c r="AS17" s="1131"/>
    </row>
    <row r="18" spans="1:45" ht="18">
      <c r="A18" s="391" t="s">
        <v>549</v>
      </c>
      <c r="B18" s="391" t="s">
        <v>563</v>
      </c>
      <c r="C18" s="391">
        <v>8</v>
      </c>
      <c r="D18" s="391" t="s">
        <v>938</v>
      </c>
      <c r="E18" s="391" t="s">
        <v>548</v>
      </c>
      <c r="F18" s="391" t="s">
        <v>555</v>
      </c>
      <c r="G18" s="391" t="s">
        <v>2169</v>
      </c>
      <c r="H18" s="391" t="s">
        <v>2170</v>
      </c>
      <c r="I18" s="391">
        <v>167</v>
      </c>
      <c r="J18" s="391">
        <v>6579.14</v>
      </c>
      <c r="K18" s="391">
        <v>6701.87</v>
      </c>
      <c r="L18" s="391">
        <v>6701.8682500000004</v>
      </c>
      <c r="M18" s="391">
        <v>-122.72825000000012</v>
      </c>
      <c r="N18" s="391">
        <v>0</v>
      </c>
      <c r="O18" s="391">
        <v>0</v>
      </c>
      <c r="P18" s="391">
        <v>0</v>
      </c>
      <c r="Q18" s="391">
        <v>-122.72825000000012</v>
      </c>
      <c r="R18" s="391">
        <v>3451.45</v>
      </c>
      <c r="S18" s="391">
        <v>3127.69</v>
      </c>
      <c r="T18" s="391">
        <v>1098716</v>
      </c>
      <c r="U18" s="391">
        <v>1119212</v>
      </c>
      <c r="V18" s="391">
        <v>1119211.9977500001</v>
      </c>
      <c r="W18" s="391">
        <v>0</v>
      </c>
      <c r="X18" s="391">
        <v>0</v>
      </c>
      <c r="Y18" s="519">
        <v>-20496</v>
      </c>
      <c r="Z18" s="1102">
        <v>-1.8654502164344562</v>
      </c>
      <c r="AA18" s="519">
        <v>576391.62</v>
      </c>
      <c r="AB18" s="519">
        <v>-20495.997750000097</v>
      </c>
      <c r="AC18" s="519">
        <v>-1.865450011649971</v>
      </c>
      <c r="AD18" s="519">
        <v>47.539526082263201</v>
      </c>
      <c r="AE18" s="519">
        <v>-49.404976298697697</v>
      </c>
      <c r="AF18" s="541">
        <v>2017</v>
      </c>
      <c r="AG18" s="1130"/>
      <c r="AH18" s="1148"/>
      <c r="AI18" s="1125" t="s">
        <v>398</v>
      </c>
      <c r="AJ18" s="1149">
        <v>282</v>
      </c>
      <c r="AK18" s="1149">
        <v>649911</v>
      </c>
      <c r="AL18" s="1149">
        <v>427618</v>
      </c>
      <c r="AM18" s="1149">
        <v>222293</v>
      </c>
      <c r="AN18" s="1149">
        <v>403912.31392222224</v>
      </c>
      <c r="AO18" s="1149">
        <v>10668</v>
      </c>
      <c r="AP18" s="1149">
        <v>13037.688</v>
      </c>
      <c r="AQ18" s="1149">
        <v>245998.68607777779</v>
      </c>
      <c r="AR18" s="1150">
        <v>0.37851134398060315</v>
      </c>
      <c r="AS18" s="1131"/>
    </row>
    <row r="19" spans="1:45" ht="18">
      <c r="A19" s="391" t="s">
        <v>549</v>
      </c>
      <c r="B19" s="391" t="s">
        <v>563</v>
      </c>
      <c r="C19" s="391">
        <v>8</v>
      </c>
      <c r="D19" s="391" t="s">
        <v>938</v>
      </c>
      <c r="E19" s="391" t="s">
        <v>548</v>
      </c>
      <c r="F19" s="391" t="s">
        <v>555</v>
      </c>
      <c r="G19" s="391" t="s">
        <v>2044</v>
      </c>
      <c r="H19" s="391" t="s">
        <v>2009</v>
      </c>
      <c r="I19" s="391">
        <v>300</v>
      </c>
      <c r="J19" s="391">
        <v>6814.13</v>
      </c>
      <c r="K19" s="391">
        <v>6360.51</v>
      </c>
      <c r="L19" s="391">
        <v>5081.25335</v>
      </c>
      <c r="M19" s="391">
        <v>1732.8766500000002</v>
      </c>
      <c r="N19" s="391">
        <v>850</v>
      </c>
      <c r="O19" s="391">
        <v>429.26</v>
      </c>
      <c r="P19" s="391">
        <v>1279.26</v>
      </c>
      <c r="Q19" s="391">
        <v>453.61665000000016</v>
      </c>
      <c r="R19" s="391">
        <v>5024.9399999999996</v>
      </c>
      <c r="S19" s="391">
        <v>1789.19</v>
      </c>
      <c r="T19" s="391">
        <v>2044238</v>
      </c>
      <c r="U19" s="391">
        <v>1908154</v>
      </c>
      <c r="V19" s="391">
        <v>1524376.0049999999</v>
      </c>
      <c r="W19" s="391">
        <v>255000</v>
      </c>
      <c r="X19" s="391">
        <v>128778</v>
      </c>
      <c r="Y19" s="519">
        <v>136084</v>
      </c>
      <c r="Z19" s="1102">
        <v>6.6569548164157011</v>
      </c>
      <c r="AA19" s="519">
        <v>1507481.54</v>
      </c>
      <c r="AB19" s="519">
        <v>519861.99500000011</v>
      </c>
      <c r="AC19" s="519">
        <v>25.430600301921796</v>
      </c>
      <c r="AD19" s="519">
        <v>26.257043339376299</v>
      </c>
      <c r="AE19" s="519">
        <v>-0.82649171084775797</v>
      </c>
      <c r="AF19" s="541">
        <v>2017</v>
      </c>
      <c r="AG19" s="1130"/>
      <c r="AH19" s="1148"/>
      <c r="AI19" s="1151"/>
      <c r="AJ19" s="1152"/>
      <c r="AK19" s="1152"/>
      <c r="AL19" s="1152"/>
      <c r="AM19" s="1152"/>
      <c r="AN19" s="1152"/>
      <c r="AO19" s="1152"/>
      <c r="AP19" s="1152"/>
      <c r="AQ19" s="1152"/>
      <c r="AR19" s="1153"/>
      <c r="AS19" s="1131"/>
    </row>
    <row r="20" spans="1:45" ht="18">
      <c r="A20" s="391" t="s">
        <v>549</v>
      </c>
      <c r="B20" s="391" t="s">
        <v>563</v>
      </c>
      <c r="C20" s="391">
        <v>8</v>
      </c>
      <c r="D20" s="391" t="s">
        <v>938</v>
      </c>
      <c r="E20" s="391" t="s">
        <v>548</v>
      </c>
      <c r="F20" s="391" t="s">
        <v>2151</v>
      </c>
      <c r="G20" s="391" t="s">
        <v>2171</v>
      </c>
      <c r="H20" s="391" t="s">
        <v>2172</v>
      </c>
      <c r="I20" s="391">
        <v>150</v>
      </c>
      <c r="J20" s="391">
        <v>127.17</v>
      </c>
      <c r="K20" s="391">
        <v>710.63</v>
      </c>
      <c r="L20" s="391">
        <v>636.35664999999995</v>
      </c>
      <c r="M20" s="391">
        <v>-509.18664999999993</v>
      </c>
      <c r="N20" s="391">
        <v>49.5</v>
      </c>
      <c r="O20" s="391">
        <v>24.77</v>
      </c>
      <c r="P20" s="391">
        <v>74.27</v>
      </c>
      <c r="Q20" s="391">
        <v>-583.45664999999997</v>
      </c>
      <c r="R20" s="391">
        <v>635.86</v>
      </c>
      <c r="S20" s="391">
        <v>-508.7</v>
      </c>
      <c r="T20" s="391">
        <v>19075</v>
      </c>
      <c r="U20" s="391">
        <v>106594</v>
      </c>
      <c r="V20" s="391">
        <v>95453.497499999998</v>
      </c>
      <c r="W20" s="391">
        <v>7425</v>
      </c>
      <c r="X20" s="391">
        <v>3715.5</v>
      </c>
      <c r="Y20" s="519">
        <v>-87519</v>
      </c>
      <c r="Z20" s="1102">
        <v>-458.81520314547839</v>
      </c>
      <c r="AA20" s="519">
        <v>95379.46</v>
      </c>
      <c r="AB20" s="519">
        <v>-76378.497499999998</v>
      </c>
      <c r="AC20" s="519">
        <v>-400.41152031454777</v>
      </c>
      <c r="AD20" s="519">
        <v>-400.02338401048399</v>
      </c>
      <c r="AE20" s="519">
        <v>-0.39077064220183599</v>
      </c>
      <c r="AF20" s="541">
        <v>2017</v>
      </c>
      <c r="AG20" s="1130"/>
      <c r="AH20" s="1154" t="s">
        <v>938</v>
      </c>
      <c r="AI20" s="1145"/>
      <c r="AJ20" s="1146">
        <v>14025</v>
      </c>
      <c r="AK20" s="1146">
        <v>63767927</v>
      </c>
      <c r="AL20" s="1146">
        <v>55924181</v>
      </c>
      <c r="AM20" s="1146">
        <v>7843746</v>
      </c>
      <c r="AN20" s="1146">
        <v>49310610.98332914</v>
      </c>
      <c r="AO20" s="1146">
        <v>4139566.3056813194</v>
      </c>
      <c r="AP20" s="1146">
        <v>2474003.7135377671</v>
      </c>
      <c r="AQ20" s="1146">
        <v>14457316.016670873</v>
      </c>
      <c r="AR20" s="1147">
        <v>0.22671767292468004</v>
      </c>
      <c r="AS20" s="1131"/>
    </row>
    <row r="21" spans="1:45" ht="18">
      <c r="A21" s="391" t="s">
        <v>549</v>
      </c>
      <c r="B21" s="391" t="s">
        <v>563</v>
      </c>
      <c r="C21" s="391">
        <v>8</v>
      </c>
      <c r="D21" s="391" t="s">
        <v>938</v>
      </c>
      <c r="E21" s="391" t="s">
        <v>548</v>
      </c>
      <c r="F21" s="391" t="s">
        <v>601</v>
      </c>
      <c r="G21" s="391" t="s">
        <v>1258</v>
      </c>
      <c r="H21" s="391" t="s">
        <v>1259</v>
      </c>
      <c r="I21" s="391">
        <v>10</v>
      </c>
      <c r="J21" s="391">
        <v>7135.4</v>
      </c>
      <c r="K21" s="391">
        <v>7121.2</v>
      </c>
      <c r="L21" s="391">
        <v>5703.2</v>
      </c>
      <c r="M21" s="391">
        <v>1432.1999999999998</v>
      </c>
      <c r="N21" s="391">
        <v>850</v>
      </c>
      <c r="O21" s="391">
        <v>568</v>
      </c>
      <c r="P21" s="391">
        <v>1418</v>
      </c>
      <c r="Q21" s="391">
        <v>14.199999999999818</v>
      </c>
      <c r="R21" s="391">
        <v>0.1</v>
      </c>
      <c r="S21" s="391">
        <v>7135.3</v>
      </c>
      <c r="T21" s="391">
        <v>71354</v>
      </c>
      <c r="U21" s="391">
        <v>71212</v>
      </c>
      <c r="V21" s="391">
        <v>57032</v>
      </c>
      <c r="W21" s="391">
        <v>8500</v>
      </c>
      <c r="X21" s="391">
        <v>5680</v>
      </c>
      <c r="Y21" s="519">
        <v>142</v>
      </c>
      <c r="Z21" s="1102">
        <v>0.1990077641057264</v>
      </c>
      <c r="AA21" s="519">
        <v>1</v>
      </c>
      <c r="AB21" s="519">
        <v>14322</v>
      </c>
      <c r="AC21" s="519">
        <v>20.071754912128263</v>
      </c>
      <c r="AD21" s="519">
        <v>99.998598677018805</v>
      </c>
      <c r="AE21" s="519">
        <v>-79.928245228018</v>
      </c>
      <c r="AF21" s="541">
        <v>2017</v>
      </c>
      <c r="AG21" s="1130"/>
      <c r="AH21" s="1148"/>
      <c r="AI21" s="1125" t="s">
        <v>2155</v>
      </c>
      <c r="AJ21" s="1149">
        <v>1</v>
      </c>
      <c r="AK21" s="1149">
        <v>5391</v>
      </c>
      <c r="AL21" s="1149">
        <v>4869</v>
      </c>
      <c r="AM21" s="1149">
        <v>522</v>
      </c>
      <c r="AN21" s="1149">
        <v>4869</v>
      </c>
      <c r="AO21" s="1149">
        <v>0</v>
      </c>
      <c r="AP21" s="1149">
        <v>0</v>
      </c>
      <c r="AQ21" s="1149">
        <v>522</v>
      </c>
      <c r="AR21" s="1150">
        <v>9.6828046744574292E-2</v>
      </c>
      <c r="AS21" s="1131"/>
    </row>
    <row r="22" spans="1:45" ht="18">
      <c r="A22" s="391" t="s">
        <v>549</v>
      </c>
      <c r="B22" s="391" t="s">
        <v>563</v>
      </c>
      <c r="C22" s="391">
        <v>8</v>
      </c>
      <c r="D22" s="391" t="s">
        <v>938</v>
      </c>
      <c r="E22" s="391" t="s">
        <v>548</v>
      </c>
      <c r="F22" s="391" t="s">
        <v>601</v>
      </c>
      <c r="G22" s="391" t="s">
        <v>2173</v>
      </c>
      <c r="H22" s="391" t="s">
        <v>2174</v>
      </c>
      <c r="I22" s="391">
        <v>10</v>
      </c>
      <c r="J22" s="391">
        <v>7135.4</v>
      </c>
      <c r="K22" s="391">
        <v>7392.4</v>
      </c>
      <c r="L22" s="391">
        <v>5974.4</v>
      </c>
      <c r="M22" s="391">
        <v>1161</v>
      </c>
      <c r="N22" s="391">
        <v>850</v>
      </c>
      <c r="O22" s="391">
        <v>568</v>
      </c>
      <c r="P22" s="391">
        <v>1418</v>
      </c>
      <c r="Q22" s="391">
        <v>-257</v>
      </c>
      <c r="R22" s="391">
        <v>0.1</v>
      </c>
      <c r="S22" s="391">
        <v>7135.3</v>
      </c>
      <c r="T22" s="391">
        <v>71354</v>
      </c>
      <c r="U22" s="391">
        <v>73924</v>
      </c>
      <c r="V22" s="391">
        <v>59744</v>
      </c>
      <c r="W22" s="391">
        <v>8500</v>
      </c>
      <c r="X22" s="391">
        <v>5680</v>
      </c>
      <c r="Y22" s="519">
        <v>-2570</v>
      </c>
      <c r="Z22" s="1102">
        <v>-3.6017602376881466</v>
      </c>
      <c r="AA22" s="519">
        <v>1</v>
      </c>
      <c r="AB22" s="519">
        <v>11610</v>
      </c>
      <c r="AC22" s="519">
        <v>16.27098691033439</v>
      </c>
      <c r="AD22" s="519">
        <v>99.998598677018805</v>
      </c>
      <c r="AE22" s="519">
        <v>-83.727611766684404</v>
      </c>
      <c r="AF22" s="541">
        <v>2017</v>
      </c>
      <c r="AG22" s="1130"/>
      <c r="AH22" s="1148"/>
      <c r="AI22" s="1125" t="s">
        <v>2019</v>
      </c>
      <c r="AJ22" s="1149">
        <v>1000</v>
      </c>
      <c r="AK22" s="1149">
        <v>4192935</v>
      </c>
      <c r="AL22" s="1149">
        <v>3445373</v>
      </c>
      <c r="AM22" s="1149">
        <v>747562</v>
      </c>
      <c r="AN22" s="1149">
        <v>2856203</v>
      </c>
      <c r="AO22" s="1149">
        <v>392700</v>
      </c>
      <c r="AP22" s="1149">
        <v>196470</v>
      </c>
      <c r="AQ22" s="1149">
        <v>1336732</v>
      </c>
      <c r="AR22" s="1150">
        <v>0.31880580071000386</v>
      </c>
      <c r="AS22" s="1131"/>
    </row>
    <row r="23" spans="1:45" ht="18">
      <c r="A23" s="391" t="s">
        <v>549</v>
      </c>
      <c r="B23" s="391" t="s">
        <v>563</v>
      </c>
      <c r="C23" s="391">
        <v>8</v>
      </c>
      <c r="D23" s="391" t="s">
        <v>938</v>
      </c>
      <c r="E23" s="391" t="s">
        <v>548</v>
      </c>
      <c r="F23" s="391" t="s">
        <v>601</v>
      </c>
      <c r="G23" s="391" t="s">
        <v>2175</v>
      </c>
      <c r="H23" s="391" t="s">
        <v>2026</v>
      </c>
      <c r="I23" s="391">
        <v>100</v>
      </c>
      <c r="J23" s="391">
        <v>7129.7</v>
      </c>
      <c r="K23" s="391">
        <v>7200.43</v>
      </c>
      <c r="L23" s="391">
        <v>5921.17</v>
      </c>
      <c r="M23" s="391">
        <v>1208.5299999999997</v>
      </c>
      <c r="N23" s="391">
        <v>850</v>
      </c>
      <c r="O23" s="391">
        <v>429.26</v>
      </c>
      <c r="P23" s="391">
        <v>1279.26</v>
      </c>
      <c r="Q23" s="391">
        <v>-70.730000000000246</v>
      </c>
      <c r="R23" s="391">
        <v>5991.73</v>
      </c>
      <c r="S23" s="391">
        <v>1137.97</v>
      </c>
      <c r="T23" s="391">
        <v>712970</v>
      </c>
      <c r="U23" s="391">
        <v>720043</v>
      </c>
      <c r="V23" s="391">
        <v>592117</v>
      </c>
      <c r="W23" s="391">
        <v>85000</v>
      </c>
      <c r="X23" s="391">
        <v>42926</v>
      </c>
      <c r="Y23" s="519">
        <v>-7073</v>
      </c>
      <c r="Z23" s="1102">
        <v>-0.99204735122094889</v>
      </c>
      <c r="AA23" s="519">
        <v>599173.18000000005</v>
      </c>
      <c r="AB23" s="519">
        <v>120853</v>
      </c>
      <c r="AC23" s="519">
        <v>16.950643084561761</v>
      </c>
      <c r="AD23" s="519">
        <v>15.9609549546264</v>
      </c>
      <c r="AE23" s="519">
        <v>0.98968812993534006</v>
      </c>
      <c r="AF23" s="541">
        <v>2017</v>
      </c>
      <c r="AG23" s="1130"/>
      <c r="AH23" s="1148"/>
      <c r="AI23" s="1125" t="s">
        <v>882</v>
      </c>
      <c r="AJ23" s="1149">
        <v>960</v>
      </c>
      <c r="AK23" s="1149">
        <v>293748</v>
      </c>
      <c r="AL23" s="1149">
        <v>374202</v>
      </c>
      <c r="AM23" s="1149">
        <v>-80454</v>
      </c>
      <c r="AN23" s="1149">
        <v>270732.20943721588</v>
      </c>
      <c r="AO23" s="1149">
        <v>58778.770689776487</v>
      </c>
      <c r="AP23" s="1149">
        <v>44691.021000000001</v>
      </c>
      <c r="AQ23" s="1149">
        <v>23015.790562784125</v>
      </c>
      <c r="AR23" s="1150">
        <v>7.8352160909296822E-2</v>
      </c>
      <c r="AS23" s="1131"/>
    </row>
    <row r="24" spans="1:45" ht="18">
      <c r="A24" s="391" t="s">
        <v>549</v>
      </c>
      <c r="B24" s="391" t="s">
        <v>563</v>
      </c>
      <c r="C24" s="391">
        <v>8</v>
      </c>
      <c r="D24" s="391" t="s">
        <v>938</v>
      </c>
      <c r="E24" s="391" t="s">
        <v>548</v>
      </c>
      <c r="F24" s="391" t="s">
        <v>601</v>
      </c>
      <c r="G24" s="391" t="s">
        <v>2176</v>
      </c>
      <c r="H24" s="391" t="s">
        <v>2026</v>
      </c>
      <c r="I24" s="391">
        <v>150</v>
      </c>
      <c r="J24" s="391">
        <v>7141.51</v>
      </c>
      <c r="K24" s="391">
        <v>7654.28</v>
      </c>
      <c r="L24" s="391">
        <v>6246.2733333333335</v>
      </c>
      <c r="M24" s="391">
        <v>895.23666666666668</v>
      </c>
      <c r="N24" s="391">
        <v>800</v>
      </c>
      <c r="O24" s="391">
        <v>608.00666666666666</v>
      </c>
      <c r="P24" s="391">
        <v>1408.0066666666667</v>
      </c>
      <c r="Q24" s="391">
        <v>-512.77</v>
      </c>
      <c r="R24" s="391">
        <v>6010.46</v>
      </c>
      <c r="S24" s="391">
        <v>1131.05</v>
      </c>
      <c r="T24" s="391">
        <v>1071226</v>
      </c>
      <c r="U24" s="391">
        <v>1148142</v>
      </c>
      <c r="V24" s="391">
        <v>936941</v>
      </c>
      <c r="W24" s="391">
        <v>120000</v>
      </c>
      <c r="X24" s="391">
        <v>91201</v>
      </c>
      <c r="Y24" s="519">
        <v>-76916</v>
      </c>
      <c r="Z24" s="1102">
        <v>-7.1801842001594434</v>
      </c>
      <c r="AA24" s="519">
        <v>901568.26</v>
      </c>
      <c r="AB24" s="519">
        <v>134285</v>
      </c>
      <c r="AC24" s="519">
        <v>12.53563673771921</v>
      </c>
      <c r="AD24" s="519">
        <v>15.8377163931794</v>
      </c>
      <c r="AE24" s="519">
        <v>16.969459683577501</v>
      </c>
      <c r="AF24" s="541">
        <v>2017</v>
      </c>
      <c r="AG24" s="1130"/>
      <c r="AH24" s="1148"/>
      <c r="AI24" s="1125" t="s">
        <v>2152</v>
      </c>
      <c r="AJ24" s="1149">
        <v>200</v>
      </c>
      <c r="AK24" s="1149">
        <v>137872</v>
      </c>
      <c r="AL24" s="1149">
        <v>138803</v>
      </c>
      <c r="AM24" s="1149">
        <v>-931</v>
      </c>
      <c r="AN24" s="1149">
        <v>122349</v>
      </c>
      <c r="AO24" s="1149">
        <v>9900</v>
      </c>
      <c r="AP24" s="1149">
        <v>6554.0000000000009</v>
      </c>
      <c r="AQ24" s="1149">
        <v>15523</v>
      </c>
      <c r="AR24" s="1150">
        <v>0.1125899384936753</v>
      </c>
      <c r="AS24" s="1131"/>
    </row>
    <row r="25" spans="1:45" ht="18">
      <c r="A25" s="391" t="s">
        <v>549</v>
      </c>
      <c r="B25" s="391" t="s">
        <v>563</v>
      </c>
      <c r="C25" s="391">
        <v>8</v>
      </c>
      <c r="D25" s="391" t="s">
        <v>938</v>
      </c>
      <c r="E25" s="391" t="s">
        <v>548</v>
      </c>
      <c r="F25" s="391" t="s">
        <v>601</v>
      </c>
      <c r="G25" s="391" t="s">
        <v>2056</v>
      </c>
      <c r="H25" s="391" t="s">
        <v>2026</v>
      </c>
      <c r="I25" s="391">
        <v>100</v>
      </c>
      <c r="J25" s="391">
        <v>7153.31</v>
      </c>
      <c r="K25" s="391">
        <v>7505.12</v>
      </c>
      <c r="L25" s="391">
        <v>6225.86</v>
      </c>
      <c r="M25" s="391">
        <v>927.45000000000073</v>
      </c>
      <c r="N25" s="391">
        <v>850</v>
      </c>
      <c r="O25" s="391">
        <v>429.26</v>
      </c>
      <c r="P25" s="391">
        <v>1279.26</v>
      </c>
      <c r="Q25" s="391">
        <v>-351.80999999999926</v>
      </c>
      <c r="R25" s="391">
        <v>5994.32</v>
      </c>
      <c r="S25" s="391">
        <v>1158.99</v>
      </c>
      <c r="T25" s="391">
        <v>715331</v>
      </c>
      <c r="U25" s="391">
        <v>750512</v>
      </c>
      <c r="V25" s="391">
        <v>622586</v>
      </c>
      <c r="W25" s="391">
        <v>85000</v>
      </c>
      <c r="X25" s="391">
        <v>42926</v>
      </c>
      <c r="Y25" s="519">
        <v>-35181</v>
      </c>
      <c r="Z25" s="1102">
        <v>-4.9181427898413466</v>
      </c>
      <c r="AA25" s="519">
        <v>599432.1</v>
      </c>
      <c r="AB25" s="519">
        <v>92745</v>
      </c>
      <c r="AC25" s="519">
        <v>12.965326541139696</v>
      </c>
      <c r="AD25" s="519">
        <v>16.202135869967801</v>
      </c>
      <c r="AE25" s="519">
        <v>-3.2368093288281901</v>
      </c>
      <c r="AF25" s="541">
        <v>2017</v>
      </c>
      <c r="AG25" s="1130"/>
      <c r="AH25" s="1148"/>
      <c r="AI25" s="1125" t="s">
        <v>940</v>
      </c>
      <c r="AJ25" s="1149">
        <v>150</v>
      </c>
      <c r="AK25" s="1149">
        <v>12685</v>
      </c>
      <c r="AL25" s="1149">
        <v>8880</v>
      </c>
      <c r="AM25" s="1149">
        <v>3805</v>
      </c>
      <c r="AN25" s="1149">
        <v>8880</v>
      </c>
      <c r="AO25" s="1149">
        <v>0</v>
      </c>
      <c r="AP25" s="1149">
        <v>0</v>
      </c>
      <c r="AQ25" s="1149">
        <v>3805</v>
      </c>
      <c r="AR25" s="1150">
        <v>0.29996058336618053</v>
      </c>
      <c r="AS25" s="1131"/>
    </row>
    <row r="26" spans="1:45" ht="18">
      <c r="A26" s="391" t="s">
        <v>549</v>
      </c>
      <c r="B26" s="391" t="s">
        <v>563</v>
      </c>
      <c r="C26" s="391">
        <v>8</v>
      </c>
      <c r="D26" s="391" t="s">
        <v>938</v>
      </c>
      <c r="E26" s="391" t="s">
        <v>548</v>
      </c>
      <c r="F26" s="391" t="s">
        <v>601</v>
      </c>
      <c r="G26" s="391" t="s">
        <v>2177</v>
      </c>
      <c r="H26" s="391" t="s">
        <v>2021</v>
      </c>
      <c r="I26" s="391">
        <v>10</v>
      </c>
      <c r="J26" s="391">
        <v>7141.5</v>
      </c>
      <c r="K26" s="391">
        <v>7383.4</v>
      </c>
      <c r="L26" s="391">
        <v>5965.4</v>
      </c>
      <c r="M26" s="391">
        <v>1176.1000000000004</v>
      </c>
      <c r="N26" s="391">
        <v>850</v>
      </c>
      <c r="O26" s="391">
        <v>568</v>
      </c>
      <c r="P26" s="391">
        <v>1418</v>
      </c>
      <c r="Q26" s="391">
        <v>-241.89999999999964</v>
      </c>
      <c r="R26" s="391">
        <v>6017.58</v>
      </c>
      <c r="S26" s="391">
        <v>1123.92</v>
      </c>
      <c r="T26" s="391">
        <v>71415</v>
      </c>
      <c r="U26" s="391">
        <v>73834</v>
      </c>
      <c r="V26" s="391">
        <v>59654</v>
      </c>
      <c r="W26" s="391">
        <v>8500</v>
      </c>
      <c r="X26" s="391">
        <v>5680</v>
      </c>
      <c r="Y26" s="519">
        <v>-2419</v>
      </c>
      <c r="Z26" s="1102">
        <v>-3.3872435762794932</v>
      </c>
      <c r="AA26" s="519">
        <v>60175.83</v>
      </c>
      <c r="AB26" s="519">
        <v>11761</v>
      </c>
      <c r="AC26" s="519">
        <v>16.468529020513898</v>
      </c>
      <c r="AD26" s="519">
        <v>15.737828963102899</v>
      </c>
      <c r="AE26" s="519">
        <v>0.73070005741090804</v>
      </c>
      <c r="AF26" s="541">
        <v>2017</v>
      </c>
      <c r="AG26" s="1130"/>
      <c r="AH26" s="1148"/>
      <c r="AI26" s="1125" t="s">
        <v>1261</v>
      </c>
      <c r="AJ26" s="1149">
        <v>800</v>
      </c>
      <c r="AK26" s="1149">
        <v>3511392</v>
      </c>
      <c r="AL26" s="1149">
        <v>2781742</v>
      </c>
      <c r="AM26" s="1149">
        <v>729650</v>
      </c>
      <c r="AN26" s="1149">
        <v>2300250.4975000001</v>
      </c>
      <c r="AO26" s="1149">
        <v>314160</v>
      </c>
      <c r="AP26" s="1149">
        <v>167331.5</v>
      </c>
      <c r="AQ26" s="1149">
        <v>1211141.5024999999</v>
      </c>
      <c r="AR26" s="1150">
        <v>0.34491777121437878</v>
      </c>
      <c r="AS26" s="1131"/>
    </row>
    <row r="27" spans="1:45" ht="18">
      <c r="A27" s="391" t="s">
        <v>549</v>
      </c>
      <c r="B27" s="391" t="s">
        <v>563</v>
      </c>
      <c r="C27" s="391">
        <v>8</v>
      </c>
      <c r="D27" s="391" t="s">
        <v>938</v>
      </c>
      <c r="E27" s="391" t="s">
        <v>548</v>
      </c>
      <c r="F27" s="391" t="s">
        <v>2150</v>
      </c>
      <c r="G27" s="391" t="s">
        <v>2178</v>
      </c>
      <c r="H27" s="391" t="s">
        <v>2179</v>
      </c>
      <c r="I27" s="391">
        <v>250</v>
      </c>
      <c r="J27" s="391">
        <v>112.4</v>
      </c>
      <c r="K27" s="391">
        <v>655.66</v>
      </c>
      <c r="L27" s="391">
        <v>581.39599999999996</v>
      </c>
      <c r="M27" s="391">
        <v>-468.99599999999998</v>
      </c>
      <c r="N27" s="391">
        <v>49.5</v>
      </c>
      <c r="O27" s="391">
        <v>24.76</v>
      </c>
      <c r="P27" s="391">
        <v>74.260000000000005</v>
      </c>
      <c r="Q27" s="391">
        <v>-543.25599999999997</v>
      </c>
      <c r="R27" s="391">
        <v>581.1</v>
      </c>
      <c r="S27" s="391">
        <v>-468.7</v>
      </c>
      <c r="T27" s="391">
        <v>28100</v>
      </c>
      <c r="U27" s="391">
        <v>163914</v>
      </c>
      <c r="V27" s="391">
        <v>145349</v>
      </c>
      <c r="W27" s="391">
        <v>12375</v>
      </c>
      <c r="X27" s="391">
        <v>6190</v>
      </c>
      <c r="Y27" s="519">
        <v>-135814</v>
      </c>
      <c r="Z27" s="1102">
        <v>-483.3238434163701</v>
      </c>
      <c r="AA27" s="519">
        <v>145276.06</v>
      </c>
      <c r="AB27" s="519">
        <v>-117249</v>
      </c>
      <c r="AC27" s="519">
        <v>-417.25622775800713</v>
      </c>
      <c r="AD27" s="519">
        <v>-416.99665480427001</v>
      </c>
      <c r="AE27" s="519">
        <v>-0.256014234875444</v>
      </c>
      <c r="AF27" s="541">
        <v>2017</v>
      </c>
      <c r="AG27" s="1130"/>
      <c r="AH27" s="1148"/>
      <c r="AI27" s="1125" t="s">
        <v>555</v>
      </c>
      <c r="AJ27" s="1149">
        <v>3267</v>
      </c>
      <c r="AK27" s="1149">
        <v>21761496</v>
      </c>
      <c r="AL27" s="1149">
        <v>20795250</v>
      </c>
      <c r="AM27" s="1149">
        <v>966246</v>
      </c>
      <c r="AN27" s="1149">
        <v>16693895.090574443</v>
      </c>
      <c r="AO27" s="1149">
        <v>2561559.5719999997</v>
      </c>
      <c r="AP27" s="1149">
        <v>1539795.347862043</v>
      </c>
      <c r="AQ27" s="1149">
        <v>5067600.9094255567</v>
      </c>
      <c r="AR27" s="1150">
        <v>0.23287006138849814</v>
      </c>
      <c r="AS27" s="1131"/>
    </row>
    <row r="28" spans="1:45" ht="18">
      <c r="A28" s="391" t="s">
        <v>549</v>
      </c>
      <c r="B28" s="391" t="s">
        <v>563</v>
      </c>
      <c r="C28" s="391">
        <v>8</v>
      </c>
      <c r="D28" s="391" t="s">
        <v>938</v>
      </c>
      <c r="E28" s="391" t="s">
        <v>548</v>
      </c>
      <c r="F28" s="391" t="s">
        <v>556</v>
      </c>
      <c r="G28" s="391" t="s">
        <v>582</v>
      </c>
      <c r="H28" s="391" t="s">
        <v>554</v>
      </c>
      <c r="I28" s="391">
        <v>950</v>
      </c>
      <c r="J28" s="391">
        <v>302.67</v>
      </c>
      <c r="K28" s="391">
        <v>379.37</v>
      </c>
      <c r="L28" s="391">
        <v>246.58031340894553</v>
      </c>
      <c r="M28" s="391">
        <v>56.089686591054488</v>
      </c>
      <c r="N28" s="391">
        <v>85.772433734891294</v>
      </c>
      <c r="O28" s="391">
        <v>47.021990000000002</v>
      </c>
      <c r="P28" s="391">
        <v>132.7944237348913</v>
      </c>
      <c r="Q28" s="391">
        <v>-76.704737143836809</v>
      </c>
      <c r="R28" s="391">
        <v>3.39</v>
      </c>
      <c r="S28" s="391">
        <v>299.27999999999997</v>
      </c>
      <c r="T28" s="391">
        <v>287533</v>
      </c>
      <c r="U28" s="391">
        <v>360406</v>
      </c>
      <c r="V28" s="391">
        <v>234251.29773849825</v>
      </c>
      <c r="W28" s="391">
        <v>81483.812048146734</v>
      </c>
      <c r="X28" s="391">
        <v>44670.890500000001</v>
      </c>
      <c r="Y28" s="519">
        <v>-72873</v>
      </c>
      <c r="Z28" s="1102">
        <v>-25.344221358939667</v>
      </c>
      <c r="AA28" s="519">
        <v>3218.78</v>
      </c>
      <c r="AB28" s="519">
        <v>53281.702261501749</v>
      </c>
      <c r="AC28" s="519">
        <v>18.530639008914367</v>
      </c>
      <c r="AD28" s="519">
        <v>98.880553988585604</v>
      </c>
      <c r="AE28" s="519">
        <v>-80.623049632563905</v>
      </c>
      <c r="AF28" s="541">
        <v>2017</v>
      </c>
      <c r="AG28" s="1130"/>
      <c r="AH28" s="1148"/>
      <c r="AI28" s="1125" t="s">
        <v>2151</v>
      </c>
      <c r="AJ28" s="1149">
        <v>150</v>
      </c>
      <c r="AK28" s="1149">
        <v>19075</v>
      </c>
      <c r="AL28" s="1149">
        <v>106594</v>
      </c>
      <c r="AM28" s="1149">
        <v>-87519</v>
      </c>
      <c r="AN28" s="1149">
        <v>95453.497499999998</v>
      </c>
      <c r="AO28" s="1149">
        <v>7425</v>
      </c>
      <c r="AP28" s="1149">
        <v>3715.5</v>
      </c>
      <c r="AQ28" s="1149">
        <v>-76378.497499999998</v>
      </c>
      <c r="AR28" s="1150">
        <v>-4.0041152031454779</v>
      </c>
      <c r="AS28" s="1131"/>
    </row>
    <row r="29" spans="1:45" ht="18">
      <c r="A29" s="391" t="s">
        <v>549</v>
      </c>
      <c r="B29" s="391" t="s">
        <v>563</v>
      </c>
      <c r="C29" s="391">
        <v>8</v>
      </c>
      <c r="D29" s="391" t="s">
        <v>938</v>
      </c>
      <c r="E29" s="391" t="s">
        <v>548</v>
      </c>
      <c r="F29" s="391" t="s">
        <v>556</v>
      </c>
      <c r="G29" s="391" t="s">
        <v>2180</v>
      </c>
      <c r="H29" s="391" t="s">
        <v>2181</v>
      </c>
      <c r="I29" s="391">
        <v>250</v>
      </c>
      <c r="J29" s="391">
        <v>316.12</v>
      </c>
      <c r="K29" s="391">
        <v>380.34</v>
      </c>
      <c r="L29" s="391">
        <v>380.33600000000001</v>
      </c>
      <c r="M29" s="391">
        <v>-64.216000000000008</v>
      </c>
      <c r="N29" s="391">
        <v>0</v>
      </c>
      <c r="O29" s="391">
        <v>0</v>
      </c>
      <c r="P29" s="391">
        <v>0</v>
      </c>
      <c r="Q29" s="391">
        <v>-64.216000000000008</v>
      </c>
      <c r="R29" s="391">
        <v>247.56</v>
      </c>
      <c r="S29" s="391">
        <v>68.56</v>
      </c>
      <c r="T29" s="391">
        <v>79030</v>
      </c>
      <c r="U29" s="391">
        <v>95084</v>
      </c>
      <c r="V29" s="391">
        <v>95084</v>
      </c>
      <c r="W29" s="391">
        <v>0</v>
      </c>
      <c r="X29" s="391">
        <v>0</v>
      </c>
      <c r="Y29" s="519">
        <v>-16054</v>
      </c>
      <c r="Z29" s="1102">
        <v>-20.313804884221181</v>
      </c>
      <c r="AA29" s="519">
        <v>61890.58</v>
      </c>
      <c r="AB29" s="519">
        <v>-16054</v>
      </c>
      <c r="AC29" s="519">
        <v>-20.313804884221181</v>
      </c>
      <c r="AD29" s="519">
        <v>21.6872371251423</v>
      </c>
      <c r="AE29" s="519">
        <v>-42.001042009363502</v>
      </c>
      <c r="AF29" s="541">
        <v>2017</v>
      </c>
      <c r="AG29" s="1130"/>
      <c r="AH29" s="1148"/>
      <c r="AI29" s="1125" t="s">
        <v>601</v>
      </c>
      <c r="AJ29" s="1149">
        <v>380</v>
      </c>
      <c r="AK29" s="1149">
        <v>2713650</v>
      </c>
      <c r="AL29" s="1149">
        <v>2837667</v>
      </c>
      <c r="AM29" s="1149">
        <v>-124017</v>
      </c>
      <c r="AN29" s="1149">
        <v>2328074</v>
      </c>
      <c r="AO29" s="1149">
        <v>315500</v>
      </c>
      <c r="AP29" s="1149">
        <v>194093</v>
      </c>
      <c r="AQ29" s="1149">
        <v>385576</v>
      </c>
      <c r="AR29" s="1150">
        <v>0.14208759419969413</v>
      </c>
      <c r="AS29" s="1131"/>
    </row>
    <row r="30" spans="1:45" ht="18">
      <c r="A30" s="391" t="s">
        <v>549</v>
      </c>
      <c r="B30" s="391" t="s">
        <v>563</v>
      </c>
      <c r="C30" s="391">
        <v>8</v>
      </c>
      <c r="D30" s="391" t="s">
        <v>938</v>
      </c>
      <c r="E30" s="391" t="s">
        <v>548</v>
      </c>
      <c r="F30" s="391" t="s">
        <v>556</v>
      </c>
      <c r="G30" s="391" t="s">
        <v>2182</v>
      </c>
      <c r="H30" s="391" t="s">
        <v>2183</v>
      </c>
      <c r="I30" s="391">
        <v>90</v>
      </c>
      <c r="J30" s="391">
        <v>302.33999999999997</v>
      </c>
      <c r="K30" s="391">
        <v>413.06</v>
      </c>
      <c r="L30" s="391">
        <v>413.05549999999999</v>
      </c>
      <c r="M30" s="391">
        <v>-110.71550000000002</v>
      </c>
      <c r="N30" s="391">
        <v>0</v>
      </c>
      <c r="O30" s="391">
        <v>0</v>
      </c>
      <c r="P30" s="391">
        <v>0</v>
      </c>
      <c r="Q30" s="391">
        <v>-110.71550000000002</v>
      </c>
      <c r="R30" s="391">
        <v>3.59</v>
      </c>
      <c r="S30" s="391">
        <v>298.76</v>
      </c>
      <c r="T30" s="391">
        <v>27211</v>
      </c>
      <c r="U30" s="391">
        <v>37175</v>
      </c>
      <c r="V30" s="391">
        <v>37174.995000000003</v>
      </c>
      <c r="W30" s="391">
        <v>0</v>
      </c>
      <c r="X30" s="391">
        <v>0</v>
      </c>
      <c r="Y30" s="519">
        <v>-9964</v>
      </c>
      <c r="Z30" s="1102">
        <v>-36.61754437543641</v>
      </c>
      <c r="AA30" s="519">
        <v>322.93</v>
      </c>
      <c r="AB30" s="519">
        <v>-9963.9950000000026</v>
      </c>
      <c r="AC30" s="519">
        <v>-36.617526000514502</v>
      </c>
      <c r="AD30" s="519">
        <v>98.813225754290499</v>
      </c>
      <c r="AE30" s="519">
        <v>-135.430770129726</v>
      </c>
      <c r="AF30" s="541">
        <v>2017</v>
      </c>
      <c r="AG30" s="1130"/>
      <c r="AH30" s="1148"/>
      <c r="AI30" s="1125" t="s">
        <v>2150</v>
      </c>
      <c r="AJ30" s="1149">
        <v>250</v>
      </c>
      <c r="AK30" s="1149">
        <v>28100</v>
      </c>
      <c r="AL30" s="1149">
        <v>163914</v>
      </c>
      <c r="AM30" s="1149">
        <v>-135814</v>
      </c>
      <c r="AN30" s="1149">
        <v>145349</v>
      </c>
      <c r="AO30" s="1149">
        <v>12375</v>
      </c>
      <c r="AP30" s="1149">
        <v>6190</v>
      </c>
      <c r="AQ30" s="1149">
        <v>-117249</v>
      </c>
      <c r="AR30" s="1150">
        <v>-4.172562277580071</v>
      </c>
      <c r="AS30" s="1131"/>
    </row>
    <row r="31" spans="1:45" ht="18">
      <c r="A31" s="391" t="s">
        <v>549</v>
      </c>
      <c r="B31" s="391" t="s">
        <v>563</v>
      </c>
      <c r="C31" s="391">
        <v>8</v>
      </c>
      <c r="D31" s="391" t="s">
        <v>938</v>
      </c>
      <c r="E31" s="391" t="s">
        <v>548</v>
      </c>
      <c r="F31" s="391" t="s">
        <v>1265</v>
      </c>
      <c r="G31" s="391" t="s">
        <v>2184</v>
      </c>
      <c r="H31" s="391" t="s">
        <v>2185</v>
      </c>
      <c r="I31" s="391">
        <v>150</v>
      </c>
      <c r="J31" s="391">
        <v>1236.8900000000001</v>
      </c>
      <c r="K31" s="391">
        <v>830.63</v>
      </c>
      <c r="L31" s="391">
        <v>734.06666666666672</v>
      </c>
      <c r="M31" s="391">
        <v>502.82333333333338</v>
      </c>
      <c r="N31" s="391">
        <v>62</v>
      </c>
      <c r="O31" s="391">
        <v>34.56</v>
      </c>
      <c r="P31" s="391">
        <v>96.56</v>
      </c>
      <c r="Q31" s="391">
        <v>406.26333333333338</v>
      </c>
      <c r="R31" s="391">
        <v>733.85</v>
      </c>
      <c r="S31" s="391">
        <v>503.05</v>
      </c>
      <c r="T31" s="391">
        <v>185534</v>
      </c>
      <c r="U31" s="391">
        <v>124594</v>
      </c>
      <c r="V31" s="391">
        <v>110110.00000000001</v>
      </c>
      <c r="W31" s="391">
        <v>9300</v>
      </c>
      <c r="X31" s="391">
        <v>5184</v>
      </c>
      <c r="Y31" s="519">
        <v>60940</v>
      </c>
      <c r="Z31" s="1102">
        <v>32.845731779619911</v>
      </c>
      <c r="AA31" s="519">
        <v>110076.96</v>
      </c>
      <c r="AB31" s="519">
        <v>75423.999999999985</v>
      </c>
      <c r="AC31" s="519">
        <v>40.652387163538748</v>
      </c>
      <c r="AD31" s="519">
        <v>40.6701941692627</v>
      </c>
      <c r="AE31" s="519">
        <v>-1.8076498108163599E-2</v>
      </c>
      <c r="AF31" s="541">
        <v>2017</v>
      </c>
      <c r="AG31" s="1130"/>
      <c r="AH31" s="1148"/>
      <c r="AI31" s="1125" t="s">
        <v>556</v>
      </c>
      <c r="AJ31" s="1149">
        <v>1290</v>
      </c>
      <c r="AK31" s="1149">
        <v>393774</v>
      </c>
      <c r="AL31" s="1149">
        <v>492665</v>
      </c>
      <c r="AM31" s="1149">
        <v>-98891</v>
      </c>
      <c r="AN31" s="1149">
        <v>366510.29273849825</v>
      </c>
      <c r="AO31" s="1149">
        <v>81483.812048146734</v>
      </c>
      <c r="AP31" s="1149">
        <v>44670.890500000001</v>
      </c>
      <c r="AQ31" s="1149">
        <v>27263.707261501746</v>
      </c>
      <c r="AR31" s="1150">
        <v>6.9236941142639549E-2</v>
      </c>
      <c r="AS31" s="1131"/>
    </row>
    <row r="32" spans="1:45" ht="18">
      <c r="A32" s="391" t="s">
        <v>549</v>
      </c>
      <c r="B32" s="391" t="s">
        <v>563</v>
      </c>
      <c r="C32" s="391">
        <v>8</v>
      </c>
      <c r="D32" s="391" t="s">
        <v>938</v>
      </c>
      <c r="E32" s="391" t="s">
        <v>548</v>
      </c>
      <c r="F32" s="391" t="s">
        <v>1256</v>
      </c>
      <c r="G32" s="391" t="s">
        <v>1893</v>
      </c>
      <c r="H32" s="391" t="s">
        <v>1894</v>
      </c>
      <c r="I32" s="391">
        <v>300</v>
      </c>
      <c r="J32" s="391">
        <v>817.7</v>
      </c>
      <c r="K32" s="391">
        <v>517.92999999999995</v>
      </c>
      <c r="L32" s="391">
        <v>434.06333000000001</v>
      </c>
      <c r="M32" s="391">
        <v>383.63667000000004</v>
      </c>
      <c r="N32" s="391">
        <v>55.8</v>
      </c>
      <c r="O32" s="391">
        <v>28.07</v>
      </c>
      <c r="P32" s="391">
        <v>83.87</v>
      </c>
      <c r="Q32" s="391">
        <v>299.76667000000003</v>
      </c>
      <c r="R32" s="391">
        <v>9.7799999999999994</v>
      </c>
      <c r="S32" s="391">
        <v>807.92</v>
      </c>
      <c r="T32" s="391">
        <v>245309</v>
      </c>
      <c r="U32" s="391">
        <v>155380</v>
      </c>
      <c r="V32" s="391">
        <v>130218.999</v>
      </c>
      <c r="W32" s="391">
        <v>16740</v>
      </c>
      <c r="X32" s="391">
        <v>8421</v>
      </c>
      <c r="Y32" s="519">
        <v>89929</v>
      </c>
      <c r="Z32" s="1102">
        <v>36.659478453705326</v>
      </c>
      <c r="AA32" s="519">
        <v>2933.75</v>
      </c>
      <c r="AB32" s="519">
        <v>115090.001</v>
      </c>
      <c r="AC32" s="519">
        <v>46.91633857705996</v>
      </c>
      <c r="AD32" s="519">
        <v>98.804057739422504</v>
      </c>
      <c r="AE32" s="519">
        <v>-51.888127219139903</v>
      </c>
      <c r="AF32" s="541">
        <v>2017</v>
      </c>
      <c r="AG32" s="1130"/>
      <c r="AH32" s="1148"/>
      <c r="AI32" s="1125" t="s">
        <v>1265</v>
      </c>
      <c r="AJ32" s="1149">
        <v>150</v>
      </c>
      <c r="AK32" s="1149">
        <v>185534</v>
      </c>
      <c r="AL32" s="1149">
        <v>124594</v>
      </c>
      <c r="AM32" s="1149">
        <v>60940</v>
      </c>
      <c r="AN32" s="1149">
        <v>110110.00000000001</v>
      </c>
      <c r="AO32" s="1149">
        <v>9300</v>
      </c>
      <c r="AP32" s="1149">
        <v>5184</v>
      </c>
      <c r="AQ32" s="1149">
        <v>75423.999999999985</v>
      </c>
      <c r="AR32" s="1150">
        <v>0.4065238716353875</v>
      </c>
      <c r="AS32" s="1131"/>
    </row>
    <row r="33" spans="1:45" ht="18">
      <c r="A33" s="391" t="s">
        <v>549</v>
      </c>
      <c r="B33" s="391" t="s">
        <v>563</v>
      </c>
      <c r="C33" s="391">
        <v>8</v>
      </c>
      <c r="D33" s="391" t="s">
        <v>938</v>
      </c>
      <c r="E33" s="391" t="s">
        <v>548</v>
      </c>
      <c r="F33" s="391" t="s">
        <v>558</v>
      </c>
      <c r="G33" s="391" t="s">
        <v>1273</v>
      </c>
      <c r="H33" s="391" t="s">
        <v>1266</v>
      </c>
      <c r="I33" s="391">
        <v>1320</v>
      </c>
      <c r="J33" s="391">
        <v>6395.25</v>
      </c>
      <c r="K33" s="391">
        <v>5248.43</v>
      </c>
      <c r="L33" s="391">
        <v>5113.3819815784082</v>
      </c>
      <c r="M33" s="391">
        <v>1281.8680184215918</v>
      </c>
      <c r="N33" s="391">
        <v>79</v>
      </c>
      <c r="O33" s="391">
        <v>56.045290000000001</v>
      </c>
      <c r="P33" s="391">
        <v>135.04528999999999</v>
      </c>
      <c r="Q33" s="391">
        <v>1146.8227284215918</v>
      </c>
      <c r="R33" s="391">
        <v>3375.38</v>
      </c>
      <c r="S33" s="391">
        <v>3019.87</v>
      </c>
      <c r="T33" s="391">
        <v>8441734</v>
      </c>
      <c r="U33" s="391">
        <v>6927924</v>
      </c>
      <c r="V33" s="391">
        <v>6749664.2156834984</v>
      </c>
      <c r="W33" s="391">
        <v>104280</v>
      </c>
      <c r="X33" s="391">
        <v>73979.782800000001</v>
      </c>
      <c r="Y33" s="519">
        <v>1513810</v>
      </c>
      <c r="Z33" s="1102">
        <v>17.932453213996084</v>
      </c>
      <c r="AA33" s="519">
        <v>4455504.74</v>
      </c>
      <c r="AB33" s="519">
        <v>1692069.7843165016</v>
      </c>
      <c r="AC33" s="519">
        <v>20.044102127791536</v>
      </c>
      <c r="AD33" s="519">
        <v>47.2205030198771</v>
      </c>
      <c r="AE33" s="519">
        <v>-31.323638821123701</v>
      </c>
      <c r="AF33" s="541">
        <v>2017</v>
      </c>
      <c r="AG33" s="1130"/>
      <c r="AH33" s="1148"/>
      <c r="AI33" s="1125" t="s">
        <v>1256</v>
      </c>
      <c r="AJ33" s="1149">
        <v>300</v>
      </c>
      <c r="AK33" s="1149">
        <v>245309</v>
      </c>
      <c r="AL33" s="1149">
        <v>155380</v>
      </c>
      <c r="AM33" s="1149">
        <v>89929</v>
      </c>
      <c r="AN33" s="1149">
        <v>130218.999</v>
      </c>
      <c r="AO33" s="1149">
        <v>16740</v>
      </c>
      <c r="AP33" s="1149">
        <v>8421</v>
      </c>
      <c r="AQ33" s="1149">
        <v>115090.001</v>
      </c>
      <c r="AR33" s="1150">
        <v>0.46916338577059957</v>
      </c>
      <c r="AS33" s="1131"/>
    </row>
    <row r="34" spans="1:45" ht="18">
      <c r="A34" s="391" t="s">
        <v>549</v>
      </c>
      <c r="B34" s="391" t="s">
        <v>563</v>
      </c>
      <c r="C34" s="391">
        <v>8</v>
      </c>
      <c r="D34" s="391" t="s">
        <v>938</v>
      </c>
      <c r="E34" s="391" t="s">
        <v>548</v>
      </c>
      <c r="F34" s="391" t="s">
        <v>558</v>
      </c>
      <c r="G34" s="391" t="s">
        <v>2186</v>
      </c>
      <c r="H34" s="391" t="s">
        <v>2187</v>
      </c>
      <c r="I34" s="391">
        <v>630</v>
      </c>
      <c r="J34" s="391">
        <v>6409.82</v>
      </c>
      <c r="K34" s="391">
        <v>5298.96</v>
      </c>
      <c r="L34" s="391">
        <v>5154.4287299999996</v>
      </c>
      <c r="M34" s="391">
        <v>1255.3912700000001</v>
      </c>
      <c r="N34" s="391">
        <v>79</v>
      </c>
      <c r="O34" s="391">
        <v>65.53</v>
      </c>
      <c r="P34" s="391">
        <v>144.53</v>
      </c>
      <c r="Q34" s="391">
        <v>1110.8612700000001</v>
      </c>
      <c r="R34" s="391">
        <v>3425.25</v>
      </c>
      <c r="S34" s="391">
        <v>2984.57</v>
      </c>
      <c r="T34" s="391">
        <v>4038186</v>
      </c>
      <c r="U34" s="391">
        <v>3338344</v>
      </c>
      <c r="V34" s="391">
        <v>3247290.0998999998</v>
      </c>
      <c r="W34" s="391">
        <v>49770</v>
      </c>
      <c r="X34" s="391">
        <v>41283.9</v>
      </c>
      <c r="Y34" s="519">
        <v>699842</v>
      </c>
      <c r="Z34" s="1102">
        <v>17.330603394692567</v>
      </c>
      <c r="AA34" s="519">
        <v>2157904.9500000002</v>
      </c>
      <c r="AB34" s="519">
        <v>790895.9001000002</v>
      </c>
      <c r="AC34" s="519">
        <v>19.585425240442124</v>
      </c>
      <c r="AD34" s="519">
        <v>46.562517076479303</v>
      </c>
      <c r="AE34" s="519">
        <v>-26.977039834965499</v>
      </c>
      <c r="AF34" s="541">
        <v>2017</v>
      </c>
      <c r="AG34" s="1130"/>
      <c r="AH34" s="1148"/>
      <c r="AI34" s="1125" t="s">
        <v>558</v>
      </c>
      <c r="AJ34" s="1149">
        <v>2417</v>
      </c>
      <c r="AK34" s="1149">
        <v>15367460</v>
      </c>
      <c r="AL34" s="1149">
        <v>12568406</v>
      </c>
      <c r="AM34" s="1149">
        <v>2799054</v>
      </c>
      <c r="AN34" s="1149">
        <v>12260533.307503497</v>
      </c>
      <c r="AO34" s="1149">
        <v>177750</v>
      </c>
      <c r="AP34" s="1149">
        <v>130122.68280000001</v>
      </c>
      <c r="AQ34" s="1149">
        <v>3106926.6924965018</v>
      </c>
      <c r="AR34" s="1150">
        <v>0.20217568111428316</v>
      </c>
      <c r="AS34" s="1131"/>
    </row>
    <row r="35" spans="1:45" ht="18">
      <c r="A35" s="391" t="s">
        <v>549</v>
      </c>
      <c r="B35" s="391" t="s">
        <v>563</v>
      </c>
      <c r="C35" s="391">
        <v>8</v>
      </c>
      <c r="D35" s="391" t="s">
        <v>938</v>
      </c>
      <c r="E35" s="391" t="s">
        <v>548</v>
      </c>
      <c r="F35" s="391" t="s">
        <v>558</v>
      </c>
      <c r="G35" s="391" t="s">
        <v>2188</v>
      </c>
      <c r="H35" s="391" t="s">
        <v>2189</v>
      </c>
      <c r="I35" s="391">
        <v>167</v>
      </c>
      <c r="J35" s="391">
        <v>6409.82</v>
      </c>
      <c r="K35" s="391">
        <v>5298.11</v>
      </c>
      <c r="L35" s="391">
        <v>5298.1077599999999</v>
      </c>
      <c r="M35" s="391">
        <v>1111.7122399999998</v>
      </c>
      <c r="N35" s="391">
        <v>0</v>
      </c>
      <c r="O35" s="391">
        <v>0</v>
      </c>
      <c r="P35" s="391">
        <v>0</v>
      </c>
      <c r="Q35" s="391">
        <v>1111.7122399999998</v>
      </c>
      <c r="R35" s="391">
        <v>5095.46</v>
      </c>
      <c r="S35" s="391">
        <v>1314.36</v>
      </c>
      <c r="T35" s="391">
        <v>1070440</v>
      </c>
      <c r="U35" s="391">
        <v>884784</v>
      </c>
      <c r="V35" s="391">
        <v>884783.99592000002</v>
      </c>
      <c r="W35" s="391">
        <v>0</v>
      </c>
      <c r="X35" s="391">
        <v>0</v>
      </c>
      <c r="Y35" s="519">
        <v>185656</v>
      </c>
      <c r="Z35" s="1102">
        <v>17.343895968013154</v>
      </c>
      <c r="AA35" s="519">
        <v>850942.13</v>
      </c>
      <c r="AB35" s="519">
        <v>185656.00407999998</v>
      </c>
      <c r="AC35" s="519">
        <v>17.343896349164829</v>
      </c>
      <c r="AD35" s="519">
        <v>20.505387134262499</v>
      </c>
      <c r="AE35" s="519">
        <v>-3.1614911662493901</v>
      </c>
      <c r="AF35" s="541">
        <v>2017</v>
      </c>
      <c r="AG35" s="1130"/>
      <c r="AH35" s="1148"/>
      <c r="AI35" s="1125" t="s">
        <v>1787</v>
      </c>
      <c r="AJ35" s="1149">
        <v>1230</v>
      </c>
      <c r="AK35" s="1149">
        <v>13030942</v>
      </c>
      <c r="AL35" s="1149">
        <v>10476780</v>
      </c>
      <c r="AM35" s="1149">
        <v>2554162</v>
      </c>
      <c r="AN35" s="1149">
        <v>10308190.504999999</v>
      </c>
      <c r="AO35" s="1149">
        <v>97170</v>
      </c>
      <c r="AP35" s="1149">
        <v>71419.5</v>
      </c>
      <c r="AQ35" s="1149">
        <v>2722751.4950000006</v>
      </c>
      <c r="AR35" s="1150">
        <v>0.20894510120603718</v>
      </c>
      <c r="AS35" s="1131"/>
    </row>
    <row r="36" spans="1:45" ht="18">
      <c r="A36" s="391" t="s">
        <v>549</v>
      </c>
      <c r="B36" s="391" t="s">
        <v>563</v>
      </c>
      <c r="C36" s="391">
        <v>8</v>
      </c>
      <c r="D36" s="391" t="s">
        <v>938</v>
      </c>
      <c r="E36" s="391" t="s">
        <v>548</v>
      </c>
      <c r="F36" s="391" t="s">
        <v>558</v>
      </c>
      <c r="G36" s="391" t="s">
        <v>2033</v>
      </c>
      <c r="H36" s="391" t="s">
        <v>2043</v>
      </c>
      <c r="I36" s="391">
        <v>300</v>
      </c>
      <c r="J36" s="391">
        <v>6057</v>
      </c>
      <c r="K36" s="391">
        <v>4724.51</v>
      </c>
      <c r="L36" s="391">
        <v>4595.9833200000003</v>
      </c>
      <c r="M36" s="391">
        <v>1461.0166799999997</v>
      </c>
      <c r="N36" s="391">
        <v>79</v>
      </c>
      <c r="O36" s="391">
        <v>49.53</v>
      </c>
      <c r="P36" s="391">
        <v>128.53</v>
      </c>
      <c r="Q36" s="391">
        <v>1332.4866799999998</v>
      </c>
      <c r="R36" s="391">
        <v>2855.26</v>
      </c>
      <c r="S36" s="391">
        <v>3201.74</v>
      </c>
      <c r="T36" s="391">
        <v>1817100</v>
      </c>
      <c r="U36" s="391">
        <v>1417354</v>
      </c>
      <c r="V36" s="391">
        <v>1378794.996</v>
      </c>
      <c r="W36" s="391">
        <v>23700</v>
      </c>
      <c r="X36" s="391">
        <v>14859</v>
      </c>
      <c r="Y36" s="519">
        <v>399746</v>
      </c>
      <c r="Z36" s="1102">
        <v>21.999119476088271</v>
      </c>
      <c r="AA36" s="519">
        <v>856577.18</v>
      </c>
      <c r="AB36" s="519">
        <v>438305.00399999996</v>
      </c>
      <c r="AC36" s="519">
        <v>24.121127290737988</v>
      </c>
      <c r="AD36" s="519">
        <v>52.860206702988201</v>
      </c>
      <c r="AE36" s="519">
        <v>-28.739079632381198</v>
      </c>
      <c r="AF36" s="541">
        <v>2017</v>
      </c>
      <c r="AG36" s="1130"/>
      <c r="AH36" s="1148"/>
      <c r="AI36" s="1125" t="s">
        <v>581</v>
      </c>
      <c r="AJ36" s="1149">
        <v>200</v>
      </c>
      <c r="AK36" s="1149">
        <v>224109</v>
      </c>
      <c r="AL36" s="1149">
        <v>140231</v>
      </c>
      <c r="AM36" s="1149">
        <v>83878</v>
      </c>
      <c r="AN36" s="1149">
        <v>120427</v>
      </c>
      <c r="AO36" s="1149">
        <v>13200</v>
      </c>
      <c r="AP36" s="1149">
        <v>6604.0000000000009</v>
      </c>
      <c r="AQ36" s="1149">
        <v>103682</v>
      </c>
      <c r="AR36" s="1150">
        <v>0.46264094703916397</v>
      </c>
      <c r="AS36" s="1131"/>
    </row>
    <row r="37" spans="1:45" ht="18">
      <c r="A37" s="391" t="s">
        <v>549</v>
      </c>
      <c r="B37" s="391" t="s">
        <v>563</v>
      </c>
      <c r="C37" s="391">
        <v>8</v>
      </c>
      <c r="D37" s="391" t="s">
        <v>938</v>
      </c>
      <c r="E37" s="391" t="s">
        <v>548</v>
      </c>
      <c r="F37" s="391" t="s">
        <v>1787</v>
      </c>
      <c r="G37" s="391" t="s">
        <v>1267</v>
      </c>
      <c r="H37" s="391" t="s">
        <v>1268</v>
      </c>
      <c r="I37" s="391">
        <v>700</v>
      </c>
      <c r="J37" s="391">
        <v>10524.27</v>
      </c>
      <c r="K37" s="391">
        <v>8396.84</v>
      </c>
      <c r="L37" s="391">
        <v>8262.0042857142853</v>
      </c>
      <c r="M37" s="391">
        <v>2262.2657142857151</v>
      </c>
      <c r="N37" s="391">
        <v>79</v>
      </c>
      <c r="O37" s="391">
        <v>55.838571428571427</v>
      </c>
      <c r="P37" s="391">
        <v>134.83857142857141</v>
      </c>
      <c r="Q37" s="391">
        <v>2127.4271428571437</v>
      </c>
      <c r="R37" s="391">
        <v>6545.31</v>
      </c>
      <c r="S37" s="391">
        <v>3978.95</v>
      </c>
      <c r="T37" s="391">
        <v>7366987</v>
      </c>
      <c r="U37" s="391">
        <v>5877790</v>
      </c>
      <c r="V37" s="391">
        <v>5783403</v>
      </c>
      <c r="W37" s="391">
        <v>55300</v>
      </c>
      <c r="X37" s="391">
        <v>39087</v>
      </c>
      <c r="Y37" s="519">
        <v>1489197</v>
      </c>
      <c r="Z37" s="1102">
        <v>20.214464882318918</v>
      </c>
      <c r="AA37" s="519">
        <v>4581718.5599999996</v>
      </c>
      <c r="AB37" s="519">
        <v>1583584</v>
      </c>
      <c r="AC37" s="519">
        <v>21.495680662935879</v>
      </c>
      <c r="AD37" s="519">
        <v>37.8074298081427</v>
      </c>
      <c r="AE37" s="519">
        <v>-16.3669458400474</v>
      </c>
      <c r="AF37" s="541">
        <v>2017</v>
      </c>
      <c r="AG37" s="1130"/>
      <c r="AH37" s="1148"/>
      <c r="AI37" s="1125" t="s">
        <v>592</v>
      </c>
      <c r="AJ37" s="1149">
        <v>30</v>
      </c>
      <c r="AK37" s="1149">
        <v>136282</v>
      </c>
      <c r="AL37" s="1149">
        <v>84650</v>
      </c>
      <c r="AM37" s="1149">
        <v>51632</v>
      </c>
      <c r="AN37" s="1149">
        <v>82684.100999999995</v>
      </c>
      <c r="AO37" s="1149">
        <v>0</v>
      </c>
      <c r="AP37" s="1149">
        <v>1965.9</v>
      </c>
      <c r="AQ37" s="1149">
        <v>53597.899000000005</v>
      </c>
      <c r="AR37" s="1150">
        <v>0.39328670697524254</v>
      </c>
      <c r="AS37" s="1131"/>
    </row>
    <row r="38" spans="1:45" ht="18">
      <c r="A38" s="391" t="s">
        <v>549</v>
      </c>
      <c r="B38" s="391" t="s">
        <v>563</v>
      </c>
      <c r="C38" s="391">
        <v>8</v>
      </c>
      <c r="D38" s="391" t="s">
        <v>938</v>
      </c>
      <c r="E38" s="391" t="s">
        <v>548</v>
      </c>
      <c r="F38" s="391" t="s">
        <v>1787</v>
      </c>
      <c r="G38" s="391" t="s">
        <v>2053</v>
      </c>
      <c r="H38" s="391" t="s">
        <v>2054</v>
      </c>
      <c r="I38" s="391">
        <v>380</v>
      </c>
      <c r="J38" s="391">
        <v>10524.07</v>
      </c>
      <c r="K38" s="391">
        <v>8444.34</v>
      </c>
      <c r="L38" s="391">
        <v>8299.8052631578939</v>
      </c>
      <c r="M38" s="391">
        <v>2224.2647368421058</v>
      </c>
      <c r="N38" s="391">
        <v>79</v>
      </c>
      <c r="O38" s="391">
        <v>65.534210526315789</v>
      </c>
      <c r="P38" s="391">
        <v>144.5342105263158</v>
      </c>
      <c r="Q38" s="391">
        <v>2079.73052631579</v>
      </c>
      <c r="R38" s="391">
        <v>6595.17</v>
      </c>
      <c r="S38" s="391">
        <v>3928.9</v>
      </c>
      <c r="T38" s="391">
        <v>3999147</v>
      </c>
      <c r="U38" s="391">
        <v>3208849</v>
      </c>
      <c r="V38" s="391">
        <v>3153925.9999999995</v>
      </c>
      <c r="W38" s="391">
        <v>30020</v>
      </c>
      <c r="X38" s="391">
        <v>24903</v>
      </c>
      <c r="Y38" s="519">
        <v>790298</v>
      </c>
      <c r="Z38" s="1102">
        <v>19.761664174885293</v>
      </c>
      <c r="AA38" s="519">
        <v>2506166.4</v>
      </c>
      <c r="AB38" s="519">
        <v>845221.00000000047</v>
      </c>
      <c r="AC38" s="519">
        <v>21.135032045583731</v>
      </c>
      <c r="AD38" s="519">
        <v>37.332476130034699</v>
      </c>
      <c r="AE38" s="519">
        <v>-16.410671373352098</v>
      </c>
      <c r="AF38" s="541">
        <v>2017</v>
      </c>
      <c r="AG38" s="1130"/>
      <c r="AH38" s="1148"/>
      <c r="AI38" s="1125" t="s">
        <v>1257</v>
      </c>
      <c r="AJ38" s="1149">
        <v>100</v>
      </c>
      <c r="AK38" s="1149">
        <v>18081</v>
      </c>
      <c r="AL38" s="1149">
        <v>17653</v>
      </c>
      <c r="AM38" s="1149">
        <v>428</v>
      </c>
      <c r="AN38" s="1149">
        <v>11165.1320754717</v>
      </c>
      <c r="AO38" s="1149">
        <v>224.15094339622647</v>
      </c>
      <c r="AP38" s="1149">
        <v>6263.72</v>
      </c>
      <c r="AQ38" s="1149">
        <v>6915.8679245283001</v>
      </c>
      <c r="AR38" s="1150">
        <v>0.38249366321156464</v>
      </c>
      <c r="AS38" s="1131"/>
    </row>
    <row r="39" spans="1:45" ht="18">
      <c r="A39" s="391" t="s">
        <v>549</v>
      </c>
      <c r="B39" s="391" t="s">
        <v>563</v>
      </c>
      <c r="C39" s="391">
        <v>8</v>
      </c>
      <c r="D39" s="391" t="s">
        <v>938</v>
      </c>
      <c r="E39" s="391" t="s">
        <v>548</v>
      </c>
      <c r="F39" s="391" t="s">
        <v>1787</v>
      </c>
      <c r="G39" s="391" t="s">
        <v>2036</v>
      </c>
      <c r="H39" s="391" t="s">
        <v>2049</v>
      </c>
      <c r="I39" s="391">
        <v>150</v>
      </c>
      <c r="J39" s="391">
        <v>11098.72</v>
      </c>
      <c r="K39" s="391">
        <v>9267.61</v>
      </c>
      <c r="L39" s="391">
        <v>9139.0766999999996</v>
      </c>
      <c r="M39" s="391">
        <v>1959.6432999999997</v>
      </c>
      <c r="N39" s="391">
        <v>79</v>
      </c>
      <c r="O39" s="391">
        <v>49.53</v>
      </c>
      <c r="P39" s="391">
        <v>128.53</v>
      </c>
      <c r="Q39" s="391">
        <v>1831.1132999999998</v>
      </c>
      <c r="R39" s="391">
        <v>7299.07</v>
      </c>
      <c r="S39" s="391">
        <v>3799.65</v>
      </c>
      <c r="T39" s="391">
        <v>1664808</v>
      </c>
      <c r="U39" s="391">
        <v>1390141</v>
      </c>
      <c r="V39" s="391">
        <v>1370861.5049999999</v>
      </c>
      <c r="W39" s="391">
        <v>11850</v>
      </c>
      <c r="X39" s="391">
        <v>7429.5</v>
      </c>
      <c r="Y39" s="519">
        <v>274667</v>
      </c>
      <c r="Z39" s="1102">
        <v>16.498419036909961</v>
      </c>
      <c r="AA39" s="519">
        <v>1094859.93</v>
      </c>
      <c r="AB39" s="519">
        <v>293946.49500000011</v>
      </c>
      <c r="AC39" s="519">
        <v>17.656480206726549</v>
      </c>
      <c r="AD39" s="519">
        <v>34.235063052315901</v>
      </c>
      <c r="AE39" s="519">
        <v>-16.578612578747801</v>
      </c>
      <c r="AF39" s="541">
        <v>2017</v>
      </c>
      <c r="AG39" s="1130"/>
      <c r="AH39" s="1148"/>
      <c r="AI39" s="1125" t="s">
        <v>557</v>
      </c>
      <c r="AJ39" s="1149">
        <v>1150</v>
      </c>
      <c r="AK39" s="1149">
        <v>1490092</v>
      </c>
      <c r="AL39" s="1149">
        <v>1206528</v>
      </c>
      <c r="AM39" s="1149">
        <v>283564</v>
      </c>
      <c r="AN39" s="1149">
        <v>1094716.351</v>
      </c>
      <c r="AO39" s="1149">
        <v>71300</v>
      </c>
      <c r="AP39" s="1149">
        <v>40511.651375723086</v>
      </c>
      <c r="AQ39" s="1149">
        <v>395375.64899999998</v>
      </c>
      <c r="AR39" s="1150">
        <v>0.26533640137655928</v>
      </c>
      <c r="AS39" s="1131"/>
    </row>
    <row r="40" spans="1:45" ht="18">
      <c r="A40" s="391" t="s">
        <v>549</v>
      </c>
      <c r="B40" s="391" t="s">
        <v>563</v>
      </c>
      <c r="C40" s="391">
        <v>8</v>
      </c>
      <c r="D40" s="391" t="s">
        <v>938</v>
      </c>
      <c r="E40" s="391" t="s">
        <v>548</v>
      </c>
      <c r="F40" s="391" t="s">
        <v>581</v>
      </c>
      <c r="G40" s="391" t="s">
        <v>2190</v>
      </c>
      <c r="H40" s="391" t="s">
        <v>2191</v>
      </c>
      <c r="I40" s="391">
        <v>200</v>
      </c>
      <c r="J40" s="391">
        <v>1120.55</v>
      </c>
      <c r="K40" s="391">
        <v>701.16</v>
      </c>
      <c r="L40" s="391">
        <v>602.13499999999999</v>
      </c>
      <c r="M40" s="391">
        <v>518.41499999999996</v>
      </c>
      <c r="N40" s="391">
        <v>66</v>
      </c>
      <c r="O40" s="391">
        <v>33.020000000000003</v>
      </c>
      <c r="P40" s="391">
        <v>99.02000000000001</v>
      </c>
      <c r="Q40" s="391">
        <v>419.39499999999998</v>
      </c>
      <c r="R40" s="391">
        <v>602.13</v>
      </c>
      <c r="S40" s="391">
        <v>518.41</v>
      </c>
      <c r="T40" s="391">
        <v>224109</v>
      </c>
      <c r="U40" s="391">
        <v>140231</v>
      </c>
      <c r="V40" s="391">
        <v>120427</v>
      </c>
      <c r="W40" s="391">
        <v>13200</v>
      </c>
      <c r="X40" s="391">
        <v>6604.0000000000009</v>
      </c>
      <c r="Y40" s="519">
        <v>83878</v>
      </c>
      <c r="Z40" s="1102">
        <v>37.427323311424352</v>
      </c>
      <c r="AA40" s="519">
        <v>120426.35</v>
      </c>
      <c r="AB40" s="519">
        <v>103682</v>
      </c>
      <c r="AC40" s="519">
        <v>46.264094703916399</v>
      </c>
      <c r="AD40" s="519">
        <v>46.264385901503204</v>
      </c>
      <c r="AE40" s="519">
        <v>-2.9119758688850002E-4</v>
      </c>
      <c r="AF40" s="541">
        <v>2017</v>
      </c>
      <c r="AG40" s="1130"/>
      <c r="AH40" s="1148"/>
      <c r="AI40" s="1151"/>
      <c r="AJ40" s="1152"/>
      <c r="AK40" s="1152"/>
      <c r="AL40" s="1152"/>
      <c r="AM40" s="1152"/>
      <c r="AN40" s="1152"/>
      <c r="AO40" s="1152"/>
      <c r="AP40" s="1152"/>
      <c r="AQ40" s="1152"/>
      <c r="AR40" s="1153"/>
      <c r="AS40" s="1131"/>
    </row>
    <row r="41" spans="1:45" ht="18">
      <c r="A41" s="391" t="s">
        <v>549</v>
      </c>
      <c r="B41" s="391" t="s">
        <v>563</v>
      </c>
      <c r="C41" s="391">
        <v>8</v>
      </c>
      <c r="D41" s="391" t="s">
        <v>938</v>
      </c>
      <c r="E41" s="391" t="s">
        <v>548</v>
      </c>
      <c r="F41" s="391" t="s">
        <v>592</v>
      </c>
      <c r="G41" s="391" t="s">
        <v>2192</v>
      </c>
      <c r="H41" s="391" t="s">
        <v>2193</v>
      </c>
      <c r="I41" s="391">
        <v>30</v>
      </c>
      <c r="J41" s="391">
        <v>4542.7299999999996</v>
      </c>
      <c r="K41" s="391">
        <v>2821.67</v>
      </c>
      <c r="L41" s="391">
        <v>2756.1367</v>
      </c>
      <c r="M41" s="391">
        <v>1786.5932999999995</v>
      </c>
      <c r="N41" s="391">
        <v>0</v>
      </c>
      <c r="O41" s="391">
        <v>65.53</v>
      </c>
      <c r="P41" s="391">
        <v>65.53</v>
      </c>
      <c r="Q41" s="391">
        <v>1721.0632999999996</v>
      </c>
      <c r="R41" s="391">
        <v>2755.75</v>
      </c>
      <c r="S41" s="391">
        <v>1786.98</v>
      </c>
      <c r="T41" s="391">
        <v>136282</v>
      </c>
      <c r="U41" s="391">
        <v>84650</v>
      </c>
      <c r="V41" s="391">
        <v>82684.100999999995</v>
      </c>
      <c r="W41" s="391">
        <v>0</v>
      </c>
      <c r="X41" s="391">
        <v>1965.9</v>
      </c>
      <c r="Y41" s="519">
        <v>51632</v>
      </c>
      <c r="Z41" s="1102">
        <v>37.886147840507185</v>
      </c>
      <c r="AA41" s="519">
        <v>82672.59</v>
      </c>
      <c r="AB41" s="519">
        <v>53597.899000000005</v>
      </c>
      <c r="AC41" s="519">
        <v>39.328670697524252</v>
      </c>
      <c r="AD41" s="519">
        <v>39.337118012650201</v>
      </c>
      <c r="AE41" s="519">
        <v>-8.3732040915161007E-3</v>
      </c>
      <c r="AF41" s="541">
        <v>2017</v>
      </c>
      <c r="AG41" s="1130"/>
      <c r="AH41" s="1144" t="s">
        <v>939</v>
      </c>
      <c r="AI41" s="1145"/>
      <c r="AJ41" s="1146">
        <v>918</v>
      </c>
      <c r="AK41" s="1146">
        <v>6833727</v>
      </c>
      <c r="AL41" s="1146">
        <v>6270194</v>
      </c>
      <c r="AM41" s="1146">
        <v>563533</v>
      </c>
      <c r="AN41" s="1146">
        <v>5341527.314883098</v>
      </c>
      <c r="AO41" s="1146">
        <v>549600</v>
      </c>
      <c r="AP41" s="1146">
        <v>379066.68959999998</v>
      </c>
      <c r="AQ41" s="1146">
        <v>1492199.6851169018</v>
      </c>
      <c r="AR41" s="1147">
        <v>0.21835810606963107</v>
      </c>
      <c r="AS41" s="1131"/>
    </row>
    <row r="42" spans="1:45" ht="18">
      <c r="A42" s="391" t="s">
        <v>549</v>
      </c>
      <c r="B42" s="391" t="s">
        <v>563</v>
      </c>
      <c r="C42" s="391">
        <v>8</v>
      </c>
      <c r="D42" s="391" t="s">
        <v>938</v>
      </c>
      <c r="E42" s="391" t="s">
        <v>548</v>
      </c>
      <c r="F42" s="391" t="s">
        <v>1257</v>
      </c>
      <c r="G42" s="391" t="s">
        <v>2042</v>
      </c>
      <c r="H42" s="391" t="s">
        <v>2050</v>
      </c>
      <c r="I42" s="391">
        <v>100</v>
      </c>
      <c r="J42" s="391">
        <v>180.81</v>
      </c>
      <c r="K42" s="391">
        <v>176.53</v>
      </c>
      <c r="L42" s="391">
        <v>111.65132075471699</v>
      </c>
      <c r="M42" s="391">
        <v>69.158679245283011</v>
      </c>
      <c r="N42" s="391">
        <v>2.2415094339622645</v>
      </c>
      <c r="O42" s="391">
        <v>62.6372</v>
      </c>
      <c r="P42" s="391">
        <v>64.878709433962271</v>
      </c>
      <c r="Q42" s="391">
        <v>4.2799698113207398</v>
      </c>
      <c r="R42" s="391">
        <v>0.85</v>
      </c>
      <c r="S42" s="391">
        <v>179.96</v>
      </c>
      <c r="T42" s="391">
        <v>18081</v>
      </c>
      <c r="U42" s="391">
        <v>17653</v>
      </c>
      <c r="V42" s="391">
        <v>11165.1320754717</v>
      </c>
      <c r="W42" s="391">
        <v>224.15094339622647</v>
      </c>
      <c r="X42" s="391">
        <v>6263.72</v>
      </c>
      <c r="Y42" s="519">
        <v>428</v>
      </c>
      <c r="Z42" s="1102">
        <v>2.367125712073447</v>
      </c>
      <c r="AA42" s="519">
        <v>85.3</v>
      </c>
      <c r="AB42" s="519">
        <v>6915.8679245283001</v>
      </c>
      <c r="AC42" s="519">
        <v>38.249366321156465</v>
      </c>
      <c r="AD42" s="519">
        <v>99.528233504783998</v>
      </c>
      <c r="AE42" s="519">
        <v>-61.272606050550301</v>
      </c>
      <c r="AF42" s="541">
        <v>2017</v>
      </c>
      <c r="AG42" s="1130"/>
      <c r="AH42" s="1148"/>
      <c r="AI42" s="1125" t="s">
        <v>1242</v>
      </c>
      <c r="AJ42" s="1149">
        <v>267</v>
      </c>
      <c r="AK42" s="1149">
        <v>1299864</v>
      </c>
      <c r="AL42" s="1149">
        <v>1128723</v>
      </c>
      <c r="AM42" s="1149">
        <v>171141</v>
      </c>
      <c r="AN42" s="1149">
        <v>1098819.8754132614</v>
      </c>
      <c r="AO42" s="1149">
        <v>0</v>
      </c>
      <c r="AP42" s="1149">
        <v>29903.121600000002</v>
      </c>
      <c r="AQ42" s="1149">
        <v>201044.12458673862</v>
      </c>
      <c r="AR42" s="1150">
        <v>0.15466550699668474</v>
      </c>
      <c r="AS42" s="1131"/>
    </row>
    <row r="43" spans="1:45" ht="17">
      <c r="A43" s="391" t="s">
        <v>549</v>
      </c>
      <c r="B43" s="391" t="s">
        <v>563</v>
      </c>
      <c r="C43" s="391">
        <v>8</v>
      </c>
      <c r="D43" s="391" t="s">
        <v>938</v>
      </c>
      <c r="E43" s="391" t="s">
        <v>548</v>
      </c>
      <c r="F43" s="391" t="s">
        <v>557</v>
      </c>
      <c r="G43" s="391" t="s">
        <v>2017</v>
      </c>
      <c r="H43" s="391" t="s">
        <v>2023</v>
      </c>
      <c r="I43" s="391">
        <v>100</v>
      </c>
      <c r="J43" s="391">
        <v>1294.06</v>
      </c>
      <c r="K43" s="391">
        <v>1047.8499999999999</v>
      </c>
      <c r="L43" s="391">
        <v>951.75379999999996</v>
      </c>
      <c r="M43" s="391">
        <v>342.30619999999999</v>
      </c>
      <c r="N43" s="391">
        <v>62</v>
      </c>
      <c r="O43" s="391">
        <v>34.096213592233006</v>
      </c>
      <c r="P43" s="391">
        <v>96.096213592232999</v>
      </c>
      <c r="Q43" s="391">
        <v>246.20998640776699</v>
      </c>
      <c r="R43" s="391">
        <v>0</v>
      </c>
      <c r="S43" s="391">
        <v>1294.06</v>
      </c>
      <c r="T43" s="391">
        <v>129406</v>
      </c>
      <c r="U43" s="391">
        <v>104785</v>
      </c>
      <c r="V43" s="391">
        <v>95175.37999999999</v>
      </c>
      <c r="W43" s="391">
        <v>6200</v>
      </c>
      <c r="X43" s="391">
        <v>3409.6213592233007</v>
      </c>
      <c r="Y43" s="519">
        <v>24621</v>
      </c>
      <c r="Z43" s="1102">
        <v>19.026165711018038</v>
      </c>
      <c r="AA43" s="519">
        <v>0</v>
      </c>
      <c r="AB43" s="519">
        <v>34230.62000000001</v>
      </c>
      <c r="AC43" s="519">
        <v>26.452111957714486</v>
      </c>
      <c r="AD43" s="519">
        <v>100</v>
      </c>
      <c r="AE43" s="519">
        <v>-73.555322009798601</v>
      </c>
      <c r="AF43" s="541">
        <v>2017</v>
      </c>
      <c r="AG43" s="1130"/>
      <c r="AH43" s="1148"/>
      <c r="AI43" s="1125" t="s">
        <v>547</v>
      </c>
      <c r="AJ43" s="1149">
        <v>411</v>
      </c>
      <c r="AK43" s="1149">
        <v>5461180</v>
      </c>
      <c r="AL43" s="1149">
        <v>5033627</v>
      </c>
      <c r="AM43" s="1149">
        <v>427553</v>
      </c>
      <c r="AN43" s="1149">
        <v>4169248.36</v>
      </c>
      <c r="AO43" s="1149">
        <v>530400</v>
      </c>
      <c r="AP43" s="1149">
        <v>333978.64319999999</v>
      </c>
      <c r="AQ43" s="1149">
        <v>1291931.6400000001</v>
      </c>
      <c r="AR43" s="1150">
        <v>0.23656639041379338</v>
      </c>
      <c r="AS43" s="1132"/>
    </row>
    <row r="44" spans="1:45" ht="17">
      <c r="A44" s="391" t="s">
        <v>549</v>
      </c>
      <c r="B44" s="391" t="s">
        <v>563</v>
      </c>
      <c r="C44" s="391">
        <v>8</v>
      </c>
      <c r="D44" s="391" t="s">
        <v>938</v>
      </c>
      <c r="E44" s="391" t="s">
        <v>548</v>
      </c>
      <c r="F44" s="391" t="s">
        <v>557</v>
      </c>
      <c r="G44" s="391" t="s">
        <v>2194</v>
      </c>
      <c r="H44" s="391" t="s">
        <v>2195</v>
      </c>
      <c r="I44" s="391">
        <v>50</v>
      </c>
      <c r="J44" s="391">
        <v>1294.06</v>
      </c>
      <c r="K44" s="391">
        <v>1049.8800000000001</v>
      </c>
      <c r="L44" s="391">
        <v>954.00149999999996</v>
      </c>
      <c r="M44" s="391">
        <v>340.05849999999998</v>
      </c>
      <c r="N44" s="391">
        <v>62</v>
      </c>
      <c r="O44" s="391">
        <v>33.878491213466518</v>
      </c>
      <c r="P44" s="391">
        <v>95.878491213466518</v>
      </c>
      <c r="Q44" s="391">
        <v>244.18000878653345</v>
      </c>
      <c r="R44" s="391">
        <v>0</v>
      </c>
      <c r="S44" s="391">
        <v>1294.06</v>
      </c>
      <c r="T44" s="391">
        <v>64703</v>
      </c>
      <c r="U44" s="391">
        <v>52494</v>
      </c>
      <c r="V44" s="391">
        <v>47700.074999999997</v>
      </c>
      <c r="W44" s="391">
        <v>3100</v>
      </c>
      <c r="X44" s="391">
        <v>1693.9245606733259</v>
      </c>
      <c r="Y44" s="519">
        <v>12209</v>
      </c>
      <c r="Z44" s="1102">
        <v>18.869295086781136</v>
      </c>
      <c r="AA44" s="519">
        <v>0</v>
      </c>
      <c r="AB44" s="519">
        <v>17002.925000000003</v>
      </c>
      <c r="AC44" s="519">
        <v>26.278418311361147</v>
      </c>
      <c r="AD44" s="519">
        <v>100</v>
      </c>
      <c r="AE44" s="519">
        <v>-73.721465774384399</v>
      </c>
      <c r="AF44" s="541">
        <v>2017</v>
      </c>
      <c r="AG44" s="1130"/>
      <c r="AH44" s="1148"/>
      <c r="AI44" s="1125" t="s">
        <v>398</v>
      </c>
      <c r="AJ44" s="1149">
        <v>240</v>
      </c>
      <c r="AK44" s="1149">
        <v>72683</v>
      </c>
      <c r="AL44" s="1149">
        <v>107844</v>
      </c>
      <c r="AM44" s="1149">
        <v>-35161</v>
      </c>
      <c r="AN44" s="1149">
        <v>73459.079469837059</v>
      </c>
      <c r="AO44" s="1149">
        <v>19200</v>
      </c>
      <c r="AP44" s="1149">
        <v>15184.924800000001</v>
      </c>
      <c r="AQ44" s="1149">
        <v>-776.07946983705733</v>
      </c>
      <c r="AR44" s="1150">
        <v>-1.0677592694812506E-2</v>
      </c>
      <c r="AS44" s="1132"/>
    </row>
    <row r="45" spans="1:45" ht="18" thickBot="1">
      <c r="A45" s="391" t="s">
        <v>549</v>
      </c>
      <c r="B45" s="391" t="s">
        <v>563</v>
      </c>
      <c r="C45" s="391">
        <v>8</v>
      </c>
      <c r="D45" s="391" t="s">
        <v>938</v>
      </c>
      <c r="E45" s="391" t="s">
        <v>548</v>
      </c>
      <c r="F45" s="391" t="s">
        <v>557</v>
      </c>
      <c r="G45" s="391" t="s">
        <v>2196</v>
      </c>
      <c r="H45" s="391" t="s">
        <v>2197</v>
      </c>
      <c r="I45" s="391">
        <v>800</v>
      </c>
      <c r="J45" s="391">
        <v>1296.2</v>
      </c>
      <c r="K45" s="391">
        <v>1048.1300000000001</v>
      </c>
      <c r="L45" s="391">
        <v>951.84487000000001</v>
      </c>
      <c r="M45" s="391">
        <v>344.35513000000003</v>
      </c>
      <c r="N45" s="391">
        <v>62</v>
      </c>
      <c r="O45" s="391">
        <v>34.287631819783073</v>
      </c>
      <c r="P45" s="391">
        <v>96.287631819783073</v>
      </c>
      <c r="Q45" s="391">
        <v>248.06749818021694</v>
      </c>
      <c r="R45" s="391">
        <v>0</v>
      </c>
      <c r="S45" s="391">
        <v>1296.2</v>
      </c>
      <c r="T45" s="391">
        <v>1036958</v>
      </c>
      <c r="U45" s="391">
        <v>838506</v>
      </c>
      <c r="V45" s="391">
        <v>761475.89600000007</v>
      </c>
      <c r="W45" s="391">
        <v>49600</v>
      </c>
      <c r="X45" s="391">
        <v>27430.105455826459</v>
      </c>
      <c r="Y45" s="519">
        <v>198452</v>
      </c>
      <c r="Z45" s="1102">
        <v>19.137901438631072</v>
      </c>
      <c r="AA45" s="519">
        <v>0</v>
      </c>
      <c r="AB45" s="519">
        <v>275482.10399999993</v>
      </c>
      <c r="AC45" s="519">
        <v>26.566370479807276</v>
      </c>
      <c r="AD45" s="519">
        <v>100</v>
      </c>
      <c r="AE45" s="519">
        <v>-73.4335431136073</v>
      </c>
      <c r="AF45" s="541">
        <v>2017</v>
      </c>
      <c r="AG45" s="1130"/>
      <c r="AH45" s="1148"/>
      <c r="AI45" s="1151"/>
      <c r="AJ45" s="1152"/>
      <c r="AK45" s="1152"/>
      <c r="AL45" s="1152"/>
      <c r="AM45" s="1152"/>
      <c r="AN45" s="1152"/>
      <c r="AO45" s="1152"/>
      <c r="AP45" s="1152"/>
      <c r="AQ45" s="1152"/>
      <c r="AR45" s="1153"/>
      <c r="AS45" s="1132"/>
    </row>
    <row r="46" spans="1:45" ht="16.5" customHeight="1" thickTop="1" thickBot="1">
      <c r="A46" s="391" t="s">
        <v>549</v>
      </c>
      <c r="B46" s="391" t="s">
        <v>563</v>
      </c>
      <c r="C46" s="391">
        <v>8</v>
      </c>
      <c r="D46" s="391" t="s">
        <v>938</v>
      </c>
      <c r="E46" s="391" t="s">
        <v>548</v>
      </c>
      <c r="F46" s="391" t="s">
        <v>557</v>
      </c>
      <c r="G46" s="391" t="s">
        <v>2198</v>
      </c>
      <c r="H46" s="391" t="s">
        <v>2199</v>
      </c>
      <c r="I46" s="391">
        <v>100</v>
      </c>
      <c r="J46" s="391">
        <v>1294.06</v>
      </c>
      <c r="K46" s="391">
        <v>1059.23</v>
      </c>
      <c r="L46" s="391">
        <v>951.79</v>
      </c>
      <c r="M46" s="391">
        <v>342.27</v>
      </c>
      <c r="N46" s="391">
        <v>62</v>
      </c>
      <c r="O46" s="391">
        <v>45.44</v>
      </c>
      <c r="P46" s="391">
        <v>107.44</v>
      </c>
      <c r="Q46" s="391">
        <v>234.82999999999998</v>
      </c>
      <c r="R46" s="391">
        <v>0</v>
      </c>
      <c r="S46" s="391">
        <v>1294.06</v>
      </c>
      <c r="T46" s="391">
        <v>129406</v>
      </c>
      <c r="U46" s="391">
        <v>105923</v>
      </c>
      <c r="V46" s="391">
        <v>95179</v>
      </c>
      <c r="W46" s="391">
        <v>6200</v>
      </c>
      <c r="X46" s="391">
        <v>4544</v>
      </c>
      <c r="Y46" s="519">
        <v>23483</v>
      </c>
      <c r="Z46" s="1102">
        <v>18.146762901256512</v>
      </c>
      <c r="AA46" s="519">
        <v>0</v>
      </c>
      <c r="AB46" s="519">
        <v>34227</v>
      </c>
      <c r="AC46" s="519">
        <v>26.449314560375868</v>
      </c>
      <c r="AD46" s="519">
        <v>100</v>
      </c>
      <c r="AE46" s="519">
        <v>-73.550685439624104</v>
      </c>
      <c r="AF46" s="541">
        <v>2017</v>
      </c>
      <c r="AG46" s="1130"/>
      <c r="AH46" s="1155" t="s">
        <v>348</v>
      </c>
      <c r="AI46" s="1156"/>
      <c r="AJ46" s="1157">
        <v>15889</v>
      </c>
      <c r="AK46" s="1157">
        <v>81571277</v>
      </c>
      <c r="AL46" s="1157">
        <v>70526211</v>
      </c>
      <c r="AM46" s="1157">
        <v>11045066</v>
      </c>
      <c r="AN46" s="1157">
        <v>61970103.623967797</v>
      </c>
      <c r="AO46" s="1157">
        <v>5263438.0990146529</v>
      </c>
      <c r="AP46" s="1157">
        <v>3292669.2819877672</v>
      </c>
      <c r="AQ46" s="1157">
        <v>19601173.37603223</v>
      </c>
      <c r="AR46" s="1158">
        <v>0.24029504130519164</v>
      </c>
      <c r="AS46" s="1132"/>
    </row>
    <row r="47" spans="1:45" ht="16.5" customHeight="1">
      <c r="A47" s="391" t="s">
        <v>549</v>
      </c>
      <c r="B47" s="391" t="s">
        <v>563</v>
      </c>
      <c r="C47" s="391">
        <v>8</v>
      </c>
      <c r="D47" s="391" t="s">
        <v>938</v>
      </c>
      <c r="E47" s="391" t="s">
        <v>548</v>
      </c>
      <c r="F47" s="391" t="s">
        <v>557</v>
      </c>
      <c r="G47" s="391" t="s">
        <v>2200</v>
      </c>
      <c r="H47" s="391" t="s">
        <v>2201</v>
      </c>
      <c r="I47" s="391">
        <v>100</v>
      </c>
      <c r="J47" s="391">
        <v>1296.19</v>
      </c>
      <c r="K47" s="391">
        <v>1048.2</v>
      </c>
      <c r="L47" s="391">
        <v>951.86</v>
      </c>
      <c r="M47" s="391">
        <v>344.33000000000004</v>
      </c>
      <c r="N47" s="391">
        <v>62</v>
      </c>
      <c r="O47" s="391">
        <v>34.340000000000003</v>
      </c>
      <c r="P47" s="391">
        <v>96.34</v>
      </c>
      <c r="Q47" s="391">
        <v>247.99000000000004</v>
      </c>
      <c r="R47" s="391">
        <v>0</v>
      </c>
      <c r="S47" s="391">
        <v>1296.19</v>
      </c>
      <c r="T47" s="391">
        <v>129619</v>
      </c>
      <c r="U47" s="391">
        <v>104820</v>
      </c>
      <c r="V47" s="391">
        <v>95186</v>
      </c>
      <c r="W47" s="391">
        <v>6200</v>
      </c>
      <c r="X47" s="391">
        <v>3434.0000000000005</v>
      </c>
      <c r="Y47" s="519">
        <v>24799</v>
      </c>
      <c r="Z47" s="1102">
        <v>19.132225985387944</v>
      </c>
      <c r="AA47" s="519">
        <v>0</v>
      </c>
      <c r="AB47" s="519">
        <v>34433</v>
      </c>
      <c r="AC47" s="519">
        <v>26.56477831182157</v>
      </c>
      <c r="AD47" s="519">
        <v>100</v>
      </c>
      <c r="AE47" s="519">
        <v>-73.435221688178402</v>
      </c>
      <c r="AF47" s="541">
        <v>2017</v>
      </c>
      <c r="AG47" s="1130"/>
      <c r="AH47"/>
      <c r="AI47"/>
      <c r="AJ47"/>
      <c r="AK47"/>
      <c r="AL47"/>
      <c r="AM47"/>
      <c r="AN47"/>
      <c r="AO47"/>
      <c r="AP47"/>
      <c r="AQ47"/>
      <c r="AR47"/>
      <c r="AS47" s="1132"/>
    </row>
    <row r="48" spans="1:45" ht="16.5" customHeight="1">
      <c r="A48" s="391" t="s">
        <v>2134</v>
      </c>
      <c r="B48" s="391" t="s">
        <v>2135</v>
      </c>
      <c r="C48" s="391">
        <v>8</v>
      </c>
      <c r="D48" s="391" t="s">
        <v>937</v>
      </c>
      <c r="E48" s="391" t="s">
        <v>2003</v>
      </c>
      <c r="F48" s="391" t="s">
        <v>2003</v>
      </c>
      <c r="G48" s="391" t="s">
        <v>2202</v>
      </c>
      <c r="H48" s="391" t="s">
        <v>2203</v>
      </c>
      <c r="I48" s="391">
        <v>11</v>
      </c>
      <c r="J48" s="391">
        <v>24732.27</v>
      </c>
      <c r="K48" s="391">
        <v>16096.27</v>
      </c>
      <c r="L48" s="391">
        <v>14300.823</v>
      </c>
      <c r="M48" s="391">
        <v>10431.447</v>
      </c>
      <c r="N48" s="391">
        <v>865</v>
      </c>
      <c r="O48" s="391">
        <v>930.45</v>
      </c>
      <c r="P48" s="391">
        <v>1795.45</v>
      </c>
      <c r="Q48" s="391">
        <v>8635.9969999999994</v>
      </c>
      <c r="R48" s="391">
        <v>3268.77</v>
      </c>
      <c r="S48" s="391">
        <v>21463.51</v>
      </c>
      <c r="T48" s="391">
        <v>272055</v>
      </c>
      <c r="U48" s="391">
        <v>177059</v>
      </c>
      <c r="V48" s="391">
        <v>157309.05300000001</v>
      </c>
      <c r="W48" s="391">
        <v>9515</v>
      </c>
      <c r="X48" s="391">
        <v>10234.950000000001</v>
      </c>
      <c r="Y48" s="519">
        <v>94996</v>
      </c>
      <c r="Z48" s="1102">
        <v>34.917939387256254</v>
      </c>
      <c r="AA48" s="519">
        <v>35956.42</v>
      </c>
      <c r="AB48" s="519">
        <v>114745.94699999999</v>
      </c>
      <c r="AC48" s="519">
        <v>42.177481391630359</v>
      </c>
      <c r="AD48" s="519">
        <v>86.7834022532208</v>
      </c>
      <c r="AE48" s="519">
        <v>-44.605901380235601</v>
      </c>
      <c r="AF48" s="541">
        <v>2017</v>
      </c>
      <c r="AG48" s="1130"/>
      <c r="AH48"/>
      <c r="AI48"/>
      <c r="AJ48"/>
      <c r="AK48"/>
      <c r="AL48"/>
      <c r="AM48"/>
      <c r="AN48"/>
      <c r="AO48"/>
      <c r="AP48"/>
      <c r="AQ48"/>
      <c r="AR48"/>
      <c r="AS48" s="1132"/>
    </row>
    <row r="49" spans="1:45" ht="16.5" customHeight="1">
      <c r="A49" s="391" t="s">
        <v>2001</v>
      </c>
      <c r="B49" s="391" t="s">
        <v>2002</v>
      </c>
      <c r="C49" s="391">
        <v>8</v>
      </c>
      <c r="D49" s="391" t="s">
        <v>937</v>
      </c>
      <c r="E49" s="391" t="s">
        <v>2004</v>
      </c>
      <c r="F49" s="391" t="s">
        <v>2004</v>
      </c>
      <c r="G49" s="391" t="s">
        <v>2204</v>
      </c>
      <c r="H49" s="391" t="s">
        <v>2205</v>
      </c>
      <c r="I49" s="391">
        <v>50</v>
      </c>
      <c r="J49" s="391">
        <v>13862.1</v>
      </c>
      <c r="K49" s="391">
        <v>12200.04</v>
      </c>
      <c r="L49" s="391">
        <v>10734.16</v>
      </c>
      <c r="M49" s="391">
        <v>3127.9400000000005</v>
      </c>
      <c r="N49" s="391">
        <v>990.4</v>
      </c>
      <c r="O49" s="391">
        <v>475.48</v>
      </c>
      <c r="P49" s="391">
        <v>1465.88</v>
      </c>
      <c r="Q49" s="391">
        <v>1662.0600000000004</v>
      </c>
      <c r="R49" s="391">
        <v>2316.87</v>
      </c>
      <c r="S49" s="391">
        <v>11545.23</v>
      </c>
      <c r="T49" s="391">
        <v>693105</v>
      </c>
      <c r="U49" s="391">
        <v>610002</v>
      </c>
      <c r="V49" s="391">
        <v>536708</v>
      </c>
      <c r="W49" s="391">
        <v>49520</v>
      </c>
      <c r="X49" s="391">
        <v>23774</v>
      </c>
      <c r="Y49" s="519">
        <v>83103</v>
      </c>
      <c r="Z49" s="1102">
        <v>11.989958231436795</v>
      </c>
      <c r="AA49" s="519">
        <v>115843.54</v>
      </c>
      <c r="AB49" s="519">
        <v>156397</v>
      </c>
      <c r="AC49" s="519">
        <v>22.564690775567918</v>
      </c>
      <c r="AD49" s="519">
        <v>83.286292913772002</v>
      </c>
      <c r="AE49" s="519">
        <v>-60.721602138204098</v>
      </c>
      <c r="AF49" s="541">
        <v>2017</v>
      </c>
      <c r="AG49" s="1130"/>
      <c r="AH49"/>
      <c r="AI49"/>
      <c r="AJ49"/>
      <c r="AK49"/>
      <c r="AL49"/>
      <c r="AM49"/>
      <c r="AN49"/>
      <c r="AO49"/>
      <c r="AP49"/>
      <c r="AQ49"/>
      <c r="AR49"/>
      <c r="AS49" s="1132"/>
    </row>
    <row r="50" spans="1:45" ht="16.5" customHeight="1">
      <c r="A50" s="391" t="s">
        <v>2139</v>
      </c>
      <c r="B50" s="391" t="s">
        <v>2140</v>
      </c>
      <c r="C50" s="391">
        <v>8</v>
      </c>
      <c r="D50" s="391" t="s">
        <v>937</v>
      </c>
      <c r="E50" s="391" t="s">
        <v>2011</v>
      </c>
      <c r="F50" s="391" t="s">
        <v>2011</v>
      </c>
      <c r="G50" s="391" t="s">
        <v>2206</v>
      </c>
      <c r="H50" s="391" t="s">
        <v>2207</v>
      </c>
      <c r="I50" s="391">
        <v>7</v>
      </c>
      <c r="J50" s="391">
        <v>31189.71</v>
      </c>
      <c r="K50" s="391">
        <v>21031.86</v>
      </c>
      <c r="L50" s="391">
        <v>19754.147000000001</v>
      </c>
      <c r="M50" s="391">
        <v>11435.562999999998</v>
      </c>
      <c r="N50" s="391">
        <v>865</v>
      </c>
      <c r="O50" s="391">
        <v>412.71</v>
      </c>
      <c r="P50" s="391">
        <v>1277.71</v>
      </c>
      <c r="Q50" s="391">
        <v>10157.852999999999</v>
      </c>
      <c r="R50" s="391">
        <v>2083.83</v>
      </c>
      <c r="S50" s="391">
        <v>29105.89</v>
      </c>
      <c r="T50" s="391">
        <v>218328</v>
      </c>
      <c r="U50" s="391">
        <v>147223</v>
      </c>
      <c r="V50" s="391">
        <v>138279.02900000001</v>
      </c>
      <c r="W50" s="391">
        <v>6055</v>
      </c>
      <c r="X50" s="391">
        <v>2888.97</v>
      </c>
      <c r="Y50" s="519">
        <v>71105</v>
      </c>
      <c r="Z50" s="1102">
        <v>32.567971126012239</v>
      </c>
      <c r="AA50" s="519">
        <v>14586.79</v>
      </c>
      <c r="AB50" s="519">
        <v>80048.97099999999</v>
      </c>
      <c r="AC50" s="519">
        <v>36.664546462203653</v>
      </c>
      <c r="AD50" s="519">
        <v>93.318865889853697</v>
      </c>
      <c r="AE50" s="519">
        <v>-56.654306144882902</v>
      </c>
      <c r="AF50" s="541">
        <v>2017</v>
      </c>
      <c r="AG50" s="1130"/>
      <c r="AH50"/>
      <c r="AI50"/>
      <c r="AJ50"/>
      <c r="AK50"/>
      <c r="AL50"/>
      <c r="AM50"/>
      <c r="AN50"/>
      <c r="AO50"/>
      <c r="AP50"/>
      <c r="AQ50"/>
      <c r="AR50"/>
      <c r="AS50" s="1132"/>
    </row>
    <row r="51" spans="1:45" ht="16.5" customHeight="1">
      <c r="A51" s="391" t="s">
        <v>2133</v>
      </c>
      <c r="B51" s="391" t="s">
        <v>2057</v>
      </c>
      <c r="C51" s="391">
        <v>8</v>
      </c>
      <c r="D51" s="391" t="s">
        <v>937</v>
      </c>
      <c r="E51" s="391" t="s">
        <v>1751</v>
      </c>
      <c r="F51" s="391" t="s">
        <v>1751</v>
      </c>
      <c r="G51" s="391" t="s">
        <v>2208</v>
      </c>
      <c r="H51" s="391" t="s">
        <v>2209</v>
      </c>
      <c r="I51" s="391">
        <v>27</v>
      </c>
      <c r="J51" s="391">
        <v>21320.63</v>
      </c>
      <c r="K51" s="391">
        <v>14201.56</v>
      </c>
      <c r="L51" s="391">
        <v>12924.845499999999</v>
      </c>
      <c r="M51" s="391">
        <v>8395.7845000000016</v>
      </c>
      <c r="N51" s="391">
        <v>650</v>
      </c>
      <c r="O51" s="391">
        <v>626.71</v>
      </c>
      <c r="P51" s="391">
        <v>1276.71</v>
      </c>
      <c r="Q51" s="391">
        <v>7119.0745000000015</v>
      </c>
      <c r="R51" s="391">
        <v>4504.2299999999996</v>
      </c>
      <c r="S51" s="391">
        <v>16816.400000000001</v>
      </c>
      <c r="T51" s="391">
        <v>575657</v>
      </c>
      <c r="U51" s="391">
        <v>383442</v>
      </c>
      <c r="V51" s="391">
        <v>348970.8285</v>
      </c>
      <c r="W51" s="391">
        <v>17550</v>
      </c>
      <c r="X51" s="391">
        <v>16921.170000000002</v>
      </c>
      <c r="Y51" s="519">
        <v>192215</v>
      </c>
      <c r="Z51" s="1102">
        <v>33.390543327015912</v>
      </c>
      <c r="AA51" s="519">
        <v>121614.12</v>
      </c>
      <c r="AB51" s="519">
        <v>226686.1715</v>
      </c>
      <c r="AC51" s="519">
        <v>39.378687569160107</v>
      </c>
      <c r="AD51" s="519">
        <v>78.873856925217595</v>
      </c>
      <c r="AE51" s="519">
        <v>-39.495223964468899</v>
      </c>
      <c r="AF51" s="541">
        <v>2017</v>
      </c>
      <c r="AG51" s="1130"/>
    </row>
    <row r="52" spans="1:45" ht="16.5" customHeight="1">
      <c r="A52" s="391" t="s">
        <v>2137</v>
      </c>
      <c r="B52" s="391" t="s">
        <v>2138</v>
      </c>
      <c r="C52" s="391">
        <v>8</v>
      </c>
      <c r="D52" s="391" t="s">
        <v>937</v>
      </c>
      <c r="E52" s="391" t="s">
        <v>2011</v>
      </c>
      <c r="F52" s="391" t="s">
        <v>2011</v>
      </c>
      <c r="G52" s="391" t="s">
        <v>2210</v>
      </c>
      <c r="H52" s="391" t="s">
        <v>2211</v>
      </c>
      <c r="I52" s="391">
        <v>10</v>
      </c>
      <c r="J52" s="391">
        <v>28269.7</v>
      </c>
      <c r="K52" s="391">
        <v>20925.7</v>
      </c>
      <c r="L52" s="391">
        <v>19514.599999999999</v>
      </c>
      <c r="M52" s="391">
        <v>8755.1000000000022</v>
      </c>
      <c r="N52" s="391">
        <v>865</v>
      </c>
      <c r="O52" s="391">
        <v>546.1</v>
      </c>
      <c r="P52" s="391">
        <v>1411.1</v>
      </c>
      <c r="Q52" s="391">
        <v>7344.0000000000018</v>
      </c>
      <c r="R52" s="391">
        <v>5941.92</v>
      </c>
      <c r="S52" s="391">
        <v>22327.78</v>
      </c>
      <c r="T52" s="391">
        <v>282697</v>
      </c>
      <c r="U52" s="391">
        <v>209257</v>
      </c>
      <c r="V52" s="391">
        <v>195146</v>
      </c>
      <c r="W52" s="391">
        <v>8650</v>
      </c>
      <c r="X52" s="391">
        <v>5461</v>
      </c>
      <c r="Y52" s="519">
        <v>73440</v>
      </c>
      <c r="Z52" s="1102">
        <v>25.978344305033303</v>
      </c>
      <c r="AA52" s="519">
        <v>59419.21</v>
      </c>
      <c r="AB52" s="519">
        <v>87551</v>
      </c>
      <c r="AC52" s="519">
        <v>30.969907710375423</v>
      </c>
      <c r="AD52" s="519">
        <v>78.981307760605802</v>
      </c>
      <c r="AE52" s="519">
        <v>-48.011400050230399</v>
      </c>
      <c r="AF52" s="541">
        <v>2017</v>
      </c>
      <c r="AG52" s="1130"/>
    </row>
    <row r="53" spans="1:45" ht="16.5" customHeight="1">
      <c r="A53" s="391" t="s">
        <v>1271</v>
      </c>
      <c r="B53" s="391" t="s">
        <v>1263</v>
      </c>
      <c r="C53" s="391">
        <v>8</v>
      </c>
      <c r="D53" s="391" t="s">
        <v>937</v>
      </c>
      <c r="E53" s="391" t="s">
        <v>1264</v>
      </c>
      <c r="F53" s="391" t="s">
        <v>1264</v>
      </c>
      <c r="G53" s="391" t="s">
        <v>2059</v>
      </c>
      <c r="H53" s="391" t="s">
        <v>2060</v>
      </c>
      <c r="I53" s="391">
        <v>20</v>
      </c>
      <c r="J53" s="391">
        <v>14149.95</v>
      </c>
      <c r="K53" s="391">
        <v>10177.049999999999</v>
      </c>
      <c r="L53" s="391">
        <v>8864.65</v>
      </c>
      <c r="M53" s="391">
        <v>5285.3000000000011</v>
      </c>
      <c r="N53" s="391">
        <v>805.6</v>
      </c>
      <c r="O53" s="391">
        <v>506.8</v>
      </c>
      <c r="P53" s="391">
        <v>1312.4</v>
      </c>
      <c r="Q53" s="391">
        <v>3972.900000000001</v>
      </c>
      <c r="R53" s="391">
        <v>1916.14</v>
      </c>
      <c r="S53" s="391">
        <v>12233.81</v>
      </c>
      <c r="T53" s="391">
        <v>282999</v>
      </c>
      <c r="U53" s="391">
        <v>203541</v>
      </c>
      <c r="V53" s="391">
        <v>177293</v>
      </c>
      <c r="W53" s="391">
        <v>16112</v>
      </c>
      <c r="X53" s="391">
        <v>10136</v>
      </c>
      <c r="Y53" s="519">
        <v>79458</v>
      </c>
      <c r="Z53" s="1102">
        <v>28.077131014597224</v>
      </c>
      <c r="AA53" s="519">
        <v>38322.79</v>
      </c>
      <c r="AB53" s="519">
        <v>105706</v>
      </c>
      <c r="AC53" s="519">
        <v>37.352075449029854</v>
      </c>
      <c r="AD53" s="519">
        <v>86.458330524136102</v>
      </c>
      <c r="AE53" s="519">
        <v>-49.106255075106198</v>
      </c>
      <c r="AF53" s="541">
        <v>2017</v>
      </c>
      <c r="AG53" s="1130"/>
    </row>
    <row r="54" spans="1:45" ht="16.5" customHeight="1">
      <c r="A54" s="391" t="s">
        <v>1271</v>
      </c>
      <c r="B54" s="391" t="s">
        <v>1263</v>
      </c>
      <c r="C54" s="391">
        <v>8</v>
      </c>
      <c r="D54" s="391" t="s">
        <v>937</v>
      </c>
      <c r="E54" s="391" t="s">
        <v>2010</v>
      </c>
      <c r="F54" s="391" t="s">
        <v>2010</v>
      </c>
      <c r="G54" s="391" t="s">
        <v>2212</v>
      </c>
      <c r="H54" s="391" t="s">
        <v>2213</v>
      </c>
      <c r="I54" s="391">
        <v>25</v>
      </c>
      <c r="J54" s="391">
        <v>16051.04</v>
      </c>
      <c r="K54" s="391">
        <v>12828.16</v>
      </c>
      <c r="L54" s="391">
        <v>11032.72</v>
      </c>
      <c r="M54" s="391">
        <v>5018.3200000000015</v>
      </c>
      <c r="N54" s="391">
        <v>865</v>
      </c>
      <c r="O54" s="391">
        <v>930.44</v>
      </c>
      <c r="P54" s="391">
        <v>1795.44</v>
      </c>
      <c r="Q54" s="391">
        <v>3222.8800000000015</v>
      </c>
      <c r="R54" s="391">
        <v>3224.32</v>
      </c>
      <c r="S54" s="391">
        <v>12826.72</v>
      </c>
      <c r="T54" s="391">
        <v>401276</v>
      </c>
      <c r="U54" s="391">
        <v>320704</v>
      </c>
      <c r="V54" s="391">
        <v>275818</v>
      </c>
      <c r="W54" s="391">
        <v>21625</v>
      </c>
      <c r="X54" s="391">
        <v>23261</v>
      </c>
      <c r="Y54" s="519">
        <v>80572</v>
      </c>
      <c r="Z54" s="1102">
        <v>20.078948155384325</v>
      </c>
      <c r="AA54" s="519">
        <v>80607.89</v>
      </c>
      <c r="AB54" s="519">
        <v>125458</v>
      </c>
      <c r="AC54" s="519">
        <v>31.264765398379168</v>
      </c>
      <c r="AD54" s="519">
        <v>79.912107813574593</v>
      </c>
      <c r="AE54" s="519">
        <v>-48.647342415195503</v>
      </c>
      <c r="AF54" s="541">
        <v>2017</v>
      </c>
      <c r="AG54" s="1130"/>
    </row>
    <row r="55" spans="1:45" ht="16.5" customHeight="1">
      <c r="A55" s="391" t="s">
        <v>1271</v>
      </c>
      <c r="B55" s="391" t="s">
        <v>1263</v>
      </c>
      <c r="C55" s="391">
        <v>8</v>
      </c>
      <c r="D55" s="391" t="s">
        <v>937</v>
      </c>
      <c r="E55" s="391" t="s">
        <v>1872</v>
      </c>
      <c r="F55" s="391" t="s">
        <v>1872</v>
      </c>
      <c r="G55" s="391" t="s">
        <v>2214</v>
      </c>
      <c r="H55" s="391" t="s">
        <v>2215</v>
      </c>
      <c r="I55" s="391">
        <v>2</v>
      </c>
      <c r="J55" s="391">
        <v>14150</v>
      </c>
      <c r="K55" s="391">
        <v>8459.5</v>
      </c>
      <c r="L55" s="391">
        <v>8394</v>
      </c>
      <c r="M55" s="391">
        <v>5756</v>
      </c>
      <c r="N55" s="391">
        <v>0</v>
      </c>
      <c r="O55" s="391">
        <v>65.5</v>
      </c>
      <c r="P55" s="391">
        <v>65.5</v>
      </c>
      <c r="Q55" s="391">
        <v>5690.5</v>
      </c>
      <c r="R55" s="391">
        <v>1916.14</v>
      </c>
      <c r="S55" s="391">
        <v>12233.86</v>
      </c>
      <c r="T55" s="391">
        <v>28300</v>
      </c>
      <c r="U55" s="391">
        <v>16919</v>
      </c>
      <c r="V55" s="391">
        <v>16788</v>
      </c>
      <c r="W55" s="391">
        <v>0</v>
      </c>
      <c r="X55" s="391">
        <v>131</v>
      </c>
      <c r="Y55" s="519">
        <v>11381</v>
      </c>
      <c r="Z55" s="1102">
        <v>40.215547703180206</v>
      </c>
      <c r="AA55" s="519">
        <v>3832.28</v>
      </c>
      <c r="AB55" s="519">
        <v>11512</v>
      </c>
      <c r="AC55" s="519">
        <v>40.678445229681984</v>
      </c>
      <c r="AD55" s="519">
        <v>86.458378374558293</v>
      </c>
      <c r="AE55" s="519">
        <v>-45.779933144876303</v>
      </c>
      <c r="AF55" s="541">
        <v>2017</v>
      </c>
      <c r="AG55" s="1130"/>
    </row>
    <row r="56" spans="1:45" ht="16.5" customHeight="1">
      <c r="A56" s="391" t="s">
        <v>1271</v>
      </c>
      <c r="B56" s="391" t="s">
        <v>1263</v>
      </c>
      <c r="C56" s="391">
        <v>8</v>
      </c>
      <c r="D56" s="391" t="s">
        <v>937</v>
      </c>
      <c r="E56" s="391" t="s">
        <v>1751</v>
      </c>
      <c r="F56" s="391" t="s">
        <v>1751</v>
      </c>
      <c r="G56" s="391" t="s">
        <v>2216</v>
      </c>
      <c r="H56" s="391" t="s">
        <v>2217</v>
      </c>
      <c r="I56" s="391">
        <v>1</v>
      </c>
      <c r="J56" s="391">
        <v>17960</v>
      </c>
      <c r="K56" s="391">
        <v>10635</v>
      </c>
      <c r="L56" s="391">
        <v>10569</v>
      </c>
      <c r="M56" s="391">
        <v>7391</v>
      </c>
      <c r="N56" s="391">
        <v>0</v>
      </c>
      <c r="O56" s="391">
        <v>66</v>
      </c>
      <c r="P56" s="391">
        <v>66</v>
      </c>
      <c r="Q56" s="391">
        <v>7325</v>
      </c>
      <c r="R56" s="391">
        <v>8013.7</v>
      </c>
      <c r="S56" s="391">
        <v>9946.2999999999993</v>
      </c>
      <c r="T56" s="391">
        <v>17960</v>
      </c>
      <c r="U56" s="391">
        <v>10635</v>
      </c>
      <c r="V56" s="391">
        <v>10569</v>
      </c>
      <c r="W56" s="391">
        <v>0</v>
      </c>
      <c r="X56" s="391">
        <v>66</v>
      </c>
      <c r="Y56" s="519">
        <v>7325</v>
      </c>
      <c r="Z56" s="1102">
        <v>40.785077951002229</v>
      </c>
      <c r="AA56" s="519">
        <v>8013.7</v>
      </c>
      <c r="AB56" s="519">
        <v>7391</v>
      </c>
      <c r="AC56" s="519">
        <v>41.152561247216035</v>
      </c>
      <c r="AD56" s="519">
        <v>55.380298886414202</v>
      </c>
      <c r="AE56" s="519">
        <v>-14.2277376391982</v>
      </c>
      <c r="AF56" s="541">
        <v>2017</v>
      </c>
      <c r="AG56" s="1130"/>
    </row>
    <row r="57" spans="1:45" ht="16.5" customHeight="1">
      <c r="A57" s="391" t="s">
        <v>1271</v>
      </c>
      <c r="B57" s="391" t="s">
        <v>1263</v>
      </c>
      <c r="C57" s="391">
        <v>8</v>
      </c>
      <c r="D57" s="391" t="s">
        <v>937</v>
      </c>
      <c r="E57" s="391" t="s">
        <v>398</v>
      </c>
      <c r="F57" s="391" t="s">
        <v>398</v>
      </c>
      <c r="G57" s="391" t="s">
        <v>2218</v>
      </c>
      <c r="H57" s="391" t="s">
        <v>2219</v>
      </c>
      <c r="I57" s="391">
        <v>3</v>
      </c>
      <c r="J57" s="391">
        <v>635</v>
      </c>
      <c r="K57" s="391">
        <v>503.33</v>
      </c>
      <c r="L57" s="391">
        <v>437.66199999999998</v>
      </c>
      <c r="M57" s="391">
        <v>197.33800000000002</v>
      </c>
      <c r="N57" s="391">
        <v>0</v>
      </c>
      <c r="O57" s="391">
        <v>65.67</v>
      </c>
      <c r="P57" s="391">
        <v>65.67</v>
      </c>
      <c r="Q57" s="391">
        <v>131.66800000000001</v>
      </c>
      <c r="R57" s="391">
        <v>444.37</v>
      </c>
      <c r="S57" s="391">
        <v>190.63</v>
      </c>
      <c r="T57" s="391">
        <v>1905</v>
      </c>
      <c r="U57" s="391">
        <v>1510</v>
      </c>
      <c r="V57" s="391">
        <v>1312.9859999999999</v>
      </c>
      <c r="W57" s="391">
        <v>0</v>
      </c>
      <c r="X57" s="391">
        <v>197.01</v>
      </c>
      <c r="Y57" s="519">
        <v>395</v>
      </c>
      <c r="Z57" s="1102">
        <v>20.73490813648294</v>
      </c>
      <c r="AA57" s="519">
        <v>1333.12</v>
      </c>
      <c r="AB57" s="519">
        <v>592.01400000000012</v>
      </c>
      <c r="AC57" s="519">
        <v>31.076850393700795</v>
      </c>
      <c r="AD57" s="519">
        <v>30.020022047244002</v>
      </c>
      <c r="AE57" s="519">
        <v>1.0560934383202001</v>
      </c>
      <c r="AF57" s="541">
        <v>2017</v>
      </c>
      <c r="AG57" s="1136"/>
    </row>
    <row r="58" spans="1:45" ht="16.5" customHeight="1">
      <c r="A58" s="391" t="s">
        <v>2125</v>
      </c>
      <c r="B58" s="391" t="s">
        <v>2126</v>
      </c>
      <c r="C58" s="391">
        <v>8</v>
      </c>
      <c r="D58" s="391" t="s">
        <v>937</v>
      </c>
      <c r="E58" s="391" t="s">
        <v>1242</v>
      </c>
      <c r="F58" s="391" t="s">
        <v>1242</v>
      </c>
      <c r="G58" s="391" t="s">
        <v>2220</v>
      </c>
      <c r="H58" s="391" t="s">
        <v>2221</v>
      </c>
      <c r="I58" s="391">
        <v>5</v>
      </c>
      <c r="J58" s="391">
        <v>4490</v>
      </c>
      <c r="K58" s="391">
        <v>4929</v>
      </c>
      <c r="L58" s="391">
        <v>3586.56</v>
      </c>
      <c r="M58" s="391">
        <v>903.44</v>
      </c>
      <c r="N58" s="391">
        <v>392.7</v>
      </c>
      <c r="O58" s="391">
        <v>949.74</v>
      </c>
      <c r="P58" s="391">
        <v>1342.44</v>
      </c>
      <c r="Q58" s="391">
        <v>-439</v>
      </c>
      <c r="R58" s="391">
        <v>3365.75</v>
      </c>
      <c r="S58" s="391">
        <v>1124.25</v>
      </c>
      <c r="T58" s="391">
        <v>22450</v>
      </c>
      <c r="U58" s="391">
        <v>24645</v>
      </c>
      <c r="V58" s="391">
        <v>17932.8</v>
      </c>
      <c r="W58" s="391">
        <v>1963.5</v>
      </c>
      <c r="X58" s="391">
        <v>4748.7</v>
      </c>
      <c r="Y58" s="519">
        <v>-2195</v>
      </c>
      <c r="Z58" s="1102">
        <v>-9.7772828507795104</v>
      </c>
      <c r="AA58" s="519">
        <v>16828.73</v>
      </c>
      <c r="AB58" s="519">
        <v>4517.2000000000007</v>
      </c>
      <c r="AC58" s="519">
        <v>20.121158129175949</v>
      </c>
      <c r="AD58" s="519">
        <v>25.039051948775001</v>
      </c>
      <c r="AE58" s="519">
        <v>-4.9174483853006601</v>
      </c>
      <c r="AF58" s="541">
        <v>2017</v>
      </c>
      <c r="AG58" s="1136"/>
    </row>
    <row r="59" spans="1:45" ht="16.5" customHeight="1">
      <c r="A59" s="692" t="s">
        <v>2125</v>
      </c>
      <c r="B59" s="692" t="s">
        <v>2126</v>
      </c>
      <c r="C59" s="541">
        <v>8</v>
      </c>
      <c r="D59" s="692" t="s">
        <v>937</v>
      </c>
      <c r="E59" s="692" t="s">
        <v>1242</v>
      </c>
      <c r="F59" s="692" t="s">
        <v>1242</v>
      </c>
      <c r="G59" s="692" t="s">
        <v>2222</v>
      </c>
      <c r="H59" s="1103" t="s">
        <v>2223</v>
      </c>
      <c r="I59" s="1103">
        <v>5</v>
      </c>
      <c r="J59" s="1103">
        <v>4490.2</v>
      </c>
      <c r="K59" s="1103">
        <v>4896.6000000000004</v>
      </c>
      <c r="L59" s="1103">
        <v>3554.16</v>
      </c>
      <c r="M59" s="1103">
        <v>936.04</v>
      </c>
      <c r="N59" s="1103">
        <v>392.7</v>
      </c>
      <c r="O59" s="1103">
        <v>949.74</v>
      </c>
      <c r="P59" s="1103">
        <v>1342.44</v>
      </c>
      <c r="Q59" s="1103">
        <v>-406.40000000000009</v>
      </c>
      <c r="R59" s="1103">
        <v>3372.82</v>
      </c>
      <c r="S59" s="1103">
        <v>1117.3800000000001</v>
      </c>
      <c r="T59" s="1103">
        <v>22451</v>
      </c>
      <c r="U59" s="1103">
        <v>24483</v>
      </c>
      <c r="V59" s="1103">
        <v>17770.8</v>
      </c>
      <c r="W59" s="1103">
        <v>1963.5</v>
      </c>
      <c r="X59" s="1103">
        <v>4748.7</v>
      </c>
      <c r="Y59" s="545">
        <v>-2032</v>
      </c>
      <c r="Z59" s="1103">
        <v>-9.0508217896752932</v>
      </c>
      <c r="AA59" s="545">
        <v>16864.09</v>
      </c>
      <c r="AB59" s="545">
        <v>4680.2000000000007</v>
      </c>
      <c r="AC59" s="545">
        <v>20.846287470491294</v>
      </c>
      <c r="AD59" s="545">
        <v>24.8848936016213</v>
      </c>
      <c r="AE59" s="545">
        <v>-4.0386061311300097</v>
      </c>
      <c r="AF59" s="541">
        <v>2017</v>
      </c>
      <c r="AG59" s="1136"/>
    </row>
    <row r="60" spans="1:45" ht="16.5" customHeight="1">
      <c r="A60" s="692" t="s">
        <v>2125</v>
      </c>
      <c r="B60" s="692" t="s">
        <v>2126</v>
      </c>
      <c r="C60" s="541">
        <v>8</v>
      </c>
      <c r="D60" s="692" t="s">
        <v>937</v>
      </c>
      <c r="E60" s="692" t="s">
        <v>1260</v>
      </c>
      <c r="F60" s="692" t="s">
        <v>1260</v>
      </c>
      <c r="G60" s="692" t="s">
        <v>2224</v>
      </c>
      <c r="H60" s="1103" t="s">
        <v>2225</v>
      </c>
      <c r="I60" s="1103">
        <v>10</v>
      </c>
      <c r="J60" s="1103">
        <v>18050.900000000001</v>
      </c>
      <c r="K60" s="1103">
        <v>17563.5</v>
      </c>
      <c r="L60" s="1103">
        <v>15059.9</v>
      </c>
      <c r="M60" s="1103">
        <v>2991.0000000000018</v>
      </c>
      <c r="N60" s="1103">
        <v>997</v>
      </c>
      <c r="O60" s="1103">
        <v>1506.6</v>
      </c>
      <c r="P60" s="1103">
        <v>2503.6</v>
      </c>
      <c r="Q60" s="1103">
        <v>487.40000000000191</v>
      </c>
      <c r="R60" s="1103">
        <v>1915.4</v>
      </c>
      <c r="S60" s="1103">
        <v>16135.5</v>
      </c>
      <c r="T60" s="1103">
        <v>180509</v>
      </c>
      <c r="U60" s="1103">
        <v>175635</v>
      </c>
      <c r="V60" s="1103">
        <v>150599</v>
      </c>
      <c r="W60" s="1103">
        <v>9970</v>
      </c>
      <c r="X60" s="1103">
        <v>15066</v>
      </c>
      <c r="Y60" s="545">
        <v>4874</v>
      </c>
      <c r="Z60" s="1103">
        <v>2.7001423751724292</v>
      </c>
      <c r="AA60" s="545">
        <v>19153.98</v>
      </c>
      <c r="AB60" s="545">
        <v>29910</v>
      </c>
      <c r="AC60" s="545">
        <v>16.56981092355506</v>
      </c>
      <c r="AD60" s="545">
        <v>89.388906314920504</v>
      </c>
      <c r="AE60" s="545">
        <v>-69.115678941216203</v>
      </c>
      <c r="AF60" s="541">
        <v>2017</v>
      </c>
      <c r="AG60" s="1136"/>
    </row>
    <row r="61" spans="1:45" ht="16.5" customHeight="1">
      <c r="A61" s="692" t="s">
        <v>2125</v>
      </c>
      <c r="B61" s="692" t="s">
        <v>2126</v>
      </c>
      <c r="C61" s="541">
        <v>8</v>
      </c>
      <c r="D61" s="692" t="s">
        <v>937</v>
      </c>
      <c r="E61" s="692" t="s">
        <v>1260</v>
      </c>
      <c r="F61" s="692" t="s">
        <v>1260</v>
      </c>
      <c r="G61" s="692" t="s">
        <v>2226</v>
      </c>
      <c r="H61" s="1103" t="s">
        <v>2227</v>
      </c>
      <c r="I61" s="1103">
        <v>5</v>
      </c>
      <c r="J61" s="1103">
        <v>18050.8</v>
      </c>
      <c r="K61" s="1103">
        <v>15811.6</v>
      </c>
      <c r="L61" s="1103">
        <v>14335.8</v>
      </c>
      <c r="M61" s="1103">
        <v>3715</v>
      </c>
      <c r="N61" s="1103">
        <v>997</v>
      </c>
      <c r="O61" s="1103">
        <v>478.8</v>
      </c>
      <c r="P61" s="1103">
        <v>1475.8</v>
      </c>
      <c r="Q61" s="1103">
        <v>2239.1999999999998</v>
      </c>
      <c r="R61" s="1103">
        <v>1915.32</v>
      </c>
      <c r="S61" s="1103">
        <v>16135.48</v>
      </c>
      <c r="T61" s="1103">
        <v>90254</v>
      </c>
      <c r="U61" s="1103">
        <v>79058</v>
      </c>
      <c r="V61" s="1103">
        <v>71679</v>
      </c>
      <c r="W61" s="1103">
        <v>4985</v>
      </c>
      <c r="X61" s="1103">
        <v>2394</v>
      </c>
      <c r="Y61" s="545">
        <v>11196</v>
      </c>
      <c r="Z61" s="1103">
        <v>12.404990360538036</v>
      </c>
      <c r="AA61" s="545">
        <v>9576.6200000000008</v>
      </c>
      <c r="AB61" s="545">
        <v>18575</v>
      </c>
      <c r="AC61" s="545">
        <v>20.580805282868351</v>
      </c>
      <c r="AD61" s="545">
        <v>89.3892604759899</v>
      </c>
      <c r="AE61" s="545">
        <v>-65.1044642342721</v>
      </c>
      <c r="AF61" s="541">
        <v>2017</v>
      </c>
      <c r="AG61" s="1136"/>
    </row>
    <row r="62" spans="1:45" ht="16.5" customHeight="1">
      <c r="A62" s="692" t="s">
        <v>2130</v>
      </c>
      <c r="B62" s="692" t="s">
        <v>2091</v>
      </c>
      <c r="C62" s="541">
        <v>8</v>
      </c>
      <c r="D62" s="692" t="s">
        <v>937</v>
      </c>
      <c r="E62" s="692" t="s">
        <v>398</v>
      </c>
      <c r="F62" s="692" t="s">
        <v>398</v>
      </c>
      <c r="G62" s="692" t="s">
        <v>2228</v>
      </c>
      <c r="H62" s="1103" t="s">
        <v>2229</v>
      </c>
      <c r="I62" s="1103">
        <v>80</v>
      </c>
      <c r="J62" s="1103">
        <v>1446.48</v>
      </c>
      <c r="K62" s="1103">
        <v>780.06</v>
      </c>
      <c r="L62" s="1103">
        <v>720.65</v>
      </c>
      <c r="M62" s="1103">
        <v>725.83</v>
      </c>
      <c r="N62" s="1103">
        <v>39.6</v>
      </c>
      <c r="O62" s="1103">
        <v>19.8125</v>
      </c>
      <c r="P62" s="1103">
        <v>59.412500000000001</v>
      </c>
      <c r="Q62" s="1103">
        <v>666.41750000000002</v>
      </c>
      <c r="R62" s="1103">
        <v>633.74</v>
      </c>
      <c r="S62" s="1103">
        <v>812.74</v>
      </c>
      <c r="T62" s="1103">
        <v>115718</v>
      </c>
      <c r="U62" s="1103">
        <v>62405</v>
      </c>
      <c r="V62" s="1103">
        <v>57652</v>
      </c>
      <c r="W62" s="1103">
        <v>3168</v>
      </c>
      <c r="X62" s="1103">
        <v>1585</v>
      </c>
      <c r="Y62" s="545">
        <v>53313</v>
      </c>
      <c r="Z62" s="1103">
        <v>46.071484125200918</v>
      </c>
      <c r="AA62" s="545">
        <v>50698.96</v>
      </c>
      <c r="AB62" s="545">
        <v>58066</v>
      </c>
      <c r="AC62" s="545">
        <v>50.178883146960715</v>
      </c>
      <c r="AD62" s="545">
        <v>56.1874875127465</v>
      </c>
      <c r="AE62" s="545">
        <v>-10.4115494564372</v>
      </c>
      <c r="AF62" s="541">
        <v>2017</v>
      </c>
      <c r="AG62" s="1136"/>
    </row>
    <row r="63" spans="1:45" ht="16.5" customHeight="1">
      <c r="A63" s="692" t="s">
        <v>2136</v>
      </c>
      <c r="B63" s="692" t="s">
        <v>2092</v>
      </c>
      <c r="C63" s="541">
        <v>8</v>
      </c>
      <c r="D63" s="692" t="s">
        <v>937</v>
      </c>
      <c r="E63" s="692" t="s">
        <v>398</v>
      </c>
      <c r="F63" s="692" t="s">
        <v>398</v>
      </c>
      <c r="G63" s="692" t="s">
        <v>2230</v>
      </c>
      <c r="H63" s="1103" t="s">
        <v>2231</v>
      </c>
      <c r="I63" s="1103">
        <v>20</v>
      </c>
      <c r="J63" s="1103">
        <v>7232.4</v>
      </c>
      <c r="K63" s="1103">
        <v>5116.05</v>
      </c>
      <c r="L63" s="1103">
        <v>5004.3999999999996</v>
      </c>
      <c r="M63" s="1103">
        <v>2228</v>
      </c>
      <c r="N63" s="1103">
        <v>0</v>
      </c>
      <c r="O63" s="1103">
        <v>111.65</v>
      </c>
      <c r="P63" s="1103">
        <v>111.65</v>
      </c>
      <c r="Q63" s="1103">
        <v>2116.35</v>
      </c>
      <c r="R63" s="1103">
        <v>3442.91</v>
      </c>
      <c r="S63" s="1103">
        <v>3789.49</v>
      </c>
      <c r="T63" s="1103">
        <v>144648</v>
      </c>
      <c r="U63" s="1103">
        <v>102321</v>
      </c>
      <c r="V63" s="1103">
        <v>100088</v>
      </c>
      <c r="W63" s="1103">
        <v>0</v>
      </c>
      <c r="X63" s="1103">
        <v>2233</v>
      </c>
      <c r="Y63" s="545">
        <v>42327</v>
      </c>
      <c r="Z63" s="1103">
        <v>29.262070681931306</v>
      </c>
      <c r="AA63" s="545">
        <v>68858.27</v>
      </c>
      <c r="AB63" s="545">
        <v>44560</v>
      </c>
      <c r="AC63" s="545">
        <v>30.805818262264257</v>
      </c>
      <c r="AD63" s="545">
        <v>52.395975194956002</v>
      </c>
      <c r="AE63" s="545">
        <v>-21.590156932691698</v>
      </c>
      <c r="AF63" s="541">
        <v>2017</v>
      </c>
      <c r="AG63" s="1136"/>
    </row>
    <row r="64" spans="1:45" ht="16.5" customHeight="1">
      <c r="A64" s="692" t="s">
        <v>2136</v>
      </c>
      <c r="B64" s="692" t="s">
        <v>2092</v>
      </c>
      <c r="C64" s="541">
        <v>8</v>
      </c>
      <c r="D64" s="692" t="s">
        <v>937</v>
      </c>
      <c r="E64" s="692" t="s">
        <v>398</v>
      </c>
      <c r="F64" s="692" t="s">
        <v>398</v>
      </c>
      <c r="G64" s="692" t="s">
        <v>2232</v>
      </c>
      <c r="H64" s="1103" t="s">
        <v>2233</v>
      </c>
      <c r="I64" s="1103">
        <v>6</v>
      </c>
      <c r="J64" s="1103">
        <v>7232.33</v>
      </c>
      <c r="K64" s="1103">
        <v>4450.67</v>
      </c>
      <c r="L64" s="1103">
        <v>4338.9970000000003</v>
      </c>
      <c r="M64" s="1103">
        <v>2893.3329999999996</v>
      </c>
      <c r="N64" s="1103">
        <v>0</v>
      </c>
      <c r="O64" s="1103">
        <v>111.67</v>
      </c>
      <c r="P64" s="1103">
        <v>111.67</v>
      </c>
      <c r="Q64" s="1103">
        <v>2781.6629999999996</v>
      </c>
      <c r="R64" s="1103">
        <v>4352.57</v>
      </c>
      <c r="S64" s="1103">
        <v>2879.76</v>
      </c>
      <c r="T64" s="1103">
        <v>43394</v>
      </c>
      <c r="U64" s="1103">
        <v>26704</v>
      </c>
      <c r="V64" s="1103">
        <v>26033.982000000004</v>
      </c>
      <c r="W64" s="1103">
        <v>0</v>
      </c>
      <c r="X64" s="1103">
        <v>670.02</v>
      </c>
      <c r="Y64" s="545">
        <v>16690</v>
      </c>
      <c r="Z64" s="1103">
        <v>38.461538461538467</v>
      </c>
      <c r="AA64" s="545">
        <v>26115.43</v>
      </c>
      <c r="AB64" s="545">
        <v>17360.017999999996</v>
      </c>
      <c r="AC64" s="545">
        <v>40.005572198921499</v>
      </c>
      <c r="AD64" s="545">
        <v>39.817875236207698</v>
      </c>
      <c r="AE64" s="545">
        <v>0.18765548232474499</v>
      </c>
      <c r="AF64" s="541">
        <v>2017</v>
      </c>
      <c r="AG64" s="1136"/>
    </row>
    <row r="65" spans="1:33" ht="16.5" customHeight="1">
      <c r="A65" s="692" t="s">
        <v>2136</v>
      </c>
      <c r="B65" s="692" t="s">
        <v>2092</v>
      </c>
      <c r="C65" s="541">
        <v>8</v>
      </c>
      <c r="D65" s="692" t="s">
        <v>937</v>
      </c>
      <c r="E65" s="692" t="s">
        <v>398</v>
      </c>
      <c r="F65" s="692" t="s">
        <v>398</v>
      </c>
      <c r="G65" s="692" t="s">
        <v>2234</v>
      </c>
      <c r="H65" s="1103" t="s">
        <v>2235</v>
      </c>
      <c r="I65" s="1103">
        <v>26</v>
      </c>
      <c r="J65" s="1103">
        <v>3314.85</v>
      </c>
      <c r="K65" s="1103">
        <v>1631.77</v>
      </c>
      <c r="L65" s="1103">
        <v>1566.2292</v>
      </c>
      <c r="M65" s="1103">
        <v>1748.6207999999999</v>
      </c>
      <c r="N65" s="1103">
        <v>0</v>
      </c>
      <c r="O65" s="1103">
        <v>65.540000000000006</v>
      </c>
      <c r="P65" s="1103">
        <v>65.540000000000006</v>
      </c>
      <c r="Q65" s="1103">
        <v>1683.0808</v>
      </c>
      <c r="R65" s="1103">
        <v>1614.74</v>
      </c>
      <c r="S65" s="1103">
        <v>1700.11</v>
      </c>
      <c r="T65" s="1103">
        <v>86186</v>
      </c>
      <c r="U65" s="1103">
        <v>42426</v>
      </c>
      <c r="V65" s="1103">
        <v>40721.959199999998</v>
      </c>
      <c r="W65" s="1103">
        <v>0</v>
      </c>
      <c r="X65" s="1103">
        <v>1704.0400000000002</v>
      </c>
      <c r="Y65" s="545">
        <v>43760</v>
      </c>
      <c r="Z65" s="1103">
        <v>50.773907595201074</v>
      </c>
      <c r="AA65" s="545">
        <v>41983.27</v>
      </c>
      <c r="AB65" s="545">
        <v>45464.040800000002</v>
      </c>
      <c r="AC65" s="545">
        <v>52.751074188383264</v>
      </c>
      <c r="AD65" s="545">
        <v>51.287599935024197</v>
      </c>
      <c r="AE65" s="545">
        <v>1.46342691388392</v>
      </c>
      <c r="AF65" s="541">
        <v>2017</v>
      </c>
      <c r="AG65" s="1136"/>
    </row>
    <row r="66" spans="1:33" ht="16.5" customHeight="1">
      <c r="A66" s="692" t="s">
        <v>2136</v>
      </c>
      <c r="B66" s="692" t="s">
        <v>2092</v>
      </c>
      <c r="C66" s="541">
        <v>8</v>
      </c>
      <c r="D66" s="692" t="s">
        <v>937</v>
      </c>
      <c r="E66" s="692" t="s">
        <v>398</v>
      </c>
      <c r="F66" s="692" t="s">
        <v>398</v>
      </c>
      <c r="G66" s="692" t="s">
        <v>2236</v>
      </c>
      <c r="H66" s="1103" t="s">
        <v>2237</v>
      </c>
      <c r="I66" s="1103">
        <v>11</v>
      </c>
      <c r="J66" s="1103">
        <v>1567.09</v>
      </c>
      <c r="K66" s="1103">
        <v>842.45</v>
      </c>
      <c r="L66" s="1103">
        <v>730.81449999999995</v>
      </c>
      <c r="M66" s="1103">
        <v>836.27549999999997</v>
      </c>
      <c r="N66" s="1103">
        <v>0</v>
      </c>
      <c r="O66" s="1103">
        <v>111.64</v>
      </c>
      <c r="P66" s="1103">
        <v>111.64</v>
      </c>
      <c r="Q66" s="1103">
        <v>724.63549999999998</v>
      </c>
      <c r="R66" s="1103">
        <v>764.57</v>
      </c>
      <c r="S66" s="1103">
        <v>802.52</v>
      </c>
      <c r="T66" s="1103">
        <v>17238</v>
      </c>
      <c r="U66" s="1103">
        <v>9267</v>
      </c>
      <c r="V66" s="1103">
        <v>8038.959499999999</v>
      </c>
      <c r="W66" s="1103">
        <v>0</v>
      </c>
      <c r="X66" s="1103">
        <v>1228.04</v>
      </c>
      <c r="Y66" s="545">
        <v>7971</v>
      </c>
      <c r="Z66" s="1103">
        <v>46.240863209189001</v>
      </c>
      <c r="AA66" s="545">
        <v>8410.25</v>
      </c>
      <c r="AB66" s="545">
        <v>9199.040500000001</v>
      </c>
      <c r="AC66" s="545">
        <v>53.364894419306182</v>
      </c>
      <c r="AD66" s="545">
        <v>51.210988745794097</v>
      </c>
      <c r="AE66" s="545">
        <v>2.1536707274625799</v>
      </c>
      <c r="AF66" s="541">
        <v>2017</v>
      </c>
      <c r="AG66" s="1136"/>
    </row>
    <row r="67" spans="1:33" ht="16.5" customHeight="1">
      <c r="A67" s="692" t="s">
        <v>2062</v>
      </c>
      <c r="B67" s="692" t="s">
        <v>1752</v>
      </c>
      <c r="C67" s="541">
        <v>8</v>
      </c>
      <c r="D67" s="692" t="s">
        <v>937</v>
      </c>
      <c r="E67" s="692" t="s">
        <v>547</v>
      </c>
      <c r="F67" s="692" t="s">
        <v>547</v>
      </c>
      <c r="G67" s="692" t="s">
        <v>2063</v>
      </c>
      <c r="H67" s="1103" t="s">
        <v>2064</v>
      </c>
      <c r="I67" s="1103">
        <v>359</v>
      </c>
      <c r="J67" s="1103">
        <v>14726.18</v>
      </c>
      <c r="K67" s="1103">
        <v>11216.97</v>
      </c>
      <c r="L67" s="1103">
        <v>9615.6918662952648</v>
      </c>
      <c r="M67" s="1103">
        <v>5110.4881337047354</v>
      </c>
      <c r="N67" s="1103">
        <v>913.90083565459622</v>
      </c>
      <c r="O67" s="1103">
        <v>687.38223077994428</v>
      </c>
      <c r="P67" s="1103">
        <v>1601.2830664345406</v>
      </c>
      <c r="Q67" s="1103">
        <v>3509.2050672701948</v>
      </c>
      <c r="R67" s="1103">
        <v>1910.17</v>
      </c>
      <c r="S67" s="1103">
        <v>12816.01</v>
      </c>
      <c r="T67" s="1103">
        <v>5286698</v>
      </c>
      <c r="U67" s="1103">
        <v>4026894</v>
      </c>
      <c r="V67" s="1103">
        <v>3452033.38</v>
      </c>
      <c r="W67" s="1103">
        <v>328090.40000000002</v>
      </c>
      <c r="X67" s="1103">
        <v>246770.22084999998</v>
      </c>
      <c r="Y67" s="545">
        <v>1259804</v>
      </c>
      <c r="Z67" s="1103">
        <v>23.829694830308068</v>
      </c>
      <c r="AA67" s="545">
        <v>685751.27</v>
      </c>
      <c r="AB67" s="545">
        <v>1834664.62</v>
      </c>
      <c r="AC67" s="545">
        <v>34.703412602724804</v>
      </c>
      <c r="AD67" s="545">
        <v>87.028741438606801</v>
      </c>
      <c r="AE67" s="545">
        <v>-52.346285803829701</v>
      </c>
      <c r="AF67" s="541">
        <v>2017</v>
      </c>
      <c r="AG67" s="1136"/>
    </row>
    <row r="68" spans="1:33" ht="16.5" customHeight="1">
      <c r="A68" s="692" t="s">
        <v>2062</v>
      </c>
      <c r="B68" s="692" t="s">
        <v>1752</v>
      </c>
      <c r="C68" s="541">
        <v>8</v>
      </c>
      <c r="D68" s="692" t="s">
        <v>937</v>
      </c>
      <c r="E68" s="692" t="s">
        <v>398</v>
      </c>
      <c r="F68" s="692" t="s">
        <v>398</v>
      </c>
      <c r="G68" s="692" t="s">
        <v>2238</v>
      </c>
      <c r="H68" s="1103" t="s">
        <v>2239</v>
      </c>
      <c r="I68" s="1103">
        <v>50</v>
      </c>
      <c r="J68" s="1103">
        <v>2116.46</v>
      </c>
      <c r="K68" s="1103">
        <v>1169.08</v>
      </c>
      <c r="L68" s="1103">
        <v>1070.06</v>
      </c>
      <c r="M68" s="1103">
        <v>1046.4000000000001</v>
      </c>
      <c r="N68" s="1103">
        <v>66</v>
      </c>
      <c r="O68" s="1103">
        <v>33.020000000000003</v>
      </c>
      <c r="P68" s="1103">
        <v>99.02000000000001</v>
      </c>
      <c r="Q68" s="1103">
        <v>947.38000000000011</v>
      </c>
      <c r="R68" s="1103">
        <v>9.33</v>
      </c>
      <c r="S68" s="1103">
        <v>2107.13</v>
      </c>
      <c r="T68" s="1103">
        <v>105823</v>
      </c>
      <c r="U68" s="1103">
        <v>58454</v>
      </c>
      <c r="V68" s="1103">
        <v>53503</v>
      </c>
      <c r="W68" s="1103">
        <v>3300</v>
      </c>
      <c r="X68" s="1103">
        <v>1651.0000000000002</v>
      </c>
      <c r="Y68" s="545">
        <v>47369</v>
      </c>
      <c r="Z68" s="1103">
        <v>44.762480746151596</v>
      </c>
      <c r="AA68" s="545">
        <v>466.72</v>
      </c>
      <c r="AB68" s="545">
        <v>52320</v>
      </c>
      <c r="AC68" s="545">
        <v>49.441047787343017</v>
      </c>
      <c r="AD68" s="545">
        <v>99.558962607372607</v>
      </c>
      <c r="AE68" s="545">
        <v>-50.117914820029597</v>
      </c>
      <c r="AF68" s="541">
        <v>2017</v>
      </c>
      <c r="AG68" s="1136"/>
    </row>
    <row r="69" spans="1:33" ht="16.5" customHeight="1">
      <c r="A69" s="692" t="s">
        <v>2062</v>
      </c>
      <c r="B69" s="692" t="s">
        <v>1752</v>
      </c>
      <c r="C69" s="541">
        <v>8</v>
      </c>
      <c r="D69" s="692" t="s">
        <v>937</v>
      </c>
      <c r="E69" s="692" t="s">
        <v>398</v>
      </c>
      <c r="F69" s="692" t="s">
        <v>398</v>
      </c>
      <c r="G69" s="692" t="s">
        <v>2065</v>
      </c>
      <c r="H69" s="1103" t="s">
        <v>2066</v>
      </c>
      <c r="I69" s="1103">
        <v>70</v>
      </c>
      <c r="J69" s="1103">
        <v>1360.57</v>
      </c>
      <c r="K69" s="1103">
        <v>1415.97</v>
      </c>
      <c r="L69" s="1103">
        <v>1325.9314999999999</v>
      </c>
      <c r="M69" s="1103">
        <v>34.638500000000022</v>
      </c>
      <c r="N69" s="1103">
        <v>60</v>
      </c>
      <c r="O69" s="1103">
        <v>30.04</v>
      </c>
      <c r="P69" s="1103">
        <v>90.039999999999992</v>
      </c>
      <c r="Q69" s="1103">
        <v>-55.40149999999997</v>
      </c>
      <c r="R69" s="1103">
        <v>1325.95</v>
      </c>
      <c r="S69" s="1103">
        <v>34.619999999999997</v>
      </c>
      <c r="T69" s="1103">
        <v>95240</v>
      </c>
      <c r="U69" s="1103">
        <v>99118</v>
      </c>
      <c r="V69" s="1103">
        <v>92815.204999999987</v>
      </c>
      <c r="W69" s="1103">
        <v>4200</v>
      </c>
      <c r="X69" s="1103">
        <v>2102.7999999999997</v>
      </c>
      <c r="Y69" s="545">
        <v>-3878</v>
      </c>
      <c r="Z69" s="1103">
        <v>-4.0718185636287281</v>
      </c>
      <c r="AA69" s="545">
        <v>92816.53</v>
      </c>
      <c r="AB69" s="545">
        <v>2424.7950000000128</v>
      </c>
      <c r="AC69" s="545">
        <v>2.545983830323407</v>
      </c>
      <c r="AD69" s="545">
        <v>2.5445902981940298</v>
      </c>
      <c r="AE69" s="545">
        <v>1.6087778244434001E-3</v>
      </c>
      <c r="AF69" s="541">
        <v>2017</v>
      </c>
      <c r="AG69" s="1136"/>
    </row>
    <row r="70" spans="1:33" ht="16.5" customHeight="1">
      <c r="A70" s="692" t="s">
        <v>2128</v>
      </c>
      <c r="B70" s="692" t="s">
        <v>2129</v>
      </c>
      <c r="C70" s="541">
        <v>8</v>
      </c>
      <c r="D70" s="692" t="s">
        <v>937</v>
      </c>
      <c r="E70" s="692" t="s">
        <v>2003</v>
      </c>
      <c r="F70" s="692" t="s">
        <v>2003</v>
      </c>
      <c r="G70" s="692" t="s">
        <v>2240</v>
      </c>
      <c r="H70" s="1103" t="s">
        <v>2241</v>
      </c>
      <c r="I70" s="1103">
        <v>6</v>
      </c>
      <c r="J70" s="1103">
        <v>24339.17</v>
      </c>
      <c r="K70" s="1103">
        <v>18383.669999999998</v>
      </c>
      <c r="L70" s="1103">
        <v>17105.996999999999</v>
      </c>
      <c r="M70" s="1103">
        <v>7233.1729999999989</v>
      </c>
      <c r="N70" s="1103">
        <v>865</v>
      </c>
      <c r="O70" s="1103">
        <v>412.67</v>
      </c>
      <c r="P70" s="1103">
        <v>1277.67</v>
      </c>
      <c r="Q70" s="1103">
        <v>5955.5029999999988</v>
      </c>
      <c r="R70" s="1103">
        <v>6010.26</v>
      </c>
      <c r="S70" s="1103">
        <v>18328.91</v>
      </c>
      <c r="T70" s="1103">
        <v>146035</v>
      </c>
      <c r="U70" s="1103">
        <v>110302</v>
      </c>
      <c r="V70" s="1103">
        <v>102635.98199999999</v>
      </c>
      <c r="W70" s="1103">
        <v>5190</v>
      </c>
      <c r="X70" s="1103">
        <v>2476.02</v>
      </c>
      <c r="Y70" s="545">
        <v>35733</v>
      </c>
      <c r="Z70" s="1103">
        <v>24.468791728010409</v>
      </c>
      <c r="AA70" s="545">
        <v>36061.56</v>
      </c>
      <c r="AB70" s="545">
        <v>43399.018000000011</v>
      </c>
      <c r="AC70" s="545">
        <v>29.718230561166852</v>
      </c>
      <c r="AD70" s="545">
        <v>75.306222919163204</v>
      </c>
      <c r="AE70" s="545">
        <v>-45.588004683808599</v>
      </c>
      <c r="AF70" s="541">
        <v>2017</v>
      </c>
      <c r="AG70" s="1136"/>
    </row>
    <row r="71" spans="1:33" ht="16.5" customHeight="1">
      <c r="A71" s="692" t="s">
        <v>2128</v>
      </c>
      <c r="B71" s="692" t="s">
        <v>2129</v>
      </c>
      <c r="C71" s="541">
        <v>8</v>
      </c>
      <c r="D71" s="692" t="s">
        <v>937</v>
      </c>
      <c r="E71" s="692" t="s">
        <v>398</v>
      </c>
      <c r="F71" s="692" t="s">
        <v>398</v>
      </c>
      <c r="G71" s="692" t="s">
        <v>2242</v>
      </c>
      <c r="H71" s="1103" t="s">
        <v>2243</v>
      </c>
      <c r="I71" s="1103">
        <v>6</v>
      </c>
      <c r="J71" s="1103">
        <v>1209.33</v>
      </c>
      <c r="K71" s="1103">
        <v>371.83</v>
      </c>
      <c r="L71" s="1103">
        <v>203.37037037037038</v>
      </c>
      <c r="M71" s="1103">
        <v>1005.9596296296295</v>
      </c>
      <c r="N71" s="1103">
        <v>0</v>
      </c>
      <c r="O71" s="1103">
        <v>168.46299999999999</v>
      </c>
      <c r="P71" s="1103">
        <v>168.46299999999999</v>
      </c>
      <c r="Q71" s="1103">
        <v>837.49662962962952</v>
      </c>
      <c r="R71" s="1103">
        <v>8.94</v>
      </c>
      <c r="S71" s="1103">
        <v>1200.3900000000001</v>
      </c>
      <c r="T71" s="1103">
        <v>7256</v>
      </c>
      <c r="U71" s="1103">
        <v>2231</v>
      </c>
      <c r="V71" s="1103">
        <v>1220.2222222222222</v>
      </c>
      <c r="W71" s="1103">
        <v>0</v>
      </c>
      <c r="X71" s="1103">
        <v>1010.778</v>
      </c>
      <c r="Y71" s="545">
        <v>5025</v>
      </c>
      <c r="Z71" s="1103">
        <v>69.253031973539137</v>
      </c>
      <c r="AA71" s="545">
        <v>53.66</v>
      </c>
      <c r="AB71" s="545">
        <v>6035.7777777777774</v>
      </c>
      <c r="AC71" s="545">
        <v>83.183265956143572</v>
      </c>
      <c r="AD71" s="545">
        <v>99.2605281146637</v>
      </c>
      <c r="AE71" s="545">
        <v>-2.83983194203811</v>
      </c>
      <c r="AF71" s="541">
        <v>2017</v>
      </c>
      <c r="AG71" s="1136"/>
    </row>
    <row r="72" spans="1:33" ht="16.5" customHeight="1">
      <c r="A72" s="692" t="s">
        <v>2128</v>
      </c>
      <c r="B72" s="692" t="s">
        <v>2129</v>
      </c>
      <c r="C72" s="541">
        <v>8</v>
      </c>
      <c r="D72" s="692" t="s">
        <v>937</v>
      </c>
      <c r="E72" s="692" t="s">
        <v>398</v>
      </c>
      <c r="F72" s="692" t="s">
        <v>398</v>
      </c>
      <c r="G72" s="692" t="s">
        <v>2244</v>
      </c>
      <c r="H72" s="1103" t="s">
        <v>2245</v>
      </c>
      <c r="I72" s="1103">
        <v>5</v>
      </c>
      <c r="J72" s="1103">
        <v>5744.6</v>
      </c>
      <c r="K72" s="1103">
        <v>4272</v>
      </c>
      <c r="L72" s="1103">
        <v>4206.3999999999996</v>
      </c>
      <c r="M72" s="1103">
        <v>1538.2000000000007</v>
      </c>
      <c r="N72" s="1103">
        <v>0</v>
      </c>
      <c r="O72" s="1103">
        <v>65.599999999999994</v>
      </c>
      <c r="P72" s="1103">
        <v>65.599999999999994</v>
      </c>
      <c r="Q72" s="1103">
        <v>1472.6000000000008</v>
      </c>
      <c r="R72" s="1103">
        <v>4341.3900000000003</v>
      </c>
      <c r="S72" s="1103">
        <v>1403.21</v>
      </c>
      <c r="T72" s="1103">
        <v>28723</v>
      </c>
      <c r="U72" s="1103">
        <v>21360</v>
      </c>
      <c r="V72" s="1103">
        <v>21032</v>
      </c>
      <c r="W72" s="1103">
        <v>0</v>
      </c>
      <c r="X72" s="1103">
        <v>328</v>
      </c>
      <c r="Y72" s="545">
        <v>7363</v>
      </c>
      <c r="Z72" s="1103">
        <v>25.634508930125683</v>
      </c>
      <c r="AA72" s="545">
        <v>21706.97</v>
      </c>
      <c r="AB72" s="545">
        <v>7691</v>
      </c>
      <c r="AC72" s="545">
        <v>26.77645092782787</v>
      </c>
      <c r="AD72" s="545">
        <v>24.426537617936798</v>
      </c>
      <c r="AE72" s="545">
        <v>2.3499133098910199</v>
      </c>
      <c r="AF72" s="541">
        <v>2017</v>
      </c>
      <c r="AG72" s="1137"/>
    </row>
    <row r="73" spans="1:33" ht="16.5" customHeight="1">
      <c r="A73" s="692" t="s">
        <v>2128</v>
      </c>
      <c r="B73" s="692" t="s">
        <v>2129</v>
      </c>
      <c r="C73" s="541">
        <v>8</v>
      </c>
      <c r="D73" s="692" t="s">
        <v>937</v>
      </c>
      <c r="E73" s="692" t="s">
        <v>398</v>
      </c>
      <c r="F73" s="692" t="s">
        <v>398</v>
      </c>
      <c r="G73" s="692" t="s">
        <v>2246</v>
      </c>
      <c r="H73" s="1103" t="s">
        <v>2247</v>
      </c>
      <c r="I73" s="1103">
        <v>5</v>
      </c>
      <c r="J73" s="1103">
        <v>756</v>
      </c>
      <c r="K73" s="1103">
        <v>364.4</v>
      </c>
      <c r="L73" s="1103">
        <v>298.8</v>
      </c>
      <c r="M73" s="1103">
        <v>457.2</v>
      </c>
      <c r="N73" s="1103">
        <v>0</v>
      </c>
      <c r="O73" s="1103">
        <v>65.599999999999994</v>
      </c>
      <c r="P73" s="1103">
        <v>65.599999999999994</v>
      </c>
      <c r="Q73" s="1103">
        <v>391.6</v>
      </c>
      <c r="R73" s="1103">
        <v>295.70999999999998</v>
      </c>
      <c r="S73" s="1103">
        <v>460.29</v>
      </c>
      <c r="T73" s="1103">
        <v>3780</v>
      </c>
      <c r="U73" s="1103">
        <v>1822</v>
      </c>
      <c r="V73" s="1103">
        <v>1494</v>
      </c>
      <c r="W73" s="1103">
        <v>0</v>
      </c>
      <c r="X73" s="1103">
        <v>328</v>
      </c>
      <c r="Y73" s="545">
        <v>1958</v>
      </c>
      <c r="Z73" s="1103">
        <v>51.798941798941797</v>
      </c>
      <c r="AA73" s="545">
        <v>1478.53</v>
      </c>
      <c r="AB73" s="545">
        <v>2286</v>
      </c>
      <c r="AC73" s="545">
        <v>60.476190476190474</v>
      </c>
      <c r="AD73" s="545">
        <v>60.8853769841269</v>
      </c>
      <c r="AE73" s="545">
        <v>-0.40918650793650702</v>
      </c>
      <c r="AF73" s="541">
        <v>2017</v>
      </c>
      <c r="AG73" s="1137"/>
    </row>
    <row r="74" spans="1:33" ht="16.5" customHeight="1">
      <c r="A74" s="692" t="s">
        <v>2119</v>
      </c>
      <c r="B74" s="692" t="s">
        <v>2120</v>
      </c>
      <c r="C74" s="541">
        <v>8</v>
      </c>
      <c r="D74" s="692" t="s">
        <v>937</v>
      </c>
      <c r="E74" s="692" t="s">
        <v>2149</v>
      </c>
      <c r="F74" s="692" t="s">
        <v>2149</v>
      </c>
      <c r="G74" s="692" t="s">
        <v>2248</v>
      </c>
      <c r="H74" s="1103" t="s">
        <v>2249</v>
      </c>
      <c r="I74" s="1103">
        <v>2</v>
      </c>
      <c r="J74" s="1103">
        <v>11478</v>
      </c>
      <c r="K74" s="1103">
        <v>10332</v>
      </c>
      <c r="L74" s="1103">
        <v>9103.17</v>
      </c>
      <c r="M74" s="1103">
        <v>2374.83</v>
      </c>
      <c r="N74" s="1103">
        <v>568</v>
      </c>
      <c r="O74" s="1103">
        <v>660.83</v>
      </c>
      <c r="P74" s="1103">
        <v>1228.83</v>
      </c>
      <c r="Q74" s="1103">
        <v>1146</v>
      </c>
      <c r="R74" s="1103">
        <v>9121.59</v>
      </c>
      <c r="S74" s="1103">
        <v>2356.41</v>
      </c>
      <c r="T74" s="1103">
        <v>22956</v>
      </c>
      <c r="U74" s="1103">
        <v>20664</v>
      </c>
      <c r="V74" s="1103">
        <v>18206.34</v>
      </c>
      <c r="W74" s="1103">
        <v>1136</v>
      </c>
      <c r="X74" s="1103">
        <v>1321.66</v>
      </c>
      <c r="Y74" s="545">
        <v>2292</v>
      </c>
      <c r="Z74" s="1103">
        <v>9.9843178254051228</v>
      </c>
      <c r="AA74" s="545">
        <v>18243.189999999999</v>
      </c>
      <c r="AB74" s="545">
        <v>4749.66</v>
      </c>
      <c r="AC74" s="545">
        <v>20.690277051751174</v>
      </c>
      <c r="AD74" s="545">
        <v>20.529756474124401</v>
      </c>
      <c r="AE74" s="545">
        <v>0.16200167189405801</v>
      </c>
      <c r="AF74" s="541">
        <v>2017</v>
      </c>
      <c r="AG74" s="1137"/>
    </row>
    <row r="75" spans="1:33" ht="16.5" customHeight="1">
      <c r="A75" s="692" t="s">
        <v>2115</v>
      </c>
      <c r="B75" s="692" t="s">
        <v>2116</v>
      </c>
      <c r="C75" s="541">
        <v>8</v>
      </c>
      <c r="D75" s="692" t="s">
        <v>937</v>
      </c>
      <c r="E75" s="692" t="s">
        <v>1260</v>
      </c>
      <c r="F75" s="692" t="s">
        <v>1260</v>
      </c>
      <c r="G75" s="692" t="s">
        <v>2250</v>
      </c>
      <c r="H75" s="1103" t="s">
        <v>2251</v>
      </c>
      <c r="I75" s="1103">
        <v>1</v>
      </c>
      <c r="J75" s="1103">
        <v>20492</v>
      </c>
      <c r="K75" s="1103">
        <v>21950</v>
      </c>
      <c r="L75" s="1103">
        <v>21950</v>
      </c>
      <c r="M75" s="1103">
        <v>-1458</v>
      </c>
      <c r="N75" s="1103">
        <v>0</v>
      </c>
      <c r="O75" s="1103">
        <v>0</v>
      </c>
      <c r="P75" s="1103">
        <v>0</v>
      </c>
      <c r="Q75" s="1103">
        <v>-1458</v>
      </c>
      <c r="R75" s="1103">
        <v>0</v>
      </c>
      <c r="S75" s="1103">
        <v>20492</v>
      </c>
      <c r="T75" s="1103">
        <v>20492</v>
      </c>
      <c r="U75" s="1103">
        <v>21950</v>
      </c>
      <c r="V75" s="1103">
        <v>21950</v>
      </c>
      <c r="W75" s="1103">
        <v>0</v>
      </c>
      <c r="X75" s="1103">
        <v>0</v>
      </c>
      <c r="Y75" s="545">
        <v>-1458</v>
      </c>
      <c r="Z75" s="1103">
        <v>-7.1149716962717156</v>
      </c>
      <c r="AA75" s="545">
        <v>0</v>
      </c>
      <c r="AB75" s="545">
        <v>-1458</v>
      </c>
      <c r="AC75" s="545">
        <v>-7.1149716962717156</v>
      </c>
      <c r="AD75" s="545">
        <v>100</v>
      </c>
      <c r="AE75" s="545">
        <v>-107.114971696271</v>
      </c>
      <c r="AF75" s="541">
        <v>2017</v>
      </c>
      <c r="AG75" s="1137"/>
    </row>
    <row r="76" spans="1:33" ht="16.5" customHeight="1">
      <c r="A76" s="692" t="s">
        <v>2157</v>
      </c>
      <c r="B76" s="692" t="s">
        <v>2158</v>
      </c>
      <c r="C76" s="541">
        <v>8</v>
      </c>
      <c r="D76" s="692" t="s">
        <v>937</v>
      </c>
      <c r="E76" s="692" t="s">
        <v>1900</v>
      </c>
      <c r="F76" s="692" t="s">
        <v>1900</v>
      </c>
      <c r="G76" s="692" t="s">
        <v>2252</v>
      </c>
      <c r="H76" s="1103" t="s">
        <v>2253</v>
      </c>
      <c r="I76" s="1103">
        <v>10</v>
      </c>
      <c r="J76" s="1103">
        <v>23168</v>
      </c>
      <c r="K76" s="1103">
        <v>17690.7</v>
      </c>
      <c r="L76" s="1103">
        <v>15297.121333333334</v>
      </c>
      <c r="M76" s="1103">
        <v>7870.8786666666656</v>
      </c>
      <c r="N76" s="1103">
        <v>805.59533333333331</v>
      </c>
      <c r="O76" s="1103">
        <v>1587.9829999999999</v>
      </c>
      <c r="P76" s="1103">
        <v>2393.5783333333334</v>
      </c>
      <c r="Q76" s="1103">
        <v>5477.3003333333327</v>
      </c>
      <c r="R76" s="1103">
        <v>6851.14</v>
      </c>
      <c r="S76" s="1103">
        <v>16316.86</v>
      </c>
      <c r="T76" s="1103">
        <v>231680</v>
      </c>
      <c r="U76" s="1103">
        <v>176907</v>
      </c>
      <c r="V76" s="1103">
        <v>152971.21333333335</v>
      </c>
      <c r="W76" s="1103">
        <v>8055.9533333333329</v>
      </c>
      <c r="X76" s="1103">
        <v>15879.83</v>
      </c>
      <c r="Y76" s="545">
        <v>54773</v>
      </c>
      <c r="Z76" s="1103">
        <v>23.641660911602212</v>
      </c>
      <c r="AA76" s="545">
        <v>68511.45</v>
      </c>
      <c r="AB76" s="545">
        <v>78708.786666666652</v>
      </c>
      <c r="AC76" s="545">
        <v>33.973060543278081</v>
      </c>
      <c r="AD76" s="545">
        <v>70.428416220649098</v>
      </c>
      <c r="AE76" s="545">
        <v>-35.038777803127402</v>
      </c>
      <c r="AF76" s="541">
        <v>2017</v>
      </c>
      <c r="AG76" s="1137"/>
    </row>
    <row r="77" spans="1:33" ht="16.5" customHeight="1">
      <c r="A77" s="692" t="s">
        <v>2127</v>
      </c>
      <c r="B77" s="692" t="s">
        <v>2093</v>
      </c>
      <c r="C77" s="541">
        <v>8</v>
      </c>
      <c r="D77" s="692" t="s">
        <v>937</v>
      </c>
      <c r="E77" s="692" t="s">
        <v>2068</v>
      </c>
      <c r="F77" s="692" t="s">
        <v>2068</v>
      </c>
      <c r="G77" s="692" t="s">
        <v>2254</v>
      </c>
      <c r="H77" s="1103" t="s">
        <v>2255</v>
      </c>
      <c r="I77" s="1103">
        <v>3</v>
      </c>
      <c r="J77" s="1103">
        <v>24500</v>
      </c>
      <c r="K77" s="1103">
        <v>20787.330000000002</v>
      </c>
      <c r="L77" s="1103">
        <v>20675.662</v>
      </c>
      <c r="M77" s="1103">
        <v>3824.3379999999997</v>
      </c>
      <c r="N77" s="1103">
        <v>0</v>
      </c>
      <c r="O77" s="1103">
        <v>111.67</v>
      </c>
      <c r="P77" s="1103">
        <v>111.67</v>
      </c>
      <c r="Q77" s="1103">
        <v>3712.6679999999997</v>
      </c>
      <c r="R77" s="1103">
        <v>6136.98</v>
      </c>
      <c r="S77" s="1103">
        <v>18363.02</v>
      </c>
      <c r="T77" s="1103">
        <v>73500</v>
      </c>
      <c r="U77" s="1103">
        <v>62362</v>
      </c>
      <c r="V77" s="1103">
        <v>62026.986000000004</v>
      </c>
      <c r="W77" s="1103">
        <v>0</v>
      </c>
      <c r="X77" s="1103">
        <v>335.01</v>
      </c>
      <c r="Y77" s="545">
        <v>11138</v>
      </c>
      <c r="Z77" s="1103">
        <v>15.153741496598638</v>
      </c>
      <c r="AA77" s="545">
        <v>18410.939999999999</v>
      </c>
      <c r="AB77" s="545">
        <v>11473.013999999996</v>
      </c>
      <c r="AC77" s="545">
        <v>15.609542857142852</v>
      </c>
      <c r="AD77" s="545">
        <v>74.951106204081597</v>
      </c>
      <c r="AE77" s="545">
        <v>-59.341582394557797</v>
      </c>
      <c r="AF77" s="541">
        <v>2017</v>
      </c>
      <c r="AG77" s="1137"/>
    </row>
    <row r="78" spans="1:33" ht="16.5" customHeight="1">
      <c r="A78" s="692" t="s">
        <v>2127</v>
      </c>
      <c r="B78" s="692" t="s">
        <v>2093</v>
      </c>
      <c r="C78" s="541">
        <v>8</v>
      </c>
      <c r="D78" s="692" t="s">
        <v>937</v>
      </c>
      <c r="E78" s="692" t="s">
        <v>1242</v>
      </c>
      <c r="F78" s="692" t="s">
        <v>1242</v>
      </c>
      <c r="G78" s="692" t="s">
        <v>2256</v>
      </c>
      <c r="H78" s="1103" t="s">
        <v>2257</v>
      </c>
      <c r="I78" s="1103">
        <v>1</v>
      </c>
      <c r="J78" s="1103">
        <v>5500</v>
      </c>
      <c r="K78" s="1103">
        <v>4133</v>
      </c>
      <c r="L78" s="1103">
        <v>4021</v>
      </c>
      <c r="M78" s="1103">
        <v>1479</v>
      </c>
      <c r="N78" s="1103">
        <v>0</v>
      </c>
      <c r="O78" s="1103">
        <v>112</v>
      </c>
      <c r="P78" s="1103">
        <v>112</v>
      </c>
      <c r="Q78" s="1103">
        <v>1367</v>
      </c>
      <c r="R78" s="1103">
        <v>4217.2</v>
      </c>
      <c r="S78" s="1103">
        <v>1282.8</v>
      </c>
      <c r="T78" s="1103">
        <v>5500</v>
      </c>
      <c r="U78" s="1103">
        <v>4133</v>
      </c>
      <c r="V78" s="1103">
        <v>4021</v>
      </c>
      <c r="W78" s="1103">
        <v>0</v>
      </c>
      <c r="X78" s="1103">
        <v>112</v>
      </c>
      <c r="Y78" s="545">
        <v>1367</v>
      </c>
      <c r="Z78" s="1103">
        <v>24.854545454545455</v>
      </c>
      <c r="AA78" s="545">
        <v>4217.2</v>
      </c>
      <c r="AB78" s="545">
        <v>1479</v>
      </c>
      <c r="AC78" s="545">
        <v>26.890909090909094</v>
      </c>
      <c r="AD78" s="545">
        <v>23.323629454545401</v>
      </c>
      <c r="AE78" s="545">
        <v>3.5672796363636299</v>
      </c>
      <c r="AF78" s="541">
        <v>2017</v>
      </c>
      <c r="AG78" s="1137"/>
    </row>
    <row r="79" spans="1:33" ht="16.5" customHeight="1">
      <c r="A79" s="692" t="s">
        <v>2131</v>
      </c>
      <c r="B79" s="692" t="s">
        <v>2132</v>
      </c>
      <c r="C79" s="541">
        <v>8</v>
      </c>
      <c r="D79" s="692" t="s">
        <v>937</v>
      </c>
      <c r="E79" s="692" t="s">
        <v>547</v>
      </c>
      <c r="F79" s="692" t="s">
        <v>547</v>
      </c>
      <c r="G79" s="692" t="s">
        <v>2258</v>
      </c>
      <c r="H79" s="1103" t="s">
        <v>2259</v>
      </c>
      <c r="I79" s="1103">
        <v>100</v>
      </c>
      <c r="J79" s="1103">
        <v>13908.1</v>
      </c>
      <c r="K79" s="1103">
        <v>10562.55</v>
      </c>
      <c r="L79" s="1103">
        <v>9479.5220000000008</v>
      </c>
      <c r="M79" s="1103">
        <v>4428.5779999999995</v>
      </c>
      <c r="N79" s="1103">
        <v>700</v>
      </c>
      <c r="O79" s="1103">
        <v>383.02800000000002</v>
      </c>
      <c r="P79" s="1103">
        <v>1083.028</v>
      </c>
      <c r="Q79" s="1103">
        <v>3345.5499999999993</v>
      </c>
      <c r="R79" s="1103">
        <v>9755.5</v>
      </c>
      <c r="S79" s="1103">
        <v>4152.6000000000004</v>
      </c>
      <c r="T79" s="1103">
        <v>1390810</v>
      </c>
      <c r="U79" s="1103">
        <v>1056255</v>
      </c>
      <c r="V79" s="1103">
        <v>947952.20000000007</v>
      </c>
      <c r="W79" s="1103">
        <v>70000</v>
      </c>
      <c r="X79" s="1103">
        <v>38302.800000000003</v>
      </c>
      <c r="Y79" s="545">
        <v>334555</v>
      </c>
      <c r="Z79" s="1103">
        <v>24.054687556172301</v>
      </c>
      <c r="AA79" s="545">
        <v>975549.57</v>
      </c>
      <c r="AB79" s="545">
        <v>442857.79999999993</v>
      </c>
      <c r="AC79" s="545">
        <v>31.841718135475006</v>
      </c>
      <c r="AD79" s="545">
        <v>29.857451844608502</v>
      </c>
      <c r="AE79" s="545">
        <v>1.52636046620314</v>
      </c>
      <c r="AF79" s="541">
        <v>2017</v>
      </c>
      <c r="AG79" s="1137"/>
    </row>
    <row r="80" spans="1:33" ht="16.5" customHeight="1">
      <c r="A80" s="692" t="s">
        <v>2031</v>
      </c>
      <c r="B80" s="692" t="s">
        <v>1240</v>
      </c>
      <c r="C80" s="541">
        <v>8</v>
      </c>
      <c r="D80" s="692" t="s">
        <v>937</v>
      </c>
      <c r="E80" s="692" t="s">
        <v>547</v>
      </c>
      <c r="F80" s="692" t="s">
        <v>547</v>
      </c>
      <c r="G80" s="692" t="s">
        <v>2072</v>
      </c>
      <c r="H80" s="1103" t="s">
        <v>2069</v>
      </c>
      <c r="I80" s="1103">
        <v>4</v>
      </c>
      <c r="J80" s="1103">
        <v>13500</v>
      </c>
      <c r="K80" s="1103">
        <v>10537</v>
      </c>
      <c r="L80" s="1103">
        <v>9348.35</v>
      </c>
      <c r="M80" s="1103">
        <v>4151.6499999999996</v>
      </c>
      <c r="N80" s="1103">
        <v>805.61</v>
      </c>
      <c r="O80" s="1103">
        <v>383.04</v>
      </c>
      <c r="P80" s="1103">
        <v>1188.6500000000001</v>
      </c>
      <c r="Q80" s="1103">
        <v>2962.9999999999995</v>
      </c>
      <c r="R80" s="1103">
        <v>2991.93</v>
      </c>
      <c r="S80" s="1103">
        <v>10508.07</v>
      </c>
      <c r="T80" s="1103">
        <v>54000</v>
      </c>
      <c r="U80" s="1103">
        <v>42148</v>
      </c>
      <c r="V80" s="1103">
        <v>37393.4</v>
      </c>
      <c r="W80" s="1103">
        <v>3222.44</v>
      </c>
      <c r="X80" s="1103">
        <v>1532.16</v>
      </c>
      <c r="Y80" s="545">
        <v>11852</v>
      </c>
      <c r="Z80" s="1103">
        <v>21.948148148148146</v>
      </c>
      <c r="AA80" s="545">
        <v>11967.71</v>
      </c>
      <c r="AB80" s="545">
        <v>16606.599999999999</v>
      </c>
      <c r="AC80" s="545">
        <v>30.752962962962961</v>
      </c>
      <c r="AD80" s="545">
        <v>77.837578814814805</v>
      </c>
      <c r="AE80" s="545">
        <v>-47.0852438711755</v>
      </c>
      <c r="AF80" s="541">
        <v>2017</v>
      </c>
      <c r="AG80" s="1137"/>
    </row>
    <row r="81" spans="1:33" ht="16.5" customHeight="1">
      <c r="A81" s="692" t="s">
        <v>880</v>
      </c>
      <c r="B81" s="692" t="s">
        <v>881</v>
      </c>
      <c r="C81" s="541">
        <v>8</v>
      </c>
      <c r="D81" s="692" t="s">
        <v>939</v>
      </c>
      <c r="E81" s="692" t="s">
        <v>547</v>
      </c>
      <c r="F81" s="692" t="s">
        <v>547</v>
      </c>
      <c r="G81" s="692" t="s">
        <v>2260</v>
      </c>
      <c r="H81" s="1103" t="s">
        <v>2261</v>
      </c>
      <c r="I81" s="1103">
        <v>48</v>
      </c>
      <c r="J81" s="1103">
        <v>13210.31</v>
      </c>
      <c r="K81" s="1103">
        <v>12730.71</v>
      </c>
      <c r="L81" s="1103">
        <v>10209.279999999999</v>
      </c>
      <c r="M81" s="1103">
        <v>3001.0300000000007</v>
      </c>
      <c r="N81" s="1103">
        <v>1300</v>
      </c>
      <c r="O81" s="1103">
        <v>1221.4284</v>
      </c>
      <c r="P81" s="1103">
        <v>2521.4283999999998</v>
      </c>
      <c r="Q81" s="1103">
        <v>479.60160000000087</v>
      </c>
      <c r="R81" s="1103">
        <v>9982.5400000000009</v>
      </c>
      <c r="S81" s="1103">
        <v>3227.77</v>
      </c>
      <c r="T81" s="1103">
        <v>634095</v>
      </c>
      <c r="U81" s="1103">
        <v>611074</v>
      </c>
      <c r="V81" s="1103">
        <v>490045.43999999994</v>
      </c>
      <c r="W81" s="1103">
        <v>62400</v>
      </c>
      <c r="X81" s="1103">
        <v>58628.563200000004</v>
      </c>
      <c r="Y81" s="545">
        <v>23021</v>
      </c>
      <c r="Z81" s="1103">
        <v>3.6305285485613354</v>
      </c>
      <c r="AA81" s="545">
        <v>479161.99</v>
      </c>
      <c r="AB81" s="545">
        <v>144049.56000000006</v>
      </c>
      <c r="AC81" s="545">
        <v>22.717346769805797</v>
      </c>
      <c r="AD81" s="545">
        <v>24.433722442220802</v>
      </c>
      <c r="AE81" s="545">
        <v>-1.48952638327064</v>
      </c>
      <c r="AF81" s="541">
        <v>2017</v>
      </c>
      <c r="AG81" s="1137"/>
    </row>
    <row r="82" spans="1:33" ht="16.5" customHeight="1">
      <c r="A82" s="692" t="s">
        <v>880</v>
      </c>
      <c r="B82" s="692" t="s">
        <v>881</v>
      </c>
      <c r="C82" s="541">
        <v>8</v>
      </c>
      <c r="D82" s="692" t="s">
        <v>939</v>
      </c>
      <c r="E82" s="692" t="s">
        <v>547</v>
      </c>
      <c r="F82" s="692" t="s">
        <v>547</v>
      </c>
      <c r="G82" s="692" t="s">
        <v>2262</v>
      </c>
      <c r="H82" s="1103" t="s">
        <v>2263</v>
      </c>
      <c r="I82" s="1103">
        <v>3</v>
      </c>
      <c r="J82" s="1103">
        <v>15067.67</v>
      </c>
      <c r="K82" s="1103">
        <v>10500</v>
      </c>
      <c r="L82" s="1103">
        <v>10500</v>
      </c>
      <c r="M82" s="1103">
        <v>4567.67</v>
      </c>
      <c r="N82" s="1103">
        <v>0</v>
      </c>
      <c r="O82" s="1103">
        <v>0</v>
      </c>
      <c r="P82" s="1103">
        <v>0</v>
      </c>
      <c r="Q82" s="1103">
        <v>4567.67</v>
      </c>
      <c r="R82" s="1103">
        <v>0</v>
      </c>
      <c r="S82" s="1103">
        <v>15067.67</v>
      </c>
      <c r="T82" s="1103">
        <v>45203</v>
      </c>
      <c r="U82" s="1103">
        <v>31500</v>
      </c>
      <c r="V82" s="1103">
        <v>31500</v>
      </c>
      <c r="W82" s="1103">
        <v>0</v>
      </c>
      <c r="X82" s="1103">
        <v>0</v>
      </c>
      <c r="Y82" s="545">
        <v>13703</v>
      </c>
      <c r="Z82" s="1103">
        <v>30.314359666393827</v>
      </c>
      <c r="AA82" s="545">
        <v>0</v>
      </c>
      <c r="AB82" s="545">
        <v>13703</v>
      </c>
      <c r="AC82" s="545">
        <v>30.314359666393827</v>
      </c>
      <c r="AD82" s="545">
        <v>100</v>
      </c>
      <c r="AE82" s="545">
        <v>-69.685640333606102</v>
      </c>
      <c r="AF82" s="541">
        <v>2017</v>
      </c>
      <c r="AG82" s="1137"/>
    </row>
    <row r="83" spans="1:33" ht="16.5" customHeight="1">
      <c r="A83" s="692" t="s">
        <v>880</v>
      </c>
      <c r="B83" s="692" t="s">
        <v>881</v>
      </c>
      <c r="C83" s="541">
        <v>8</v>
      </c>
      <c r="D83" s="692" t="s">
        <v>939</v>
      </c>
      <c r="E83" s="692" t="s">
        <v>547</v>
      </c>
      <c r="F83" s="692" t="s">
        <v>547</v>
      </c>
      <c r="G83" s="692" t="s">
        <v>1246</v>
      </c>
      <c r="H83" s="1103" t="s">
        <v>1247</v>
      </c>
      <c r="I83" s="1103">
        <v>288</v>
      </c>
      <c r="J83" s="1103">
        <v>13180.03</v>
      </c>
      <c r="K83" s="1103">
        <v>12158.03</v>
      </c>
      <c r="L83" s="1103">
        <v>10080.513888888889</v>
      </c>
      <c r="M83" s="1103">
        <v>3099.516111111112</v>
      </c>
      <c r="N83" s="1103">
        <v>1300</v>
      </c>
      <c r="O83" s="1103">
        <v>777.52083333333337</v>
      </c>
      <c r="P83" s="1103">
        <v>2077.5208333333335</v>
      </c>
      <c r="Q83" s="1103">
        <v>1021.9952777777785</v>
      </c>
      <c r="R83" s="1103">
        <v>9980.1299999999992</v>
      </c>
      <c r="S83" s="1103">
        <v>3199.9</v>
      </c>
      <c r="T83" s="1103">
        <v>3795850</v>
      </c>
      <c r="U83" s="1103">
        <v>3501514</v>
      </c>
      <c r="V83" s="1103">
        <v>2903188</v>
      </c>
      <c r="W83" s="1103">
        <v>374400</v>
      </c>
      <c r="X83" s="1103">
        <v>223926</v>
      </c>
      <c r="Y83" s="545">
        <v>294336</v>
      </c>
      <c r="Z83" s="1103">
        <v>7.7541525613498949</v>
      </c>
      <c r="AA83" s="545">
        <v>2874278.01</v>
      </c>
      <c r="AB83" s="545">
        <v>892662</v>
      </c>
      <c r="AC83" s="545">
        <v>23.516788071183004</v>
      </c>
      <c r="AD83" s="545">
        <v>24.278409045668202</v>
      </c>
      <c r="AE83" s="545">
        <v>-0.78419826283967997</v>
      </c>
      <c r="AF83" s="541">
        <v>2017</v>
      </c>
      <c r="AG83" s="1137"/>
    </row>
    <row r="84" spans="1:33" ht="16.5" customHeight="1">
      <c r="A84" s="692" t="s">
        <v>880</v>
      </c>
      <c r="B84" s="692" t="s">
        <v>881</v>
      </c>
      <c r="C84" s="541">
        <v>8</v>
      </c>
      <c r="D84" s="692" t="s">
        <v>939</v>
      </c>
      <c r="E84" s="692" t="s">
        <v>547</v>
      </c>
      <c r="F84" s="692" t="s">
        <v>547</v>
      </c>
      <c r="G84" s="692" t="s">
        <v>2046</v>
      </c>
      <c r="H84" s="1103" t="s">
        <v>2047</v>
      </c>
      <c r="I84" s="1103">
        <v>24</v>
      </c>
      <c r="J84" s="1103">
        <v>13361.75</v>
      </c>
      <c r="K84" s="1103">
        <v>12175.63</v>
      </c>
      <c r="L84" s="1103">
        <v>10287.995000000001</v>
      </c>
      <c r="M84" s="1103">
        <v>3073.7549999999992</v>
      </c>
      <c r="N84" s="1103">
        <v>1300</v>
      </c>
      <c r="O84" s="1103">
        <v>587.63</v>
      </c>
      <c r="P84" s="1103">
        <v>1887.63</v>
      </c>
      <c r="Q84" s="1103">
        <v>1186.1249999999991</v>
      </c>
      <c r="R84" s="1103">
        <v>3036.24</v>
      </c>
      <c r="S84" s="1103">
        <v>10325.51</v>
      </c>
      <c r="T84" s="1103">
        <v>320682</v>
      </c>
      <c r="U84" s="1103">
        <v>292215</v>
      </c>
      <c r="V84" s="1103">
        <v>246911.88</v>
      </c>
      <c r="W84" s="1103">
        <v>31200</v>
      </c>
      <c r="X84" s="1103">
        <v>14103.119999999999</v>
      </c>
      <c r="Y84" s="545">
        <v>28467</v>
      </c>
      <c r="Z84" s="1103">
        <v>8.8770183546316908</v>
      </c>
      <c r="AA84" s="545">
        <v>72869.740000000005</v>
      </c>
      <c r="AB84" s="545">
        <v>73770.12</v>
      </c>
      <c r="AC84" s="545">
        <v>23.004134937414634</v>
      </c>
      <c r="AD84" s="545">
        <v>77.276636817782105</v>
      </c>
      <c r="AE84" s="545">
        <v>-54.272539300615499</v>
      </c>
      <c r="AF84" s="541">
        <v>2017</v>
      </c>
      <c r="AG84" s="1137"/>
    </row>
    <row r="85" spans="1:33" ht="16.5" customHeight="1">
      <c r="A85" s="692" t="s">
        <v>880</v>
      </c>
      <c r="B85" s="692" t="s">
        <v>881</v>
      </c>
      <c r="C85" s="541">
        <v>8</v>
      </c>
      <c r="D85" s="692" t="s">
        <v>939</v>
      </c>
      <c r="E85" s="692" t="s">
        <v>547</v>
      </c>
      <c r="F85" s="692" t="s">
        <v>547</v>
      </c>
      <c r="G85" s="692" t="s">
        <v>2264</v>
      </c>
      <c r="H85" s="1103" t="s">
        <v>2265</v>
      </c>
      <c r="I85" s="1103">
        <v>48</v>
      </c>
      <c r="J85" s="1103">
        <v>13861.46</v>
      </c>
      <c r="K85" s="1103">
        <v>12444.25</v>
      </c>
      <c r="L85" s="1103">
        <v>10366.73</v>
      </c>
      <c r="M85" s="1103">
        <v>3494.7299999999996</v>
      </c>
      <c r="N85" s="1103">
        <v>1300</v>
      </c>
      <c r="O85" s="1103">
        <v>777.52</v>
      </c>
      <c r="P85" s="1103">
        <v>2077.52</v>
      </c>
      <c r="Q85" s="1103">
        <v>1417.2099999999996</v>
      </c>
      <c r="R85" s="1103">
        <v>3036.24</v>
      </c>
      <c r="S85" s="1103">
        <v>10825.22</v>
      </c>
      <c r="T85" s="1103">
        <v>665350</v>
      </c>
      <c r="U85" s="1103">
        <v>597324</v>
      </c>
      <c r="V85" s="1103">
        <v>497603.04</v>
      </c>
      <c r="W85" s="1103">
        <v>62400</v>
      </c>
      <c r="X85" s="1103">
        <v>37320.959999999999</v>
      </c>
      <c r="Y85" s="545">
        <v>68026</v>
      </c>
      <c r="Z85" s="1103">
        <v>10.224092582851132</v>
      </c>
      <c r="AA85" s="545">
        <v>145739.47</v>
      </c>
      <c r="AB85" s="545">
        <v>167746.96000000002</v>
      </c>
      <c r="AC85" s="545">
        <v>25.211837378823176</v>
      </c>
      <c r="AD85" s="545">
        <v>78.095818585706695</v>
      </c>
      <c r="AE85" s="545">
        <v>-52.883975195010102</v>
      </c>
      <c r="AF85" s="541">
        <v>2017</v>
      </c>
      <c r="AG85" s="1137"/>
    </row>
    <row r="86" spans="1:33" ht="16.5" customHeight="1">
      <c r="A86" s="692" t="s">
        <v>880</v>
      </c>
      <c r="B86" s="692" t="s">
        <v>881</v>
      </c>
      <c r="C86" s="541">
        <v>8</v>
      </c>
      <c r="D86" s="692" t="s">
        <v>939</v>
      </c>
      <c r="E86" s="692" t="s">
        <v>1242</v>
      </c>
      <c r="F86" s="692" t="s">
        <v>1242</v>
      </c>
      <c r="G86" s="692" t="s">
        <v>2266</v>
      </c>
      <c r="H86" s="1103" t="s">
        <v>2267</v>
      </c>
      <c r="I86" s="1103">
        <v>1</v>
      </c>
      <c r="J86" s="1103">
        <v>6027</v>
      </c>
      <c r="K86" s="1103">
        <v>4200</v>
      </c>
      <c r="L86" s="1103">
        <v>4200</v>
      </c>
      <c r="M86" s="1103">
        <v>1827</v>
      </c>
      <c r="N86" s="1103">
        <v>0</v>
      </c>
      <c r="O86" s="1103">
        <v>0</v>
      </c>
      <c r="P86" s="1103">
        <v>0</v>
      </c>
      <c r="Q86" s="1103">
        <v>1827</v>
      </c>
      <c r="R86" s="1103">
        <v>0</v>
      </c>
      <c r="S86" s="1103">
        <v>6027</v>
      </c>
      <c r="T86" s="1103">
        <v>6027</v>
      </c>
      <c r="U86" s="1103">
        <v>4200</v>
      </c>
      <c r="V86" s="1103">
        <v>4200</v>
      </c>
      <c r="W86" s="1103">
        <v>0</v>
      </c>
      <c r="X86" s="1103">
        <v>0</v>
      </c>
      <c r="Y86" s="545">
        <v>1827</v>
      </c>
      <c r="Z86" s="1103">
        <v>30.313588850174217</v>
      </c>
      <c r="AA86" s="545">
        <v>0</v>
      </c>
      <c r="AB86" s="545">
        <v>1827</v>
      </c>
      <c r="AC86" s="545">
        <v>30.313588850174217</v>
      </c>
      <c r="AD86" s="545">
        <v>100</v>
      </c>
      <c r="AE86" s="545">
        <v>-69.686411149825702</v>
      </c>
      <c r="AF86" s="541">
        <v>2017</v>
      </c>
      <c r="AG86" s="1137"/>
    </row>
    <row r="87" spans="1:33" ht="16.5" customHeight="1">
      <c r="A87" s="692" t="s">
        <v>880</v>
      </c>
      <c r="B87" s="692" t="s">
        <v>881</v>
      </c>
      <c r="C87" s="541">
        <v>8</v>
      </c>
      <c r="D87" s="692" t="s">
        <v>939</v>
      </c>
      <c r="E87" s="692" t="s">
        <v>1242</v>
      </c>
      <c r="F87" s="692" t="s">
        <v>1242</v>
      </c>
      <c r="G87" s="692" t="s">
        <v>2268</v>
      </c>
      <c r="H87" s="1103" t="s">
        <v>2269</v>
      </c>
      <c r="I87" s="1103">
        <v>2</v>
      </c>
      <c r="J87" s="1103">
        <v>6027</v>
      </c>
      <c r="K87" s="1103">
        <v>4200</v>
      </c>
      <c r="L87" s="1103">
        <v>4200</v>
      </c>
      <c r="M87" s="1103">
        <v>1827</v>
      </c>
      <c r="N87" s="1103">
        <v>0</v>
      </c>
      <c r="O87" s="1103">
        <v>0</v>
      </c>
      <c r="P87" s="1103">
        <v>0</v>
      </c>
      <c r="Q87" s="1103">
        <v>1827</v>
      </c>
      <c r="R87" s="1103">
        <v>0</v>
      </c>
      <c r="S87" s="1103">
        <v>6027</v>
      </c>
      <c r="T87" s="1103">
        <v>12054</v>
      </c>
      <c r="U87" s="1103">
        <v>8400</v>
      </c>
      <c r="V87" s="1103">
        <v>8400</v>
      </c>
      <c r="W87" s="1103">
        <v>0</v>
      </c>
      <c r="X87" s="1103">
        <v>0</v>
      </c>
      <c r="Y87" s="545">
        <v>3654</v>
      </c>
      <c r="Z87" s="1103">
        <v>30.313588850174217</v>
      </c>
      <c r="AA87" s="545">
        <v>0</v>
      </c>
      <c r="AB87" s="545">
        <v>3654</v>
      </c>
      <c r="AC87" s="545">
        <v>30.313588850174217</v>
      </c>
      <c r="AD87" s="545">
        <v>100</v>
      </c>
      <c r="AE87" s="545">
        <v>-69.686411149825702</v>
      </c>
      <c r="AF87" s="541">
        <v>2017</v>
      </c>
      <c r="AG87" s="1137"/>
    </row>
    <row r="88" spans="1:33" ht="16.5" customHeight="1">
      <c r="A88" s="692" t="s">
        <v>880</v>
      </c>
      <c r="B88" s="692" t="s">
        <v>881</v>
      </c>
      <c r="C88" s="541">
        <v>8</v>
      </c>
      <c r="D88" s="692" t="s">
        <v>939</v>
      </c>
      <c r="E88" s="692" t="s">
        <v>1242</v>
      </c>
      <c r="F88" s="692" t="s">
        <v>1242</v>
      </c>
      <c r="G88" s="692" t="s">
        <v>2270</v>
      </c>
      <c r="H88" s="1103" t="s">
        <v>2271</v>
      </c>
      <c r="I88" s="1103">
        <v>24</v>
      </c>
      <c r="J88" s="1103">
        <v>4891.04</v>
      </c>
      <c r="K88" s="1103">
        <v>4536.38</v>
      </c>
      <c r="L88" s="1103">
        <v>4325.7349999999997</v>
      </c>
      <c r="M88" s="1103">
        <v>565.30500000000029</v>
      </c>
      <c r="N88" s="1103">
        <v>0</v>
      </c>
      <c r="O88" s="1103">
        <v>210.64</v>
      </c>
      <c r="P88" s="1103">
        <v>210.64</v>
      </c>
      <c r="Q88" s="1103">
        <v>354.6650000000003</v>
      </c>
      <c r="R88" s="1103">
        <v>4323.74</v>
      </c>
      <c r="S88" s="1103">
        <v>567.29999999999995</v>
      </c>
      <c r="T88" s="1103">
        <v>117385</v>
      </c>
      <c r="U88" s="1103">
        <v>108873</v>
      </c>
      <c r="V88" s="1103">
        <v>103817.63999999998</v>
      </c>
      <c r="W88" s="1103">
        <v>0</v>
      </c>
      <c r="X88" s="1103">
        <v>5055.3599999999997</v>
      </c>
      <c r="Y88" s="545">
        <v>8512</v>
      </c>
      <c r="Z88" s="1103">
        <v>7.2513523874430286</v>
      </c>
      <c r="AA88" s="545">
        <v>103769.85</v>
      </c>
      <c r="AB88" s="545">
        <v>13567.360000000015</v>
      </c>
      <c r="AC88" s="545">
        <v>11.558001448225937</v>
      </c>
      <c r="AD88" s="545">
        <v>11.598711794522201</v>
      </c>
      <c r="AE88" s="545">
        <v>-3.5097310900029801</v>
      </c>
      <c r="AF88" s="541">
        <v>2017</v>
      </c>
      <c r="AG88" s="1137"/>
    </row>
    <row r="89" spans="1:33" ht="16.5" customHeight="1">
      <c r="A89" s="692" t="s">
        <v>880</v>
      </c>
      <c r="B89" s="692" t="s">
        <v>881</v>
      </c>
      <c r="C89" s="541">
        <v>8</v>
      </c>
      <c r="D89" s="692" t="s">
        <v>939</v>
      </c>
      <c r="E89" s="692" t="s">
        <v>1242</v>
      </c>
      <c r="F89" s="692" t="s">
        <v>1242</v>
      </c>
      <c r="G89" s="692" t="s">
        <v>1901</v>
      </c>
      <c r="H89" s="1103" t="s">
        <v>1902</v>
      </c>
      <c r="I89" s="1103">
        <v>192</v>
      </c>
      <c r="J89" s="1103">
        <v>4739.6000000000004</v>
      </c>
      <c r="K89" s="1103">
        <v>4181.17</v>
      </c>
      <c r="L89" s="1103">
        <v>4079.4148047711724</v>
      </c>
      <c r="M89" s="1103">
        <v>660.18519522882798</v>
      </c>
      <c r="N89" s="1103">
        <v>0</v>
      </c>
      <c r="O89" s="1103">
        <v>101.75705000000001</v>
      </c>
      <c r="P89" s="1103">
        <v>101.75705000000001</v>
      </c>
      <c r="Q89" s="1103">
        <v>558.42814522882793</v>
      </c>
      <c r="R89" s="1103">
        <v>4084.36</v>
      </c>
      <c r="S89" s="1103">
        <v>655.24</v>
      </c>
      <c r="T89" s="1103">
        <v>910004</v>
      </c>
      <c r="U89" s="1103">
        <v>802785</v>
      </c>
      <c r="V89" s="1103">
        <v>783247.64251606516</v>
      </c>
      <c r="W89" s="1103">
        <v>0</v>
      </c>
      <c r="X89" s="1103">
        <v>19537.353600000002</v>
      </c>
      <c r="Y89" s="545">
        <v>107219</v>
      </c>
      <c r="Z89" s="1103">
        <v>11.78225590217186</v>
      </c>
      <c r="AA89" s="545">
        <v>784197.76</v>
      </c>
      <c r="AB89" s="545">
        <v>126756.35748393484</v>
      </c>
      <c r="AC89" s="545">
        <v>13.929208825888113</v>
      </c>
      <c r="AD89" s="545">
        <v>13.824801051423901</v>
      </c>
      <c r="AE89" s="545">
        <v>1.270851275379</v>
      </c>
      <c r="AF89" s="541">
        <v>2017</v>
      </c>
      <c r="AG89" s="1137"/>
    </row>
    <row r="90" spans="1:33" ht="16.5" customHeight="1">
      <c r="A90" s="692" t="s">
        <v>880</v>
      </c>
      <c r="B90" s="692" t="s">
        <v>881</v>
      </c>
      <c r="C90" s="541">
        <v>8</v>
      </c>
      <c r="D90" s="692" t="s">
        <v>939</v>
      </c>
      <c r="E90" s="692" t="s">
        <v>1242</v>
      </c>
      <c r="F90" s="692" t="s">
        <v>1242</v>
      </c>
      <c r="G90" s="692" t="s">
        <v>2272</v>
      </c>
      <c r="H90" s="1103" t="s">
        <v>2273</v>
      </c>
      <c r="I90" s="1103">
        <v>48</v>
      </c>
      <c r="J90" s="1103">
        <v>5299.88</v>
      </c>
      <c r="K90" s="1103">
        <v>4259.6899999999996</v>
      </c>
      <c r="L90" s="1103">
        <v>4149.0540186915887</v>
      </c>
      <c r="M90" s="1103">
        <v>1150.8259813084114</v>
      </c>
      <c r="N90" s="1103">
        <v>0</v>
      </c>
      <c r="O90" s="1103">
        <v>110.6335</v>
      </c>
      <c r="P90" s="1103">
        <v>110.6335</v>
      </c>
      <c r="Q90" s="1103">
        <v>1040.1924813084115</v>
      </c>
      <c r="R90" s="1103">
        <v>4129.97</v>
      </c>
      <c r="S90" s="1103">
        <v>1169.9100000000001</v>
      </c>
      <c r="T90" s="1103">
        <v>254394</v>
      </c>
      <c r="U90" s="1103">
        <v>204465</v>
      </c>
      <c r="V90" s="1103">
        <v>199154.59289719624</v>
      </c>
      <c r="W90" s="1103">
        <v>0</v>
      </c>
      <c r="X90" s="1103">
        <v>5310.4079999999994</v>
      </c>
      <c r="Y90" s="545">
        <v>49929</v>
      </c>
      <c r="Z90" s="1103">
        <v>19.62664213778627</v>
      </c>
      <c r="AA90" s="545">
        <v>198238.39</v>
      </c>
      <c r="AB90" s="545">
        <v>55239.407102803758</v>
      </c>
      <c r="AC90" s="545">
        <v>21.714115546280084</v>
      </c>
      <c r="AD90" s="545">
        <v>22.074267223283499</v>
      </c>
      <c r="AE90" s="545">
        <v>0.83334852237081003</v>
      </c>
      <c r="AF90" s="541">
        <v>2017</v>
      </c>
      <c r="AG90" s="1137"/>
    </row>
    <row r="91" spans="1:33" ht="16.5" customHeight="1">
      <c r="A91" s="692" t="s">
        <v>880</v>
      </c>
      <c r="B91" s="692" t="s">
        <v>881</v>
      </c>
      <c r="C91" s="541">
        <v>8</v>
      </c>
      <c r="D91" s="692" t="s">
        <v>939</v>
      </c>
      <c r="E91" s="692" t="s">
        <v>398</v>
      </c>
      <c r="F91" s="692" t="s">
        <v>398</v>
      </c>
      <c r="G91" s="692" t="s">
        <v>1245</v>
      </c>
      <c r="H91" s="1103" t="s">
        <v>1244</v>
      </c>
      <c r="I91" s="1103">
        <v>192</v>
      </c>
      <c r="J91" s="1103">
        <v>302.85000000000002</v>
      </c>
      <c r="K91" s="1103">
        <v>449.58</v>
      </c>
      <c r="L91" s="1103">
        <v>304.09653943652961</v>
      </c>
      <c r="M91" s="1103">
        <v>-1.2465394365295879</v>
      </c>
      <c r="N91" s="1103">
        <v>80</v>
      </c>
      <c r="O91" s="1103">
        <v>65.486800000000002</v>
      </c>
      <c r="P91" s="1103">
        <v>145.48680000000002</v>
      </c>
      <c r="Q91" s="1103">
        <v>-146.7333394365296</v>
      </c>
      <c r="R91" s="1103">
        <v>304.31</v>
      </c>
      <c r="S91" s="1103">
        <v>-1.46</v>
      </c>
      <c r="T91" s="1103">
        <v>58147</v>
      </c>
      <c r="U91" s="1103">
        <v>86320</v>
      </c>
      <c r="V91" s="1103">
        <v>58386.535571813685</v>
      </c>
      <c r="W91" s="1103">
        <v>15360</v>
      </c>
      <c r="X91" s="1103">
        <v>12573.4656</v>
      </c>
      <c r="Y91" s="545">
        <v>-28173</v>
      </c>
      <c r="Z91" s="1103">
        <v>-48.451338848091908</v>
      </c>
      <c r="AA91" s="545">
        <v>58426.81</v>
      </c>
      <c r="AB91" s="545">
        <v>-239.53557181368524</v>
      </c>
      <c r="AC91" s="545">
        <v>-0.41194828935918487</v>
      </c>
      <c r="AD91" s="545">
        <v>-0.48121072454296798</v>
      </c>
      <c r="AE91" s="545">
        <v>5.0667882536563598E-3</v>
      </c>
      <c r="AF91" s="541">
        <v>2017</v>
      </c>
      <c r="AG91" s="1137"/>
    </row>
    <row r="92" spans="1:33" ht="16.5" customHeight="1">
      <c r="A92" s="692" t="s">
        <v>880</v>
      </c>
      <c r="B92" s="692" t="s">
        <v>881</v>
      </c>
      <c r="C92" s="541">
        <v>8</v>
      </c>
      <c r="D92" s="692" t="s">
        <v>939</v>
      </c>
      <c r="E92" s="692" t="s">
        <v>398</v>
      </c>
      <c r="F92" s="692" t="s">
        <v>398</v>
      </c>
      <c r="G92" s="692" t="s">
        <v>2048</v>
      </c>
      <c r="H92" s="1103" t="s">
        <v>2035</v>
      </c>
      <c r="I92" s="1103">
        <v>48</v>
      </c>
      <c r="J92" s="1103">
        <v>302.83</v>
      </c>
      <c r="K92" s="1103">
        <v>448.42</v>
      </c>
      <c r="L92" s="1103">
        <v>314.01133120882025</v>
      </c>
      <c r="M92" s="1103">
        <v>-11.181331208820268</v>
      </c>
      <c r="N92" s="1103">
        <v>80</v>
      </c>
      <c r="O92" s="1103">
        <v>54.4054</v>
      </c>
      <c r="P92" s="1103">
        <v>134.40539999999999</v>
      </c>
      <c r="Q92" s="1103">
        <v>-145.58673120882025</v>
      </c>
      <c r="R92" s="1103">
        <v>314.12</v>
      </c>
      <c r="S92" s="1103">
        <v>-11.29</v>
      </c>
      <c r="T92" s="1103">
        <v>14536</v>
      </c>
      <c r="U92" s="1103">
        <v>21524</v>
      </c>
      <c r="V92" s="1103">
        <v>15072.543898023372</v>
      </c>
      <c r="W92" s="1103">
        <v>3840</v>
      </c>
      <c r="X92" s="1103">
        <v>2611.4592000000002</v>
      </c>
      <c r="Y92" s="545">
        <v>-6988</v>
      </c>
      <c r="Z92" s="1103">
        <v>-48.073747936158497</v>
      </c>
      <c r="AA92" s="545">
        <v>15077.98</v>
      </c>
      <c r="AB92" s="545">
        <v>-536.54389802337209</v>
      </c>
      <c r="AC92" s="545">
        <v>-3.6911385389610079</v>
      </c>
      <c r="AD92" s="545">
        <v>-3.7285250412768298</v>
      </c>
      <c r="AE92" s="545">
        <v>-2.7666483214088999E-2</v>
      </c>
      <c r="AF92" s="541">
        <v>2017</v>
      </c>
      <c r="AG92" s="1137"/>
    </row>
    <row r="93" spans="1:33" ht="16.5" customHeight="1">
      <c r="AF93" s="519"/>
      <c r="AG93" s="1137"/>
    </row>
    <row r="94" spans="1:33" ht="16.5" customHeight="1">
      <c r="AF94" s="519"/>
      <c r="AG94" s="1137"/>
    </row>
    <row r="95" spans="1:33" ht="16.5" customHeight="1">
      <c r="AF95" s="519"/>
      <c r="AG95" s="1137"/>
    </row>
    <row r="96" spans="1:33" ht="16.5" customHeight="1">
      <c r="AF96" s="519"/>
      <c r="AG96" s="1137"/>
    </row>
    <row r="97" spans="32:33" ht="16.5" customHeight="1">
      <c r="AF97" s="519"/>
      <c r="AG97" s="1137"/>
    </row>
    <row r="98" spans="32:33" ht="16.5" customHeight="1">
      <c r="AF98" s="519"/>
      <c r="AG98" s="1137"/>
    </row>
    <row r="99" spans="32:33" ht="16.5" customHeight="1">
      <c r="AF99" s="519"/>
      <c r="AG99" s="1137"/>
    </row>
    <row r="100" spans="32:33" ht="16.5" customHeight="1">
      <c r="AF100" s="519"/>
      <c r="AG100" s="1137"/>
    </row>
    <row r="101" spans="32:33" ht="16.5" customHeight="1">
      <c r="AF101" s="519"/>
      <c r="AG101" s="1137"/>
    </row>
    <row r="102" spans="32:33" ht="16.5" customHeight="1">
      <c r="AF102" s="519"/>
      <c r="AG102" s="1137"/>
    </row>
    <row r="103" spans="32:33" ht="16.5" customHeight="1">
      <c r="AF103" s="519"/>
      <c r="AG103" s="1137"/>
    </row>
    <row r="104" spans="32:33" ht="16.5" customHeight="1">
      <c r="AF104" s="519"/>
      <c r="AG104" s="1137"/>
    </row>
    <row r="105" spans="32:33" ht="16.5" customHeight="1">
      <c r="AF105" s="519"/>
      <c r="AG105" s="1137"/>
    </row>
    <row r="106" spans="32:33" ht="16.5" customHeight="1">
      <c r="AF106" s="519"/>
      <c r="AG106" s="1137"/>
    </row>
    <row r="107" spans="32:33" ht="16.5" customHeight="1">
      <c r="AF107" s="519"/>
      <c r="AG107" s="1137"/>
    </row>
    <row r="108" spans="32:33" ht="16.5" customHeight="1">
      <c r="AF108" s="519"/>
      <c r="AG108" s="1137"/>
    </row>
    <row r="109" spans="32:33" ht="16.5" customHeight="1">
      <c r="AF109" s="519"/>
      <c r="AG109" s="1137"/>
    </row>
    <row r="110" spans="32:33" ht="16.5" customHeight="1">
      <c r="AF110" s="519"/>
      <c r="AG110" s="1137"/>
    </row>
    <row r="111" spans="32:33" ht="16.5" customHeight="1">
      <c r="AF111" s="519"/>
      <c r="AG111" s="1137"/>
    </row>
    <row r="112" spans="32:33" ht="16.5" customHeight="1">
      <c r="AF112" s="519"/>
      <c r="AG112" s="1137"/>
    </row>
    <row r="113" spans="32:33" ht="16.5" customHeight="1">
      <c r="AF113" s="519"/>
      <c r="AG113" s="1137"/>
    </row>
    <row r="114" spans="32:33" ht="16.5" customHeight="1">
      <c r="AF114" s="519"/>
      <c r="AG114" s="1137"/>
    </row>
    <row r="115" spans="32:33" ht="16.5" customHeight="1">
      <c r="AF115" s="519"/>
      <c r="AG115" s="1137"/>
    </row>
    <row r="116" spans="32:33" ht="16.5" customHeight="1">
      <c r="AF116" s="519"/>
      <c r="AG116" s="1137"/>
    </row>
    <row r="117" spans="32:33" ht="16.5" customHeight="1">
      <c r="AF117" s="519"/>
      <c r="AG117" s="1137"/>
    </row>
    <row r="118" spans="32:33" ht="16.5" customHeight="1">
      <c r="AF118" s="519"/>
      <c r="AG118" s="1137"/>
    </row>
    <row r="119" spans="32:33" ht="16.5" customHeight="1">
      <c r="AF119" s="519"/>
      <c r="AG119" s="1137"/>
    </row>
    <row r="120" spans="32:33" ht="16.5" customHeight="1">
      <c r="AF120" s="519"/>
      <c r="AG120" s="1137"/>
    </row>
    <row r="121" spans="32:33" ht="16.5" customHeight="1">
      <c r="AF121" s="519"/>
      <c r="AG121" s="1137"/>
    </row>
    <row r="122" spans="32:33" ht="16.5" customHeight="1">
      <c r="AF122" s="519"/>
      <c r="AG122" s="1137"/>
    </row>
    <row r="123" spans="32:33" ht="16.5" customHeight="1">
      <c r="AF123" s="519"/>
      <c r="AG123" s="1137"/>
    </row>
    <row r="124" spans="32:33" ht="16.5" customHeight="1">
      <c r="AF124" s="519"/>
      <c r="AG124" s="1137"/>
    </row>
    <row r="125" spans="32:33" ht="16.5" customHeight="1">
      <c r="AF125" s="519"/>
      <c r="AG125" s="1137"/>
    </row>
    <row r="126" spans="32:33" ht="16.5" customHeight="1">
      <c r="AF126" s="519"/>
      <c r="AG126" s="1137"/>
    </row>
    <row r="127" spans="32:33" ht="16.5" customHeight="1">
      <c r="AF127" s="519"/>
      <c r="AG127" s="1137"/>
    </row>
    <row r="128" spans="32:33" ht="16.5" customHeight="1">
      <c r="AF128" s="519"/>
      <c r="AG128" s="1137"/>
    </row>
    <row r="129" spans="32:33" ht="16.5" customHeight="1">
      <c r="AF129" s="519"/>
      <c r="AG129" s="1137"/>
    </row>
    <row r="130" spans="32:33" ht="16.5" customHeight="1">
      <c r="AF130" s="519"/>
      <c r="AG130" s="1137"/>
    </row>
    <row r="131" spans="32:33" ht="16.5" customHeight="1">
      <c r="AF131" s="519"/>
      <c r="AG131" s="1137"/>
    </row>
    <row r="132" spans="32:33" ht="16.5" customHeight="1">
      <c r="AF132" s="519"/>
      <c r="AG132" s="1137"/>
    </row>
    <row r="133" spans="32:33" ht="16.5" customHeight="1">
      <c r="AF133" s="519"/>
      <c r="AG133" s="1137"/>
    </row>
    <row r="134" spans="32:33" ht="16.5" customHeight="1">
      <c r="AF134" s="519"/>
      <c r="AG134" s="1137"/>
    </row>
    <row r="135" spans="32:33" ht="16.5" customHeight="1">
      <c r="AF135" s="519"/>
      <c r="AG135" s="1137"/>
    </row>
    <row r="136" spans="32:33" ht="16.5" customHeight="1">
      <c r="AF136" s="519"/>
      <c r="AG136" s="1137"/>
    </row>
    <row r="137" spans="32:33" ht="16.5" customHeight="1">
      <c r="AF137" s="519"/>
      <c r="AG137" s="1137"/>
    </row>
    <row r="138" spans="32:33" ht="16.5" customHeight="1">
      <c r="AF138" s="519"/>
      <c r="AG138" s="1137"/>
    </row>
    <row r="139" spans="32:33" ht="16.5" customHeight="1">
      <c r="AF139" s="519"/>
      <c r="AG139" s="1137"/>
    </row>
    <row r="140" spans="32:33" ht="16.5" customHeight="1">
      <c r="AF140" s="519"/>
      <c r="AG140" s="1137"/>
    </row>
    <row r="141" spans="32:33" ht="16.5" customHeight="1">
      <c r="AF141" s="519"/>
      <c r="AG141" s="1137"/>
    </row>
    <row r="142" spans="32:33" ht="16.5" customHeight="1">
      <c r="AF142" s="519"/>
      <c r="AG142" s="1137"/>
    </row>
    <row r="143" spans="32:33" ht="16.5" customHeight="1">
      <c r="AF143" s="519"/>
      <c r="AG143" s="1137"/>
    </row>
    <row r="144" spans="32:33" ht="16.5" customHeight="1">
      <c r="AF144" s="519"/>
      <c r="AG144" s="1137"/>
    </row>
    <row r="145" spans="32:33" ht="16.5" customHeight="1">
      <c r="AF145" s="519"/>
      <c r="AG145" s="1137"/>
    </row>
    <row r="146" spans="32:33" ht="16.5" customHeight="1">
      <c r="AF146" s="519"/>
      <c r="AG146" s="1137"/>
    </row>
    <row r="147" spans="32:33" ht="16.5" customHeight="1">
      <c r="AF147" s="519"/>
      <c r="AG147" s="1137"/>
    </row>
    <row r="148" spans="32:33" ht="16.5" customHeight="1">
      <c r="AF148" s="519"/>
      <c r="AG148" s="1137"/>
    </row>
    <row r="149" spans="32:33" ht="16.5" customHeight="1">
      <c r="AF149" s="519"/>
      <c r="AG149" s="1137"/>
    </row>
    <row r="150" spans="32:33" ht="16.5" customHeight="1">
      <c r="AF150" s="519"/>
      <c r="AG150" s="1137"/>
    </row>
    <row r="151" spans="32:33" ht="16.5" customHeight="1">
      <c r="AF151" s="519"/>
      <c r="AG151" s="1137"/>
    </row>
    <row r="152" spans="32:33" ht="16.5" customHeight="1">
      <c r="AF152" s="519"/>
      <c r="AG152" s="1137"/>
    </row>
    <row r="153" spans="32:33" ht="16.5" customHeight="1">
      <c r="AF153" s="519"/>
      <c r="AG153" s="1137"/>
    </row>
    <row r="154" spans="32:33" ht="16.5" customHeight="1">
      <c r="AF154" s="519"/>
      <c r="AG154" s="1137"/>
    </row>
    <row r="155" spans="32:33" ht="16.5" customHeight="1">
      <c r="AF155" s="519"/>
      <c r="AG155" s="1137"/>
    </row>
    <row r="156" spans="32:33" ht="16.5" customHeight="1">
      <c r="AF156" s="519"/>
      <c r="AG156" s="1137"/>
    </row>
    <row r="157" spans="32:33" ht="16.5" customHeight="1">
      <c r="AF157" s="519"/>
      <c r="AG157" s="1137"/>
    </row>
    <row r="158" spans="32:33" ht="16.5" customHeight="1">
      <c r="AF158" s="519"/>
      <c r="AG158" s="1137"/>
    </row>
    <row r="159" spans="32:33" ht="16.5" customHeight="1">
      <c r="AF159" s="519"/>
      <c r="AG159" s="1137"/>
    </row>
    <row r="160" spans="32:33" ht="16.5" customHeight="1">
      <c r="AF160" s="519"/>
      <c r="AG160" s="1137"/>
    </row>
    <row r="161" spans="32:33" ht="16.5" customHeight="1">
      <c r="AF161" s="519"/>
      <c r="AG161" s="1137"/>
    </row>
    <row r="162" spans="32:33" ht="16.5" customHeight="1">
      <c r="AF162" s="519"/>
      <c r="AG162" s="1137"/>
    </row>
    <row r="163" spans="32:33" ht="16.5" customHeight="1">
      <c r="AF163" s="519"/>
      <c r="AG163" s="1137"/>
    </row>
    <row r="164" spans="32:33" ht="16.5" customHeight="1">
      <c r="AF164" s="519"/>
      <c r="AG164" s="1137"/>
    </row>
    <row r="165" spans="32:33" ht="16.5" customHeight="1">
      <c r="AF165" s="519"/>
      <c r="AG165" s="1137"/>
    </row>
    <row r="166" spans="32:33" ht="16.5" customHeight="1">
      <c r="AF166" s="519"/>
      <c r="AG166" s="1137"/>
    </row>
    <row r="167" spans="32:33" ht="16.5" customHeight="1">
      <c r="AF167" s="519"/>
      <c r="AG167" s="1137"/>
    </row>
    <row r="168" spans="32:33" ht="16.5" customHeight="1">
      <c r="AF168" s="519"/>
      <c r="AG168" s="1137"/>
    </row>
    <row r="169" spans="32:33" ht="16.5" customHeight="1">
      <c r="AF169" s="519"/>
      <c r="AG169" s="1137"/>
    </row>
    <row r="170" spans="32:33" ht="16.5" customHeight="1">
      <c r="AF170" s="519"/>
      <c r="AG170" s="1137"/>
    </row>
    <row r="171" spans="32:33" ht="16.5" customHeight="1">
      <c r="AG171" s="1137"/>
    </row>
    <row r="172" spans="32:33" ht="16.5" customHeight="1">
      <c r="AG172" s="1137"/>
    </row>
    <row r="173" spans="32:33" ht="16.5" customHeight="1">
      <c r="AG173" s="1137"/>
    </row>
    <row r="174" spans="32:33" ht="16.5" customHeight="1">
      <c r="AG174" s="1137"/>
    </row>
    <row r="175" spans="32:33" ht="16.5" customHeight="1">
      <c r="AG175" s="1137"/>
    </row>
    <row r="176" spans="32:33" ht="16.5" customHeight="1">
      <c r="AG176" s="1137"/>
    </row>
    <row r="177" spans="33:33" ht="16.5" customHeight="1">
      <c r="AG177" s="1137"/>
    </row>
    <row r="178" spans="33:33" ht="16.5" customHeight="1">
      <c r="AG178" s="1137"/>
    </row>
    <row r="179" spans="33:33" ht="16.5" customHeight="1">
      <c r="AG179" s="1137"/>
    </row>
    <row r="180" spans="33:33" ht="16.5" customHeight="1">
      <c r="AG180" s="1137"/>
    </row>
    <row r="181" spans="33:33" ht="16.5" customHeight="1">
      <c r="AG181" s="1137"/>
    </row>
    <row r="182" spans="33:33" ht="16.5" customHeight="1">
      <c r="AG182" s="1137"/>
    </row>
    <row r="183" spans="33:33" ht="16.5" customHeight="1">
      <c r="AG183" s="1137"/>
    </row>
    <row r="184" spans="33:33" ht="16.5" customHeight="1">
      <c r="AG184" s="1137"/>
    </row>
    <row r="185" spans="33:33" ht="16.5" customHeight="1">
      <c r="AG185" s="1137"/>
    </row>
    <row r="186" spans="33:33" ht="16.5" customHeight="1">
      <c r="AG186" s="1137"/>
    </row>
    <row r="187" spans="33:33" ht="16.5" customHeight="1">
      <c r="AG187" s="1137"/>
    </row>
    <row r="188" spans="33:33" ht="16.5" customHeight="1">
      <c r="AG188" s="1137"/>
    </row>
    <row r="189" spans="33:33" ht="16.5" customHeight="1">
      <c r="AG189" s="1137"/>
    </row>
    <row r="190" spans="33:33" ht="16.5" customHeight="1">
      <c r="AG190" s="1137"/>
    </row>
    <row r="191" spans="33:33" ht="16.5" customHeight="1">
      <c r="AG191" s="1137"/>
    </row>
    <row r="192" spans="33:33" ht="16.5" customHeight="1">
      <c r="AG192" s="1137"/>
    </row>
    <row r="193" spans="33:33" ht="16.5" customHeight="1">
      <c r="AG193" s="1137"/>
    </row>
    <row r="194" spans="33:33" ht="16.5" customHeight="1">
      <c r="AG194" s="1137"/>
    </row>
    <row r="195" spans="33:33" ht="16.5" customHeight="1">
      <c r="AG195" s="1137"/>
    </row>
    <row r="196" spans="33:33" ht="16.5" customHeight="1">
      <c r="AG196" s="1137"/>
    </row>
    <row r="197" spans="33:33" ht="16.5" customHeight="1">
      <c r="AG197" s="1137"/>
    </row>
    <row r="198" spans="33:33" ht="16.5" customHeight="1">
      <c r="AG198" s="1137"/>
    </row>
    <row r="199" spans="33:33" ht="16.5" customHeight="1">
      <c r="AG199" s="1137"/>
    </row>
    <row r="200" spans="33:33" ht="16.5" customHeight="1">
      <c r="AG200" s="1137"/>
    </row>
    <row r="201" spans="33:33" ht="16.5" customHeight="1">
      <c r="AG201" s="1137"/>
    </row>
    <row r="202" spans="33:33" ht="16.5" customHeight="1">
      <c r="AG202" s="1137"/>
    </row>
    <row r="203" spans="33:33" ht="16.5" customHeight="1">
      <c r="AG203" s="1137"/>
    </row>
    <row r="204" spans="33:33" ht="16.5" customHeight="1">
      <c r="AG204" s="1137"/>
    </row>
    <row r="205" spans="33:33" ht="16.5" customHeight="1">
      <c r="AG205" s="1137"/>
    </row>
    <row r="206" spans="33:33" ht="16.5" customHeight="1">
      <c r="AG206" s="1137"/>
    </row>
    <row r="207" spans="33:33" ht="16.5" customHeight="1">
      <c r="AG207" s="1137"/>
    </row>
    <row r="208" spans="33:33" ht="16.5" customHeight="1">
      <c r="AG208" s="1137"/>
    </row>
    <row r="209" spans="33:33" ht="16.5" customHeight="1">
      <c r="AG209" s="1137"/>
    </row>
    <row r="210" spans="33:33" ht="16.5" customHeight="1">
      <c r="AG210" s="1137"/>
    </row>
    <row r="211" spans="33:33" ht="16.5" customHeight="1">
      <c r="AG211" s="1137"/>
    </row>
    <row r="212" spans="33:33" ht="16.5" customHeight="1">
      <c r="AG212" s="1137"/>
    </row>
    <row r="213" spans="33:33" ht="16.5" customHeight="1">
      <c r="AG213" s="1137"/>
    </row>
    <row r="214" spans="33:33" ht="16.5" customHeight="1">
      <c r="AG214" s="1137"/>
    </row>
    <row r="215" spans="33:33" ht="16.5" customHeight="1">
      <c r="AG215" s="1137"/>
    </row>
    <row r="216" spans="33:33" ht="16.5" customHeight="1">
      <c r="AG216" s="1137"/>
    </row>
    <row r="217" spans="33:33" ht="16.5" customHeight="1">
      <c r="AG217" s="1137"/>
    </row>
    <row r="218" spans="33:33" ht="16.5" customHeight="1">
      <c r="AG218" s="1137"/>
    </row>
    <row r="219" spans="33:33" ht="16.5" customHeight="1">
      <c r="AG219" s="1137"/>
    </row>
    <row r="220" spans="33:33" ht="16.5" customHeight="1">
      <c r="AG220" s="1137"/>
    </row>
    <row r="221" spans="33:33" ht="16.5" customHeight="1">
      <c r="AG221" s="1137"/>
    </row>
    <row r="222" spans="33:33" ht="16.5" customHeight="1">
      <c r="AG222" s="1137"/>
    </row>
  </sheetData>
  <phoneticPr fontId="40" type="noConversion"/>
  <pageMargins left="0.75" right="0.75" top="1" bottom="1" header="0.5" footer="0.5"/>
  <pageSetup paperSize="9" orientation="portrait" r:id="rId2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30A0"/>
  </sheetPr>
  <dimension ref="A1:AB112"/>
  <sheetViews>
    <sheetView topLeftCell="B1" workbookViewId="0">
      <pane xSplit="17" ySplit="47" topLeftCell="S48" activePane="bottomRight" state="frozen"/>
      <selection activeCell="B1" sqref="B1"/>
      <selection pane="topRight" activeCell="S1" sqref="S1"/>
      <selection pane="bottomLeft" activeCell="B48" sqref="B48"/>
      <selection pane="bottomRight" activeCell="AG29" sqref="AG29"/>
    </sheetView>
  </sheetViews>
  <sheetFormatPr baseColWidth="10" defaultColWidth="9.19921875" defaultRowHeight="17" outlineLevelRow="2"/>
  <cols>
    <col min="1" max="1" width="12.3984375" style="1167" bestFit="1" customWidth="1"/>
    <col min="2" max="2" width="23" style="1167" customWidth="1"/>
    <col min="3" max="3" width="5.796875" style="1167" hidden="1" customWidth="1"/>
    <col min="4" max="4" width="19.59765625" style="1167" hidden="1" customWidth="1"/>
    <col min="5" max="5" width="18.19921875" style="1167" hidden="1" customWidth="1"/>
    <col min="6" max="6" width="14.19921875" style="1167" hidden="1" customWidth="1"/>
    <col min="7" max="7" width="16.59765625" style="1167" hidden="1" customWidth="1"/>
    <col min="8" max="8" width="14.3984375" style="1167" bestFit="1" customWidth="1"/>
    <col min="9" max="9" width="13.59765625" style="1167" hidden="1" customWidth="1"/>
    <col min="10" max="10" width="13.19921875" style="1167" hidden="1" customWidth="1"/>
    <col min="11" max="11" width="17.19921875" style="1167" hidden="1" customWidth="1"/>
    <col min="12" max="12" width="20.59765625" style="1178" hidden="1" customWidth="1"/>
    <col min="13" max="13" width="13" style="1167" hidden="1" customWidth="1"/>
    <col min="14" max="14" width="18.59765625" style="1167" hidden="1" customWidth="1"/>
    <col min="15" max="15" width="25.796875" style="1178" hidden="1" customWidth="1"/>
    <col min="16" max="16" width="15.796875" style="1178" hidden="1" customWidth="1"/>
    <col min="17" max="17" width="11" style="1167" hidden="1" customWidth="1"/>
    <col min="18" max="18" width="17" style="1167" hidden="1" customWidth="1"/>
    <col min="19" max="20" width="19.3984375" style="1167" bestFit="1" customWidth="1"/>
    <col min="21" max="21" width="18.59765625" style="1178" bestFit="1" customWidth="1"/>
    <col min="22" max="22" width="16.19921875" style="1178" bestFit="1" customWidth="1"/>
    <col min="23" max="23" width="19.59765625" style="1178" bestFit="1" customWidth="1"/>
    <col min="24" max="24" width="17.59765625" style="1178" bestFit="1" customWidth="1"/>
    <col min="25" max="25" width="12.796875" style="1179" bestFit="1" customWidth="1"/>
    <col min="26" max="26" width="20.796875" style="1167" bestFit="1" customWidth="1"/>
    <col min="27" max="27" width="17.59765625" style="1179" bestFit="1" customWidth="1"/>
    <col min="28" max="28" width="9.3984375" style="1179" bestFit="1" customWidth="1"/>
    <col min="29" max="29" width="0" style="1167" hidden="1" customWidth="1"/>
    <col min="30" max="16384" width="9.19921875" style="1167"/>
  </cols>
  <sheetData>
    <row r="1" spans="1:28">
      <c r="A1" s="1164" t="s">
        <v>438</v>
      </c>
      <c r="B1" s="1164" t="s">
        <v>439</v>
      </c>
      <c r="C1" s="1165" t="s">
        <v>936</v>
      </c>
      <c r="D1" s="1164" t="s">
        <v>483</v>
      </c>
      <c r="E1" s="1165" t="s">
        <v>436</v>
      </c>
      <c r="F1" s="1164" t="s">
        <v>440</v>
      </c>
      <c r="G1" s="1164" t="s">
        <v>441</v>
      </c>
      <c r="H1" s="1164" t="s">
        <v>442</v>
      </c>
      <c r="I1" s="1164" t="s">
        <v>5</v>
      </c>
      <c r="J1" s="1164" t="s">
        <v>6</v>
      </c>
      <c r="K1" s="1164" t="s">
        <v>550</v>
      </c>
      <c r="L1" s="1165" t="s">
        <v>7</v>
      </c>
      <c r="M1" s="1164" t="s">
        <v>8</v>
      </c>
      <c r="N1" s="1164" t="s">
        <v>9</v>
      </c>
      <c r="O1" s="1165" t="s">
        <v>551</v>
      </c>
      <c r="P1" s="1165" t="s">
        <v>10</v>
      </c>
      <c r="Q1" s="1164" t="s">
        <v>11</v>
      </c>
      <c r="R1" s="1164" t="s">
        <v>12</v>
      </c>
      <c r="S1" s="1164" t="s">
        <v>443</v>
      </c>
      <c r="T1" s="1164" t="s">
        <v>341</v>
      </c>
      <c r="U1" s="1165" t="s">
        <v>552</v>
      </c>
      <c r="V1" s="1165" t="s">
        <v>379</v>
      </c>
      <c r="W1" s="1165" t="s">
        <v>353</v>
      </c>
      <c r="X1" s="1165" t="s">
        <v>342</v>
      </c>
      <c r="Y1" s="1166" t="s">
        <v>343</v>
      </c>
      <c r="Z1" s="1164" t="s">
        <v>542</v>
      </c>
      <c r="AA1" s="1166" t="s">
        <v>491</v>
      </c>
      <c r="AB1" s="1166" t="s">
        <v>354</v>
      </c>
    </row>
    <row r="2" spans="1:28" outlineLevel="2">
      <c r="A2" s="1167" t="s">
        <v>549</v>
      </c>
      <c r="B2" s="1167" t="s">
        <v>563</v>
      </c>
      <c r="C2" s="1167" t="s">
        <v>2274</v>
      </c>
      <c r="D2" s="1167" t="s">
        <v>548</v>
      </c>
      <c r="E2" s="1167" t="s">
        <v>1256</v>
      </c>
      <c r="F2" s="1167" t="s">
        <v>1893</v>
      </c>
      <c r="G2" s="1167" t="s">
        <v>2275</v>
      </c>
      <c r="H2" s="1167">
        <v>300</v>
      </c>
      <c r="I2" s="1168">
        <v>817.7</v>
      </c>
      <c r="J2" s="1168">
        <v>517.92999999999995</v>
      </c>
      <c r="K2" s="1168">
        <v>434.06333000000001</v>
      </c>
      <c r="L2" s="1169">
        <f t="shared" ref="L2:L74" si="0">I2-K2</f>
        <v>383.63667000000004</v>
      </c>
      <c r="M2" s="1168">
        <v>55.8</v>
      </c>
      <c r="N2" s="1168">
        <v>28.07</v>
      </c>
      <c r="O2" s="1169">
        <f t="shared" ref="O2:O74" si="1">M2+N2</f>
        <v>83.87</v>
      </c>
      <c r="P2" s="1169">
        <f t="shared" ref="P2:P74" si="2">L2-O2</f>
        <v>299.76667000000003</v>
      </c>
      <c r="Q2" s="1168">
        <v>9.7799999999999994</v>
      </c>
      <c r="R2" s="1168">
        <v>807.92</v>
      </c>
      <c r="S2" s="1170">
        <v>245309</v>
      </c>
      <c r="T2" s="1170">
        <v>155380</v>
      </c>
      <c r="U2" s="1171">
        <f t="shared" ref="U2:U74" si="3">H2*K2</f>
        <v>130218.999</v>
      </c>
      <c r="V2" s="1171">
        <f t="shared" ref="V2:V74" si="4">H2*M2</f>
        <v>16740</v>
      </c>
      <c r="W2" s="1171">
        <f t="shared" ref="W2:W74" si="5">H2*N2</f>
        <v>8421</v>
      </c>
      <c r="X2" s="1171">
        <f t="shared" ref="X2:X74" si="6">S2-T2</f>
        <v>89929</v>
      </c>
      <c r="Y2" s="1169">
        <f t="shared" ref="Y2:Y76" si="7">X2/S2*100</f>
        <v>36.659478453705326</v>
      </c>
      <c r="Z2" s="1170">
        <v>2933.75</v>
      </c>
      <c r="AA2" s="1171">
        <f t="shared" ref="AA2:AA74" si="8">S2-U2</f>
        <v>115090.001</v>
      </c>
      <c r="AB2" s="1169">
        <f t="shared" ref="AB2:AB76" si="9">AA2/S2*100</f>
        <v>46.91633857705996</v>
      </c>
    </row>
    <row r="3" spans="1:28" outlineLevel="2">
      <c r="A3" s="1167" t="s">
        <v>549</v>
      </c>
      <c r="B3" s="1167" t="s">
        <v>563</v>
      </c>
      <c r="C3" s="1167" t="s">
        <v>2274</v>
      </c>
      <c r="D3" s="1167" t="s">
        <v>548</v>
      </c>
      <c r="E3" s="1167" t="s">
        <v>940</v>
      </c>
      <c r="F3" s="1167" t="s">
        <v>941</v>
      </c>
      <c r="G3" s="1167" t="s">
        <v>2276</v>
      </c>
      <c r="H3" s="1167">
        <v>150</v>
      </c>
      <c r="I3" s="1168">
        <v>84.57</v>
      </c>
      <c r="J3" s="1168">
        <v>59.2</v>
      </c>
      <c r="K3" s="1168">
        <v>59.2</v>
      </c>
      <c r="L3" s="1169">
        <f t="shared" si="0"/>
        <v>25.36999999999999</v>
      </c>
      <c r="M3" s="1168">
        <v>0</v>
      </c>
      <c r="N3" s="1168">
        <v>0</v>
      </c>
      <c r="O3" s="1169">
        <f t="shared" si="1"/>
        <v>0</v>
      </c>
      <c r="P3" s="1169">
        <f t="shared" si="2"/>
        <v>25.36999999999999</v>
      </c>
      <c r="Q3" s="1168">
        <v>3.58</v>
      </c>
      <c r="R3" s="1168">
        <v>80.989999999999995</v>
      </c>
      <c r="S3" s="1170">
        <v>12685</v>
      </c>
      <c r="T3" s="1170">
        <v>8880</v>
      </c>
      <c r="U3" s="1171">
        <f t="shared" si="3"/>
        <v>8880</v>
      </c>
      <c r="V3" s="1171">
        <f t="shared" si="4"/>
        <v>0</v>
      </c>
      <c r="W3" s="1171">
        <f t="shared" si="5"/>
        <v>0</v>
      </c>
      <c r="X3" s="1171">
        <f t="shared" si="6"/>
        <v>3805</v>
      </c>
      <c r="Y3" s="1169">
        <f t="shared" si="7"/>
        <v>29.996058336618052</v>
      </c>
      <c r="Z3" s="1170">
        <v>536.27</v>
      </c>
      <c r="AA3" s="1171">
        <f t="shared" si="8"/>
        <v>3805</v>
      </c>
      <c r="AB3" s="1169">
        <f t="shared" si="9"/>
        <v>29.996058336618052</v>
      </c>
    </row>
    <row r="4" spans="1:28" outlineLevel="2">
      <c r="A4" s="1167" t="s">
        <v>549</v>
      </c>
      <c r="B4" s="1167" t="s">
        <v>563</v>
      </c>
      <c r="C4" s="1167" t="s">
        <v>2274</v>
      </c>
      <c r="D4" s="1167" t="s">
        <v>548</v>
      </c>
      <c r="E4" s="1167" t="s">
        <v>558</v>
      </c>
      <c r="F4" s="1167" t="s">
        <v>2277</v>
      </c>
      <c r="G4" s="1167" t="s">
        <v>2278</v>
      </c>
      <c r="H4" s="1172">
        <v>1320</v>
      </c>
      <c r="I4" s="1168">
        <v>6395.25</v>
      </c>
      <c r="J4" s="1168">
        <v>5248.43</v>
      </c>
      <c r="K4" s="1168">
        <v>5113.3819815784082</v>
      </c>
      <c r="L4" s="1169">
        <f t="shared" si="0"/>
        <v>1281.8680184215918</v>
      </c>
      <c r="M4" s="1168">
        <v>79</v>
      </c>
      <c r="N4" s="1168">
        <v>56.045290000000001</v>
      </c>
      <c r="O4" s="1169">
        <f t="shared" si="1"/>
        <v>135.04528999999999</v>
      </c>
      <c r="P4" s="1169">
        <f t="shared" si="2"/>
        <v>1146.8227284215918</v>
      </c>
      <c r="Q4" s="1168">
        <v>3375.38</v>
      </c>
      <c r="R4" s="1168">
        <v>3019.87</v>
      </c>
      <c r="S4" s="1170">
        <v>8441734</v>
      </c>
      <c r="T4" s="1170">
        <v>6927924</v>
      </c>
      <c r="U4" s="1171">
        <f t="shared" si="3"/>
        <v>6749664.2156834984</v>
      </c>
      <c r="V4" s="1171">
        <f t="shared" si="4"/>
        <v>104280</v>
      </c>
      <c r="W4" s="1171">
        <f t="shared" si="5"/>
        <v>73979.782800000001</v>
      </c>
      <c r="X4" s="1171">
        <f t="shared" si="6"/>
        <v>1513810</v>
      </c>
      <c r="Y4" s="1169">
        <f t="shared" si="7"/>
        <v>17.932453213996084</v>
      </c>
      <c r="Z4" s="1170">
        <v>4455504.74</v>
      </c>
      <c r="AA4" s="1171">
        <f t="shared" si="8"/>
        <v>1692069.7843165016</v>
      </c>
      <c r="AB4" s="1169">
        <f t="shared" si="9"/>
        <v>20.044102127791536</v>
      </c>
    </row>
    <row r="5" spans="1:28" outlineLevel="2">
      <c r="A5" s="1167" t="s">
        <v>549</v>
      </c>
      <c r="B5" s="1167" t="s">
        <v>563</v>
      </c>
      <c r="C5" s="1167" t="s">
        <v>2274</v>
      </c>
      <c r="D5" s="1167" t="s">
        <v>548</v>
      </c>
      <c r="E5" s="1167" t="s">
        <v>1787</v>
      </c>
      <c r="F5" s="1167" t="s">
        <v>1267</v>
      </c>
      <c r="G5" s="1167" t="s">
        <v>2279</v>
      </c>
      <c r="H5" s="1167">
        <v>700</v>
      </c>
      <c r="I5" s="1168">
        <v>10524.27</v>
      </c>
      <c r="J5" s="1168">
        <v>8396.84</v>
      </c>
      <c r="K5" s="1168">
        <v>8262.0042857142853</v>
      </c>
      <c r="L5" s="1169">
        <f t="shared" si="0"/>
        <v>2262.2657142857151</v>
      </c>
      <c r="M5" s="1168">
        <v>79</v>
      </c>
      <c r="N5" s="1168">
        <v>55.838571428571427</v>
      </c>
      <c r="O5" s="1169">
        <f t="shared" si="1"/>
        <v>134.83857142857141</v>
      </c>
      <c r="P5" s="1169">
        <f t="shared" si="2"/>
        <v>2127.4271428571437</v>
      </c>
      <c r="Q5" s="1168">
        <v>6545.31</v>
      </c>
      <c r="R5" s="1168">
        <v>3978.95</v>
      </c>
      <c r="S5" s="1170">
        <v>7366987</v>
      </c>
      <c r="T5" s="1170">
        <v>5877790</v>
      </c>
      <c r="U5" s="1171">
        <f t="shared" si="3"/>
        <v>5783403</v>
      </c>
      <c r="V5" s="1171">
        <f t="shared" si="4"/>
        <v>55300</v>
      </c>
      <c r="W5" s="1171">
        <f t="shared" si="5"/>
        <v>39087</v>
      </c>
      <c r="X5" s="1171">
        <f t="shared" si="6"/>
        <v>1489197</v>
      </c>
      <c r="Y5" s="1169">
        <f t="shared" si="7"/>
        <v>20.214464882318918</v>
      </c>
      <c r="Z5" s="1170">
        <v>4581718.5599999996</v>
      </c>
      <c r="AA5" s="1171">
        <f t="shared" si="8"/>
        <v>1583584</v>
      </c>
      <c r="AB5" s="1169">
        <f t="shared" si="9"/>
        <v>21.495680662935879</v>
      </c>
    </row>
    <row r="6" spans="1:28" outlineLevel="2">
      <c r="A6" s="1167" t="s">
        <v>549</v>
      </c>
      <c r="B6" s="1167" t="s">
        <v>563</v>
      </c>
      <c r="C6" s="1167" t="s">
        <v>2274</v>
      </c>
      <c r="D6" s="1167" t="s">
        <v>548</v>
      </c>
      <c r="E6" s="1167" t="s">
        <v>558</v>
      </c>
      <c r="F6" s="1167" t="s">
        <v>2186</v>
      </c>
      <c r="G6" s="1167" t="s">
        <v>2187</v>
      </c>
      <c r="H6" s="1167">
        <v>630</v>
      </c>
      <c r="I6" s="1168">
        <v>6409.82</v>
      </c>
      <c r="J6" s="1168">
        <v>5298.96</v>
      </c>
      <c r="K6" s="1168">
        <v>5154.4287299999996</v>
      </c>
      <c r="L6" s="1169">
        <f t="shared" si="0"/>
        <v>1255.3912700000001</v>
      </c>
      <c r="M6" s="1168">
        <v>79</v>
      </c>
      <c r="N6" s="1168">
        <v>65.53</v>
      </c>
      <c r="O6" s="1169">
        <f t="shared" si="1"/>
        <v>144.53</v>
      </c>
      <c r="P6" s="1169">
        <f t="shared" si="2"/>
        <v>1110.8612700000001</v>
      </c>
      <c r="Q6" s="1168">
        <v>3425.25</v>
      </c>
      <c r="R6" s="1168">
        <v>2984.57</v>
      </c>
      <c r="S6" s="1170">
        <v>4038186</v>
      </c>
      <c r="T6" s="1170">
        <v>3338344</v>
      </c>
      <c r="U6" s="1171">
        <f t="shared" si="3"/>
        <v>3247290.0998999998</v>
      </c>
      <c r="V6" s="1171">
        <f t="shared" si="4"/>
        <v>49770</v>
      </c>
      <c r="W6" s="1171">
        <f t="shared" si="5"/>
        <v>41283.9</v>
      </c>
      <c r="X6" s="1171">
        <f t="shared" si="6"/>
        <v>699842</v>
      </c>
      <c r="Y6" s="1169">
        <f t="shared" si="7"/>
        <v>17.330603394692567</v>
      </c>
      <c r="Z6" s="1170">
        <v>2157904.9500000002</v>
      </c>
      <c r="AA6" s="1171">
        <f t="shared" si="8"/>
        <v>790895.9001000002</v>
      </c>
      <c r="AB6" s="1169">
        <f t="shared" si="9"/>
        <v>19.585425240442124</v>
      </c>
    </row>
    <row r="7" spans="1:28" outlineLevel="2">
      <c r="A7" s="1167" t="s">
        <v>549</v>
      </c>
      <c r="B7" s="1167" t="s">
        <v>563</v>
      </c>
      <c r="C7" s="1167" t="s">
        <v>2274</v>
      </c>
      <c r="D7" s="1167" t="s">
        <v>548</v>
      </c>
      <c r="E7" s="1167" t="s">
        <v>1787</v>
      </c>
      <c r="F7" s="1167" t="s">
        <v>2280</v>
      </c>
      <c r="G7" s="1167" t="s">
        <v>2054</v>
      </c>
      <c r="H7" s="1167">
        <v>380</v>
      </c>
      <c r="I7" s="1168">
        <v>10524.07</v>
      </c>
      <c r="J7" s="1168">
        <v>8444.34</v>
      </c>
      <c r="K7" s="1168">
        <v>8299.8052631578939</v>
      </c>
      <c r="L7" s="1169">
        <f t="shared" si="0"/>
        <v>2224.2647368421058</v>
      </c>
      <c r="M7" s="1168">
        <v>79</v>
      </c>
      <c r="N7" s="1168">
        <v>65.534210526315789</v>
      </c>
      <c r="O7" s="1169">
        <f t="shared" si="1"/>
        <v>144.5342105263158</v>
      </c>
      <c r="P7" s="1169">
        <f t="shared" si="2"/>
        <v>2079.73052631579</v>
      </c>
      <c r="Q7" s="1168">
        <v>6595.17</v>
      </c>
      <c r="R7" s="1168">
        <v>3928.9</v>
      </c>
      <c r="S7" s="1170">
        <v>3999147</v>
      </c>
      <c r="T7" s="1170">
        <v>3208849</v>
      </c>
      <c r="U7" s="1171">
        <f t="shared" si="3"/>
        <v>3153925.9999999995</v>
      </c>
      <c r="V7" s="1171">
        <f t="shared" si="4"/>
        <v>30020</v>
      </c>
      <c r="W7" s="1171">
        <f t="shared" si="5"/>
        <v>24903</v>
      </c>
      <c r="X7" s="1171">
        <f t="shared" si="6"/>
        <v>790298</v>
      </c>
      <c r="Y7" s="1169">
        <f t="shared" si="7"/>
        <v>19.761664174885293</v>
      </c>
      <c r="Z7" s="1170">
        <v>2506166.4</v>
      </c>
      <c r="AA7" s="1171">
        <f t="shared" si="8"/>
        <v>845221.00000000047</v>
      </c>
      <c r="AB7" s="1169">
        <f t="shared" si="9"/>
        <v>21.135032045583731</v>
      </c>
    </row>
    <row r="8" spans="1:28" outlineLevel="2">
      <c r="A8" s="1167" t="s">
        <v>549</v>
      </c>
      <c r="B8" s="1167" t="s">
        <v>563</v>
      </c>
      <c r="C8" s="1167" t="s">
        <v>2274</v>
      </c>
      <c r="D8" s="1167" t="s">
        <v>548</v>
      </c>
      <c r="E8" s="1167" t="s">
        <v>1787</v>
      </c>
      <c r="F8" s="1167" t="s">
        <v>2036</v>
      </c>
      <c r="G8" s="1167" t="s">
        <v>2049</v>
      </c>
      <c r="H8" s="1167">
        <v>150</v>
      </c>
      <c r="I8" s="1168">
        <v>11098.72</v>
      </c>
      <c r="J8" s="1168">
        <v>9267.61</v>
      </c>
      <c r="K8" s="1168">
        <v>9139.0766999999996</v>
      </c>
      <c r="L8" s="1169">
        <f t="shared" si="0"/>
        <v>1959.6432999999997</v>
      </c>
      <c r="M8" s="1168">
        <v>79</v>
      </c>
      <c r="N8" s="1168">
        <v>49.53</v>
      </c>
      <c r="O8" s="1169">
        <f t="shared" si="1"/>
        <v>128.53</v>
      </c>
      <c r="P8" s="1169">
        <f t="shared" si="2"/>
        <v>1831.1132999999998</v>
      </c>
      <c r="Q8" s="1168">
        <v>7299.07</v>
      </c>
      <c r="R8" s="1168">
        <v>3799.65</v>
      </c>
      <c r="S8" s="1170">
        <v>1664808</v>
      </c>
      <c r="T8" s="1170">
        <v>1390141</v>
      </c>
      <c r="U8" s="1171">
        <f t="shared" si="3"/>
        <v>1370861.5049999999</v>
      </c>
      <c r="V8" s="1171">
        <f t="shared" si="4"/>
        <v>11850</v>
      </c>
      <c r="W8" s="1171">
        <f t="shared" si="5"/>
        <v>7429.5</v>
      </c>
      <c r="X8" s="1171">
        <f t="shared" si="6"/>
        <v>274667</v>
      </c>
      <c r="Y8" s="1169">
        <f t="shared" si="7"/>
        <v>16.498419036909961</v>
      </c>
      <c r="Z8" s="1170">
        <v>1094859.93</v>
      </c>
      <c r="AA8" s="1171">
        <f t="shared" si="8"/>
        <v>293946.49500000011</v>
      </c>
      <c r="AB8" s="1169">
        <f t="shared" si="9"/>
        <v>17.656480206726549</v>
      </c>
    </row>
    <row r="9" spans="1:28" outlineLevel="2">
      <c r="A9" s="1167" t="s">
        <v>549</v>
      </c>
      <c r="B9" s="1167" t="s">
        <v>563</v>
      </c>
      <c r="C9" s="1167" t="s">
        <v>2274</v>
      </c>
      <c r="D9" s="1167" t="s">
        <v>548</v>
      </c>
      <c r="E9" s="1167" t="s">
        <v>2152</v>
      </c>
      <c r="F9" s="1167" t="s">
        <v>2163</v>
      </c>
      <c r="G9" s="1167" t="s">
        <v>2281</v>
      </c>
      <c r="H9" s="1167">
        <v>200</v>
      </c>
      <c r="I9" s="1168">
        <v>689.36</v>
      </c>
      <c r="J9" s="1168">
        <v>694.02</v>
      </c>
      <c r="K9" s="1168">
        <v>611.745</v>
      </c>
      <c r="L9" s="1169">
        <f t="shared" si="0"/>
        <v>77.615000000000009</v>
      </c>
      <c r="M9" s="1168">
        <v>49.5</v>
      </c>
      <c r="N9" s="1168">
        <v>32.770000000000003</v>
      </c>
      <c r="O9" s="1169">
        <f t="shared" si="1"/>
        <v>82.27000000000001</v>
      </c>
      <c r="P9" s="1169">
        <f t="shared" si="2"/>
        <v>-4.6550000000000011</v>
      </c>
      <c r="Q9" s="1168">
        <v>548.55999999999995</v>
      </c>
      <c r="R9" s="1168">
        <v>140.80000000000001</v>
      </c>
      <c r="S9" s="1170">
        <v>137872</v>
      </c>
      <c r="T9" s="1170">
        <v>138803</v>
      </c>
      <c r="U9" s="1171">
        <f t="shared" si="3"/>
        <v>122349</v>
      </c>
      <c r="V9" s="1171">
        <f t="shared" si="4"/>
        <v>9900</v>
      </c>
      <c r="W9" s="1171">
        <f t="shared" si="5"/>
        <v>6554.0000000000009</v>
      </c>
      <c r="X9" s="1171">
        <f t="shared" si="6"/>
        <v>-931</v>
      </c>
      <c r="Y9" s="1169">
        <f t="shared" si="7"/>
        <v>-0.675264012997563</v>
      </c>
      <c r="Z9" s="1170">
        <v>109712.02</v>
      </c>
      <c r="AA9" s="1171">
        <f t="shared" si="8"/>
        <v>15523</v>
      </c>
      <c r="AB9" s="1169">
        <f t="shared" si="9"/>
        <v>11.258993849367529</v>
      </c>
    </row>
    <row r="10" spans="1:28" outlineLevel="2">
      <c r="A10" s="1167" t="s">
        <v>549</v>
      </c>
      <c r="B10" s="1167" t="s">
        <v>563</v>
      </c>
      <c r="C10" s="1167" t="s">
        <v>2274</v>
      </c>
      <c r="D10" s="1167" t="s">
        <v>548</v>
      </c>
      <c r="E10" s="1167" t="s">
        <v>2151</v>
      </c>
      <c r="F10" s="1167" t="s">
        <v>2171</v>
      </c>
      <c r="G10" s="1167" t="s">
        <v>2282</v>
      </c>
      <c r="H10" s="1167">
        <v>150</v>
      </c>
      <c r="I10" s="1168">
        <v>127.17</v>
      </c>
      <c r="J10" s="1168">
        <v>710.63</v>
      </c>
      <c r="K10" s="1168">
        <v>636.35664999999995</v>
      </c>
      <c r="L10" s="1169">
        <f t="shared" si="0"/>
        <v>-509.18664999999993</v>
      </c>
      <c r="M10" s="1168">
        <v>49.5</v>
      </c>
      <c r="N10" s="1168">
        <v>24.77</v>
      </c>
      <c r="O10" s="1169">
        <f t="shared" si="1"/>
        <v>74.27</v>
      </c>
      <c r="P10" s="1169">
        <f t="shared" si="2"/>
        <v>-583.45664999999997</v>
      </c>
      <c r="Q10" s="1168">
        <v>635.86</v>
      </c>
      <c r="R10" s="1168">
        <v>-508.7</v>
      </c>
      <c r="S10" s="1170">
        <v>19075</v>
      </c>
      <c r="T10" s="1170">
        <v>106594</v>
      </c>
      <c r="U10" s="1171">
        <f t="shared" si="3"/>
        <v>95453.497499999998</v>
      </c>
      <c r="V10" s="1171">
        <f t="shared" si="4"/>
        <v>7425</v>
      </c>
      <c r="W10" s="1171">
        <f t="shared" si="5"/>
        <v>3715.5</v>
      </c>
      <c r="X10" s="1171">
        <f t="shared" si="6"/>
        <v>-87519</v>
      </c>
      <c r="Y10" s="1169">
        <f t="shared" si="7"/>
        <v>-458.81520314547839</v>
      </c>
      <c r="Z10" s="1170">
        <v>95379.46</v>
      </c>
      <c r="AA10" s="1171">
        <f t="shared" si="8"/>
        <v>-76378.497499999998</v>
      </c>
      <c r="AB10" s="1169">
        <f t="shared" si="9"/>
        <v>-400.41152031454777</v>
      </c>
    </row>
    <row r="11" spans="1:28" outlineLevel="2">
      <c r="A11" s="1167" t="s">
        <v>549</v>
      </c>
      <c r="B11" s="1167" t="s">
        <v>563</v>
      </c>
      <c r="C11" s="1167" t="s">
        <v>2274</v>
      </c>
      <c r="D11" s="1167" t="s">
        <v>548</v>
      </c>
      <c r="E11" s="1167" t="s">
        <v>2150</v>
      </c>
      <c r="F11" s="1167" t="s">
        <v>2178</v>
      </c>
      <c r="G11" s="1167" t="s">
        <v>2283</v>
      </c>
      <c r="H11" s="1167">
        <v>250</v>
      </c>
      <c r="I11" s="1168">
        <v>112.4</v>
      </c>
      <c r="J11" s="1168">
        <v>655.66</v>
      </c>
      <c r="K11" s="1168">
        <v>581.39599999999996</v>
      </c>
      <c r="L11" s="1169">
        <f t="shared" si="0"/>
        <v>-468.99599999999998</v>
      </c>
      <c r="M11" s="1168">
        <v>49.5</v>
      </c>
      <c r="N11" s="1168">
        <v>24.76</v>
      </c>
      <c r="O11" s="1169">
        <f t="shared" si="1"/>
        <v>74.260000000000005</v>
      </c>
      <c r="P11" s="1169">
        <f t="shared" si="2"/>
        <v>-543.25599999999997</v>
      </c>
      <c r="Q11" s="1168">
        <v>581.1</v>
      </c>
      <c r="R11" s="1168">
        <v>-468.7</v>
      </c>
      <c r="S11" s="1170">
        <v>28100</v>
      </c>
      <c r="T11" s="1170">
        <v>163914</v>
      </c>
      <c r="U11" s="1171">
        <f t="shared" si="3"/>
        <v>145349</v>
      </c>
      <c r="V11" s="1171">
        <f t="shared" si="4"/>
        <v>12375</v>
      </c>
      <c r="W11" s="1171">
        <f t="shared" si="5"/>
        <v>6190</v>
      </c>
      <c r="X11" s="1171">
        <f t="shared" si="6"/>
        <v>-135814</v>
      </c>
      <c r="Y11" s="1169">
        <f t="shared" si="7"/>
        <v>-483.3238434163701</v>
      </c>
      <c r="Z11" s="1170">
        <v>145276.06</v>
      </c>
      <c r="AA11" s="1171">
        <f t="shared" si="8"/>
        <v>-117249</v>
      </c>
      <c r="AB11" s="1169">
        <f t="shared" si="9"/>
        <v>-417.25622775800713</v>
      </c>
    </row>
    <row r="12" spans="1:28" outlineLevel="2">
      <c r="A12" s="1167" t="s">
        <v>549</v>
      </c>
      <c r="B12" s="1167" t="s">
        <v>563</v>
      </c>
      <c r="C12" s="1167" t="s">
        <v>2274</v>
      </c>
      <c r="D12" s="1167" t="s">
        <v>548</v>
      </c>
      <c r="E12" s="1167" t="s">
        <v>581</v>
      </c>
      <c r="F12" s="1167" t="s">
        <v>2190</v>
      </c>
      <c r="G12" s="1167" t="s">
        <v>2284</v>
      </c>
      <c r="H12" s="1167">
        <v>200</v>
      </c>
      <c r="I12" s="1168">
        <v>1120.55</v>
      </c>
      <c r="J12" s="1168">
        <v>701.16</v>
      </c>
      <c r="K12" s="1168">
        <v>602.13499999999999</v>
      </c>
      <c r="L12" s="1169">
        <f t="shared" si="0"/>
        <v>518.41499999999996</v>
      </c>
      <c r="M12" s="1168">
        <v>66</v>
      </c>
      <c r="N12" s="1168">
        <v>33.020000000000003</v>
      </c>
      <c r="O12" s="1169">
        <f t="shared" si="1"/>
        <v>99.02000000000001</v>
      </c>
      <c r="P12" s="1169">
        <f t="shared" si="2"/>
        <v>419.39499999999998</v>
      </c>
      <c r="Q12" s="1168">
        <v>602.13</v>
      </c>
      <c r="R12" s="1168">
        <v>518.41</v>
      </c>
      <c r="S12" s="1170">
        <v>224109</v>
      </c>
      <c r="T12" s="1170">
        <v>140231</v>
      </c>
      <c r="U12" s="1171">
        <f t="shared" si="3"/>
        <v>120427</v>
      </c>
      <c r="V12" s="1171">
        <f t="shared" si="4"/>
        <v>13200</v>
      </c>
      <c r="W12" s="1171">
        <f t="shared" si="5"/>
        <v>6604.0000000000009</v>
      </c>
      <c r="X12" s="1171">
        <f t="shared" si="6"/>
        <v>83878</v>
      </c>
      <c r="Y12" s="1169">
        <f t="shared" si="7"/>
        <v>37.427323311424352</v>
      </c>
      <c r="Z12" s="1170">
        <v>120426.35</v>
      </c>
      <c r="AA12" s="1171">
        <f t="shared" si="8"/>
        <v>103682</v>
      </c>
      <c r="AB12" s="1169">
        <f t="shared" si="9"/>
        <v>46.264094703916399</v>
      </c>
    </row>
    <row r="13" spans="1:28" outlineLevel="2">
      <c r="A13" s="1167" t="s">
        <v>549</v>
      </c>
      <c r="B13" s="1167" t="s">
        <v>563</v>
      </c>
      <c r="C13" s="1167" t="s">
        <v>2274</v>
      </c>
      <c r="D13" s="1167" t="s">
        <v>548</v>
      </c>
      <c r="E13" s="1167" t="s">
        <v>1265</v>
      </c>
      <c r="F13" s="1167" t="s">
        <v>2285</v>
      </c>
      <c r="G13" s="1167" t="s">
        <v>2286</v>
      </c>
      <c r="H13" s="1167">
        <v>150</v>
      </c>
      <c r="I13" s="1168">
        <v>1236.8900000000001</v>
      </c>
      <c r="J13" s="1168">
        <v>830.63</v>
      </c>
      <c r="K13" s="1168">
        <v>734.06666666666672</v>
      </c>
      <c r="L13" s="1169">
        <f t="shared" si="0"/>
        <v>502.82333333333338</v>
      </c>
      <c r="M13" s="1168">
        <v>62</v>
      </c>
      <c r="N13" s="1168">
        <v>34.56</v>
      </c>
      <c r="O13" s="1169">
        <f t="shared" si="1"/>
        <v>96.56</v>
      </c>
      <c r="P13" s="1169">
        <f t="shared" si="2"/>
        <v>406.26333333333338</v>
      </c>
      <c r="Q13" s="1168">
        <v>733.85</v>
      </c>
      <c r="R13" s="1168">
        <v>503.05</v>
      </c>
      <c r="S13" s="1170">
        <v>185534</v>
      </c>
      <c r="T13" s="1170">
        <v>124594</v>
      </c>
      <c r="U13" s="1171">
        <f t="shared" si="3"/>
        <v>110110.00000000001</v>
      </c>
      <c r="V13" s="1171">
        <f t="shared" si="4"/>
        <v>9300</v>
      </c>
      <c r="W13" s="1171">
        <f t="shared" si="5"/>
        <v>5184</v>
      </c>
      <c r="X13" s="1171">
        <f t="shared" si="6"/>
        <v>60940</v>
      </c>
      <c r="Y13" s="1169">
        <f t="shared" si="7"/>
        <v>32.845731779619911</v>
      </c>
      <c r="Z13" s="1170">
        <v>110076.96</v>
      </c>
      <c r="AA13" s="1171">
        <f t="shared" si="8"/>
        <v>75423.999999999985</v>
      </c>
      <c r="AB13" s="1169">
        <f t="shared" si="9"/>
        <v>40.652387163538748</v>
      </c>
    </row>
    <row r="14" spans="1:28" outlineLevel="2">
      <c r="A14" s="1167" t="s">
        <v>549</v>
      </c>
      <c r="B14" s="1167" t="s">
        <v>563</v>
      </c>
      <c r="C14" s="1167" t="s">
        <v>2274</v>
      </c>
      <c r="D14" s="1167" t="s">
        <v>548</v>
      </c>
      <c r="E14" s="1167" t="s">
        <v>557</v>
      </c>
      <c r="F14" s="1167" t="s">
        <v>2017</v>
      </c>
      <c r="G14" s="1167" t="s">
        <v>2287</v>
      </c>
      <c r="H14" s="1167">
        <v>100</v>
      </c>
      <c r="I14" s="1168">
        <v>1294.06</v>
      </c>
      <c r="J14" s="1168">
        <v>1047.8499999999999</v>
      </c>
      <c r="K14" s="1168">
        <v>951.75379999999996</v>
      </c>
      <c r="L14" s="1169">
        <f t="shared" si="0"/>
        <v>342.30619999999999</v>
      </c>
      <c r="M14" s="1168">
        <v>62</v>
      </c>
      <c r="N14" s="1168">
        <v>34.096213592233006</v>
      </c>
      <c r="O14" s="1169">
        <f t="shared" si="1"/>
        <v>96.096213592232999</v>
      </c>
      <c r="P14" s="1169">
        <f t="shared" si="2"/>
        <v>246.20998640776699</v>
      </c>
      <c r="Q14" s="1168">
        <v>0</v>
      </c>
      <c r="R14" s="1168">
        <v>1294.06</v>
      </c>
      <c r="S14" s="1170">
        <v>129406</v>
      </c>
      <c r="T14" s="1170">
        <v>104785</v>
      </c>
      <c r="U14" s="1171">
        <f t="shared" si="3"/>
        <v>95175.37999999999</v>
      </c>
      <c r="V14" s="1171">
        <f t="shared" si="4"/>
        <v>6200</v>
      </c>
      <c r="W14" s="1171">
        <f t="shared" si="5"/>
        <v>3409.6213592233007</v>
      </c>
      <c r="X14" s="1171">
        <f t="shared" si="6"/>
        <v>24621</v>
      </c>
      <c r="Y14" s="1169">
        <f t="shared" si="7"/>
        <v>19.026165711018038</v>
      </c>
      <c r="Z14" s="1170">
        <v>0</v>
      </c>
      <c r="AA14" s="1171">
        <f t="shared" si="8"/>
        <v>34230.62000000001</v>
      </c>
      <c r="AB14" s="1169">
        <f t="shared" si="9"/>
        <v>26.452111957714486</v>
      </c>
    </row>
    <row r="15" spans="1:28" outlineLevel="2">
      <c r="A15" s="1167" t="s">
        <v>549</v>
      </c>
      <c r="B15" s="1167" t="s">
        <v>563</v>
      </c>
      <c r="C15" s="1167" t="s">
        <v>2274</v>
      </c>
      <c r="D15" s="1167" t="s">
        <v>548</v>
      </c>
      <c r="E15" s="1167" t="s">
        <v>557</v>
      </c>
      <c r="F15" s="1167" t="s">
        <v>2194</v>
      </c>
      <c r="G15" s="1167" t="s">
        <v>2195</v>
      </c>
      <c r="H15" s="1167">
        <v>50</v>
      </c>
      <c r="I15" s="1168">
        <v>1294.06</v>
      </c>
      <c r="J15" s="1168">
        <v>1049.8800000000001</v>
      </c>
      <c r="K15" s="1168">
        <v>954.00149999999996</v>
      </c>
      <c r="L15" s="1169">
        <f t="shared" si="0"/>
        <v>340.05849999999998</v>
      </c>
      <c r="M15" s="1168">
        <v>62</v>
      </c>
      <c r="N15" s="1168">
        <v>33.878491213466518</v>
      </c>
      <c r="O15" s="1169">
        <f t="shared" si="1"/>
        <v>95.878491213466518</v>
      </c>
      <c r="P15" s="1169">
        <f t="shared" si="2"/>
        <v>244.18000878653345</v>
      </c>
      <c r="Q15" s="1168">
        <v>0</v>
      </c>
      <c r="R15" s="1168">
        <v>1294.06</v>
      </c>
      <c r="S15" s="1170">
        <v>64703</v>
      </c>
      <c r="T15" s="1170">
        <v>52494</v>
      </c>
      <c r="U15" s="1171">
        <f t="shared" si="3"/>
        <v>47700.074999999997</v>
      </c>
      <c r="V15" s="1171">
        <f t="shared" si="4"/>
        <v>3100</v>
      </c>
      <c r="W15" s="1171">
        <f t="shared" si="5"/>
        <v>1693.9245606733259</v>
      </c>
      <c r="X15" s="1171">
        <f t="shared" si="6"/>
        <v>12209</v>
      </c>
      <c r="Y15" s="1169">
        <f t="shared" si="7"/>
        <v>18.869295086781136</v>
      </c>
      <c r="Z15" s="1170">
        <v>0</v>
      </c>
      <c r="AA15" s="1171">
        <f t="shared" si="8"/>
        <v>17002.925000000003</v>
      </c>
      <c r="AB15" s="1169">
        <f t="shared" si="9"/>
        <v>26.278418311361147</v>
      </c>
    </row>
    <row r="16" spans="1:28" outlineLevel="2">
      <c r="A16" s="1167" t="s">
        <v>549</v>
      </c>
      <c r="B16" s="1167" t="s">
        <v>563</v>
      </c>
      <c r="C16" s="1167" t="s">
        <v>2274</v>
      </c>
      <c r="D16" s="1167" t="s">
        <v>548</v>
      </c>
      <c r="E16" s="1167" t="s">
        <v>557</v>
      </c>
      <c r="F16" s="1167" t="s">
        <v>2196</v>
      </c>
      <c r="G16" s="1167" t="s">
        <v>2197</v>
      </c>
      <c r="H16" s="1167">
        <v>800</v>
      </c>
      <c r="I16" s="1168">
        <v>1296.2</v>
      </c>
      <c r="J16" s="1168">
        <v>1048.1300000000001</v>
      </c>
      <c r="K16" s="1168">
        <v>951.84487000000001</v>
      </c>
      <c r="L16" s="1169">
        <f t="shared" si="0"/>
        <v>344.35513000000003</v>
      </c>
      <c r="M16" s="1168">
        <v>62</v>
      </c>
      <c r="N16" s="1168">
        <v>34.287631819783073</v>
      </c>
      <c r="O16" s="1169">
        <f t="shared" si="1"/>
        <v>96.287631819783073</v>
      </c>
      <c r="P16" s="1169">
        <f t="shared" si="2"/>
        <v>248.06749818021694</v>
      </c>
      <c r="Q16" s="1168">
        <v>0</v>
      </c>
      <c r="R16" s="1168">
        <v>1296.2</v>
      </c>
      <c r="S16" s="1170">
        <v>1036958</v>
      </c>
      <c r="T16" s="1170">
        <v>838506</v>
      </c>
      <c r="U16" s="1171">
        <f t="shared" si="3"/>
        <v>761475.89600000007</v>
      </c>
      <c r="V16" s="1171">
        <f t="shared" si="4"/>
        <v>49600</v>
      </c>
      <c r="W16" s="1171">
        <f t="shared" si="5"/>
        <v>27430.105455826459</v>
      </c>
      <c r="X16" s="1171">
        <f t="shared" si="6"/>
        <v>198452</v>
      </c>
      <c r="Y16" s="1169">
        <f t="shared" si="7"/>
        <v>19.137901438631072</v>
      </c>
      <c r="Z16" s="1170">
        <v>0</v>
      </c>
      <c r="AA16" s="1171">
        <f t="shared" si="8"/>
        <v>275482.10399999993</v>
      </c>
      <c r="AB16" s="1169">
        <f t="shared" si="9"/>
        <v>26.566370479807276</v>
      </c>
    </row>
    <row r="17" spans="1:28" outlineLevel="2">
      <c r="A17" s="1167" t="s">
        <v>549</v>
      </c>
      <c r="B17" s="1167" t="s">
        <v>563</v>
      </c>
      <c r="C17" s="1167" t="s">
        <v>2274</v>
      </c>
      <c r="D17" s="1167" t="s">
        <v>548</v>
      </c>
      <c r="E17" s="1167" t="s">
        <v>557</v>
      </c>
      <c r="F17" s="1167" t="s">
        <v>2198</v>
      </c>
      <c r="G17" s="1167" t="s">
        <v>2199</v>
      </c>
      <c r="H17" s="1167">
        <v>100</v>
      </c>
      <c r="I17" s="1168">
        <v>1294.06</v>
      </c>
      <c r="J17" s="1168">
        <v>1059.23</v>
      </c>
      <c r="K17" s="1168">
        <v>951.79</v>
      </c>
      <c r="L17" s="1169">
        <f t="shared" si="0"/>
        <v>342.27</v>
      </c>
      <c r="M17" s="1168">
        <v>62</v>
      </c>
      <c r="N17" s="1168">
        <v>45.44</v>
      </c>
      <c r="O17" s="1169">
        <f t="shared" si="1"/>
        <v>107.44</v>
      </c>
      <c r="P17" s="1169">
        <f t="shared" si="2"/>
        <v>234.82999999999998</v>
      </c>
      <c r="Q17" s="1168">
        <v>0</v>
      </c>
      <c r="R17" s="1168">
        <v>1294.06</v>
      </c>
      <c r="S17" s="1170">
        <v>129406</v>
      </c>
      <c r="T17" s="1170">
        <v>105923</v>
      </c>
      <c r="U17" s="1171">
        <f t="shared" si="3"/>
        <v>95179</v>
      </c>
      <c r="V17" s="1171">
        <f t="shared" si="4"/>
        <v>6200</v>
      </c>
      <c r="W17" s="1171">
        <f t="shared" si="5"/>
        <v>4544</v>
      </c>
      <c r="X17" s="1171">
        <f t="shared" si="6"/>
        <v>23483</v>
      </c>
      <c r="Y17" s="1169">
        <f t="shared" si="7"/>
        <v>18.146762901256512</v>
      </c>
      <c r="Z17" s="1170">
        <v>0</v>
      </c>
      <c r="AA17" s="1171">
        <f t="shared" si="8"/>
        <v>34227</v>
      </c>
      <c r="AB17" s="1169">
        <f t="shared" si="9"/>
        <v>26.449314560375868</v>
      </c>
    </row>
    <row r="18" spans="1:28" outlineLevel="2">
      <c r="A18" s="1167" t="s">
        <v>549</v>
      </c>
      <c r="B18" s="1167" t="s">
        <v>563</v>
      </c>
      <c r="C18" s="1167" t="s">
        <v>2274</v>
      </c>
      <c r="D18" s="1167" t="s">
        <v>548</v>
      </c>
      <c r="E18" s="1167" t="s">
        <v>557</v>
      </c>
      <c r="F18" s="1167" t="s">
        <v>2200</v>
      </c>
      <c r="G18" s="1167" t="s">
        <v>2201</v>
      </c>
      <c r="H18" s="1167">
        <v>100</v>
      </c>
      <c r="I18" s="1168">
        <v>1296.19</v>
      </c>
      <c r="J18" s="1168">
        <v>1048.2</v>
      </c>
      <c r="K18" s="1168">
        <v>951.86</v>
      </c>
      <c r="L18" s="1169">
        <f t="shared" si="0"/>
        <v>344.33000000000004</v>
      </c>
      <c r="M18" s="1168">
        <v>62</v>
      </c>
      <c r="N18" s="1168">
        <v>34.340000000000003</v>
      </c>
      <c r="O18" s="1169">
        <f t="shared" si="1"/>
        <v>96.34</v>
      </c>
      <c r="P18" s="1169">
        <f t="shared" si="2"/>
        <v>247.99000000000004</v>
      </c>
      <c r="Q18" s="1168">
        <v>0</v>
      </c>
      <c r="R18" s="1168">
        <v>1296.19</v>
      </c>
      <c r="S18" s="1170">
        <v>129619</v>
      </c>
      <c r="T18" s="1170">
        <v>104820</v>
      </c>
      <c r="U18" s="1171">
        <f t="shared" si="3"/>
        <v>95186</v>
      </c>
      <c r="V18" s="1171">
        <f t="shared" si="4"/>
        <v>6200</v>
      </c>
      <c r="W18" s="1171">
        <f t="shared" si="5"/>
        <v>3434.0000000000005</v>
      </c>
      <c r="X18" s="1171">
        <f t="shared" si="6"/>
        <v>24799</v>
      </c>
      <c r="Y18" s="1169">
        <f t="shared" si="7"/>
        <v>19.132225985387944</v>
      </c>
      <c r="Z18" s="1170">
        <v>0</v>
      </c>
      <c r="AA18" s="1171">
        <f t="shared" si="8"/>
        <v>34433</v>
      </c>
      <c r="AB18" s="1169">
        <f t="shared" si="9"/>
        <v>26.56477831182157</v>
      </c>
    </row>
    <row r="19" spans="1:28" outlineLevel="2">
      <c r="A19" s="1167" t="s">
        <v>549</v>
      </c>
      <c r="B19" s="1167" t="s">
        <v>563</v>
      </c>
      <c r="C19" s="1167" t="s">
        <v>2274</v>
      </c>
      <c r="D19" s="1167" t="s">
        <v>548</v>
      </c>
      <c r="E19" s="1167" t="s">
        <v>592</v>
      </c>
      <c r="F19" s="1167" t="s">
        <v>2192</v>
      </c>
      <c r="G19" s="1167" t="s">
        <v>2288</v>
      </c>
      <c r="H19" s="1167">
        <v>30</v>
      </c>
      <c r="I19" s="1168">
        <v>4542.7299999999996</v>
      </c>
      <c r="J19" s="1168">
        <v>2821.67</v>
      </c>
      <c r="K19" s="1168">
        <v>2756.1367</v>
      </c>
      <c r="L19" s="1169">
        <f t="shared" si="0"/>
        <v>1786.5932999999995</v>
      </c>
      <c r="M19" s="1168">
        <v>0</v>
      </c>
      <c r="N19" s="1168">
        <v>65.53</v>
      </c>
      <c r="O19" s="1169">
        <f t="shared" si="1"/>
        <v>65.53</v>
      </c>
      <c r="P19" s="1169">
        <f t="shared" si="2"/>
        <v>1721.0632999999996</v>
      </c>
      <c r="Q19" s="1168">
        <v>2755.75</v>
      </c>
      <c r="R19" s="1168">
        <v>1786.98</v>
      </c>
      <c r="S19" s="1170">
        <v>136282</v>
      </c>
      <c r="T19" s="1170">
        <v>84650</v>
      </c>
      <c r="U19" s="1171">
        <f t="shared" si="3"/>
        <v>82684.100999999995</v>
      </c>
      <c r="V19" s="1171">
        <f t="shared" si="4"/>
        <v>0</v>
      </c>
      <c r="W19" s="1171">
        <f t="shared" si="5"/>
        <v>1965.9</v>
      </c>
      <c r="X19" s="1171">
        <f t="shared" si="6"/>
        <v>51632</v>
      </c>
      <c r="Y19" s="1169">
        <f t="shared" si="7"/>
        <v>37.886147840507185</v>
      </c>
      <c r="Z19" s="1170">
        <v>82672.59</v>
      </c>
      <c r="AA19" s="1171">
        <f t="shared" si="8"/>
        <v>53597.899000000005</v>
      </c>
      <c r="AB19" s="1169">
        <f t="shared" si="9"/>
        <v>39.328670697524252</v>
      </c>
    </row>
    <row r="20" spans="1:28" outlineLevel="2">
      <c r="A20" s="1167" t="s">
        <v>549</v>
      </c>
      <c r="B20" s="1167" t="s">
        <v>563</v>
      </c>
      <c r="C20" s="1167" t="s">
        <v>2274</v>
      </c>
      <c r="D20" s="1167" t="s">
        <v>548</v>
      </c>
      <c r="E20" s="1167" t="s">
        <v>1261</v>
      </c>
      <c r="F20" s="1167" t="s">
        <v>2018</v>
      </c>
      <c r="G20" s="1167" t="s">
        <v>2289</v>
      </c>
      <c r="H20" s="1167">
        <v>360</v>
      </c>
      <c r="I20" s="1168">
        <v>3932.54</v>
      </c>
      <c r="J20" s="1168">
        <v>3228.66</v>
      </c>
      <c r="K20" s="1168">
        <v>2621.8611111111113</v>
      </c>
      <c r="L20" s="1169">
        <f t="shared" si="0"/>
        <v>1310.6788888888887</v>
      </c>
      <c r="M20" s="1168">
        <v>392.7</v>
      </c>
      <c r="N20" s="1168">
        <v>214.1</v>
      </c>
      <c r="O20" s="1169">
        <f t="shared" si="1"/>
        <v>606.79999999999995</v>
      </c>
      <c r="P20" s="1169">
        <f t="shared" si="2"/>
        <v>703.8788888888887</v>
      </c>
      <c r="Q20" s="1168">
        <v>2267.44</v>
      </c>
      <c r="R20" s="1168">
        <v>1665.09</v>
      </c>
      <c r="S20" s="1170">
        <v>1415713</v>
      </c>
      <c r="T20" s="1170">
        <v>1162318</v>
      </c>
      <c r="U20" s="1171">
        <f t="shared" si="3"/>
        <v>943870.00000000012</v>
      </c>
      <c r="V20" s="1171">
        <f t="shared" si="4"/>
        <v>141372</v>
      </c>
      <c r="W20" s="1171">
        <f t="shared" si="5"/>
        <v>77076</v>
      </c>
      <c r="X20" s="1171">
        <f t="shared" si="6"/>
        <v>253395</v>
      </c>
      <c r="Y20" s="1169">
        <f t="shared" si="7"/>
        <v>17.89875490300647</v>
      </c>
      <c r="Z20" s="1170">
        <v>816279.09</v>
      </c>
      <c r="AA20" s="1171">
        <f t="shared" si="8"/>
        <v>471842.99999999988</v>
      </c>
      <c r="AB20" s="1169">
        <f t="shared" si="9"/>
        <v>33.329001005147227</v>
      </c>
    </row>
    <row r="21" spans="1:28" outlineLevel="2">
      <c r="A21" s="1167" t="s">
        <v>549</v>
      </c>
      <c r="B21" s="1167" t="s">
        <v>563</v>
      </c>
      <c r="C21" s="1167" t="s">
        <v>2274</v>
      </c>
      <c r="D21" s="1167" t="s">
        <v>548</v>
      </c>
      <c r="E21" s="1167" t="s">
        <v>1261</v>
      </c>
      <c r="F21" s="1167" t="s">
        <v>1248</v>
      </c>
      <c r="G21" s="1167" t="s">
        <v>1249</v>
      </c>
      <c r="H21" s="1167">
        <v>150</v>
      </c>
      <c r="I21" s="1168">
        <v>3926.22</v>
      </c>
      <c r="J21" s="1168">
        <v>3214.85</v>
      </c>
      <c r="K21" s="1168">
        <v>2625.6766499999999</v>
      </c>
      <c r="L21" s="1169">
        <f t="shared" si="0"/>
        <v>1300.5433499999999</v>
      </c>
      <c r="M21" s="1168">
        <v>392.7</v>
      </c>
      <c r="N21" s="1168">
        <v>196.47</v>
      </c>
      <c r="O21" s="1169">
        <f t="shared" si="1"/>
        <v>589.16999999999996</v>
      </c>
      <c r="P21" s="1169">
        <f t="shared" si="2"/>
        <v>711.37334999999996</v>
      </c>
      <c r="Q21" s="1168">
        <v>2272.12</v>
      </c>
      <c r="R21" s="1168">
        <v>1654.1</v>
      </c>
      <c r="S21" s="1170">
        <v>588933</v>
      </c>
      <c r="T21" s="1170">
        <v>482227</v>
      </c>
      <c r="U21" s="1171">
        <f t="shared" si="3"/>
        <v>393851.4975</v>
      </c>
      <c r="V21" s="1171">
        <f t="shared" si="4"/>
        <v>58905</v>
      </c>
      <c r="W21" s="1171">
        <f t="shared" si="5"/>
        <v>29470.5</v>
      </c>
      <c r="X21" s="1171">
        <f t="shared" si="6"/>
        <v>106706</v>
      </c>
      <c r="Y21" s="1169">
        <f t="shared" si="7"/>
        <v>18.118529612027174</v>
      </c>
      <c r="Z21" s="1170">
        <v>340817.79</v>
      </c>
      <c r="AA21" s="1171">
        <f t="shared" si="8"/>
        <v>195081.5025</v>
      </c>
      <c r="AB21" s="1169">
        <f t="shared" si="9"/>
        <v>33.124566376820454</v>
      </c>
    </row>
    <row r="22" spans="1:28" outlineLevel="2">
      <c r="A22" s="1167" t="s">
        <v>549</v>
      </c>
      <c r="B22" s="1167" t="s">
        <v>563</v>
      </c>
      <c r="C22" s="1167" t="s">
        <v>2274</v>
      </c>
      <c r="D22" s="1167" t="s">
        <v>548</v>
      </c>
      <c r="E22" s="1167" t="s">
        <v>2019</v>
      </c>
      <c r="F22" s="1167" t="s">
        <v>2020</v>
      </c>
      <c r="G22" s="1167" t="s">
        <v>2290</v>
      </c>
      <c r="H22" s="1172">
        <v>1000</v>
      </c>
      <c r="I22" s="1168">
        <v>4192.9399999999996</v>
      </c>
      <c r="J22" s="1168">
        <v>3445.37</v>
      </c>
      <c r="K22" s="1168">
        <v>2856.203</v>
      </c>
      <c r="L22" s="1169">
        <f t="shared" si="0"/>
        <v>1336.7369999999996</v>
      </c>
      <c r="M22" s="1168">
        <v>392.7</v>
      </c>
      <c r="N22" s="1168">
        <v>196.47</v>
      </c>
      <c r="O22" s="1169">
        <f t="shared" si="1"/>
        <v>589.16999999999996</v>
      </c>
      <c r="P22" s="1169">
        <f t="shared" si="2"/>
        <v>747.56699999999967</v>
      </c>
      <c r="Q22" s="1168">
        <v>2851.61</v>
      </c>
      <c r="R22" s="1168">
        <v>1341.33</v>
      </c>
      <c r="S22" s="1170">
        <v>4192935</v>
      </c>
      <c r="T22" s="1170">
        <v>3445373</v>
      </c>
      <c r="U22" s="1171">
        <f t="shared" si="3"/>
        <v>2856203</v>
      </c>
      <c r="V22" s="1171">
        <f t="shared" si="4"/>
        <v>392700</v>
      </c>
      <c r="W22" s="1171">
        <f t="shared" si="5"/>
        <v>196470</v>
      </c>
      <c r="X22" s="1171">
        <f t="shared" si="6"/>
        <v>747562</v>
      </c>
      <c r="Y22" s="1169">
        <f t="shared" si="7"/>
        <v>17.829086308278093</v>
      </c>
      <c r="Z22" s="1170">
        <v>2851606.12</v>
      </c>
      <c r="AA22" s="1171">
        <f t="shared" si="8"/>
        <v>1336732</v>
      </c>
      <c r="AB22" s="1169">
        <f t="shared" si="9"/>
        <v>31.880580071000388</v>
      </c>
    </row>
    <row r="23" spans="1:28" outlineLevel="2">
      <c r="A23" s="1167" t="s">
        <v>549</v>
      </c>
      <c r="B23" s="1167" t="s">
        <v>563</v>
      </c>
      <c r="C23" s="1167" t="s">
        <v>2274</v>
      </c>
      <c r="D23" s="1167" t="s">
        <v>548</v>
      </c>
      <c r="E23" s="1167" t="s">
        <v>1261</v>
      </c>
      <c r="F23" s="1167" t="s">
        <v>2070</v>
      </c>
      <c r="G23" s="1167" t="s">
        <v>2291</v>
      </c>
      <c r="H23" s="1167">
        <v>270</v>
      </c>
      <c r="I23" s="1168">
        <v>5196.6000000000004</v>
      </c>
      <c r="J23" s="1168">
        <v>3919.39</v>
      </c>
      <c r="K23" s="1168">
        <v>3316.1074074074072</v>
      </c>
      <c r="L23" s="1169">
        <f t="shared" si="0"/>
        <v>1880.4925925925932</v>
      </c>
      <c r="M23" s="1168">
        <v>392.7</v>
      </c>
      <c r="N23" s="1168">
        <v>210.57777777777778</v>
      </c>
      <c r="O23" s="1169">
        <f t="shared" si="1"/>
        <v>603.27777777777783</v>
      </c>
      <c r="P23" s="1169">
        <f t="shared" si="2"/>
        <v>1277.2148148148153</v>
      </c>
      <c r="Q23" s="1168">
        <v>2943.67</v>
      </c>
      <c r="R23" s="1168">
        <v>2252.9299999999998</v>
      </c>
      <c r="S23" s="1170">
        <v>1403082</v>
      </c>
      <c r="T23" s="1170">
        <v>1058234</v>
      </c>
      <c r="U23" s="1171">
        <f t="shared" si="3"/>
        <v>895349</v>
      </c>
      <c r="V23" s="1171">
        <f t="shared" si="4"/>
        <v>106029</v>
      </c>
      <c r="W23" s="1171">
        <f t="shared" si="5"/>
        <v>56856</v>
      </c>
      <c r="X23" s="1171">
        <f t="shared" si="6"/>
        <v>344848</v>
      </c>
      <c r="Y23" s="1169">
        <f t="shared" si="7"/>
        <v>24.577893522973</v>
      </c>
      <c r="Z23" s="1170">
        <v>794790.17</v>
      </c>
      <c r="AA23" s="1171">
        <f t="shared" si="8"/>
        <v>507733</v>
      </c>
      <c r="AB23" s="1169">
        <f t="shared" si="9"/>
        <v>36.186979805884469</v>
      </c>
    </row>
    <row r="24" spans="1:28" outlineLevel="2">
      <c r="A24" s="1167" t="s">
        <v>549</v>
      </c>
      <c r="B24" s="1167" t="s">
        <v>563</v>
      </c>
      <c r="C24" s="1167" t="s">
        <v>2274</v>
      </c>
      <c r="D24" s="1167" t="s">
        <v>548</v>
      </c>
      <c r="E24" s="1167" t="s">
        <v>1261</v>
      </c>
      <c r="F24" s="1167" t="s">
        <v>2040</v>
      </c>
      <c r="G24" s="1167" t="s">
        <v>2041</v>
      </c>
      <c r="H24" s="1167">
        <v>20</v>
      </c>
      <c r="I24" s="1168">
        <v>5183.2</v>
      </c>
      <c r="J24" s="1168">
        <v>3948.15</v>
      </c>
      <c r="K24" s="1168">
        <v>3359</v>
      </c>
      <c r="L24" s="1169">
        <f t="shared" si="0"/>
        <v>1824.1999999999998</v>
      </c>
      <c r="M24" s="1168">
        <v>392.7</v>
      </c>
      <c r="N24" s="1168">
        <v>196.45</v>
      </c>
      <c r="O24" s="1169">
        <f t="shared" si="1"/>
        <v>589.15</v>
      </c>
      <c r="P24" s="1169">
        <f t="shared" si="2"/>
        <v>1235.0499999999997</v>
      </c>
      <c r="Q24" s="1168">
        <v>2948.54</v>
      </c>
      <c r="R24" s="1168">
        <v>2234.66</v>
      </c>
      <c r="S24" s="1170">
        <v>103664</v>
      </c>
      <c r="T24" s="1170">
        <v>78963</v>
      </c>
      <c r="U24" s="1171">
        <f t="shared" si="3"/>
        <v>67180</v>
      </c>
      <c r="V24" s="1171">
        <f t="shared" si="4"/>
        <v>7854</v>
      </c>
      <c r="W24" s="1171">
        <f t="shared" si="5"/>
        <v>3929</v>
      </c>
      <c r="X24" s="1171">
        <f t="shared" si="6"/>
        <v>24701</v>
      </c>
      <c r="Y24" s="1169">
        <f t="shared" si="7"/>
        <v>23.827944127180121</v>
      </c>
      <c r="Z24" s="1170">
        <v>58970.879999999997</v>
      </c>
      <c r="AA24" s="1171">
        <f t="shared" si="8"/>
        <v>36484</v>
      </c>
      <c r="AB24" s="1169">
        <f t="shared" si="9"/>
        <v>35.194474455934561</v>
      </c>
    </row>
    <row r="25" spans="1:28" outlineLevel="2">
      <c r="A25" s="1167" t="s">
        <v>549</v>
      </c>
      <c r="B25" s="1167" t="s">
        <v>563</v>
      </c>
      <c r="C25" s="1167" t="s">
        <v>2274</v>
      </c>
      <c r="D25" s="1167" t="s">
        <v>548</v>
      </c>
      <c r="E25" s="1167" t="s">
        <v>2155</v>
      </c>
      <c r="F25" s="1167" t="s">
        <v>2159</v>
      </c>
      <c r="G25" s="1167" t="s">
        <v>2292</v>
      </c>
      <c r="H25" s="1167">
        <v>1</v>
      </c>
      <c r="I25" s="1168">
        <v>5391</v>
      </c>
      <c r="J25" s="1168">
        <v>4869</v>
      </c>
      <c r="K25" s="1168">
        <v>4869</v>
      </c>
      <c r="L25" s="1169">
        <f t="shared" si="0"/>
        <v>522</v>
      </c>
      <c r="M25" s="1168">
        <v>0</v>
      </c>
      <c r="N25" s="1168">
        <v>0</v>
      </c>
      <c r="O25" s="1169">
        <f t="shared" si="1"/>
        <v>0</v>
      </c>
      <c r="P25" s="1169">
        <f t="shared" si="2"/>
        <v>522</v>
      </c>
      <c r="Q25" s="1168">
        <v>3371.91</v>
      </c>
      <c r="R25" s="1168">
        <v>2019.09</v>
      </c>
      <c r="S25" s="1170">
        <v>5391</v>
      </c>
      <c r="T25" s="1170">
        <v>4869</v>
      </c>
      <c r="U25" s="1171">
        <f t="shared" si="3"/>
        <v>4869</v>
      </c>
      <c r="V25" s="1171">
        <f t="shared" si="4"/>
        <v>0</v>
      </c>
      <c r="W25" s="1171">
        <f t="shared" si="5"/>
        <v>0</v>
      </c>
      <c r="X25" s="1171">
        <f t="shared" si="6"/>
        <v>522</v>
      </c>
      <c r="Y25" s="1169">
        <f t="shared" si="7"/>
        <v>9.6828046744574294</v>
      </c>
      <c r="Z25" s="1170">
        <v>3371.91</v>
      </c>
      <c r="AA25" s="1171">
        <f t="shared" si="8"/>
        <v>522</v>
      </c>
      <c r="AB25" s="1169">
        <f t="shared" si="9"/>
        <v>9.6828046744574294</v>
      </c>
    </row>
    <row r="26" spans="1:28" outlineLevel="2">
      <c r="A26" s="1167" t="s">
        <v>549</v>
      </c>
      <c r="B26" s="1167" t="s">
        <v>563</v>
      </c>
      <c r="C26" s="1167" t="s">
        <v>2274</v>
      </c>
      <c r="D26" s="1167" t="s">
        <v>548</v>
      </c>
      <c r="E26" s="1167" t="s">
        <v>1257</v>
      </c>
      <c r="F26" s="1167" t="s">
        <v>2042</v>
      </c>
      <c r="G26" s="1167" t="s">
        <v>2293</v>
      </c>
      <c r="H26" s="1167">
        <v>100</v>
      </c>
      <c r="I26" s="1168">
        <v>180.81</v>
      </c>
      <c r="J26" s="1168">
        <v>176.53</v>
      </c>
      <c r="K26" s="1168">
        <v>111.65132075471699</v>
      </c>
      <c r="L26" s="1169">
        <f t="shared" si="0"/>
        <v>69.158679245283011</v>
      </c>
      <c r="M26" s="1168">
        <v>2.2415094339622645</v>
      </c>
      <c r="N26" s="1168">
        <v>62.6372</v>
      </c>
      <c r="O26" s="1169">
        <f t="shared" si="1"/>
        <v>64.878709433962271</v>
      </c>
      <c r="P26" s="1169">
        <f t="shared" si="2"/>
        <v>4.2799698113207398</v>
      </c>
      <c r="Q26" s="1168">
        <v>0.85</v>
      </c>
      <c r="R26" s="1168">
        <v>179.96</v>
      </c>
      <c r="S26" s="1170">
        <v>18081</v>
      </c>
      <c r="T26" s="1170">
        <v>17653</v>
      </c>
      <c r="U26" s="1171">
        <f t="shared" si="3"/>
        <v>11165.1320754717</v>
      </c>
      <c r="V26" s="1171">
        <f t="shared" si="4"/>
        <v>224.15094339622647</v>
      </c>
      <c r="W26" s="1171">
        <f t="shared" si="5"/>
        <v>6263.72</v>
      </c>
      <c r="X26" s="1171">
        <f t="shared" si="6"/>
        <v>428</v>
      </c>
      <c r="Y26" s="1169">
        <f t="shared" si="7"/>
        <v>2.367125712073447</v>
      </c>
      <c r="Z26" s="1170">
        <v>85.3</v>
      </c>
      <c r="AA26" s="1171">
        <f t="shared" si="8"/>
        <v>6915.8679245283001</v>
      </c>
      <c r="AB26" s="1169">
        <f t="shared" si="9"/>
        <v>38.249366321156465</v>
      </c>
    </row>
    <row r="27" spans="1:28" outlineLevel="2">
      <c r="A27" s="1167" t="s">
        <v>549</v>
      </c>
      <c r="B27" s="1167" t="s">
        <v>563</v>
      </c>
      <c r="C27" s="1167" t="s">
        <v>2274</v>
      </c>
      <c r="D27" s="1167" t="s">
        <v>548</v>
      </c>
      <c r="E27" s="1167" t="s">
        <v>882</v>
      </c>
      <c r="F27" s="1167" t="s">
        <v>2294</v>
      </c>
      <c r="G27" s="1167" t="s">
        <v>2295</v>
      </c>
      <c r="H27" s="1167">
        <v>710</v>
      </c>
      <c r="I27" s="1168">
        <v>302.42</v>
      </c>
      <c r="J27" s="1168">
        <v>393.13</v>
      </c>
      <c r="K27" s="1168">
        <v>247.39606962988151</v>
      </c>
      <c r="L27" s="1169">
        <f t="shared" si="0"/>
        <v>55.023930370118507</v>
      </c>
      <c r="M27" s="1168">
        <v>82.787000971516179</v>
      </c>
      <c r="N27" s="1168">
        <v>62.945099999999996</v>
      </c>
      <c r="O27" s="1169">
        <f t="shared" si="1"/>
        <v>145.73210097151616</v>
      </c>
      <c r="P27" s="1169">
        <f t="shared" si="2"/>
        <v>-90.708170601397654</v>
      </c>
      <c r="Q27" s="1168">
        <v>3.39</v>
      </c>
      <c r="R27" s="1168">
        <v>299.02999999999997</v>
      </c>
      <c r="S27" s="1170">
        <v>214719</v>
      </c>
      <c r="T27" s="1170">
        <v>279121</v>
      </c>
      <c r="U27" s="1171">
        <f t="shared" si="3"/>
        <v>175651.20943721588</v>
      </c>
      <c r="V27" s="1171">
        <f t="shared" si="4"/>
        <v>58778.770689776487</v>
      </c>
      <c r="W27" s="1171">
        <f t="shared" si="5"/>
        <v>44691.021000000001</v>
      </c>
      <c r="X27" s="1171">
        <f t="shared" si="6"/>
        <v>-64402</v>
      </c>
      <c r="Y27" s="1169">
        <f t="shared" si="7"/>
        <v>-29.993619567900371</v>
      </c>
      <c r="Z27" s="1170">
        <v>2405.61</v>
      </c>
      <c r="AA27" s="1171">
        <f t="shared" si="8"/>
        <v>39067.790562784125</v>
      </c>
      <c r="AB27" s="1169">
        <f t="shared" si="9"/>
        <v>18.194845618126074</v>
      </c>
    </row>
    <row r="28" spans="1:28" outlineLevel="2">
      <c r="A28" s="1167" t="s">
        <v>549</v>
      </c>
      <c r="B28" s="1167" t="s">
        <v>563</v>
      </c>
      <c r="C28" s="1167" t="s">
        <v>2274</v>
      </c>
      <c r="D28" s="1167" t="s">
        <v>548</v>
      </c>
      <c r="E28" s="1167" t="s">
        <v>556</v>
      </c>
      <c r="F28" s="1167" t="s">
        <v>582</v>
      </c>
      <c r="G28" s="1167" t="s">
        <v>2296</v>
      </c>
      <c r="H28" s="1167">
        <v>950</v>
      </c>
      <c r="I28" s="1168">
        <v>302.67</v>
      </c>
      <c r="J28" s="1168">
        <v>379.37</v>
      </c>
      <c r="K28" s="1168">
        <v>246.58031340894553</v>
      </c>
      <c r="L28" s="1169">
        <f t="shared" si="0"/>
        <v>56.089686591054488</v>
      </c>
      <c r="M28" s="1168">
        <v>85.772433734891294</v>
      </c>
      <c r="N28" s="1168">
        <v>47.021990000000002</v>
      </c>
      <c r="O28" s="1169">
        <f t="shared" si="1"/>
        <v>132.7944237348913</v>
      </c>
      <c r="P28" s="1169">
        <f t="shared" si="2"/>
        <v>-76.704737143836809</v>
      </c>
      <c r="Q28" s="1168">
        <v>3.39</v>
      </c>
      <c r="R28" s="1168">
        <v>299.27999999999997</v>
      </c>
      <c r="S28" s="1170">
        <v>287533</v>
      </c>
      <c r="T28" s="1170">
        <v>360406</v>
      </c>
      <c r="U28" s="1171">
        <f t="shared" si="3"/>
        <v>234251.29773849825</v>
      </c>
      <c r="V28" s="1171">
        <f t="shared" si="4"/>
        <v>81483.812048146734</v>
      </c>
      <c r="W28" s="1171">
        <f t="shared" si="5"/>
        <v>44670.890500000001</v>
      </c>
      <c r="X28" s="1171">
        <f t="shared" si="6"/>
        <v>-72873</v>
      </c>
      <c r="Y28" s="1169">
        <f t="shared" si="7"/>
        <v>-25.344221358939667</v>
      </c>
      <c r="Z28" s="1170">
        <v>3218.78</v>
      </c>
      <c r="AA28" s="1171">
        <f t="shared" si="8"/>
        <v>53281.702261501749</v>
      </c>
      <c r="AB28" s="1169">
        <f t="shared" si="9"/>
        <v>18.530639008914367</v>
      </c>
    </row>
    <row r="29" spans="1:28" outlineLevel="2">
      <c r="A29" s="1167" t="s">
        <v>549</v>
      </c>
      <c r="B29" s="1167" t="s">
        <v>563</v>
      </c>
      <c r="C29" s="1167" t="s">
        <v>2274</v>
      </c>
      <c r="D29" s="1167" t="s">
        <v>548</v>
      </c>
      <c r="E29" s="1167" t="s">
        <v>556</v>
      </c>
      <c r="F29" s="1167" t="s">
        <v>2180</v>
      </c>
      <c r="G29" s="1167" t="s">
        <v>2181</v>
      </c>
      <c r="H29" s="1167">
        <v>250</v>
      </c>
      <c r="I29" s="1168">
        <v>316.12</v>
      </c>
      <c r="J29" s="1168">
        <v>380.34</v>
      </c>
      <c r="K29" s="1168">
        <v>380.33600000000001</v>
      </c>
      <c r="L29" s="1169">
        <f t="shared" si="0"/>
        <v>-64.216000000000008</v>
      </c>
      <c r="M29" s="1168">
        <v>0</v>
      </c>
      <c r="N29" s="1168">
        <v>0</v>
      </c>
      <c r="O29" s="1169">
        <f t="shared" si="1"/>
        <v>0</v>
      </c>
      <c r="P29" s="1169">
        <f t="shared" si="2"/>
        <v>-64.216000000000008</v>
      </c>
      <c r="Q29" s="1168">
        <v>247.56</v>
      </c>
      <c r="R29" s="1168">
        <v>68.56</v>
      </c>
      <c r="S29" s="1170">
        <v>79030</v>
      </c>
      <c r="T29" s="1170">
        <v>95084</v>
      </c>
      <c r="U29" s="1171">
        <f t="shared" si="3"/>
        <v>95084</v>
      </c>
      <c r="V29" s="1171">
        <f t="shared" si="4"/>
        <v>0</v>
      </c>
      <c r="W29" s="1171">
        <f t="shared" si="5"/>
        <v>0</v>
      </c>
      <c r="X29" s="1171">
        <f t="shared" si="6"/>
        <v>-16054</v>
      </c>
      <c r="Y29" s="1169">
        <f t="shared" si="7"/>
        <v>-20.313804884221181</v>
      </c>
      <c r="Z29" s="1170">
        <v>61890.58</v>
      </c>
      <c r="AA29" s="1171">
        <f t="shared" si="8"/>
        <v>-16054</v>
      </c>
      <c r="AB29" s="1169">
        <f t="shared" si="9"/>
        <v>-20.313804884221181</v>
      </c>
    </row>
    <row r="30" spans="1:28" outlineLevel="2">
      <c r="A30" s="1167" t="s">
        <v>549</v>
      </c>
      <c r="B30" s="1167" t="s">
        <v>563</v>
      </c>
      <c r="C30" s="1167" t="s">
        <v>2274</v>
      </c>
      <c r="D30" s="1167" t="s">
        <v>548</v>
      </c>
      <c r="E30" s="1167" t="s">
        <v>882</v>
      </c>
      <c r="F30" s="1167" t="s">
        <v>2161</v>
      </c>
      <c r="G30" s="1167" t="s">
        <v>2162</v>
      </c>
      <c r="H30" s="1167">
        <v>250</v>
      </c>
      <c r="I30" s="1168">
        <v>316.12</v>
      </c>
      <c r="J30" s="1168">
        <v>380.32</v>
      </c>
      <c r="K30" s="1168">
        <v>380.32400000000001</v>
      </c>
      <c r="L30" s="1169">
        <f t="shared" si="0"/>
        <v>-64.204000000000008</v>
      </c>
      <c r="M30" s="1168">
        <v>0</v>
      </c>
      <c r="N30" s="1168">
        <v>0</v>
      </c>
      <c r="O30" s="1169">
        <f t="shared" si="1"/>
        <v>0</v>
      </c>
      <c r="P30" s="1169">
        <f t="shared" si="2"/>
        <v>-64.204000000000008</v>
      </c>
      <c r="Q30" s="1168">
        <v>247.56</v>
      </c>
      <c r="R30" s="1168">
        <v>68.55</v>
      </c>
      <c r="S30" s="1170">
        <v>79029</v>
      </c>
      <c r="T30" s="1170">
        <v>95081</v>
      </c>
      <c r="U30" s="1171">
        <f t="shared" si="3"/>
        <v>95081</v>
      </c>
      <c r="V30" s="1171">
        <f t="shared" si="4"/>
        <v>0</v>
      </c>
      <c r="W30" s="1171">
        <f t="shared" si="5"/>
        <v>0</v>
      </c>
      <c r="X30" s="1171">
        <f t="shared" si="6"/>
        <v>-16052</v>
      </c>
      <c r="Y30" s="1169">
        <f t="shared" si="7"/>
        <v>-20.311531210062128</v>
      </c>
      <c r="Z30" s="1170">
        <v>61890.58</v>
      </c>
      <c r="AA30" s="1171">
        <f t="shared" si="8"/>
        <v>-16052</v>
      </c>
      <c r="AB30" s="1169">
        <f t="shared" si="9"/>
        <v>-20.311531210062128</v>
      </c>
    </row>
    <row r="31" spans="1:28" outlineLevel="2">
      <c r="A31" s="1167" t="s">
        <v>549</v>
      </c>
      <c r="B31" s="1167" t="s">
        <v>563</v>
      </c>
      <c r="C31" s="1167" t="s">
        <v>2274</v>
      </c>
      <c r="D31" s="1167" t="s">
        <v>548</v>
      </c>
      <c r="E31" s="1167" t="s">
        <v>555</v>
      </c>
      <c r="F31" s="1167" t="s">
        <v>2165</v>
      </c>
      <c r="G31" s="1167" t="s">
        <v>2297</v>
      </c>
      <c r="H31" s="1167">
        <v>150</v>
      </c>
      <c r="I31" s="1168">
        <v>7521.69</v>
      </c>
      <c r="J31" s="1168">
        <v>6852.73</v>
      </c>
      <c r="K31" s="1168">
        <v>5573.4833500000004</v>
      </c>
      <c r="L31" s="1169">
        <f t="shared" si="0"/>
        <v>1948.2066499999992</v>
      </c>
      <c r="M31" s="1168">
        <v>850</v>
      </c>
      <c r="N31" s="1168">
        <v>429.25</v>
      </c>
      <c r="O31" s="1169">
        <f t="shared" si="1"/>
        <v>1279.25</v>
      </c>
      <c r="P31" s="1169">
        <f t="shared" si="2"/>
        <v>668.95664999999917</v>
      </c>
      <c r="Q31" s="1168">
        <v>5556.28</v>
      </c>
      <c r="R31" s="1168">
        <v>1965.41</v>
      </c>
      <c r="S31" s="1170">
        <v>1128254</v>
      </c>
      <c r="T31" s="1170">
        <v>1027910</v>
      </c>
      <c r="U31" s="1171">
        <f t="shared" si="3"/>
        <v>836022.50250000006</v>
      </c>
      <c r="V31" s="1171">
        <f t="shared" si="4"/>
        <v>127500</v>
      </c>
      <c r="W31" s="1171">
        <f t="shared" si="5"/>
        <v>64387.5</v>
      </c>
      <c r="X31" s="1171">
        <f t="shared" si="6"/>
        <v>100344</v>
      </c>
      <c r="Y31" s="1169">
        <f t="shared" si="7"/>
        <v>8.8937420119937531</v>
      </c>
      <c r="Z31" s="1170">
        <v>833442.23</v>
      </c>
      <c r="AA31" s="1171">
        <f t="shared" si="8"/>
        <v>292231.49749999994</v>
      </c>
      <c r="AB31" s="1169">
        <f t="shared" si="9"/>
        <v>25.901215284856065</v>
      </c>
    </row>
    <row r="32" spans="1:28" outlineLevel="2">
      <c r="A32" s="1167" t="s">
        <v>549</v>
      </c>
      <c r="B32" s="1167" t="s">
        <v>563</v>
      </c>
      <c r="C32" s="1167" t="s">
        <v>2274</v>
      </c>
      <c r="D32" s="1167" t="s">
        <v>548</v>
      </c>
      <c r="E32" s="1167" t="s">
        <v>555</v>
      </c>
      <c r="F32" s="1167" t="s">
        <v>2007</v>
      </c>
      <c r="G32" s="1167" t="s">
        <v>2008</v>
      </c>
      <c r="H32" s="1167">
        <v>100</v>
      </c>
      <c r="I32" s="1168">
        <v>7319.88</v>
      </c>
      <c r="J32" s="1168">
        <v>6550.86</v>
      </c>
      <c r="K32" s="1168">
        <v>5340.8369230769231</v>
      </c>
      <c r="L32" s="1169">
        <f t="shared" si="0"/>
        <v>1979.043076923077</v>
      </c>
      <c r="M32" s="1168">
        <v>766</v>
      </c>
      <c r="N32" s="1168">
        <v>444.0231</v>
      </c>
      <c r="O32" s="1169">
        <f t="shared" si="1"/>
        <v>1210.0230999999999</v>
      </c>
      <c r="P32" s="1169">
        <f t="shared" si="2"/>
        <v>769.01997692307714</v>
      </c>
      <c r="Q32" s="1168">
        <v>5407.99</v>
      </c>
      <c r="R32" s="1168">
        <v>1911.89</v>
      </c>
      <c r="S32" s="1170">
        <v>731988</v>
      </c>
      <c r="T32" s="1170">
        <v>655086</v>
      </c>
      <c r="U32" s="1171">
        <f t="shared" si="3"/>
        <v>534083.69230769225</v>
      </c>
      <c r="V32" s="1171">
        <f t="shared" si="4"/>
        <v>76600</v>
      </c>
      <c r="W32" s="1171">
        <f t="shared" si="5"/>
        <v>44402.31</v>
      </c>
      <c r="X32" s="1171">
        <f t="shared" si="6"/>
        <v>76902</v>
      </c>
      <c r="Y32" s="1169">
        <f t="shared" si="7"/>
        <v>10.505909932949722</v>
      </c>
      <c r="Z32" s="1170">
        <v>540799.18999999994</v>
      </c>
      <c r="AA32" s="1171">
        <f t="shared" si="8"/>
        <v>197904.30769230775</v>
      </c>
      <c r="AB32" s="1169">
        <f t="shared" si="9"/>
        <v>27.036550830383522</v>
      </c>
    </row>
    <row r="33" spans="1:28" outlineLevel="2">
      <c r="A33" s="1167" t="s">
        <v>549</v>
      </c>
      <c r="B33" s="1167" t="s">
        <v>563</v>
      </c>
      <c r="C33" s="1167" t="s">
        <v>2274</v>
      </c>
      <c r="D33" s="1167" t="s">
        <v>548</v>
      </c>
      <c r="E33" s="1167" t="s">
        <v>601</v>
      </c>
      <c r="F33" s="1167" t="s">
        <v>1258</v>
      </c>
      <c r="G33" s="1167" t="s">
        <v>2298</v>
      </c>
      <c r="H33" s="1167">
        <v>10</v>
      </c>
      <c r="I33" s="1168">
        <v>7135.4</v>
      </c>
      <c r="J33" s="1168">
        <v>7121.2</v>
      </c>
      <c r="K33" s="1168">
        <v>5703.2</v>
      </c>
      <c r="L33" s="1169">
        <f t="shared" si="0"/>
        <v>1432.1999999999998</v>
      </c>
      <c r="M33" s="1168">
        <v>850</v>
      </c>
      <c r="N33" s="1168">
        <v>568</v>
      </c>
      <c r="O33" s="1169">
        <f t="shared" si="1"/>
        <v>1418</v>
      </c>
      <c r="P33" s="1169">
        <f t="shared" si="2"/>
        <v>14.199999999999818</v>
      </c>
      <c r="Q33" s="1168">
        <v>0.1</v>
      </c>
      <c r="R33" s="1168">
        <v>7135.3</v>
      </c>
      <c r="S33" s="1170">
        <v>71354</v>
      </c>
      <c r="T33" s="1170">
        <v>71212</v>
      </c>
      <c r="U33" s="1171">
        <f t="shared" si="3"/>
        <v>57032</v>
      </c>
      <c r="V33" s="1171">
        <f t="shared" si="4"/>
        <v>8500</v>
      </c>
      <c r="W33" s="1171">
        <f t="shared" si="5"/>
        <v>5680</v>
      </c>
      <c r="X33" s="1171">
        <f t="shared" si="6"/>
        <v>142</v>
      </c>
      <c r="Y33" s="1169">
        <f t="shared" si="7"/>
        <v>0.1990077641057264</v>
      </c>
      <c r="Z33" s="1170">
        <v>1</v>
      </c>
      <c r="AA33" s="1171">
        <f t="shared" si="8"/>
        <v>14322</v>
      </c>
      <c r="AB33" s="1169">
        <f t="shared" si="9"/>
        <v>20.071754912128263</v>
      </c>
    </row>
    <row r="34" spans="1:28" outlineLevel="2">
      <c r="A34" s="1167" t="s">
        <v>549</v>
      </c>
      <c r="B34" s="1167" t="s">
        <v>563</v>
      </c>
      <c r="C34" s="1167" t="s">
        <v>2274</v>
      </c>
      <c r="D34" s="1167" t="s">
        <v>548</v>
      </c>
      <c r="E34" s="1167" t="s">
        <v>601</v>
      </c>
      <c r="F34" s="1167" t="s">
        <v>2173</v>
      </c>
      <c r="G34" s="1167" t="s">
        <v>2174</v>
      </c>
      <c r="H34" s="1167">
        <v>10</v>
      </c>
      <c r="I34" s="1168">
        <v>7135.4</v>
      </c>
      <c r="J34" s="1168">
        <v>7392.4</v>
      </c>
      <c r="K34" s="1168">
        <v>5974.4</v>
      </c>
      <c r="L34" s="1169">
        <f t="shared" si="0"/>
        <v>1161</v>
      </c>
      <c r="M34" s="1168">
        <v>850</v>
      </c>
      <c r="N34" s="1168">
        <v>568</v>
      </c>
      <c r="O34" s="1169">
        <f t="shared" si="1"/>
        <v>1418</v>
      </c>
      <c r="P34" s="1169">
        <f t="shared" si="2"/>
        <v>-257</v>
      </c>
      <c r="Q34" s="1168">
        <v>0.1</v>
      </c>
      <c r="R34" s="1168">
        <v>7135.3</v>
      </c>
      <c r="S34" s="1170">
        <v>71354</v>
      </c>
      <c r="T34" s="1170">
        <v>73924</v>
      </c>
      <c r="U34" s="1171">
        <f t="shared" si="3"/>
        <v>59744</v>
      </c>
      <c r="V34" s="1171">
        <f t="shared" si="4"/>
        <v>8500</v>
      </c>
      <c r="W34" s="1171">
        <f t="shared" si="5"/>
        <v>5680</v>
      </c>
      <c r="X34" s="1171">
        <f t="shared" si="6"/>
        <v>-2570</v>
      </c>
      <c r="Y34" s="1169">
        <f t="shared" si="7"/>
        <v>-3.6017602376881466</v>
      </c>
      <c r="Z34" s="1170">
        <v>1</v>
      </c>
      <c r="AA34" s="1171">
        <f t="shared" si="8"/>
        <v>11610</v>
      </c>
      <c r="AB34" s="1169">
        <f t="shared" si="9"/>
        <v>16.27098691033439</v>
      </c>
    </row>
    <row r="35" spans="1:28" outlineLevel="2">
      <c r="A35" s="1167" t="s">
        <v>549</v>
      </c>
      <c r="B35" s="1167" t="s">
        <v>563</v>
      </c>
      <c r="C35" s="1167" t="s">
        <v>2274</v>
      </c>
      <c r="D35" s="1167" t="s">
        <v>548</v>
      </c>
      <c r="E35" s="1167" t="s">
        <v>555</v>
      </c>
      <c r="F35" s="1167" t="s">
        <v>1274</v>
      </c>
      <c r="G35" s="1167" t="s">
        <v>2299</v>
      </c>
      <c r="H35" s="1167">
        <v>900</v>
      </c>
      <c r="I35" s="1168">
        <v>6579.14</v>
      </c>
      <c r="J35" s="1168">
        <v>6200.15</v>
      </c>
      <c r="K35" s="1168">
        <v>4948.4343255741678</v>
      </c>
      <c r="L35" s="1169">
        <f t="shared" si="0"/>
        <v>1630.7056744258325</v>
      </c>
      <c r="M35" s="1168">
        <v>849.95507999999995</v>
      </c>
      <c r="N35" s="1168">
        <v>401.75726429115895</v>
      </c>
      <c r="O35" s="1169">
        <f t="shared" si="1"/>
        <v>1251.7123442911588</v>
      </c>
      <c r="P35" s="1169">
        <f t="shared" si="2"/>
        <v>378.99333013467367</v>
      </c>
      <c r="Q35" s="1168">
        <v>5022.3500000000004</v>
      </c>
      <c r="R35" s="1168">
        <v>1556.79</v>
      </c>
      <c r="S35" s="1170">
        <v>5921222</v>
      </c>
      <c r="T35" s="1170">
        <v>5580132</v>
      </c>
      <c r="U35" s="1171">
        <f t="shared" si="3"/>
        <v>4453590.8930167509</v>
      </c>
      <c r="V35" s="1171">
        <f t="shared" si="4"/>
        <v>764959.57199999993</v>
      </c>
      <c r="W35" s="1171">
        <f t="shared" si="5"/>
        <v>361581.53786204307</v>
      </c>
      <c r="X35" s="1171">
        <f t="shared" si="6"/>
        <v>341090</v>
      </c>
      <c r="Y35" s="1169">
        <f t="shared" si="7"/>
        <v>5.7604663361718238</v>
      </c>
      <c r="Z35" s="1170">
        <v>4520114.3499999996</v>
      </c>
      <c r="AA35" s="1171">
        <f t="shared" si="8"/>
        <v>1467631.1069832491</v>
      </c>
      <c r="AB35" s="1169">
        <f t="shared" si="9"/>
        <v>24.785949707395687</v>
      </c>
    </row>
    <row r="36" spans="1:28" outlineLevel="2">
      <c r="A36" s="1167" t="s">
        <v>549</v>
      </c>
      <c r="B36" s="1167" t="s">
        <v>563</v>
      </c>
      <c r="C36" s="1167" t="s">
        <v>2274</v>
      </c>
      <c r="D36" s="1167" t="s">
        <v>548</v>
      </c>
      <c r="E36" s="1167" t="s">
        <v>555</v>
      </c>
      <c r="F36" s="1167" t="s">
        <v>1891</v>
      </c>
      <c r="G36" s="1167" t="s">
        <v>1892</v>
      </c>
      <c r="H36" s="1172">
        <v>1300</v>
      </c>
      <c r="I36" s="1168">
        <v>6562.4</v>
      </c>
      <c r="J36" s="1168">
        <v>6383.39</v>
      </c>
      <c r="K36" s="1168">
        <v>4975.3846153846152</v>
      </c>
      <c r="L36" s="1169">
        <f t="shared" si="0"/>
        <v>1587.0153846153844</v>
      </c>
      <c r="M36" s="1168">
        <v>800</v>
      </c>
      <c r="N36" s="1168">
        <v>608.00461538461536</v>
      </c>
      <c r="O36" s="1169">
        <f t="shared" si="1"/>
        <v>1408.0046153846154</v>
      </c>
      <c r="P36" s="1169">
        <f t="shared" si="2"/>
        <v>179.01076923076903</v>
      </c>
      <c r="Q36" s="1168">
        <v>5041.07</v>
      </c>
      <c r="R36" s="1168">
        <v>1521.33</v>
      </c>
      <c r="S36" s="1170">
        <v>8531117</v>
      </c>
      <c r="T36" s="1170">
        <v>8298406</v>
      </c>
      <c r="U36" s="1171">
        <f t="shared" si="3"/>
        <v>6468000</v>
      </c>
      <c r="V36" s="1171">
        <f t="shared" si="4"/>
        <v>1040000</v>
      </c>
      <c r="W36" s="1171">
        <f t="shared" si="5"/>
        <v>790406</v>
      </c>
      <c r="X36" s="1171">
        <f t="shared" si="6"/>
        <v>232711</v>
      </c>
      <c r="Y36" s="1169">
        <f t="shared" si="7"/>
        <v>2.7277905109026168</v>
      </c>
      <c r="Z36" s="1170">
        <v>6553394.3499999996</v>
      </c>
      <c r="AA36" s="1171">
        <f t="shared" si="8"/>
        <v>2063117</v>
      </c>
      <c r="AB36" s="1169">
        <f t="shared" si="9"/>
        <v>24.183433423782606</v>
      </c>
    </row>
    <row r="37" spans="1:28" outlineLevel="2">
      <c r="A37" s="1167" t="s">
        <v>549</v>
      </c>
      <c r="B37" s="1167" t="s">
        <v>563</v>
      </c>
      <c r="C37" s="1167" t="s">
        <v>2274</v>
      </c>
      <c r="D37" s="1167" t="s">
        <v>548</v>
      </c>
      <c r="E37" s="1167" t="s">
        <v>555</v>
      </c>
      <c r="F37" s="1167" t="s">
        <v>2300</v>
      </c>
      <c r="G37" s="1167" t="s">
        <v>2168</v>
      </c>
      <c r="H37" s="1167">
        <v>300</v>
      </c>
      <c r="I37" s="1168">
        <v>6590.01</v>
      </c>
      <c r="J37" s="1168">
        <v>6319.11</v>
      </c>
      <c r="K37" s="1168">
        <v>5039.8533333333335</v>
      </c>
      <c r="L37" s="1169">
        <f t="shared" si="0"/>
        <v>1550.1566666666668</v>
      </c>
      <c r="M37" s="1168">
        <v>850</v>
      </c>
      <c r="N37" s="1168">
        <v>429.25666666666666</v>
      </c>
      <c r="O37" s="1169">
        <f t="shared" si="1"/>
        <v>1279.2566666666667</v>
      </c>
      <c r="P37" s="1169">
        <f t="shared" si="2"/>
        <v>270.90000000000009</v>
      </c>
      <c r="Q37" s="1168">
        <v>5028.9399999999996</v>
      </c>
      <c r="R37" s="1168">
        <v>1561.07</v>
      </c>
      <c r="S37" s="1170">
        <v>1977004</v>
      </c>
      <c r="T37" s="1170">
        <v>1895733</v>
      </c>
      <c r="U37" s="1171">
        <f t="shared" si="3"/>
        <v>1511956</v>
      </c>
      <c r="V37" s="1171">
        <f t="shared" si="4"/>
        <v>255000</v>
      </c>
      <c r="W37" s="1171">
        <f t="shared" si="5"/>
        <v>128777</v>
      </c>
      <c r="X37" s="1171">
        <f t="shared" si="6"/>
        <v>81271</v>
      </c>
      <c r="Y37" s="1169">
        <f t="shared" si="7"/>
        <v>4.1108161642566223</v>
      </c>
      <c r="Z37" s="1170">
        <v>1508682.66</v>
      </c>
      <c r="AA37" s="1171">
        <f t="shared" si="8"/>
        <v>465048</v>
      </c>
      <c r="AB37" s="1169">
        <f t="shared" si="9"/>
        <v>23.522865912259157</v>
      </c>
    </row>
    <row r="38" spans="1:28" outlineLevel="2">
      <c r="A38" s="1167" t="s">
        <v>549</v>
      </c>
      <c r="B38" s="1167" t="s">
        <v>563</v>
      </c>
      <c r="C38" s="1167" t="s">
        <v>2274</v>
      </c>
      <c r="D38" s="1167" t="s">
        <v>548</v>
      </c>
      <c r="E38" s="1167" t="s">
        <v>555</v>
      </c>
      <c r="F38" s="1167" t="s">
        <v>1269</v>
      </c>
      <c r="G38" s="1167" t="s">
        <v>1270</v>
      </c>
      <c r="H38" s="1167">
        <v>50</v>
      </c>
      <c r="I38" s="1168">
        <v>6579.14</v>
      </c>
      <c r="J38" s="1168">
        <v>6212.34</v>
      </c>
      <c r="K38" s="1168">
        <v>4933.08</v>
      </c>
      <c r="L38" s="1169">
        <f t="shared" si="0"/>
        <v>1646.0600000000004</v>
      </c>
      <c r="M38" s="1168">
        <v>850</v>
      </c>
      <c r="N38" s="1168">
        <v>429.26</v>
      </c>
      <c r="O38" s="1169">
        <f t="shared" si="1"/>
        <v>1279.26</v>
      </c>
      <c r="P38" s="1169">
        <f t="shared" si="2"/>
        <v>366.80000000000041</v>
      </c>
      <c r="Q38" s="1168">
        <v>5112.7700000000004</v>
      </c>
      <c r="R38" s="1168">
        <v>1466.37</v>
      </c>
      <c r="S38" s="1170">
        <v>328957</v>
      </c>
      <c r="T38" s="1170">
        <v>310617</v>
      </c>
      <c r="U38" s="1171">
        <f t="shared" si="3"/>
        <v>246654</v>
      </c>
      <c r="V38" s="1171">
        <f t="shared" si="4"/>
        <v>42500</v>
      </c>
      <c r="W38" s="1171">
        <f t="shared" si="5"/>
        <v>21463</v>
      </c>
      <c r="X38" s="1171">
        <f t="shared" si="6"/>
        <v>18340</v>
      </c>
      <c r="Y38" s="1169">
        <f t="shared" si="7"/>
        <v>5.5751967582389188</v>
      </c>
      <c r="Z38" s="1170">
        <v>255638.54</v>
      </c>
      <c r="AA38" s="1171">
        <f t="shared" si="8"/>
        <v>82303</v>
      </c>
      <c r="AB38" s="1169">
        <f t="shared" si="9"/>
        <v>25.019379432570215</v>
      </c>
    </row>
    <row r="39" spans="1:28" outlineLevel="2">
      <c r="A39" s="1167" t="s">
        <v>549</v>
      </c>
      <c r="B39" s="1167" t="s">
        <v>563</v>
      </c>
      <c r="C39" s="1167" t="s">
        <v>2274</v>
      </c>
      <c r="D39" s="1167" t="s">
        <v>548</v>
      </c>
      <c r="E39" s="1167" t="s">
        <v>601</v>
      </c>
      <c r="F39" s="1167" t="s">
        <v>2175</v>
      </c>
      <c r="G39" s="1167" t="s">
        <v>2301</v>
      </c>
      <c r="H39" s="1167">
        <v>100</v>
      </c>
      <c r="I39" s="1168">
        <v>7129.7</v>
      </c>
      <c r="J39" s="1168">
        <v>7200.43</v>
      </c>
      <c r="K39" s="1168">
        <v>5921.17</v>
      </c>
      <c r="L39" s="1169">
        <f t="shared" si="0"/>
        <v>1208.5299999999997</v>
      </c>
      <c r="M39" s="1168">
        <v>850</v>
      </c>
      <c r="N39" s="1168">
        <v>429.26</v>
      </c>
      <c r="O39" s="1169">
        <f t="shared" si="1"/>
        <v>1279.26</v>
      </c>
      <c r="P39" s="1169">
        <f t="shared" si="2"/>
        <v>-70.730000000000246</v>
      </c>
      <c r="Q39" s="1168">
        <v>5991.73</v>
      </c>
      <c r="R39" s="1168">
        <v>1137.97</v>
      </c>
      <c r="S39" s="1170">
        <v>712970</v>
      </c>
      <c r="T39" s="1170">
        <v>720043</v>
      </c>
      <c r="U39" s="1171">
        <f t="shared" si="3"/>
        <v>592117</v>
      </c>
      <c r="V39" s="1171">
        <f t="shared" si="4"/>
        <v>85000</v>
      </c>
      <c r="W39" s="1171">
        <f t="shared" si="5"/>
        <v>42926</v>
      </c>
      <c r="X39" s="1171">
        <f t="shared" si="6"/>
        <v>-7073</v>
      </c>
      <c r="Y39" s="1169">
        <f t="shared" si="7"/>
        <v>-0.99204735122094889</v>
      </c>
      <c r="Z39" s="1170">
        <v>599173.18000000005</v>
      </c>
      <c r="AA39" s="1171">
        <f t="shared" si="8"/>
        <v>120853</v>
      </c>
      <c r="AB39" s="1169">
        <f t="shared" si="9"/>
        <v>16.950643084561761</v>
      </c>
    </row>
    <row r="40" spans="1:28" outlineLevel="2">
      <c r="A40" s="1167" t="s">
        <v>549</v>
      </c>
      <c r="B40" s="1167" t="s">
        <v>563</v>
      </c>
      <c r="C40" s="1167" t="s">
        <v>2274</v>
      </c>
      <c r="D40" s="1167" t="s">
        <v>548</v>
      </c>
      <c r="E40" s="1167" t="s">
        <v>601</v>
      </c>
      <c r="F40" s="1167" t="s">
        <v>2176</v>
      </c>
      <c r="G40" s="1167" t="s">
        <v>2026</v>
      </c>
      <c r="H40" s="1167">
        <v>150</v>
      </c>
      <c r="I40" s="1168">
        <v>7141.51</v>
      </c>
      <c r="J40" s="1168">
        <v>7654.28</v>
      </c>
      <c r="K40" s="1168">
        <v>6246.2733333333335</v>
      </c>
      <c r="L40" s="1169">
        <f t="shared" si="0"/>
        <v>895.23666666666668</v>
      </c>
      <c r="M40" s="1168">
        <v>800</v>
      </c>
      <c r="N40" s="1168">
        <v>608.00666666666666</v>
      </c>
      <c r="O40" s="1169">
        <f t="shared" si="1"/>
        <v>1408.0066666666667</v>
      </c>
      <c r="P40" s="1169">
        <f t="shared" si="2"/>
        <v>-512.77</v>
      </c>
      <c r="Q40" s="1168">
        <v>6010.46</v>
      </c>
      <c r="R40" s="1168">
        <v>1131.05</v>
      </c>
      <c r="S40" s="1170">
        <v>1071226</v>
      </c>
      <c r="T40" s="1170">
        <v>1148142</v>
      </c>
      <c r="U40" s="1171">
        <f t="shared" si="3"/>
        <v>936941</v>
      </c>
      <c r="V40" s="1171">
        <f t="shared" si="4"/>
        <v>120000</v>
      </c>
      <c r="W40" s="1171">
        <f t="shared" si="5"/>
        <v>91201</v>
      </c>
      <c r="X40" s="1171">
        <f t="shared" si="6"/>
        <v>-76916</v>
      </c>
      <c r="Y40" s="1169">
        <f t="shared" si="7"/>
        <v>-7.1801842001594434</v>
      </c>
      <c r="Z40" s="1170">
        <v>901568.26</v>
      </c>
      <c r="AA40" s="1171">
        <f t="shared" si="8"/>
        <v>134285</v>
      </c>
      <c r="AB40" s="1169">
        <f t="shared" si="9"/>
        <v>12.53563673771921</v>
      </c>
    </row>
    <row r="41" spans="1:28" outlineLevel="2">
      <c r="A41" s="1167" t="s">
        <v>549</v>
      </c>
      <c r="B41" s="1167" t="s">
        <v>563</v>
      </c>
      <c r="C41" s="1167" t="s">
        <v>2274</v>
      </c>
      <c r="D41" s="1167" t="s">
        <v>548</v>
      </c>
      <c r="E41" s="1167" t="s">
        <v>601</v>
      </c>
      <c r="F41" s="1167" t="s">
        <v>2056</v>
      </c>
      <c r="G41" s="1167" t="s">
        <v>2026</v>
      </c>
      <c r="H41" s="1167">
        <v>100</v>
      </c>
      <c r="I41" s="1168">
        <v>7153.31</v>
      </c>
      <c r="J41" s="1168">
        <v>7505.12</v>
      </c>
      <c r="K41" s="1168">
        <v>6225.86</v>
      </c>
      <c r="L41" s="1169">
        <f t="shared" si="0"/>
        <v>927.45000000000073</v>
      </c>
      <c r="M41" s="1168">
        <v>850</v>
      </c>
      <c r="N41" s="1168">
        <v>429.26</v>
      </c>
      <c r="O41" s="1169">
        <f t="shared" si="1"/>
        <v>1279.26</v>
      </c>
      <c r="P41" s="1169">
        <f t="shared" si="2"/>
        <v>-351.80999999999926</v>
      </c>
      <c r="Q41" s="1168">
        <v>5994.32</v>
      </c>
      <c r="R41" s="1168">
        <v>1158.99</v>
      </c>
      <c r="S41" s="1170">
        <v>715331</v>
      </c>
      <c r="T41" s="1170">
        <v>750512</v>
      </c>
      <c r="U41" s="1171">
        <f t="shared" si="3"/>
        <v>622586</v>
      </c>
      <c r="V41" s="1171">
        <f t="shared" si="4"/>
        <v>85000</v>
      </c>
      <c r="W41" s="1171">
        <f t="shared" si="5"/>
        <v>42926</v>
      </c>
      <c r="X41" s="1171">
        <f t="shared" si="6"/>
        <v>-35181</v>
      </c>
      <c r="Y41" s="1169">
        <f t="shared" si="7"/>
        <v>-4.9181427898413466</v>
      </c>
      <c r="Z41" s="1170">
        <v>599432.1</v>
      </c>
      <c r="AA41" s="1171">
        <f t="shared" si="8"/>
        <v>92745</v>
      </c>
      <c r="AB41" s="1169">
        <f t="shared" si="9"/>
        <v>12.965326541139696</v>
      </c>
    </row>
    <row r="42" spans="1:28" outlineLevel="2">
      <c r="A42" s="1167" t="s">
        <v>549</v>
      </c>
      <c r="B42" s="1167" t="s">
        <v>563</v>
      </c>
      <c r="C42" s="1167" t="s">
        <v>2274</v>
      </c>
      <c r="D42" s="1167" t="s">
        <v>548</v>
      </c>
      <c r="E42" s="1167" t="s">
        <v>601</v>
      </c>
      <c r="F42" s="1167" t="s">
        <v>2177</v>
      </c>
      <c r="G42" s="1167" t="s">
        <v>2021</v>
      </c>
      <c r="H42" s="1167">
        <v>10</v>
      </c>
      <c r="I42" s="1168">
        <v>7141.5</v>
      </c>
      <c r="J42" s="1168">
        <v>7383.4</v>
      </c>
      <c r="K42" s="1168">
        <v>5965.4</v>
      </c>
      <c r="L42" s="1169">
        <f t="shared" si="0"/>
        <v>1176.1000000000004</v>
      </c>
      <c r="M42" s="1168">
        <v>850</v>
      </c>
      <c r="N42" s="1168">
        <v>568</v>
      </c>
      <c r="O42" s="1169">
        <f t="shared" si="1"/>
        <v>1418</v>
      </c>
      <c r="P42" s="1169">
        <f t="shared" si="2"/>
        <v>-241.89999999999964</v>
      </c>
      <c r="Q42" s="1168">
        <v>6017.58</v>
      </c>
      <c r="R42" s="1168">
        <v>1123.92</v>
      </c>
      <c r="S42" s="1170">
        <v>71415</v>
      </c>
      <c r="T42" s="1170">
        <v>73834</v>
      </c>
      <c r="U42" s="1171">
        <f t="shared" si="3"/>
        <v>59654</v>
      </c>
      <c r="V42" s="1171">
        <f t="shared" si="4"/>
        <v>8500</v>
      </c>
      <c r="W42" s="1171">
        <f t="shared" si="5"/>
        <v>5680</v>
      </c>
      <c r="X42" s="1171">
        <f t="shared" si="6"/>
        <v>-2419</v>
      </c>
      <c r="Y42" s="1169">
        <f t="shared" si="7"/>
        <v>-3.3872435762794932</v>
      </c>
      <c r="Z42" s="1170">
        <v>60175.83</v>
      </c>
      <c r="AA42" s="1171">
        <f t="shared" si="8"/>
        <v>11761</v>
      </c>
      <c r="AB42" s="1169">
        <f t="shared" si="9"/>
        <v>16.468529020513898</v>
      </c>
    </row>
    <row r="43" spans="1:28" outlineLevel="2">
      <c r="A43" s="1167" t="s">
        <v>549</v>
      </c>
      <c r="B43" s="1167" t="s">
        <v>563</v>
      </c>
      <c r="C43" s="1167" t="s">
        <v>2274</v>
      </c>
      <c r="D43" s="1167" t="s">
        <v>548</v>
      </c>
      <c r="E43" s="1167" t="s">
        <v>556</v>
      </c>
      <c r="F43" s="1167" t="s">
        <v>2182</v>
      </c>
      <c r="G43" s="1167" t="s">
        <v>2302</v>
      </c>
      <c r="H43" s="1167">
        <v>90</v>
      </c>
      <c r="I43" s="1168">
        <v>302.33999999999997</v>
      </c>
      <c r="J43" s="1168">
        <v>413.06</v>
      </c>
      <c r="K43" s="1168">
        <v>413.05549999999999</v>
      </c>
      <c r="L43" s="1169">
        <f t="shared" si="0"/>
        <v>-110.71550000000002</v>
      </c>
      <c r="M43" s="1168">
        <v>0</v>
      </c>
      <c r="N43" s="1168">
        <v>0</v>
      </c>
      <c r="O43" s="1169">
        <f t="shared" si="1"/>
        <v>0</v>
      </c>
      <c r="P43" s="1169">
        <f t="shared" si="2"/>
        <v>-110.71550000000002</v>
      </c>
      <c r="Q43" s="1168">
        <v>3.59</v>
      </c>
      <c r="R43" s="1168">
        <v>298.76</v>
      </c>
      <c r="S43" s="1170">
        <v>27211</v>
      </c>
      <c r="T43" s="1170">
        <v>37175</v>
      </c>
      <c r="U43" s="1171">
        <f t="shared" si="3"/>
        <v>37174.995000000003</v>
      </c>
      <c r="V43" s="1171">
        <f t="shared" si="4"/>
        <v>0</v>
      </c>
      <c r="W43" s="1171">
        <f t="shared" si="5"/>
        <v>0</v>
      </c>
      <c r="X43" s="1171">
        <f t="shared" si="6"/>
        <v>-9964</v>
      </c>
      <c r="Y43" s="1169">
        <f t="shared" si="7"/>
        <v>-36.61754437543641</v>
      </c>
      <c r="Z43" s="1170">
        <v>322.93</v>
      </c>
      <c r="AA43" s="1171">
        <f t="shared" si="8"/>
        <v>-9963.9950000000026</v>
      </c>
      <c r="AB43" s="1169">
        <f t="shared" si="9"/>
        <v>-36.617526000514502</v>
      </c>
    </row>
    <row r="44" spans="1:28" outlineLevel="2">
      <c r="A44" s="1167" t="s">
        <v>549</v>
      </c>
      <c r="B44" s="1167" t="s">
        <v>563</v>
      </c>
      <c r="C44" s="1167" t="s">
        <v>2274</v>
      </c>
      <c r="D44" s="1167" t="s">
        <v>548</v>
      </c>
      <c r="E44" s="1167" t="s">
        <v>558</v>
      </c>
      <c r="F44" s="1167" t="s">
        <v>2188</v>
      </c>
      <c r="G44" s="1167" t="s">
        <v>2303</v>
      </c>
      <c r="H44" s="1167">
        <v>167</v>
      </c>
      <c r="I44" s="1168">
        <v>6409.82</v>
      </c>
      <c r="J44" s="1168">
        <v>5298.11</v>
      </c>
      <c r="K44" s="1168">
        <v>5298.1077599999999</v>
      </c>
      <c r="L44" s="1169">
        <f t="shared" si="0"/>
        <v>1111.7122399999998</v>
      </c>
      <c r="M44" s="1168">
        <v>0</v>
      </c>
      <c r="N44" s="1168">
        <v>0</v>
      </c>
      <c r="O44" s="1169">
        <f t="shared" si="1"/>
        <v>0</v>
      </c>
      <c r="P44" s="1169">
        <f t="shared" si="2"/>
        <v>1111.7122399999998</v>
      </c>
      <c r="Q44" s="1168">
        <v>5095.46</v>
      </c>
      <c r="R44" s="1168">
        <v>1314.36</v>
      </c>
      <c r="S44" s="1170">
        <v>1070440</v>
      </c>
      <c r="T44" s="1170">
        <v>884784</v>
      </c>
      <c r="U44" s="1171">
        <f t="shared" si="3"/>
        <v>884783.99592000002</v>
      </c>
      <c r="V44" s="1171">
        <f t="shared" si="4"/>
        <v>0</v>
      </c>
      <c r="W44" s="1171">
        <f t="shared" si="5"/>
        <v>0</v>
      </c>
      <c r="X44" s="1171">
        <f t="shared" si="6"/>
        <v>185656</v>
      </c>
      <c r="Y44" s="1169">
        <f t="shared" si="7"/>
        <v>17.343895968013154</v>
      </c>
      <c r="Z44" s="1170">
        <v>850942.13</v>
      </c>
      <c r="AA44" s="1171">
        <f t="shared" si="8"/>
        <v>185656.00407999998</v>
      </c>
      <c r="AB44" s="1169">
        <f t="shared" si="9"/>
        <v>17.343896349164829</v>
      </c>
    </row>
    <row r="45" spans="1:28" outlineLevel="2">
      <c r="A45" s="1167" t="s">
        <v>549</v>
      </c>
      <c r="B45" s="1167" t="s">
        <v>563</v>
      </c>
      <c r="C45" s="1167" t="s">
        <v>2274</v>
      </c>
      <c r="D45" s="1167" t="s">
        <v>548</v>
      </c>
      <c r="E45" s="1167" t="s">
        <v>555</v>
      </c>
      <c r="F45" s="1167" t="s">
        <v>2169</v>
      </c>
      <c r="G45" s="1167" t="s">
        <v>2304</v>
      </c>
      <c r="H45" s="1167">
        <v>167</v>
      </c>
      <c r="I45" s="1168">
        <v>6579.14</v>
      </c>
      <c r="J45" s="1168">
        <v>6701.87</v>
      </c>
      <c r="K45" s="1168">
        <v>6701.8682500000004</v>
      </c>
      <c r="L45" s="1169">
        <f t="shared" si="0"/>
        <v>-122.72825000000012</v>
      </c>
      <c r="M45" s="1168">
        <v>0</v>
      </c>
      <c r="N45" s="1168">
        <v>0</v>
      </c>
      <c r="O45" s="1169">
        <f t="shared" si="1"/>
        <v>0</v>
      </c>
      <c r="P45" s="1169">
        <f t="shared" si="2"/>
        <v>-122.72825000000012</v>
      </c>
      <c r="Q45" s="1168">
        <v>3451.45</v>
      </c>
      <c r="R45" s="1168">
        <v>3127.69</v>
      </c>
      <c r="S45" s="1170">
        <v>1098716</v>
      </c>
      <c r="T45" s="1170">
        <v>1119212</v>
      </c>
      <c r="U45" s="1171">
        <f t="shared" si="3"/>
        <v>1119211.9977500001</v>
      </c>
      <c r="V45" s="1171">
        <f t="shared" si="4"/>
        <v>0</v>
      </c>
      <c r="W45" s="1171">
        <f t="shared" si="5"/>
        <v>0</v>
      </c>
      <c r="X45" s="1171">
        <f t="shared" si="6"/>
        <v>-20496</v>
      </c>
      <c r="Y45" s="1169">
        <f t="shared" si="7"/>
        <v>-1.8654502164344562</v>
      </c>
      <c r="Z45" s="1170">
        <v>576391.62</v>
      </c>
      <c r="AA45" s="1171">
        <f t="shared" si="8"/>
        <v>-20495.997750000097</v>
      </c>
      <c r="AB45" s="1169">
        <f t="shared" si="9"/>
        <v>-1.865450011649971</v>
      </c>
    </row>
    <row r="46" spans="1:28" outlineLevel="2">
      <c r="A46" s="1167" t="s">
        <v>549</v>
      </c>
      <c r="B46" s="1167" t="s">
        <v>563</v>
      </c>
      <c r="C46" s="1167" t="s">
        <v>2274</v>
      </c>
      <c r="D46" s="1167" t="s">
        <v>548</v>
      </c>
      <c r="E46" s="1167" t="s">
        <v>558</v>
      </c>
      <c r="F46" s="1167" t="s">
        <v>2033</v>
      </c>
      <c r="G46" s="1167" t="s">
        <v>2043</v>
      </c>
      <c r="H46" s="1167">
        <v>300</v>
      </c>
      <c r="I46" s="1168">
        <v>6057</v>
      </c>
      <c r="J46" s="1168">
        <v>4724.51</v>
      </c>
      <c r="K46" s="1168">
        <v>4595.9833200000003</v>
      </c>
      <c r="L46" s="1169">
        <f t="shared" si="0"/>
        <v>1461.0166799999997</v>
      </c>
      <c r="M46" s="1168">
        <v>79</v>
      </c>
      <c r="N46" s="1168">
        <v>49.53</v>
      </c>
      <c r="O46" s="1169">
        <f t="shared" si="1"/>
        <v>128.53</v>
      </c>
      <c r="P46" s="1169">
        <f t="shared" si="2"/>
        <v>1332.4866799999998</v>
      </c>
      <c r="Q46" s="1168">
        <v>2855.26</v>
      </c>
      <c r="R46" s="1168">
        <v>3201.74</v>
      </c>
      <c r="S46" s="1170">
        <v>1817100</v>
      </c>
      <c r="T46" s="1170">
        <v>1417354</v>
      </c>
      <c r="U46" s="1171">
        <f t="shared" si="3"/>
        <v>1378794.996</v>
      </c>
      <c r="V46" s="1171">
        <f t="shared" si="4"/>
        <v>23700</v>
      </c>
      <c r="W46" s="1171">
        <f t="shared" si="5"/>
        <v>14859</v>
      </c>
      <c r="X46" s="1171">
        <f t="shared" si="6"/>
        <v>399746</v>
      </c>
      <c r="Y46" s="1169">
        <f t="shared" si="7"/>
        <v>21.999119476088271</v>
      </c>
      <c r="Z46" s="1170">
        <v>856577.18</v>
      </c>
      <c r="AA46" s="1171">
        <f t="shared" si="8"/>
        <v>438305.00399999996</v>
      </c>
      <c r="AB46" s="1169">
        <f t="shared" si="9"/>
        <v>24.121127290737988</v>
      </c>
    </row>
    <row r="47" spans="1:28" outlineLevel="2">
      <c r="A47" s="1167" t="s">
        <v>549</v>
      </c>
      <c r="B47" s="1167" t="s">
        <v>563</v>
      </c>
      <c r="C47" s="1167" t="s">
        <v>2274</v>
      </c>
      <c r="D47" s="1167" t="s">
        <v>548</v>
      </c>
      <c r="E47" s="1167" t="s">
        <v>555</v>
      </c>
      <c r="F47" s="1167" t="s">
        <v>2044</v>
      </c>
      <c r="G47" s="1167" t="s">
        <v>2009</v>
      </c>
      <c r="H47" s="1167">
        <v>300</v>
      </c>
      <c r="I47" s="1168">
        <v>6814.13</v>
      </c>
      <c r="J47" s="1168">
        <v>6360.51</v>
      </c>
      <c r="K47" s="1168">
        <v>5081.25335</v>
      </c>
      <c r="L47" s="1169">
        <f t="shared" si="0"/>
        <v>1732.8766500000002</v>
      </c>
      <c r="M47" s="1168">
        <v>850</v>
      </c>
      <c r="N47" s="1168">
        <v>429.26</v>
      </c>
      <c r="O47" s="1169">
        <f t="shared" si="1"/>
        <v>1279.26</v>
      </c>
      <c r="P47" s="1169">
        <f t="shared" si="2"/>
        <v>453.61665000000016</v>
      </c>
      <c r="Q47" s="1168">
        <v>5024.9399999999996</v>
      </c>
      <c r="R47" s="1168">
        <v>1789.19</v>
      </c>
      <c r="S47" s="1170">
        <v>2044238</v>
      </c>
      <c r="T47" s="1170">
        <v>1908154</v>
      </c>
      <c r="U47" s="1171">
        <f t="shared" si="3"/>
        <v>1524376.0049999999</v>
      </c>
      <c r="V47" s="1171">
        <f t="shared" si="4"/>
        <v>255000</v>
      </c>
      <c r="W47" s="1171">
        <f t="shared" si="5"/>
        <v>128778</v>
      </c>
      <c r="X47" s="1171">
        <f t="shared" si="6"/>
        <v>136084</v>
      </c>
      <c r="Y47" s="1169">
        <f t="shared" si="7"/>
        <v>6.6569548164157011</v>
      </c>
      <c r="Z47" s="1170">
        <v>1507481.54</v>
      </c>
      <c r="AA47" s="1171">
        <f t="shared" si="8"/>
        <v>519861.99500000011</v>
      </c>
      <c r="AB47" s="1169">
        <f t="shared" si="9"/>
        <v>25.430600301921796</v>
      </c>
    </row>
    <row r="48" spans="1:28" outlineLevel="1">
      <c r="B48" s="1173" t="s">
        <v>593</v>
      </c>
      <c r="H48" s="1167">
        <f>SUBTOTAL(9,H2:H47)</f>
        <v>14025</v>
      </c>
      <c r="I48" s="1168"/>
      <c r="J48" s="1168"/>
      <c r="K48" s="1168"/>
      <c r="L48" s="1169"/>
      <c r="M48" s="1168"/>
      <c r="N48" s="1168"/>
      <c r="O48" s="1169"/>
      <c r="P48" s="1169"/>
      <c r="Q48" s="1168"/>
      <c r="R48" s="1168"/>
      <c r="S48" s="1170">
        <f t="shared" ref="S48:X48" si="10">SUBTOTAL(9,S2:S47)</f>
        <v>63767927</v>
      </c>
      <c r="T48" s="1170">
        <f t="shared" si="10"/>
        <v>55924181</v>
      </c>
      <c r="U48" s="1171">
        <f t="shared" si="10"/>
        <v>49310610.983329125</v>
      </c>
      <c r="V48" s="1171">
        <f t="shared" si="10"/>
        <v>4139566.305681319</v>
      </c>
      <c r="W48" s="1171">
        <f t="shared" si="10"/>
        <v>2474003.7135377661</v>
      </c>
      <c r="X48" s="1171">
        <f t="shared" si="10"/>
        <v>7843746</v>
      </c>
      <c r="Y48" s="1169">
        <f t="shared" si="7"/>
        <v>12.300456309329297</v>
      </c>
      <c r="Z48" s="1170">
        <f>SUBTOTAL(9,Z2:Z47)</f>
        <v>40622632.93999999</v>
      </c>
      <c r="AA48" s="1171">
        <f>SUBTOTAL(9,AA2:AA47)</f>
        <v>14457316.016670879</v>
      </c>
      <c r="AB48" s="1169">
        <f t="shared" si="9"/>
        <v>22.671767292468012</v>
      </c>
    </row>
    <row r="49" spans="1:28" hidden="1" outlineLevel="2">
      <c r="A49" s="1167" t="s">
        <v>2134</v>
      </c>
      <c r="B49" s="1167" t="s">
        <v>2135</v>
      </c>
      <c r="C49" s="1167" t="s">
        <v>2305</v>
      </c>
      <c r="D49" s="1167" t="s">
        <v>2003</v>
      </c>
      <c r="E49" s="1167" t="s">
        <v>2003</v>
      </c>
      <c r="F49" s="1167" t="s">
        <v>2202</v>
      </c>
      <c r="G49" s="1167" t="s">
        <v>2203</v>
      </c>
      <c r="H49" s="1167">
        <v>11</v>
      </c>
      <c r="I49" s="1168">
        <v>24732.27</v>
      </c>
      <c r="J49" s="1168">
        <v>16096.27</v>
      </c>
      <c r="K49" s="1168">
        <v>14300.823</v>
      </c>
      <c r="L49" s="1169">
        <f t="shared" si="0"/>
        <v>10431.447</v>
      </c>
      <c r="M49" s="1168">
        <v>865</v>
      </c>
      <c r="N49" s="1168">
        <v>930.45</v>
      </c>
      <c r="O49" s="1169">
        <f t="shared" si="1"/>
        <v>1795.45</v>
      </c>
      <c r="P49" s="1169">
        <f t="shared" si="2"/>
        <v>8635.9969999999994</v>
      </c>
      <c r="Q49" s="1168">
        <v>3268.77</v>
      </c>
      <c r="R49" s="1168">
        <v>21463.51</v>
      </c>
      <c r="S49" s="1170">
        <v>272055</v>
      </c>
      <c r="T49" s="1170">
        <v>177059</v>
      </c>
      <c r="U49" s="1171">
        <f t="shared" si="3"/>
        <v>157309.05300000001</v>
      </c>
      <c r="V49" s="1171">
        <f t="shared" si="4"/>
        <v>9515</v>
      </c>
      <c r="W49" s="1171">
        <f t="shared" si="5"/>
        <v>10234.950000000001</v>
      </c>
      <c r="X49" s="1171">
        <f t="shared" si="6"/>
        <v>94996</v>
      </c>
      <c r="Y49" s="1169">
        <f t="shared" si="7"/>
        <v>34.917939387256254</v>
      </c>
      <c r="Z49" s="1170">
        <v>35956.42</v>
      </c>
      <c r="AA49" s="1171">
        <f t="shared" si="8"/>
        <v>114745.94699999999</v>
      </c>
      <c r="AB49" s="1169">
        <f t="shared" si="9"/>
        <v>42.177481391630359</v>
      </c>
    </row>
    <row r="50" spans="1:28" outlineLevel="1" collapsed="1">
      <c r="B50" s="1173" t="s">
        <v>2306</v>
      </c>
      <c r="H50" s="1167">
        <f>SUBTOTAL(9,H49:H49)</f>
        <v>11</v>
      </c>
      <c r="I50" s="1168"/>
      <c r="J50" s="1168"/>
      <c r="K50" s="1168"/>
      <c r="L50" s="1169"/>
      <c r="M50" s="1168"/>
      <c r="N50" s="1168"/>
      <c r="O50" s="1169"/>
      <c r="P50" s="1169"/>
      <c r="Q50" s="1168"/>
      <c r="R50" s="1168"/>
      <c r="S50" s="1170">
        <f t="shared" ref="S50:X50" si="11">SUBTOTAL(9,S49:S49)</f>
        <v>272055</v>
      </c>
      <c r="T50" s="1170">
        <f t="shared" si="11"/>
        <v>177059</v>
      </c>
      <c r="U50" s="1171">
        <f t="shared" si="11"/>
        <v>157309.05300000001</v>
      </c>
      <c r="V50" s="1171">
        <f t="shared" si="11"/>
        <v>9515</v>
      </c>
      <c r="W50" s="1171">
        <f t="shared" si="11"/>
        <v>10234.950000000001</v>
      </c>
      <c r="X50" s="1171">
        <f t="shared" si="11"/>
        <v>94996</v>
      </c>
      <c r="Y50" s="1169">
        <f t="shared" si="7"/>
        <v>34.917939387256254</v>
      </c>
      <c r="Z50" s="1170">
        <f>SUBTOTAL(9,Z49:Z49)</f>
        <v>35956.42</v>
      </c>
      <c r="AA50" s="1171">
        <f>SUBTOTAL(9,AA49:AA49)</f>
        <v>114745.94699999999</v>
      </c>
      <c r="AB50" s="1169">
        <f t="shared" si="9"/>
        <v>42.177481391630359</v>
      </c>
    </row>
    <row r="51" spans="1:28" hidden="1" outlineLevel="2">
      <c r="A51" s="1167" t="s">
        <v>2001</v>
      </c>
      <c r="B51" s="1167" t="s">
        <v>2002</v>
      </c>
      <c r="C51" s="1167" t="s">
        <v>2305</v>
      </c>
      <c r="D51" s="1167" t="s">
        <v>2004</v>
      </c>
      <c r="E51" s="1167" t="s">
        <v>2004</v>
      </c>
      <c r="F51" s="1167" t="s">
        <v>2204</v>
      </c>
      <c r="G51" s="1167" t="s">
        <v>2205</v>
      </c>
      <c r="H51" s="1167">
        <v>50</v>
      </c>
      <c r="I51" s="1168">
        <v>13862.1</v>
      </c>
      <c r="J51" s="1168">
        <v>12200.04</v>
      </c>
      <c r="K51" s="1168">
        <v>10734.16</v>
      </c>
      <c r="L51" s="1169">
        <f t="shared" si="0"/>
        <v>3127.9400000000005</v>
      </c>
      <c r="M51" s="1168">
        <v>990.4</v>
      </c>
      <c r="N51" s="1168">
        <v>475.48</v>
      </c>
      <c r="O51" s="1169">
        <f t="shared" si="1"/>
        <v>1465.88</v>
      </c>
      <c r="P51" s="1169">
        <f t="shared" si="2"/>
        <v>1662.0600000000004</v>
      </c>
      <c r="Q51" s="1168">
        <v>2316.87</v>
      </c>
      <c r="R51" s="1168">
        <v>11545.23</v>
      </c>
      <c r="S51" s="1170">
        <v>693105</v>
      </c>
      <c r="T51" s="1170">
        <v>610002</v>
      </c>
      <c r="U51" s="1171">
        <f t="shared" si="3"/>
        <v>536708</v>
      </c>
      <c r="V51" s="1171">
        <f t="shared" si="4"/>
        <v>49520</v>
      </c>
      <c r="W51" s="1171">
        <f t="shared" si="5"/>
        <v>23774</v>
      </c>
      <c r="X51" s="1171">
        <f t="shared" si="6"/>
        <v>83103</v>
      </c>
      <c r="Y51" s="1169">
        <f t="shared" si="7"/>
        <v>11.989958231436795</v>
      </c>
      <c r="Z51" s="1170">
        <v>115843.54</v>
      </c>
      <c r="AA51" s="1171">
        <f t="shared" si="8"/>
        <v>156397</v>
      </c>
      <c r="AB51" s="1169">
        <f t="shared" si="9"/>
        <v>22.564690775567918</v>
      </c>
    </row>
    <row r="52" spans="1:28" outlineLevel="1" collapsed="1">
      <c r="B52" s="1173" t="s">
        <v>2045</v>
      </c>
      <c r="H52" s="1167">
        <f>SUBTOTAL(9,H51:H51)</f>
        <v>50</v>
      </c>
      <c r="I52" s="1168"/>
      <c r="J52" s="1168"/>
      <c r="K52" s="1168"/>
      <c r="L52" s="1169"/>
      <c r="M52" s="1168"/>
      <c r="N52" s="1168"/>
      <c r="O52" s="1169"/>
      <c r="P52" s="1169"/>
      <c r="Q52" s="1168"/>
      <c r="R52" s="1168"/>
      <c r="S52" s="1170">
        <f t="shared" ref="S52:X52" si="12">SUBTOTAL(9,S51:S51)</f>
        <v>693105</v>
      </c>
      <c r="T52" s="1170">
        <f t="shared" si="12"/>
        <v>610002</v>
      </c>
      <c r="U52" s="1171">
        <f t="shared" si="12"/>
        <v>536708</v>
      </c>
      <c r="V52" s="1171">
        <f t="shared" si="12"/>
        <v>49520</v>
      </c>
      <c r="W52" s="1171">
        <f t="shared" si="12"/>
        <v>23774</v>
      </c>
      <c r="X52" s="1171">
        <f t="shared" si="12"/>
        <v>83103</v>
      </c>
      <c r="Y52" s="1169">
        <f t="shared" si="7"/>
        <v>11.989958231436795</v>
      </c>
      <c r="Z52" s="1170">
        <f>SUBTOTAL(9,Z51:Z51)</f>
        <v>115843.54</v>
      </c>
      <c r="AA52" s="1171">
        <f>SUBTOTAL(9,AA51:AA51)</f>
        <v>156397</v>
      </c>
      <c r="AB52" s="1169">
        <f t="shared" si="9"/>
        <v>22.564690775567918</v>
      </c>
    </row>
    <row r="53" spans="1:28" hidden="1" outlineLevel="2">
      <c r="A53" s="1167" t="s">
        <v>2139</v>
      </c>
      <c r="B53" s="1167" t="s">
        <v>2140</v>
      </c>
      <c r="C53" s="1167" t="s">
        <v>2305</v>
      </c>
      <c r="D53" s="1167" t="s">
        <v>2011</v>
      </c>
      <c r="E53" s="1167" t="s">
        <v>2011</v>
      </c>
      <c r="F53" s="1167" t="s">
        <v>2206</v>
      </c>
      <c r="G53" s="1167" t="s">
        <v>2207</v>
      </c>
      <c r="H53" s="1167">
        <v>7</v>
      </c>
      <c r="I53" s="1168">
        <v>31189.71</v>
      </c>
      <c r="J53" s="1168">
        <v>21031.86</v>
      </c>
      <c r="K53" s="1168">
        <v>19754.147000000001</v>
      </c>
      <c r="L53" s="1169">
        <f t="shared" si="0"/>
        <v>11435.562999999998</v>
      </c>
      <c r="M53" s="1168">
        <v>865</v>
      </c>
      <c r="N53" s="1168">
        <v>412.71</v>
      </c>
      <c r="O53" s="1169">
        <f t="shared" si="1"/>
        <v>1277.71</v>
      </c>
      <c r="P53" s="1169">
        <f t="shared" si="2"/>
        <v>10157.852999999999</v>
      </c>
      <c r="Q53" s="1168">
        <v>2083.83</v>
      </c>
      <c r="R53" s="1168">
        <v>29105.89</v>
      </c>
      <c r="S53" s="1170">
        <v>218328</v>
      </c>
      <c r="T53" s="1170">
        <v>147223</v>
      </c>
      <c r="U53" s="1171">
        <f t="shared" si="3"/>
        <v>138279.02900000001</v>
      </c>
      <c r="V53" s="1171">
        <f t="shared" si="4"/>
        <v>6055</v>
      </c>
      <c r="W53" s="1171">
        <f t="shared" si="5"/>
        <v>2888.97</v>
      </c>
      <c r="X53" s="1171">
        <f t="shared" si="6"/>
        <v>71105</v>
      </c>
      <c r="Y53" s="1169">
        <f t="shared" si="7"/>
        <v>32.567971126012239</v>
      </c>
      <c r="Z53" s="1170">
        <v>14586.79</v>
      </c>
      <c r="AA53" s="1171">
        <f t="shared" si="8"/>
        <v>80048.97099999999</v>
      </c>
      <c r="AB53" s="1169">
        <f t="shared" si="9"/>
        <v>36.664546462203653</v>
      </c>
    </row>
    <row r="54" spans="1:28" outlineLevel="1" collapsed="1">
      <c r="B54" s="1173" t="s">
        <v>2307</v>
      </c>
      <c r="H54" s="1167">
        <f>SUBTOTAL(9,H53:H53)</f>
        <v>7</v>
      </c>
      <c r="I54" s="1168"/>
      <c r="J54" s="1168"/>
      <c r="K54" s="1168"/>
      <c r="L54" s="1169"/>
      <c r="M54" s="1168"/>
      <c r="N54" s="1168"/>
      <c r="O54" s="1169"/>
      <c r="P54" s="1169"/>
      <c r="Q54" s="1168"/>
      <c r="R54" s="1168"/>
      <c r="S54" s="1170">
        <f t="shared" ref="S54:X54" si="13">SUBTOTAL(9,S53:S53)</f>
        <v>218328</v>
      </c>
      <c r="T54" s="1170">
        <f t="shared" si="13"/>
        <v>147223</v>
      </c>
      <c r="U54" s="1171">
        <f t="shared" si="13"/>
        <v>138279.02900000001</v>
      </c>
      <c r="V54" s="1171">
        <f t="shared" si="13"/>
        <v>6055</v>
      </c>
      <c r="W54" s="1171">
        <f t="shared" si="13"/>
        <v>2888.97</v>
      </c>
      <c r="X54" s="1171">
        <f t="shared" si="13"/>
        <v>71105</v>
      </c>
      <c r="Y54" s="1169">
        <f t="shared" si="7"/>
        <v>32.567971126012239</v>
      </c>
      <c r="Z54" s="1170">
        <f>SUBTOTAL(9,Z53:Z53)</f>
        <v>14586.79</v>
      </c>
      <c r="AA54" s="1171">
        <f>SUBTOTAL(9,AA53:AA53)</f>
        <v>80048.97099999999</v>
      </c>
      <c r="AB54" s="1169">
        <f t="shared" si="9"/>
        <v>36.664546462203653</v>
      </c>
    </row>
    <row r="55" spans="1:28" hidden="1" outlineLevel="2">
      <c r="A55" s="1167" t="s">
        <v>2133</v>
      </c>
      <c r="B55" s="1167" t="s">
        <v>2057</v>
      </c>
      <c r="C55" s="1167" t="s">
        <v>2305</v>
      </c>
      <c r="D55" s="1167" t="s">
        <v>1751</v>
      </c>
      <c r="E55" s="1167" t="s">
        <v>1751</v>
      </c>
      <c r="F55" s="1167" t="s">
        <v>2208</v>
      </c>
      <c r="G55" s="1167" t="s">
        <v>2209</v>
      </c>
      <c r="H55" s="1167">
        <v>27</v>
      </c>
      <c r="I55" s="1168">
        <v>21320.63</v>
      </c>
      <c r="J55" s="1168">
        <v>14201.56</v>
      </c>
      <c r="K55" s="1168">
        <v>12924.845499999999</v>
      </c>
      <c r="L55" s="1169">
        <f t="shared" si="0"/>
        <v>8395.7845000000016</v>
      </c>
      <c r="M55" s="1168">
        <v>650</v>
      </c>
      <c r="N55" s="1168">
        <v>626.71</v>
      </c>
      <c r="O55" s="1169">
        <f t="shared" si="1"/>
        <v>1276.71</v>
      </c>
      <c r="P55" s="1169">
        <f t="shared" si="2"/>
        <v>7119.0745000000015</v>
      </c>
      <c r="Q55" s="1168">
        <v>4504.2299999999996</v>
      </c>
      <c r="R55" s="1168">
        <v>16816.400000000001</v>
      </c>
      <c r="S55" s="1170">
        <v>575657</v>
      </c>
      <c r="T55" s="1170">
        <v>383442</v>
      </c>
      <c r="U55" s="1171">
        <f t="shared" si="3"/>
        <v>348970.8285</v>
      </c>
      <c r="V55" s="1171">
        <f t="shared" si="4"/>
        <v>17550</v>
      </c>
      <c r="W55" s="1171">
        <f t="shared" si="5"/>
        <v>16921.170000000002</v>
      </c>
      <c r="X55" s="1171">
        <f t="shared" si="6"/>
        <v>192215</v>
      </c>
      <c r="Y55" s="1169">
        <f t="shared" si="7"/>
        <v>33.390543327015912</v>
      </c>
      <c r="Z55" s="1170">
        <v>121614.12</v>
      </c>
      <c r="AA55" s="1171">
        <f t="shared" si="8"/>
        <v>226686.1715</v>
      </c>
      <c r="AB55" s="1169">
        <f t="shared" si="9"/>
        <v>39.378687569160107</v>
      </c>
    </row>
    <row r="56" spans="1:28" outlineLevel="1" collapsed="1">
      <c r="B56" s="1173" t="s">
        <v>2058</v>
      </c>
      <c r="H56" s="1167">
        <f>SUBTOTAL(9,H55:H55)</f>
        <v>27</v>
      </c>
      <c r="I56" s="1168"/>
      <c r="J56" s="1168"/>
      <c r="K56" s="1168"/>
      <c r="L56" s="1169"/>
      <c r="M56" s="1168"/>
      <c r="N56" s="1168"/>
      <c r="O56" s="1169"/>
      <c r="P56" s="1169"/>
      <c r="Q56" s="1168"/>
      <c r="R56" s="1168"/>
      <c r="S56" s="1170">
        <f t="shared" ref="S56:X56" si="14">SUBTOTAL(9,S55:S55)</f>
        <v>575657</v>
      </c>
      <c r="T56" s="1170">
        <f t="shared" si="14"/>
        <v>383442</v>
      </c>
      <c r="U56" s="1171">
        <f t="shared" si="14"/>
        <v>348970.8285</v>
      </c>
      <c r="V56" s="1171">
        <f t="shared" si="14"/>
        <v>17550</v>
      </c>
      <c r="W56" s="1171">
        <f t="shared" si="14"/>
        <v>16921.170000000002</v>
      </c>
      <c r="X56" s="1171">
        <f t="shared" si="14"/>
        <v>192215</v>
      </c>
      <c r="Y56" s="1169">
        <f t="shared" si="7"/>
        <v>33.390543327015912</v>
      </c>
      <c r="Z56" s="1170">
        <f>SUBTOTAL(9,Z55:Z55)</f>
        <v>121614.12</v>
      </c>
      <c r="AA56" s="1171">
        <f>SUBTOTAL(9,AA55:AA55)</f>
        <v>226686.1715</v>
      </c>
      <c r="AB56" s="1169">
        <f t="shared" si="9"/>
        <v>39.378687569160107</v>
      </c>
    </row>
    <row r="57" spans="1:28" hidden="1" outlineLevel="2">
      <c r="A57" s="1167" t="s">
        <v>2137</v>
      </c>
      <c r="B57" s="1167" t="s">
        <v>2138</v>
      </c>
      <c r="C57" s="1167" t="s">
        <v>2305</v>
      </c>
      <c r="D57" s="1167" t="s">
        <v>2011</v>
      </c>
      <c r="E57" s="1167" t="s">
        <v>2011</v>
      </c>
      <c r="F57" s="1167" t="s">
        <v>2210</v>
      </c>
      <c r="G57" s="1167" t="s">
        <v>2211</v>
      </c>
      <c r="H57" s="1167">
        <v>10</v>
      </c>
      <c r="I57" s="1168">
        <v>28269.7</v>
      </c>
      <c r="J57" s="1168">
        <v>20925.7</v>
      </c>
      <c r="K57" s="1168">
        <v>19514.599999999999</v>
      </c>
      <c r="L57" s="1169">
        <f t="shared" si="0"/>
        <v>8755.1000000000022</v>
      </c>
      <c r="M57" s="1168">
        <v>865</v>
      </c>
      <c r="N57" s="1168">
        <v>546.1</v>
      </c>
      <c r="O57" s="1169">
        <f t="shared" si="1"/>
        <v>1411.1</v>
      </c>
      <c r="P57" s="1169">
        <f t="shared" si="2"/>
        <v>7344.0000000000018</v>
      </c>
      <c r="Q57" s="1168">
        <v>5941.92</v>
      </c>
      <c r="R57" s="1168">
        <v>22327.78</v>
      </c>
      <c r="S57" s="1170">
        <v>282697</v>
      </c>
      <c r="T57" s="1170">
        <v>209257</v>
      </c>
      <c r="U57" s="1171">
        <f t="shared" si="3"/>
        <v>195146</v>
      </c>
      <c r="V57" s="1171">
        <f t="shared" si="4"/>
        <v>8650</v>
      </c>
      <c r="W57" s="1171">
        <f t="shared" si="5"/>
        <v>5461</v>
      </c>
      <c r="X57" s="1171">
        <f t="shared" si="6"/>
        <v>73440</v>
      </c>
      <c r="Y57" s="1169">
        <f t="shared" si="7"/>
        <v>25.978344305033303</v>
      </c>
      <c r="Z57" s="1170">
        <v>59419.21</v>
      </c>
      <c r="AA57" s="1171">
        <f t="shared" si="8"/>
        <v>87551</v>
      </c>
      <c r="AB57" s="1169">
        <f t="shared" si="9"/>
        <v>30.969907710375423</v>
      </c>
    </row>
    <row r="58" spans="1:28" outlineLevel="1" collapsed="1">
      <c r="B58" s="1173" t="s">
        <v>2308</v>
      </c>
      <c r="H58" s="1167">
        <f>SUBTOTAL(9,H57:H57)</f>
        <v>10</v>
      </c>
      <c r="I58" s="1168"/>
      <c r="J58" s="1168"/>
      <c r="K58" s="1168"/>
      <c r="L58" s="1169"/>
      <c r="M58" s="1168"/>
      <c r="N58" s="1168"/>
      <c r="O58" s="1169"/>
      <c r="P58" s="1169"/>
      <c r="Q58" s="1168"/>
      <c r="R58" s="1168"/>
      <c r="S58" s="1170">
        <f t="shared" ref="S58:X58" si="15">SUBTOTAL(9,S57:S57)</f>
        <v>282697</v>
      </c>
      <c r="T58" s="1170">
        <f t="shared" si="15"/>
        <v>209257</v>
      </c>
      <c r="U58" s="1171">
        <f t="shared" si="15"/>
        <v>195146</v>
      </c>
      <c r="V58" s="1171">
        <f t="shared" si="15"/>
        <v>8650</v>
      </c>
      <c r="W58" s="1171">
        <f t="shared" si="15"/>
        <v>5461</v>
      </c>
      <c r="X58" s="1171">
        <f t="shared" si="15"/>
        <v>73440</v>
      </c>
      <c r="Y58" s="1169">
        <f t="shared" si="7"/>
        <v>25.978344305033303</v>
      </c>
      <c r="Z58" s="1170">
        <f>SUBTOTAL(9,Z57:Z57)</f>
        <v>59419.21</v>
      </c>
      <c r="AA58" s="1171">
        <f>SUBTOTAL(9,AA57:AA57)</f>
        <v>87551</v>
      </c>
      <c r="AB58" s="1169">
        <f t="shared" si="9"/>
        <v>30.969907710375423</v>
      </c>
    </row>
    <row r="59" spans="1:28" hidden="1" outlineLevel="2">
      <c r="A59" s="1167" t="s">
        <v>1271</v>
      </c>
      <c r="B59" s="1167" t="s">
        <v>1263</v>
      </c>
      <c r="C59" s="1167" t="s">
        <v>2305</v>
      </c>
      <c r="D59" s="1167" t="s">
        <v>1264</v>
      </c>
      <c r="E59" s="1167" t="s">
        <v>1264</v>
      </c>
      <c r="F59" s="1167" t="s">
        <v>2059</v>
      </c>
      <c r="G59" s="1167" t="s">
        <v>2060</v>
      </c>
      <c r="H59" s="1167">
        <v>20</v>
      </c>
      <c r="I59" s="1168">
        <v>14149.95</v>
      </c>
      <c r="J59" s="1168">
        <v>10177.049999999999</v>
      </c>
      <c r="K59" s="1168">
        <v>8864.65</v>
      </c>
      <c r="L59" s="1169">
        <f t="shared" si="0"/>
        <v>5285.3000000000011</v>
      </c>
      <c r="M59" s="1168">
        <v>805.6</v>
      </c>
      <c r="N59" s="1168">
        <v>506.8</v>
      </c>
      <c r="O59" s="1169">
        <f t="shared" si="1"/>
        <v>1312.4</v>
      </c>
      <c r="P59" s="1169">
        <f t="shared" si="2"/>
        <v>3972.900000000001</v>
      </c>
      <c r="Q59" s="1168">
        <v>1916.14</v>
      </c>
      <c r="R59" s="1168">
        <v>12233.81</v>
      </c>
      <c r="S59" s="1170">
        <v>282999</v>
      </c>
      <c r="T59" s="1170">
        <v>203541</v>
      </c>
      <c r="U59" s="1171">
        <f t="shared" si="3"/>
        <v>177293</v>
      </c>
      <c r="V59" s="1171">
        <f t="shared" si="4"/>
        <v>16112</v>
      </c>
      <c r="W59" s="1171">
        <f t="shared" si="5"/>
        <v>10136</v>
      </c>
      <c r="X59" s="1171">
        <f t="shared" si="6"/>
        <v>79458</v>
      </c>
      <c r="Y59" s="1169">
        <f t="shared" si="7"/>
        <v>28.077131014597224</v>
      </c>
      <c r="Z59" s="1170">
        <v>38322.79</v>
      </c>
      <c r="AA59" s="1171">
        <f t="shared" si="8"/>
        <v>105706</v>
      </c>
      <c r="AB59" s="1169">
        <f t="shared" si="9"/>
        <v>37.352075449029854</v>
      </c>
    </row>
    <row r="60" spans="1:28" hidden="1" outlineLevel="2">
      <c r="A60" s="1167" t="s">
        <v>1271</v>
      </c>
      <c r="B60" s="1167" t="s">
        <v>1263</v>
      </c>
      <c r="C60" s="1167" t="s">
        <v>2305</v>
      </c>
      <c r="D60" s="1167" t="s">
        <v>2010</v>
      </c>
      <c r="E60" s="1167" t="s">
        <v>2010</v>
      </c>
      <c r="F60" s="1167" t="s">
        <v>2212</v>
      </c>
      <c r="G60" s="1167" t="s">
        <v>2213</v>
      </c>
      <c r="H60" s="1167">
        <v>25</v>
      </c>
      <c r="I60" s="1168">
        <v>16051.04</v>
      </c>
      <c r="J60" s="1168">
        <v>12828.16</v>
      </c>
      <c r="K60" s="1168">
        <v>11032.72</v>
      </c>
      <c r="L60" s="1169">
        <f t="shared" si="0"/>
        <v>5018.3200000000015</v>
      </c>
      <c r="M60" s="1168">
        <v>865</v>
      </c>
      <c r="N60" s="1168">
        <v>930.44</v>
      </c>
      <c r="O60" s="1169">
        <f t="shared" si="1"/>
        <v>1795.44</v>
      </c>
      <c r="P60" s="1169">
        <f t="shared" si="2"/>
        <v>3222.8800000000015</v>
      </c>
      <c r="Q60" s="1168">
        <v>3224.32</v>
      </c>
      <c r="R60" s="1168">
        <v>12826.72</v>
      </c>
      <c r="S60" s="1170">
        <v>401276</v>
      </c>
      <c r="T60" s="1170">
        <v>320704</v>
      </c>
      <c r="U60" s="1171">
        <f t="shared" si="3"/>
        <v>275818</v>
      </c>
      <c r="V60" s="1171">
        <f t="shared" si="4"/>
        <v>21625</v>
      </c>
      <c r="W60" s="1171">
        <f t="shared" si="5"/>
        <v>23261</v>
      </c>
      <c r="X60" s="1171">
        <f t="shared" si="6"/>
        <v>80572</v>
      </c>
      <c r="Y60" s="1169">
        <f t="shared" si="7"/>
        <v>20.078948155384325</v>
      </c>
      <c r="Z60" s="1170">
        <v>80607.89</v>
      </c>
      <c r="AA60" s="1171">
        <f t="shared" si="8"/>
        <v>125458</v>
      </c>
      <c r="AB60" s="1169">
        <f t="shared" si="9"/>
        <v>31.264765398379168</v>
      </c>
    </row>
    <row r="61" spans="1:28" hidden="1" outlineLevel="2">
      <c r="A61" s="1167" t="s">
        <v>1271</v>
      </c>
      <c r="B61" s="1167" t="s">
        <v>1263</v>
      </c>
      <c r="C61" s="1167" t="s">
        <v>2305</v>
      </c>
      <c r="D61" s="1167" t="s">
        <v>1872</v>
      </c>
      <c r="E61" s="1167" t="s">
        <v>1872</v>
      </c>
      <c r="F61" s="1167" t="s">
        <v>2214</v>
      </c>
      <c r="G61" s="1167" t="s">
        <v>2215</v>
      </c>
      <c r="H61" s="1167">
        <v>2</v>
      </c>
      <c r="I61" s="1168">
        <v>14150</v>
      </c>
      <c r="J61" s="1168">
        <v>8459.5</v>
      </c>
      <c r="K61" s="1168">
        <v>8394</v>
      </c>
      <c r="L61" s="1169">
        <f t="shared" si="0"/>
        <v>5756</v>
      </c>
      <c r="M61" s="1168">
        <v>0</v>
      </c>
      <c r="N61" s="1168">
        <v>65.5</v>
      </c>
      <c r="O61" s="1169">
        <f t="shared" si="1"/>
        <v>65.5</v>
      </c>
      <c r="P61" s="1169">
        <f t="shared" si="2"/>
        <v>5690.5</v>
      </c>
      <c r="Q61" s="1168">
        <v>1916.14</v>
      </c>
      <c r="R61" s="1168">
        <v>12233.86</v>
      </c>
      <c r="S61" s="1170">
        <v>28300</v>
      </c>
      <c r="T61" s="1170">
        <v>16919</v>
      </c>
      <c r="U61" s="1171">
        <f t="shared" si="3"/>
        <v>16788</v>
      </c>
      <c r="V61" s="1171">
        <f t="shared" si="4"/>
        <v>0</v>
      </c>
      <c r="W61" s="1171">
        <f t="shared" si="5"/>
        <v>131</v>
      </c>
      <c r="X61" s="1171">
        <f t="shared" si="6"/>
        <v>11381</v>
      </c>
      <c r="Y61" s="1169">
        <f t="shared" si="7"/>
        <v>40.215547703180206</v>
      </c>
      <c r="Z61" s="1170">
        <v>3832.28</v>
      </c>
      <c r="AA61" s="1171">
        <f t="shared" si="8"/>
        <v>11512</v>
      </c>
      <c r="AB61" s="1169">
        <f t="shared" si="9"/>
        <v>40.678445229681984</v>
      </c>
    </row>
    <row r="62" spans="1:28" hidden="1" outlineLevel="2">
      <c r="A62" s="1167" t="s">
        <v>1271</v>
      </c>
      <c r="B62" s="1167" t="s">
        <v>1263</v>
      </c>
      <c r="C62" s="1167" t="s">
        <v>2305</v>
      </c>
      <c r="D62" s="1167" t="s">
        <v>1751</v>
      </c>
      <c r="E62" s="1167" t="s">
        <v>1751</v>
      </c>
      <c r="F62" s="1167" t="s">
        <v>2216</v>
      </c>
      <c r="G62" s="1167" t="s">
        <v>2217</v>
      </c>
      <c r="H62" s="1167">
        <v>1</v>
      </c>
      <c r="I62" s="1168">
        <v>17960</v>
      </c>
      <c r="J62" s="1168">
        <v>10635</v>
      </c>
      <c r="K62" s="1168">
        <v>10569</v>
      </c>
      <c r="L62" s="1169">
        <f t="shared" si="0"/>
        <v>7391</v>
      </c>
      <c r="M62" s="1168">
        <v>0</v>
      </c>
      <c r="N62" s="1168">
        <v>66</v>
      </c>
      <c r="O62" s="1169">
        <f t="shared" si="1"/>
        <v>66</v>
      </c>
      <c r="P62" s="1169">
        <f t="shared" si="2"/>
        <v>7325</v>
      </c>
      <c r="Q62" s="1168">
        <v>8013.7</v>
      </c>
      <c r="R62" s="1168">
        <v>9946.2999999999993</v>
      </c>
      <c r="S62" s="1170">
        <v>17960</v>
      </c>
      <c r="T62" s="1170">
        <v>10635</v>
      </c>
      <c r="U62" s="1171">
        <f t="shared" si="3"/>
        <v>10569</v>
      </c>
      <c r="V62" s="1171">
        <f t="shared" si="4"/>
        <v>0</v>
      </c>
      <c r="W62" s="1171">
        <f t="shared" si="5"/>
        <v>66</v>
      </c>
      <c r="X62" s="1171">
        <f t="shared" si="6"/>
        <v>7325</v>
      </c>
      <c r="Y62" s="1169">
        <f t="shared" si="7"/>
        <v>40.785077951002229</v>
      </c>
      <c r="Z62" s="1170">
        <v>8013.7</v>
      </c>
      <c r="AA62" s="1171">
        <f t="shared" si="8"/>
        <v>7391</v>
      </c>
      <c r="AB62" s="1169">
        <f t="shared" si="9"/>
        <v>41.152561247216035</v>
      </c>
    </row>
    <row r="63" spans="1:28" hidden="1" outlineLevel="2">
      <c r="A63" s="1167" t="s">
        <v>1271</v>
      </c>
      <c r="B63" s="1167" t="s">
        <v>1263</v>
      </c>
      <c r="C63" s="1167" t="s">
        <v>2305</v>
      </c>
      <c r="D63" s="1167" t="s">
        <v>398</v>
      </c>
      <c r="E63" s="1167" t="s">
        <v>398</v>
      </c>
      <c r="F63" s="1167" t="s">
        <v>2218</v>
      </c>
      <c r="G63" s="1167" t="s">
        <v>2219</v>
      </c>
      <c r="H63" s="1167">
        <v>3</v>
      </c>
      <c r="I63" s="1168">
        <v>635</v>
      </c>
      <c r="J63" s="1168">
        <v>503.33</v>
      </c>
      <c r="K63" s="1168">
        <v>437.66199999999998</v>
      </c>
      <c r="L63" s="1169">
        <f t="shared" si="0"/>
        <v>197.33800000000002</v>
      </c>
      <c r="M63" s="1168">
        <v>0</v>
      </c>
      <c r="N63" s="1168">
        <v>65.67</v>
      </c>
      <c r="O63" s="1169">
        <f t="shared" si="1"/>
        <v>65.67</v>
      </c>
      <c r="P63" s="1169">
        <f t="shared" si="2"/>
        <v>131.66800000000001</v>
      </c>
      <c r="Q63" s="1168">
        <v>444.37</v>
      </c>
      <c r="R63" s="1168">
        <v>190.63</v>
      </c>
      <c r="S63" s="1170">
        <v>1905</v>
      </c>
      <c r="T63" s="1170">
        <v>1510</v>
      </c>
      <c r="U63" s="1171">
        <f t="shared" si="3"/>
        <v>1312.9859999999999</v>
      </c>
      <c r="V63" s="1171">
        <f t="shared" si="4"/>
        <v>0</v>
      </c>
      <c r="W63" s="1171">
        <f t="shared" si="5"/>
        <v>197.01</v>
      </c>
      <c r="X63" s="1171">
        <f t="shared" si="6"/>
        <v>395</v>
      </c>
      <c r="Y63" s="1169">
        <f t="shared" si="7"/>
        <v>20.73490813648294</v>
      </c>
      <c r="Z63" s="1170">
        <v>1333.12</v>
      </c>
      <c r="AA63" s="1171">
        <f t="shared" si="8"/>
        <v>592.01400000000012</v>
      </c>
      <c r="AB63" s="1169">
        <f t="shared" si="9"/>
        <v>31.076850393700795</v>
      </c>
    </row>
    <row r="64" spans="1:28" outlineLevel="1" collapsed="1">
      <c r="B64" s="1173" t="s">
        <v>1272</v>
      </c>
      <c r="H64" s="1167">
        <f>SUBTOTAL(9,H59:H63)</f>
        <v>51</v>
      </c>
      <c r="I64" s="1168"/>
      <c r="J64" s="1168"/>
      <c r="K64" s="1168"/>
      <c r="L64" s="1169"/>
      <c r="M64" s="1168"/>
      <c r="N64" s="1168"/>
      <c r="O64" s="1169"/>
      <c r="P64" s="1169"/>
      <c r="Q64" s="1168"/>
      <c r="R64" s="1168"/>
      <c r="S64" s="1170">
        <f t="shared" ref="S64:X64" si="16">SUBTOTAL(9,S59:S63)</f>
        <v>732440</v>
      </c>
      <c r="T64" s="1170">
        <f t="shared" si="16"/>
        <v>553309</v>
      </c>
      <c r="U64" s="1171">
        <f t="shared" si="16"/>
        <v>481780.98599999998</v>
      </c>
      <c r="V64" s="1171">
        <f t="shared" si="16"/>
        <v>37737</v>
      </c>
      <c r="W64" s="1171">
        <f t="shared" si="16"/>
        <v>33791.01</v>
      </c>
      <c r="X64" s="1171">
        <f t="shared" si="16"/>
        <v>179131</v>
      </c>
      <c r="Y64" s="1169">
        <f t="shared" si="7"/>
        <v>24.456747310359894</v>
      </c>
      <c r="Z64" s="1170">
        <f>SUBTOTAL(9,Z59:Z63)</f>
        <v>132109.78</v>
      </c>
      <c r="AA64" s="1171">
        <f>SUBTOTAL(9,AA59:AA63)</f>
        <v>250659.014</v>
      </c>
      <c r="AB64" s="1169">
        <f t="shared" si="9"/>
        <v>34.222463819562009</v>
      </c>
    </row>
    <row r="65" spans="1:28" hidden="1" outlineLevel="2">
      <c r="A65" s="1167" t="s">
        <v>2125</v>
      </c>
      <c r="B65" s="1167" t="s">
        <v>2126</v>
      </c>
      <c r="C65" s="1167" t="s">
        <v>2305</v>
      </c>
      <c r="D65" s="1167" t="s">
        <v>1242</v>
      </c>
      <c r="E65" s="1167" t="s">
        <v>1242</v>
      </c>
      <c r="F65" s="1167" t="s">
        <v>2220</v>
      </c>
      <c r="G65" s="1167" t="s">
        <v>2221</v>
      </c>
      <c r="H65" s="1167">
        <v>5</v>
      </c>
      <c r="I65" s="1168">
        <v>4490</v>
      </c>
      <c r="J65" s="1168">
        <v>4929</v>
      </c>
      <c r="K65" s="1168">
        <v>3586.56</v>
      </c>
      <c r="L65" s="1169">
        <f t="shared" si="0"/>
        <v>903.44</v>
      </c>
      <c r="M65" s="1168">
        <v>392.7</v>
      </c>
      <c r="N65" s="1168">
        <v>949.74</v>
      </c>
      <c r="O65" s="1169">
        <f t="shared" si="1"/>
        <v>1342.44</v>
      </c>
      <c r="P65" s="1169">
        <f t="shared" si="2"/>
        <v>-439</v>
      </c>
      <c r="Q65" s="1168">
        <v>3365.75</v>
      </c>
      <c r="R65" s="1168">
        <v>1124.25</v>
      </c>
      <c r="S65" s="1170">
        <v>22450</v>
      </c>
      <c r="T65" s="1170">
        <v>24645</v>
      </c>
      <c r="U65" s="1171">
        <f t="shared" si="3"/>
        <v>17932.8</v>
      </c>
      <c r="V65" s="1171">
        <f t="shared" si="4"/>
        <v>1963.5</v>
      </c>
      <c r="W65" s="1171">
        <f t="shared" si="5"/>
        <v>4748.7</v>
      </c>
      <c r="X65" s="1171">
        <f t="shared" si="6"/>
        <v>-2195</v>
      </c>
      <c r="Y65" s="1169">
        <f t="shared" si="7"/>
        <v>-9.7772828507795104</v>
      </c>
      <c r="Z65" s="1170">
        <v>16828.73</v>
      </c>
      <c r="AA65" s="1171">
        <f t="shared" si="8"/>
        <v>4517.2000000000007</v>
      </c>
      <c r="AB65" s="1169">
        <f t="shared" si="9"/>
        <v>20.121158129175949</v>
      </c>
    </row>
    <row r="66" spans="1:28" hidden="1" outlineLevel="2">
      <c r="A66" s="1167" t="s">
        <v>2125</v>
      </c>
      <c r="B66" s="1167" t="s">
        <v>2126</v>
      </c>
      <c r="C66" s="1167" t="s">
        <v>2305</v>
      </c>
      <c r="D66" s="1167" t="s">
        <v>1242</v>
      </c>
      <c r="E66" s="1167" t="s">
        <v>1242</v>
      </c>
      <c r="F66" s="1167" t="s">
        <v>2222</v>
      </c>
      <c r="G66" s="1167" t="s">
        <v>2223</v>
      </c>
      <c r="H66" s="1167">
        <v>5</v>
      </c>
      <c r="I66" s="1168">
        <v>4490.2</v>
      </c>
      <c r="J66" s="1168">
        <v>4896.6000000000004</v>
      </c>
      <c r="K66" s="1168">
        <v>3554.16</v>
      </c>
      <c r="L66" s="1169">
        <f t="shared" si="0"/>
        <v>936.04</v>
      </c>
      <c r="M66" s="1168">
        <v>392.7</v>
      </c>
      <c r="N66" s="1168">
        <v>949.74</v>
      </c>
      <c r="O66" s="1169">
        <f t="shared" si="1"/>
        <v>1342.44</v>
      </c>
      <c r="P66" s="1169">
        <f t="shared" si="2"/>
        <v>-406.40000000000009</v>
      </c>
      <c r="Q66" s="1168">
        <v>3372.82</v>
      </c>
      <c r="R66" s="1168">
        <v>1117.3800000000001</v>
      </c>
      <c r="S66" s="1170">
        <v>22451</v>
      </c>
      <c r="T66" s="1170">
        <v>24483</v>
      </c>
      <c r="U66" s="1171">
        <f t="shared" si="3"/>
        <v>17770.8</v>
      </c>
      <c r="V66" s="1171">
        <f t="shared" si="4"/>
        <v>1963.5</v>
      </c>
      <c r="W66" s="1171">
        <f t="shared" si="5"/>
        <v>4748.7</v>
      </c>
      <c r="X66" s="1171">
        <f t="shared" si="6"/>
        <v>-2032</v>
      </c>
      <c r="Y66" s="1169">
        <f t="shared" si="7"/>
        <v>-9.0508217896752932</v>
      </c>
      <c r="Z66" s="1170">
        <v>16864.09</v>
      </c>
      <c r="AA66" s="1171">
        <f t="shared" si="8"/>
        <v>4680.2000000000007</v>
      </c>
      <c r="AB66" s="1169">
        <f t="shared" si="9"/>
        <v>20.846287470491294</v>
      </c>
    </row>
    <row r="67" spans="1:28" hidden="1" outlineLevel="2">
      <c r="A67" s="1167" t="s">
        <v>2125</v>
      </c>
      <c r="B67" s="1167" t="s">
        <v>2126</v>
      </c>
      <c r="C67" s="1167" t="s">
        <v>2305</v>
      </c>
      <c r="D67" s="1167" t="s">
        <v>1260</v>
      </c>
      <c r="E67" s="1167" t="s">
        <v>1260</v>
      </c>
      <c r="F67" s="1167" t="s">
        <v>2309</v>
      </c>
      <c r="G67" s="1167" t="s">
        <v>2225</v>
      </c>
      <c r="H67" s="1167">
        <v>10</v>
      </c>
      <c r="I67" s="1168">
        <v>18050.900000000001</v>
      </c>
      <c r="J67" s="1168">
        <v>17563.5</v>
      </c>
      <c r="K67" s="1168">
        <v>15059.9</v>
      </c>
      <c r="L67" s="1169">
        <f t="shared" si="0"/>
        <v>2991.0000000000018</v>
      </c>
      <c r="M67" s="1168">
        <v>997</v>
      </c>
      <c r="N67" s="1168">
        <v>1506.6</v>
      </c>
      <c r="O67" s="1169">
        <f t="shared" si="1"/>
        <v>2503.6</v>
      </c>
      <c r="P67" s="1169">
        <f t="shared" si="2"/>
        <v>487.40000000000191</v>
      </c>
      <c r="Q67" s="1168">
        <v>1915.4</v>
      </c>
      <c r="R67" s="1168">
        <v>16135.5</v>
      </c>
      <c r="S67" s="1170">
        <v>180509</v>
      </c>
      <c r="T67" s="1170">
        <v>175635</v>
      </c>
      <c r="U67" s="1171">
        <f t="shared" si="3"/>
        <v>150599</v>
      </c>
      <c r="V67" s="1171">
        <f t="shared" si="4"/>
        <v>9970</v>
      </c>
      <c r="W67" s="1171">
        <f t="shared" si="5"/>
        <v>15066</v>
      </c>
      <c r="X67" s="1171">
        <f t="shared" si="6"/>
        <v>4874</v>
      </c>
      <c r="Y67" s="1169">
        <f t="shared" si="7"/>
        <v>2.7001423751724292</v>
      </c>
      <c r="Z67" s="1170">
        <v>19153.98</v>
      </c>
      <c r="AA67" s="1171">
        <f t="shared" si="8"/>
        <v>29910</v>
      </c>
      <c r="AB67" s="1169">
        <f t="shared" si="9"/>
        <v>16.56981092355506</v>
      </c>
    </row>
    <row r="68" spans="1:28" hidden="1" outlineLevel="2">
      <c r="A68" s="1167" t="s">
        <v>2125</v>
      </c>
      <c r="B68" s="1167" t="s">
        <v>2126</v>
      </c>
      <c r="C68" s="1167" t="s">
        <v>2305</v>
      </c>
      <c r="D68" s="1167" t="s">
        <v>1260</v>
      </c>
      <c r="E68" s="1167" t="s">
        <v>1260</v>
      </c>
      <c r="F68" s="1167" t="s">
        <v>2310</v>
      </c>
      <c r="G68" s="1167" t="s">
        <v>2227</v>
      </c>
      <c r="H68" s="1167">
        <v>5</v>
      </c>
      <c r="I68" s="1168">
        <v>18050.8</v>
      </c>
      <c r="J68" s="1168">
        <v>15811.6</v>
      </c>
      <c r="K68" s="1168">
        <v>14335.8</v>
      </c>
      <c r="L68" s="1169">
        <f t="shared" si="0"/>
        <v>3715</v>
      </c>
      <c r="M68" s="1168">
        <v>997</v>
      </c>
      <c r="N68" s="1168">
        <v>478.8</v>
      </c>
      <c r="O68" s="1169">
        <f t="shared" si="1"/>
        <v>1475.8</v>
      </c>
      <c r="P68" s="1169">
        <f t="shared" si="2"/>
        <v>2239.1999999999998</v>
      </c>
      <c r="Q68" s="1168">
        <v>1915.32</v>
      </c>
      <c r="R68" s="1168">
        <v>16135.48</v>
      </c>
      <c r="S68" s="1170">
        <v>90254</v>
      </c>
      <c r="T68" s="1170">
        <v>79058</v>
      </c>
      <c r="U68" s="1171">
        <f t="shared" si="3"/>
        <v>71679</v>
      </c>
      <c r="V68" s="1171">
        <f t="shared" si="4"/>
        <v>4985</v>
      </c>
      <c r="W68" s="1171">
        <f t="shared" si="5"/>
        <v>2394</v>
      </c>
      <c r="X68" s="1171">
        <f t="shared" si="6"/>
        <v>11196</v>
      </c>
      <c r="Y68" s="1169">
        <f t="shared" si="7"/>
        <v>12.404990360538036</v>
      </c>
      <c r="Z68" s="1170">
        <v>9576.6200000000008</v>
      </c>
      <c r="AA68" s="1171">
        <f t="shared" si="8"/>
        <v>18575</v>
      </c>
      <c r="AB68" s="1169">
        <f t="shared" si="9"/>
        <v>20.580805282868351</v>
      </c>
    </row>
    <row r="69" spans="1:28" outlineLevel="1" collapsed="1">
      <c r="B69" s="1173" t="s">
        <v>2311</v>
      </c>
      <c r="H69" s="1167">
        <f>SUBTOTAL(9,H65:H68)</f>
        <v>25</v>
      </c>
      <c r="I69" s="1168"/>
      <c r="J69" s="1168"/>
      <c r="K69" s="1168"/>
      <c r="L69" s="1169"/>
      <c r="M69" s="1168"/>
      <c r="N69" s="1168"/>
      <c r="O69" s="1169"/>
      <c r="P69" s="1169"/>
      <c r="Q69" s="1168"/>
      <c r="R69" s="1168"/>
      <c r="S69" s="1170">
        <f t="shared" ref="S69:X69" si="17">SUBTOTAL(9,S65:S68)</f>
        <v>315664</v>
      </c>
      <c r="T69" s="1170">
        <f t="shared" si="17"/>
        <v>303821</v>
      </c>
      <c r="U69" s="1171">
        <f t="shared" si="17"/>
        <v>257981.6</v>
      </c>
      <c r="V69" s="1171">
        <f t="shared" si="17"/>
        <v>18882</v>
      </c>
      <c r="W69" s="1171">
        <f t="shared" si="17"/>
        <v>26957.4</v>
      </c>
      <c r="X69" s="1171">
        <f t="shared" si="17"/>
        <v>11843</v>
      </c>
      <c r="Y69" s="1169">
        <f t="shared" si="7"/>
        <v>3.7517740382178517</v>
      </c>
      <c r="Z69" s="1170">
        <f>SUBTOTAL(9,Z65:Z68)</f>
        <v>62423.420000000006</v>
      </c>
      <c r="AA69" s="1171">
        <f>SUBTOTAL(9,AA65:AA68)</f>
        <v>57682.400000000001</v>
      </c>
      <c r="AB69" s="1169">
        <f t="shared" si="9"/>
        <v>18.273353945967866</v>
      </c>
    </row>
    <row r="70" spans="1:28" hidden="1" outlineLevel="2">
      <c r="A70" s="1167" t="s">
        <v>2130</v>
      </c>
      <c r="B70" s="1167" t="s">
        <v>2091</v>
      </c>
      <c r="C70" s="1167" t="s">
        <v>2305</v>
      </c>
      <c r="D70" s="1167" t="s">
        <v>398</v>
      </c>
      <c r="E70" s="1167" t="s">
        <v>398</v>
      </c>
      <c r="F70" s="1167" t="s">
        <v>2312</v>
      </c>
      <c r="G70" s="1167" t="s">
        <v>2229</v>
      </c>
      <c r="H70" s="1167">
        <v>80</v>
      </c>
      <c r="I70" s="1168">
        <v>1446.48</v>
      </c>
      <c r="J70" s="1168">
        <v>780.06</v>
      </c>
      <c r="K70" s="1168">
        <v>720.65</v>
      </c>
      <c r="L70" s="1169">
        <f t="shared" si="0"/>
        <v>725.83</v>
      </c>
      <c r="M70" s="1168">
        <v>39.6</v>
      </c>
      <c r="N70" s="1168">
        <v>19.8125</v>
      </c>
      <c r="O70" s="1169">
        <f t="shared" si="1"/>
        <v>59.412500000000001</v>
      </c>
      <c r="P70" s="1169">
        <f t="shared" si="2"/>
        <v>666.41750000000002</v>
      </c>
      <c r="Q70" s="1168">
        <v>633.74</v>
      </c>
      <c r="R70" s="1168">
        <v>812.74</v>
      </c>
      <c r="S70" s="1170">
        <v>115718</v>
      </c>
      <c r="T70" s="1170">
        <v>62405</v>
      </c>
      <c r="U70" s="1171">
        <f t="shared" si="3"/>
        <v>57652</v>
      </c>
      <c r="V70" s="1171">
        <f t="shared" si="4"/>
        <v>3168</v>
      </c>
      <c r="W70" s="1171">
        <f t="shared" si="5"/>
        <v>1585</v>
      </c>
      <c r="X70" s="1171">
        <f t="shared" si="6"/>
        <v>53313</v>
      </c>
      <c r="Y70" s="1169">
        <f t="shared" si="7"/>
        <v>46.071484125200918</v>
      </c>
      <c r="Z70" s="1170">
        <v>50698.96</v>
      </c>
      <c r="AA70" s="1171">
        <f t="shared" si="8"/>
        <v>58066</v>
      </c>
      <c r="AB70" s="1169">
        <f t="shared" si="9"/>
        <v>50.178883146960715</v>
      </c>
    </row>
    <row r="71" spans="1:28" outlineLevel="1" collapsed="1">
      <c r="B71" s="1173" t="s">
        <v>2313</v>
      </c>
      <c r="H71" s="1167">
        <f>SUBTOTAL(9,H70:H70)</f>
        <v>80</v>
      </c>
      <c r="I71" s="1168"/>
      <c r="J71" s="1168"/>
      <c r="K71" s="1168"/>
      <c r="L71" s="1169"/>
      <c r="M71" s="1168"/>
      <c r="N71" s="1168"/>
      <c r="O71" s="1169"/>
      <c r="P71" s="1169"/>
      <c r="Q71" s="1168"/>
      <c r="R71" s="1168"/>
      <c r="S71" s="1170">
        <f t="shared" ref="S71:X71" si="18">SUBTOTAL(9,S70:S70)</f>
        <v>115718</v>
      </c>
      <c r="T71" s="1170">
        <f t="shared" si="18"/>
        <v>62405</v>
      </c>
      <c r="U71" s="1171">
        <f t="shared" si="18"/>
        <v>57652</v>
      </c>
      <c r="V71" s="1171">
        <f t="shared" si="18"/>
        <v>3168</v>
      </c>
      <c r="W71" s="1171">
        <f t="shared" si="18"/>
        <v>1585</v>
      </c>
      <c r="X71" s="1171">
        <f t="shared" si="18"/>
        <v>53313</v>
      </c>
      <c r="Y71" s="1169">
        <f t="shared" si="7"/>
        <v>46.071484125200918</v>
      </c>
      <c r="Z71" s="1170">
        <f>SUBTOTAL(9,Z70:Z70)</f>
        <v>50698.96</v>
      </c>
      <c r="AA71" s="1171">
        <f>SUBTOTAL(9,AA70:AA70)</f>
        <v>58066</v>
      </c>
      <c r="AB71" s="1169">
        <f t="shared" si="9"/>
        <v>50.178883146960715</v>
      </c>
    </row>
    <row r="72" spans="1:28" hidden="1" outlineLevel="2">
      <c r="A72" s="1167" t="s">
        <v>2136</v>
      </c>
      <c r="B72" s="1167" t="s">
        <v>2092</v>
      </c>
      <c r="C72" s="1167" t="s">
        <v>2305</v>
      </c>
      <c r="D72" s="1167" t="s">
        <v>398</v>
      </c>
      <c r="E72" s="1167" t="s">
        <v>398</v>
      </c>
      <c r="F72" s="1167" t="s">
        <v>2230</v>
      </c>
      <c r="G72" s="1167" t="s">
        <v>2231</v>
      </c>
      <c r="H72" s="1167">
        <v>20</v>
      </c>
      <c r="I72" s="1168">
        <v>7232.4</v>
      </c>
      <c r="J72" s="1168">
        <v>5116.05</v>
      </c>
      <c r="K72" s="1168">
        <v>5004.3999999999996</v>
      </c>
      <c r="L72" s="1169">
        <f t="shared" si="0"/>
        <v>2228</v>
      </c>
      <c r="M72" s="1168">
        <v>0</v>
      </c>
      <c r="N72" s="1168">
        <v>111.65</v>
      </c>
      <c r="O72" s="1169">
        <f t="shared" si="1"/>
        <v>111.65</v>
      </c>
      <c r="P72" s="1169">
        <f t="shared" si="2"/>
        <v>2116.35</v>
      </c>
      <c r="Q72" s="1168">
        <v>3442.91</v>
      </c>
      <c r="R72" s="1168">
        <v>3789.49</v>
      </c>
      <c r="S72" s="1170">
        <v>144648</v>
      </c>
      <c r="T72" s="1170">
        <v>102321</v>
      </c>
      <c r="U72" s="1171">
        <f t="shared" si="3"/>
        <v>100088</v>
      </c>
      <c r="V72" s="1171">
        <f t="shared" si="4"/>
        <v>0</v>
      </c>
      <c r="W72" s="1171">
        <f t="shared" si="5"/>
        <v>2233</v>
      </c>
      <c r="X72" s="1171">
        <f t="shared" si="6"/>
        <v>42327</v>
      </c>
      <c r="Y72" s="1169">
        <f t="shared" si="7"/>
        <v>29.262070681931306</v>
      </c>
      <c r="Z72" s="1170">
        <v>68858.27</v>
      </c>
      <c r="AA72" s="1171">
        <f t="shared" si="8"/>
        <v>44560</v>
      </c>
      <c r="AB72" s="1169">
        <f t="shared" si="9"/>
        <v>30.805818262264257</v>
      </c>
    </row>
    <row r="73" spans="1:28" hidden="1" outlineLevel="2">
      <c r="A73" s="1167" t="s">
        <v>2136</v>
      </c>
      <c r="B73" s="1167" t="s">
        <v>2092</v>
      </c>
      <c r="C73" s="1167" t="s">
        <v>2305</v>
      </c>
      <c r="D73" s="1167" t="s">
        <v>398</v>
      </c>
      <c r="E73" s="1167" t="s">
        <v>398</v>
      </c>
      <c r="F73" s="1167" t="s">
        <v>2232</v>
      </c>
      <c r="G73" s="1167" t="s">
        <v>2233</v>
      </c>
      <c r="H73" s="1167">
        <v>6</v>
      </c>
      <c r="I73" s="1168">
        <v>7232.33</v>
      </c>
      <c r="J73" s="1168">
        <v>4450.67</v>
      </c>
      <c r="K73" s="1168">
        <v>4338.9970000000003</v>
      </c>
      <c r="L73" s="1169">
        <f t="shared" si="0"/>
        <v>2893.3329999999996</v>
      </c>
      <c r="M73" s="1168">
        <v>0</v>
      </c>
      <c r="N73" s="1168">
        <v>111.67</v>
      </c>
      <c r="O73" s="1169">
        <f t="shared" si="1"/>
        <v>111.67</v>
      </c>
      <c r="P73" s="1169">
        <f t="shared" si="2"/>
        <v>2781.6629999999996</v>
      </c>
      <c r="Q73" s="1168">
        <v>4352.57</v>
      </c>
      <c r="R73" s="1168">
        <v>2879.76</v>
      </c>
      <c r="S73" s="1170">
        <v>43394</v>
      </c>
      <c r="T73" s="1170">
        <v>26704</v>
      </c>
      <c r="U73" s="1171">
        <f t="shared" si="3"/>
        <v>26033.982000000004</v>
      </c>
      <c r="V73" s="1171">
        <f t="shared" si="4"/>
        <v>0</v>
      </c>
      <c r="W73" s="1171">
        <f t="shared" si="5"/>
        <v>670.02</v>
      </c>
      <c r="X73" s="1171">
        <f t="shared" si="6"/>
        <v>16690</v>
      </c>
      <c r="Y73" s="1169">
        <f t="shared" si="7"/>
        <v>38.461538461538467</v>
      </c>
      <c r="Z73" s="1170">
        <v>26115.43</v>
      </c>
      <c r="AA73" s="1171">
        <f t="shared" si="8"/>
        <v>17360.017999999996</v>
      </c>
      <c r="AB73" s="1169">
        <f t="shared" si="9"/>
        <v>40.005572198921499</v>
      </c>
    </row>
    <row r="74" spans="1:28" hidden="1" outlineLevel="2">
      <c r="A74" s="1167" t="s">
        <v>2136</v>
      </c>
      <c r="B74" s="1167" t="s">
        <v>2092</v>
      </c>
      <c r="C74" s="1167" t="s">
        <v>2305</v>
      </c>
      <c r="D74" s="1167" t="s">
        <v>398</v>
      </c>
      <c r="E74" s="1167" t="s">
        <v>398</v>
      </c>
      <c r="F74" s="1167" t="s">
        <v>2234</v>
      </c>
      <c r="G74" s="1167" t="s">
        <v>2235</v>
      </c>
      <c r="H74" s="1167">
        <v>26</v>
      </c>
      <c r="I74" s="1168">
        <v>3314.85</v>
      </c>
      <c r="J74" s="1168">
        <v>1631.77</v>
      </c>
      <c r="K74" s="1168">
        <v>1566.2292</v>
      </c>
      <c r="L74" s="1169">
        <f t="shared" si="0"/>
        <v>1748.6207999999999</v>
      </c>
      <c r="M74" s="1168">
        <v>0</v>
      </c>
      <c r="N74" s="1168">
        <v>65.540000000000006</v>
      </c>
      <c r="O74" s="1169">
        <f t="shared" si="1"/>
        <v>65.540000000000006</v>
      </c>
      <c r="P74" s="1169">
        <f t="shared" si="2"/>
        <v>1683.0808</v>
      </c>
      <c r="Q74" s="1168">
        <v>1614.74</v>
      </c>
      <c r="R74" s="1168">
        <v>1700.11</v>
      </c>
      <c r="S74" s="1170">
        <v>86186</v>
      </c>
      <c r="T74" s="1170">
        <v>42426</v>
      </c>
      <c r="U74" s="1171">
        <f t="shared" si="3"/>
        <v>40721.959199999998</v>
      </c>
      <c r="V74" s="1171">
        <f t="shared" si="4"/>
        <v>0</v>
      </c>
      <c r="W74" s="1171">
        <f t="shared" si="5"/>
        <v>1704.0400000000002</v>
      </c>
      <c r="X74" s="1171">
        <f t="shared" si="6"/>
        <v>43760</v>
      </c>
      <c r="Y74" s="1169">
        <f t="shared" si="7"/>
        <v>50.773907595201074</v>
      </c>
      <c r="Z74" s="1170">
        <v>41983.27</v>
      </c>
      <c r="AA74" s="1171">
        <f t="shared" si="8"/>
        <v>45464.040800000002</v>
      </c>
      <c r="AB74" s="1169">
        <f t="shared" si="9"/>
        <v>52.751074188383264</v>
      </c>
    </row>
    <row r="75" spans="1:28" hidden="1" outlineLevel="2">
      <c r="A75" s="1167" t="s">
        <v>2136</v>
      </c>
      <c r="B75" s="1167" t="s">
        <v>2092</v>
      </c>
      <c r="C75" s="1167" t="s">
        <v>2305</v>
      </c>
      <c r="D75" s="1167" t="s">
        <v>398</v>
      </c>
      <c r="E75" s="1167" t="s">
        <v>398</v>
      </c>
      <c r="F75" s="1167" t="s">
        <v>2236</v>
      </c>
      <c r="G75" s="1167" t="s">
        <v>2237</v>
      </c>
      <c r="H75" s="1167">
        <v>11</v>
      </c>
      <c r="I75" s="1168">
        <v>1567.09</v>
      </c>
      <c r="J75" s="1168">
        <v>842.45</v>
      </c>
      <c r="K75" s="1168">
        <v>730.81449999999995</v>
      </c>
      <c r="L75" s="1169">
        <f t="shared" ref="L75:L110" si="19">I75-K75</f>
        <v>836.27549999999997</v>
      </c>
      <c r="M75" s="1168">
        <v>0</v>
      </c>
      <c r="N75" s="1168">
        <v>111.64</v>
      </c>
      <c r="O75" s="1169">
        <f t="shared" ref="O75:O110" si="20">M75+N75</f>
        <v>111.64</v>
      </c>
      <c r="P75" s="1169">
        <f t="shared" ref="P75:P110" si="21">L75-O75</f>
        <v>724.63549999999998</v>
      </c>
      <c r="Q75" s="1168">
        <v>764.57</v>
      </c>
      <c r="R75" s="1168">
        <v>802.52</v>
      </c>
      <c r="S75" s="1170">
        <v>17238</v>
      </c>
      <c r="T75" s="1170">
        <v>9267</v>
      </c>
      <c r="U75" s="1171">
        <f t="shared" ref="U75:U110" si="22">H75*K75</f>
        <v>8038.959499999999</v>
      </c>
      <c r="V75" s="1171">
        <f t="shared" ref="V75:V110" si="23">H75*M75</f>
        <v>0</v>
      </c>
      <c r="W75" s="1171">
        <f t="shared" ref="W75:W110" si="24">H75*N75</f>
        <v>1228.04</v>
      </c>
      <c r="X75" s="1171">
        <f t="shared" ref="X75:X110" si="25">S75-T75</f>
        <v>7971</v>
      </c>
      <c r="Y75" s="1169">
        <f t="shared" si="7"/>
        <v>46.240863209189001</v>
      </c>
      <c r="Z75" s="1170">
        <v>8410.25</v>
      </c>
      <c r="AA75" s="1171">
        <f t="shared" ref="AA75:AA110" si="26">S75-U75</f>
        <v>9199.040500000001</v>
      </c>
      <c r="AB75" s="1169">
        <f t="shared" si="9"/>
        <v>53.364894419306182</v>
      </c>
    </row>
    <row r="76" spans="1:28" outlineLevel="1" collapsed="1">
      <c r="B76" s="1173" t="s">
        <v>2314</v>
      </c>
      <c r="H76" s="1167">
        <f>SUBTOTAL(9,H72:H75)</f>
        <v>63</v>
      </c>
      <c r="I76" s="1168"/>
      <c r="J76" s="1168"/>
      <c r="K76" s="1168"/>
      <c r="L76" s="1169"/>
      <c r="M76" s="1168"/>
      <c r="N76" s="1168"/>
      <c r="O76" s="1169"/>
      <c r="P76" s="1169"/>
      <c r="Q76" s="1168"/>
      <c r="R76" s="1168"/>
      <c r="S76" s="1170">
        <f t="shared" ref="S76:X76" si="27">SUBTOTAL(9,S72:S75)</f>
        <v>291466</v>
      </c>
      <c r="T76" s="1170">
        <f t="shared" si="27"/>
        <v>180718</v>
      </c>
      <c r="U76" s="1171">
        <f t="shared" si="27"/>
        <v>174882.9007</v>
      </c>
      <c r="V76" s="1171">
        <f t="shared" si="27"/>
        <v>0</v>
      </c>
      <c r="W76" s="1171">
        <f t="shared" si="27"/>
        <v>5835.1</v>
      </c>
      <c r="X76" s="1171">
        <f t="shared" si="27"/>
        <v>110748</v>
      </c>
      <c r="Y76" s="1169">
        <f t="shared" si="7"/>
        <v>37.99688471382597</v>
      </c>
      <c r="Z76" s="1170">
        <f>SUBTOTAL(9,Z72:Z75)</f>
        <v>145367.22</v>
      </c>
      <c r="AA76" s="1171">
        <f>SUBTOTAL(9,AA72:AA75)</f>
        <v>116583.0993</v>
      </c>
      <c r="AB76" s="1169">
        <f t="shared" si="9"/>
        <v>39.99886755230456</v>
      </c>
    </row>
    <row r="77" spans="1:28" hidden="1" outlineLevel="2">
      <c r="A77" s="1167" t="s">
        <v>2062</v>
      </c>
      <c r="B77" s="1167" t="s">
        <v>1752</v>
      </c>
      <c r="C77" s="1167" t="s">
        <v>2305</v>
      </c>
      <c r="D77" s="1167" t="s">
        <v>547</v>
      </c>
      <c r="E77" s="1167" t="s">
        <v>547</v>
      </c>
      <c r="F77" s="1167" t="s">
        <v>2315</v>
      </c>
      <c r="G77" s="1167" t="s">
        <v>2064</v>
      </c>
      <c r="H77" s="1167">
        <v>359</v>
      </c>
      <c r="I77" s="1168">
        <v>14726.18</v>
      </c>
      <c r="J77" s="1168">
        <v>11216.97</v>
      </c>
      <c r="K77" s="1168">
        <v>9615.6918662952648</v>
      </c>
      <c r="L77" s="1169">
        <f t="shared" si="19"/>
        <v>5110.4881337047354</v>
      </c>
      <c r="M77" s="1168">
        <v>913.90083565459622</v>
      </c>
      <c r="N77" s="1168">
        <v>687.38223077994428</v>
      </c>
      <c r="O77" s="1169">
        <f t="shared" si="20"/>
        <v>1601.2830664345406</v>
      </c>
      <c r="P77" s="1169">
        <f t="shared" si="21"/>
        <v>3509.2050672701948</v>
      </c>
      <c r="Q77" s="1168">
        <v>1910.17</v>
      </c>
      <c r="R77" s="1168">
        <v>12816.01</v>
      </c>
      <c r="S77" s="1170">
        <v>5286698</v>
      </c>
      <c r="T77" s="1170">
        <v>4026894</v>
      </c>
      <c r="U77" s="1171">
        <f t="shared" si="22"/>
        <v>3452033.38</v>
      </c>
      <c r="V77" s="1171">
        <f t="shared" si="23"/>
        <v>328090.40000000002</v>
      </c>
      <c r="W77" s="1171">
        <f t="shared" si="24"/>
        <v>246770.22084999998</v>
      </c>
      <c r="X77" s="1171">
        <f t="shared" si="25"/>
        <v>1259804</v>
      </c>
      <c r="Y77" s="1169">
        <f t="shared" ref="Y77:Y112" si="28">X77/S77*100</f>
        <v>23.829694830308068</v>
      </c>
      <c r="Z77" s="1170">
        <v>685751.27</v>
      </c>
      <c r="AA77" s="1171">
        <f t="shared" si="26"/>
        <v>1834664.62</v>
      </c>
      <c r="AB77" s="1169">
        <f t="shared" ref="AB77:AB112" si="29">AA77/S77*100</f>
        <v>34.703412602724804</v>
      </c>
    </row>
    <row r="78" spans="1:28" hidden="1" outlineLevel="2">
      <c r="A78" s="1167" t="s">
        <v>2062</v>
      </c>
      <c r="B78" s="1167" t="s">
        <v>1752</v>
      </c>
      <c r="C78" s="1167" t="s">
        <v>2305</v>
      </c>
      <c r="D78" s="1167" t="s">
        <v>398</v>
      </c>
      <c r="E78" s="1167" t="s">
        <v>398</v>
      </c>
      <c r="F78" s="1167" t="s">
        <v>2238</v>
      </c>
      <c r="G78" s="1167" t="s">
        <v>2239</v>
      </c>
      <c r="H78" s="1167">
        <v>50</v>
      </c>
      <c r="I78" s="1168">
        <v>2116.46</v>
      </c>
      <c r="J78" s="1168">
        <v>1169.08</v>
      </c>
      <c r="K78" s="1168">
        <v>1070.06</v>
      </c>
      <c r="L78" s="1169">
        <f t="shared" si="19"/>
        <v>1046.4000000000001</v>
      </c>
      <c r="M78" s="1168">
        <v>66</v>
      </c>
      <c r="N78" s="1168">
        <v>33.020000000000003</v>
      </c>
      <c r="O78" s="1169">
        <f t="shared" si="20"/>
        <v>99.02000000000001</v>
      </c>
      <c r="P78" s="1169">
        <f t="shared" si="21"/>
        <v>947.38000000000011</v>
      </c>
      <c r="Q78" s="1168">
        <v>9.33</v>
      </c>
      <c r="R78" s="1168">
        <v>2107.13</v>
      </c>
      <c r="S78" s="1170">
        <v>105823</v>
      </c>
      <c r="T78" s="1170">
        <v>58454</v>
      </c>
      <c r="U78" s="1171">
        <f t="shared" si="22"/>
        <v>53503</v>
      </c>
      <c r="V78" s="1171">
        <f t="shared" si="23"/>
        <v>3300</v>
      </c>
      <c r="W78" s="1171">
        <f t="shared" si="24"/>
        <v>1651.0000000000002</v>
      </c>
      <c r="X78" s="1171">
        <f t="shared" si="25"/>
        <v>47369</v>
      </c>
      <c r="Y78" s="1169">
        <f t="shared" si="28"/>
        <v>44.762480746151596</v>
      </c>
      <c r="Z78" s="1170">
        <v>466.72</v>
      </c>
      <c r="AA78" s="1171">
        <f t="shared" si="26"/>
        <v>52320</v>
      </c>
      <c r="AB78" s="1169">
        <f t="shared" si="29"/>
        <v>49.441047787343017</v>
      </c>
    </row>
    <row r="79" spans="1:28" hidden="1" outlineLevel="2">
      <c r="A79" s="1167" t="s">
        <v>2062</v>
      </c>
      <c r="B79" s="1167" t="s">
        <v>1752</v>
      </c>
      <c r="C79" s="1167" t="s">
        <v>2305</v>
      </c>
      <c r="D79" s="1167" t="s">
        <v>398</v>
      </c>
      <c r="E79" s="1167" t="s">
        <v>398</v>
      </c>
      <c r="F79" s="1167" t="s">
        <v>2065</v>
      </c>
      <c r="G79" s="1167" t="s">
        <v>2066</v>
      </c>
      <c r="H79" s="1167">
        <v>70</v>
      </c>
      <c r="I79" s="1168">
        <v>1360.57</v>
      </c>
      <c r="J79" s="1168">
        <v>1415.97</v>
      </c>
      <c r="K79" s="1168">
        <v>1325.9314999999999</v>
      </c>
      <c r="L79" s="1169">
        <f t="shared" si="19"/>
        <v>34.638500000000022</v>
      </c>
      <c r="M79" s="1168">
        <v>60</v>
      </c>
      <c r="N79" s="1168">
        <v>30.04</v>
      </c>
      <c r="O79" s="1169">
        <f t="shared" si="20"/>
        <v>90.039999999999992</v>
      </c>
      <c r="P79" s="1169">
        <f t="shared" si="21"/>
        <v>-55.40149999999997</v>
      </c>
      <c r="Q79" s="1168">
        <v>1325.95</v>
      </c>
      <c r="R79" s="1168">
        <v>34.619999999999997</v>
      </c>
      <c r="S79" s="1170">
        <v>95240</v>
      </c>
      <c r="T79" s="1170">
        <v>99118</v>
      </c>
      <c r="U79" s="1171">
        <f t="shared" si="22"/>
        <v>92815.204999999987</v>
      </c>
      <c r="V79" s="1171">
        <f t="shared" si="23"/>
        <v>4200</v>
      </c>
      <c r="W79" s="1171">
        <f t="shared" si="24"/>
        <v>2102.7999999999997</v>
      </c>
      <c r="X79" s="1171">
        <f t="shared" si="25"/>
        <v>-3878</v>
      </c>
      <c r="Y79" s="1169">
        <f t="shared" si="28"/>
        <v>-4.0718185636287281</v>
      </c>
      <c r="Z79" s="1170">
        <v>92816.53</v>
      </c>
      <c r="AA79" s="1171">
        <f t="shared" si="26"/>
        <v>2424.7950000000128</v>
      </c>
      <c r="AB79" s="1169">
        <f t="shared" si="29"/>
        <v>2.545983830323407</v>
      </c>
    </row>
    <row r="80" spans="1:28" outlineLevel="1" collapsed="1">
      <c r="B80" s="1173" t="s">
        <v>2067</v>
      </c>
      <c r="H80" s="1167">
        <f>SUBTOTAL(9,H77:H79)</f>
        <v>479</v>
      </c>
      <c r="I80" s="1168"/>
      <c r="J80" s="1168"/>
      <c r="K80" s="1168"/>
      <c r="L80" s="1169"/>
      <c r="M80" s="1168"/>
      <c r="N80" s="1168"/>
      <c r="O80" s="1169"/>
      <c r="P80" s="1169"/>
      <c r="Q80" s="1168"/>
      <c r="R80" s="1168"/>
      <c r="S80" s="1170">
        <f t="shared" ref="S80:X80" si="30">SUBTOTAL(9,S77:S79)</f>
        <v>5487761</v>
      </c>
      <c r="T80" s="1170">
        <f t="shared" si="30"/>
        <v>4184466</v>
      </c>
      <c r="U80" s="1171">
        <f t="shared" si="30"/>
        <v>3598351.585</v>
      </c>
      <c r="V80" s="1171">
        <f t="shared" si="30"/>
        <v>335590.40000000002</v>
      </c>
      <c r="W80" s="1171">
        <f t="shared" si="30"/>
        <v>250524.02084999997</v>
      </c>
      <c r="X80" s="1171">
        <f t="shared" si="30"/>
        <v>1303295</v>
      </c>
      <c r="Y80" s="1169">
        <f t="shared" si="28"/>
        <v>23.749120998527452</v>
      </c>
      <c r="Z80" s="1170">
        <f>SUBTOTAL(9,Z77:Z79)</f>
        <v>779034.52</v>
      </c>
      <c r="AA80" s="1171">
        <f>SUBTOTAL(9,AA77:AA79)</f>
        <v>1889409.415</v>
      </c>
      <c r="AB80" s="1169">
        <f t="shared" si="29"/>
        <v>34.429513511976928</v>
      </c>
    </row>
    <row r="81" spans="1:28" hidden="1" outlineLevel="2">
      <c r="A81" s="1167" t="s">
        <v>2128</v>
      </c>
      <c r="B81" s="1167" t="s">
        <v>2129</v>
      </c>
      <c r="C81" s="1167" t="s">
        <v>2305</v>
      </c>
      <c r="D81" s="1167" t="s">
        <v>2003</v>
      </c>
      <c r="E81" s="1167" t="s">
        <v>2003</v>
      </c>
      <c r="F81" s="1167" t="s">
        <v>2240</v>
      </c>
      <c r="G81" s="1167" t="s">
        <v>2241</v>
      </c>
      <c r="H81" s="1167">
        <v>6</v>
      </c>
      <c r="I81" s="1168">
        <v>24339.17</v>
      </c>
      <c r="J81" s="1168">
        <v>18383.669999999998</v>
      </c>
      <c r="K81" s="1168">
        <v>17105.996999999999</v>
      </c>
      <c r="L81" s="1169">
        <f t="shared" si="19"/>
        <v>7233.1729999999989</v>
      </c>
      <c r="M81" s="1168">
        <v>865</v>
      </c>
      <c r="N81" s="1168">
        <v>412.67</v>
      </c>
      <c r="O81" s="1169">
        <f t="shared" si="20"/>
        <v>1277.67</v>
      </c>
      <c r="P81" s="1169">
        <f t="shared" si="21"/>
        <v>5955.5029999999988</v>
      </c>
      <c r="Q81" s="1168">
        <v>6010.26</v>
      </c>
      <c r="R81" s="1168">
        <v>18328.91</v>
      </c>
      <c r="S81" s="1170">
        <v>146035</v>
      </c>
      <c r="T81" s="1170">
        <v>110302</v>
      </c>
      <c r="U81" s="1171">
        <f t="shared" si="22"/>
        <v>102635.98199999999</v>
      </c>
      <c r="V81" s="1171">
        <f t="shared" si="23"/>
        <v>5190</v>
      </c>
      <c r="W81" s="1171">
        <f t="shared" si="24"/>
        <v>2476.02</v>
      </c>
      <c r="X81" s="1171">
        <f t="shared" si="25"/>
        <v>35733</v>
      </c>
      <c r="Y81" s="1169">
        <f t="shared" si="28"/>
        <v>24.468791728010409</v>
      </c>
      <c r="Z81" s="1170">
        <v>36061.56</v>
      </c>
      <c r="AA81" s="1171">
        <f t="shared" si="26"/>
        <v>43399.018000000011</v>
      </c>
      <c r="AB81" s="1169">
        <f t="shared" si="29"/>
        <v>29.718230561166852</v>
      </c>
    </row>
    <row r="82" spans="1:28" hidden="1" outlineLevel="2">
      <c r="A82" s="1167" t="s">
        <v>2128</v>
      </c>
      <c r="B82" s="1167" t="s">
        <v>2129</v>
      </c>
      <c r="C82" s="1167" t="s">
        <v>2305</v>
      </c>
      <c r="D82" s="1167" t="s">
        <v>398</v>
      </c>
      <c r="E82" s="1167" t="s">
        <v>398</v>
      </c>
      <c r="F82" s="1167" t="s">
        <v>2316</v>
      </c>
      <c r="G82" s="1167" t="s">
        <v>2243</v>
      </c>
      <c r="H82" s="1167">
        <v>6</v>
      </c>
      <c r="I82" s="1168">
        <v>1209.33</v>
      </c>
      <c r="J82" s="1168">
        <v>371.83</v>
      </c>
      <c r="K82" s="1168">
        <v>203.37037037037038</v>
      </c>
      <c r="L82" s="1169">
        <f t="shared" si="19"/>
        <v>1005.9596296296295</v>
      </c>
      <c r="M82" s="1168">
        <v>0</v>
      </c>
      <c r="N82" s="1168">
        <v>168.46299999999999</v>
      </c>
      <c r="O82" s="1169">
        <f t="shared" si="20"/>
        <v>168.46299999999999</v>
      </c>
      <c r="P82" s="1169">
        <f t="shared" si="21"/>
        <v>837.49662962962952</v>
      </c>
      <c r="Q82" s="1168">
        <v>8.94</v>
      </c>
      <c r="R82" s="1168">
        <v>1200.3900000000001</v>
      </c>
      <c r="S82" s="1170">
        <v>7256</v>
      </c>
      <c r="T82" s="1170">
        <v>2231</v>
      </c>
      <c r="U82" s="1171">
        <f t="shared" si="22"/>
        <v>1220.2222222222222</v>
      </c>
      <c r="V82" s="1171">
        <f t="shared" si="23"/>
        <v>0</v>
      </c>
      <c r="W82" s="1171">
        <f t="shared" si="24"/>
        <v>1010.778</v>
      </c>
      <c r="X82" s="1171">
        <f t="shared" si="25"/>
        <v>5025</v>
      </c>
      <c r="Y82" s="1169">
        <f t="shared" si="28"/>
        <v>69.253031973539137</v>
      </c>
      <c r="Z82" s="1170">
        <v>53.66</v>
      </c>
      <c r="AA82" s="1171">
        <f t="shared" si="26"/>
        <v>6035.7777777777774</v>
      </c>
      <c r="AB82" s="1169">
        <f t="shared" si="29"/>
        <v>83.183265956143572</v>
      </c>
    </row>
    <row r="83" spans="1:28" hidden="1" outlineLevel="2">
      <c r="A83" s="1167" t="s">
        <v>2128</v>
      </c>
      <c r="B83" s="1167" t="s">
        <v>2129</v>
      </c>
      <c r="C83" s="1167" t="s">
        <v>2305</v>
      </c>
      <c r="D83" s="1167" t="s">
        <v>398</v>
      </c>
      <c r="E83" s="1167" t="s">
        <v>398</v>
      </c>
      <c r="F83" s="1167" t="s">
        <v>2244</v>
      </c>
      <c r="G83" s="1167" t="s">
        <v>2245</v>
      </c>
      <c r="H83" s="1167">
        <v>5</v>
      </c>
      <c r="I83" s="1168">
        <v>5744.6</v>
      </c>
      <c r="J83" s="1168">
        <v>4272</v>
      </c>
      <c r="K83" s="1168">
        <v>4206.3999999999996</v>
      </c>
      <c r="L83" s="1169">
        <f t="shared" si="19"/>
        <v>1538.2000000000007</v>
      </c>
      <c r="M83" s="1168">
        <v>0</v>
      </c>
      <c r="N83" s="1168">
        <v>65.599999999999994</v>
      </c>
      <c r="O83" s="1169">
        <f t="shared" si="20"/>
        <v>65.599999999999994</v>
      </c>
      <c r="P83" s="1169">
        <f t="shared" si="21"/>
        <v>1472.6000000000008</v>
      </c>
      <c r="Q83" s="1168">
        <v>4341.3900000000003</v>
      </c>
      <c r="R83" s="1168">
        <v>1403.21</v>
      </c>
      <c r="S83" s="1170">
        <v>28723</v>
      </c>
      <c r="T83" s="1170">
        <v>21360</v>
      </c>
      <c r="U83" s="1171">
        <f t="shared" si="22"/>
        <v>21032</v>
      </c>
      <c r="V83" s="1171">
        <f t="shared" si="23"/>
        <v>0</v>
      </c>
      <c r="W83" s="1171">
        <f t="shared" si="24"/>
        <v>328</v>
      </c>
      <c r="X83" s="1171">
        <f t="shared" si="25"/>
        <v>7363</v>
      </c>
      <c r="Y83" s="1169">
        <f t="shared" si="28"/>
        <v>25.634508930125683</v>
      </c>
      <c r="Z83" s="1170">
        <v>21706.97</v>
      </c>
      <c r="AA83" s="1171">
        <f t="shared" si="26"/>
        <v>7691</v>
      </c>
      <c r="AB83" s="1169">
        <f t="shared" si="29"/>
        <v>26.77645092782787</v>
      </c>
    </row>
    <row r="84" spans="1:28" hidden="1" outlineLevel="2">
      <c r="A84" s="1167" t="s">
        <v>2128</v>
      </c>
      <c r="B84" s="1167" t="s">
        <v>2129</v>
      </c>
      <c r="C84" s="1167" t="s">
        <v>2305</v>
      </c>
      <c r="D84" s="1167" t="s">
        <v>398</v>
      </c>
      <c r="E84" s="1167" t="s">
        <v>398</v>
      </c>
      <c r="F84" s="1167" t="s">
        <v>2246</v>
      </c>
      <c r="G84" s="1167" t="s">
        <v>2247</v>
      </c>
      <c r="H84" s="1167">
        <v>5</v>
      </c>
      <c r="I84" s="1168">
        <v>756</v>
      </c>
      <c r="J84" s="1168">
        <v>364.4</v>
      </c>
      <c r="K84" s="1168">
        <v>298.8</v>
      </c>
      <c r="L84" s="1169">
        <f t="shared" si="19"/>
        <v>457.2</v>
      </c>
      <c r="M84" s="1168">
        <v>0</v>
      </c>
      <c r="N84" s="1168">
        <v>65.599999999999994</v>
      </c>
      <c r="O84" s="1169">
        <f t="shared" si="20"/>
        <v>65.599999999999994</v>
      </c>
      <c r="P84" s="1169">
        <f t="shared" si="21"/>
        <v>391.6</v>
      </c>
      <c r="Q84" s="1168">
        <v>295.70999999999998</v>
      </c>
      <c r="R84" s="1168">
        <v>460.29</v>
      </c>
      <c r="S84" s="1170">
        <v>3780</v>
      </c>
      <c r="T84" s="1170">
        <v>1822</v>
      </c>
      <c r="U84" s="1171">
        <f t="shared" si="22"/>
        <v>1494</v>
      </c>
      <c r="V84" s="1171">
        <f t="shared" si="23"/>
        <v>0</v>
      </c>
      <c r="W84" s="1171">
        <f t="shared" si="24"/>
        <v>328</v>
      </c>
      <c r="X84" s="1171">
        <f t="shared" si="25"/>
        <v>1958</v>
      </c>
      <c r="Y84" s="1169">
        <f t="shared" si="28"/>
        <v>51.798941798941797</v>
      </c>
      <c r="Z84" s="1170">
        <v>1478.53</v>
      </c>
      <c r="AA84" s="1171">
        <f t="shared" si="26"/>
        <v>2286</v>
      </c>
      <c r="AB84" s="1169">
        <f t="shared" si="29"/>
        <v>60.476190476190474</v>
      </c>
    </row>
    <row r="85" spans="1:28" outlineLevel="1" collapsed="1">
      <c r="B85" s="1173" t="s">
        <v>2317</v>
      </c>
      <c r="H85" s="1167">
        <f>SUBTOTAL(9,H81:H84)</f>
        <v>22</v>
      </c>
      <c r="I85" s="1168"/>
      <c r="J85" s="1168"/>
      <c r="K85" s="1168"/>
      <c r="L85" s="1169"/>
      <c r="M85" s="1168"/>
      <c r="N85" s="1168"/>
      <c r="O85" s="1169"/>
      <c r="P85" s="1169"/>
      <c r="Q85" s="1168"/>
      <c r="R85" s="1168"/>
      <c r="S85" s="1170">
        <f t="shared" ref="S85:X85" si="31">SUBTOTAL(9,S81:S84)</f>
        <v>185794</v>
      </c>
      <c r="T85" s="1170">
        <f t="shared" si="31"/>
        <v>135715</v>
      </c>
      <c r="U85" s="1171">
        <f t="shared" si="31"/>
        <v>126382.20422222221</v>
      </c>
      <c r="V85" s="1171">
        <f t="shared" si="31"/>
        <v>5190</v>
      </c>
      <c r="W85" s="1171">
        <f t="shared" si="31"/>
        <v>4142.7979999999998</v>
      </c>
      <c r="X85" s="1171">
        <f t="shared" si="31"/>
        <v>50079</v>
      </c>
      <c r="Y85" s="1169">
        <f t="shared" si="28"/>
        <v>26.954045878768962</v>
      </c>
      <c r="Z85" s="1170">
        <f>SUBTOTAL(9,Z81:Z84)</f>
        <v>59300.72</v>
      </c>
      <c r="AA85" s="1171">
        <f>SUBTOTAL(9,AA81:AA84)</f>
        <v>59411.795777777792</v>
      </c>
      <c r="AB85" s="1169">
        <f t="shared" si="29"/>
        <v>31.977241341366131</v>
      </c>
    </row>
    <row r="86" spans="1:28" hidden="1" outlineLevel="2">
      <c r="A86" s="1167" t="s">
        <v>2119</v>
      </c>
      <c r="B86" s="1167" t="s">
        <v>2120</v>
      </c>
      <c r="C86" s="1167" t="s">
        <v>2305</v>
      </c>
      <c r="D86" s="1167" t="s">
        <v>2149</v>
      </c>
      <c r="E86" s="1167" t="s">
        <v>2149</v>
      </c>
      <c r="F86" s="1167" t="s">
        <v>2248</v>
      </c>
      <c r="G86" s="1167" t="s">
        <v>2249</v>
      </c>
      <c r="H86" s="1167">
        <v>2</v>
      </c>
      <c r="I86" s="1168">
        <v>11478</v>
      </c>
      <c r="J86" s="1168">
        <v>10332</v>
      </c>
      <c r="K86" s="1168">
        <v>9103.17</v>
      </c>
      <c r="L86" s="1169">
        <f t="shared" si="19"/>
        <v>2374.83</v>
      </c>
      <c r="M86" s="1168">
        <v>568</v>
      </c>
      <c r="N86" s="1168">
        <v>660.83</v>
      </c>
      <c r="O86" s="1169">
        <f t="shared" si="20"/>
        <v>1228.83</v>
      </c>
      <c r="P86" s="1169">
        <f t="shared" si="21"/>
        <v>1146</v>
      </c>
      <c r="Q86" s="1168">
        <v>9121.59</v>
      </c>
      <c r="R86" s="1168">
        <v>2356.41</v>
      </c>
      <c r="S86" s="1170">
        <v>22956</v>
      </c>
      <c r="T86" s="1170">
        <v>20664</v>
      </c>
      <c r="U86" s="1171">
        <f t="shared" si="22"/>
        <v>18206.34</v>
      </c>
      <c r="V86" s="1171">
        <f t="shared" si="23"/>
        <v>1136</v>
      </c>
      <c r="W86" s="1171">
        <f t="shared" si="24"/>
        <v>1321.66</v>
      </c>
      <c r="X86" s="1171">
        <f t="shared" si="25"/>
        <v>2292</v>
      </c>
      <c r="Y86" s="1169">
        <f t="shared" si="28"/>
        <v>9.9843178254051228</v>
      </c>
      <c r="Z86" s="1170">
        <v>18243.189999999999</v>
      </c>
      <c r="AA86" s="1171">
        <f t="shared" si="26"/>
        <v>4749.66</v>
      </c>
      <c r="AB86" s="1169">
        <f t="shared" si="29"/>
        <v>20.690277051751174</v>
      </c>
    </row>
    <row r="87" spans="1:28" outlineLevel="1" collapsed="1">
      <c r="B87" s="1173" t="s">
        <v>2318</v>
      </c>
      <c r="H87" s="1167">
        <f>SUBTOTAL(9,H86:H86)</f>
        <v>2</v>
      </c>
      <c r="I87" s="1168"/>
      <c r="J87" s="1168"/>
      <c r="K87" s="1168"/>
      <c r="L87" s="1169"/>
      <c r="M87" s="1168"/>
      <c r="N87" s="1168"/>
      <c r="O87" s="1169"/>
      <c r="P87" s="1169"/>
      <c r="Q87" s="1168"/>
      <c r="R87" s="1168"/>
      <c r="S87" s="1170">
        <f t="shared" ref="S87:X87" si="32">SUBTOTAL(9,S86:S86)</f>
        <v>22956</v>
      </c>
      <c r="T87" s="1170">
        <f t="shared" si="32"/>
        <v>20664</v>
      </c>
      <c r="U87" s="1171">
        <f t="shared" si="32"/>
        <v>18206.34</v>
      </c>
      <c r="V87" s="1171">
        <f t="shared" si="32"/>
        <v>1136</v>
      </c>
      <c r="W87" s="1171">
        <f t="shared" si="32"/>
        <v>1321.66</v>
      </c>
      <c r="X87" s="1171">
        <f t="shared" si="32"/>
        <v>2292</v>
      </c>
      <c r="Y87" s="1169">
        <f t="shared" si="28"/>
        <v>9.9843178254051228</v>
      </c>
      <c r="Z87" s="1170">
        <f>SUBTOTAL(9,Z86:Z86)</f>
        <v>18243.189999999999</v>
      </c>
      <c r="AA87" s="1171">
        <f>SUBTOTAL(9,AA86:AA86)</f>
        <v>4749.66</v>
      </c>
      <c r="AB87" s="1169">
        <f t="shared" si="29"/>
        <v>20.690277051751174</v>
      </c>
    </row>
    <row r="88" spans="1:28" hidden="1" outlineLevel="2">
      <c r="A88" s="1167" t="s">
        <v>2115</v>
      </c>
      <c r="B88" s="1167" t="s">
        <v>2116</v>
      </c>
      <c r="C88" s="1167" t="s">
        <v>2305</v>
      </c>
      <c r="D88" s="1167" t="s">
        <v>1260</v>
      </c>
      <c r="E88" s="1167" t="s">
        <v>1260</v>
      </c>
      <c r="F88" s="1167" t="s">
        <v>2250</v>
      </c>
      <c r="G88" s="1167" t="s">
        <v>2251</v>
      </c>
      <c r="H88" s="1167">
        <v>1</v>
      </c>
      <c r="I88" s="1168">
        <v>20492</v>
      </c>
      <c r="J88" s="1168">
        <v>21950</v>
      </c>
      <c r="K88" s="1168">
        <v>21950</v>
      </c>
      <c r="L88" s="1169">
        <f t="shared" si="19"/>
        <v>-1458</v>
      </c>
      <c r="M88" s="1168">
        <v>0</v>
      </c>
      <c r="N88" s="1168">
        <v>0</v>
      </c>
      <c r="O88" s="1169">
        <f t="shared" si="20"/>
        <v>0</v>
      </c>
      <c r="P88" s="1169">
        <f t="shared" si="21"/>
        <v>-1458</v>
      </c>
      <c r="Q88" s="1168">
        <v>0</v>
      </c>
      <c r="R88" s="1168">
        <v>20492</v>
      </c>
      <c r="S88" s="1170">
        <v>20492</v>
      </c>
      <c r="T88" s="1170">
        <v>21950</v>
      </c>
      <c r="U88" s="1171">
        <f t="shared" si="22"/>
        <v>21950</v>
      </c>
      <c r="V88" s="1171">
        <f t="shared" si="23"/>
        <v>0</v>
      </c>
      <c r="W88" s="1171">
        <f t="shared" si="24"/>
        <v>0</v>
      </c>
      <c r="X88" s="1171">
        <f t="shared" si="25"/>
        <v>-1458</v>
      </c>
      <c r="Y88" s="1169">
        <f t="shared" si="28"/>
        <v>-7.1149716962717156</v>
      </c>
      <c r="Z88" s="1170">
        <v>0</v>
      </c>
      <c r="AA88" s="1171">
        <f t="shared" si="26"/>
        <v>-1458</v>
      </c>
      <c r="AB88" s="1169">
        <f t="shared" si="29"/>
        <v>-7.1149716962717156</v>
      </c>
    </row>
    <row r="89" spans="1:28" outlineLevel="1" collapsed="1">
      <c r="B89" s="1173" t="s">
        <v>2319</v>
      </c>
      <c r="H89" s="1167">
        <f>SUBTOTAL(9,H88:H88)</f>
        <v>1</v>
      </c>
      <c r="I89" s="1168"/>
      <c r="J89" s="1168"/>
      <c r="K89" s="1168"/>
      <c r="L89" s="1169"/>
      <c r="M89" s="1168"/>
      <c r="N89" s="1168"/>
      <c r="O89" s="1169"/>
      <c r="P89" s="1169"/>
      <c r="Q89" s="1168"/>
      <c r="R89" s="1168"/>
      <c r="S89" s="1170">
        <f t="shared" ref="S89:X89" si="33">SUBTOTAL(9,S88:S88)</f>
        <v>20492</v>
      </c>
      <c r="T89" s="1170">
        <f t="shared" si="33"/>
        <v>21950</v>
      </c>
      <c r="U89" s="1171">
        <f t="shared" si="33"/>
        <v>21950</v>
      </c>
      <c r="V89" s="1171">
        <f t="shared" si="33"/>
        <v>0</v>
      </c>
      <c r="W89" s="1171">
        <f t="shared" si="33"/>
        <v>0</v>
      </c>
      <c r="X89" s="1171">
        <f t="shared" si="33"/>
        <v>-1458</v>
      </c>
      <c r="Y89" s="1169">
        <f t="shared" si="28"/>
        <v>-7.1149716962717156</v>
      </c>
      <c r="Z89" s="1170">
        <f>SUBTOTAL(9,Z88:Z88)</f>
        <v>0</v>
      </c>
      <c r="AA89" s="1171">
        <f>SUBTOTAL(9,AA88:AA88)</f>
        <v>-1458</v>
      </c>
      <c r="AB89" s="1169">
        <f t="shared" si="29"/>
        <v>-7.1149716962717156</v>
      </c>
    </row>
    <row r="90" spans="1:28" hidden="1" outlineLevel="2">
      <c r="A90" s="1167" t="s">
        <v>2157</v>
      </c>
      <c r="B90" s="1167" t="s">
        <v>2158</v>
      </c>
      <c r="C90" s="1167" t="s">
        <v>2305</v>
      </c>
      <c r="D90" s="1167" t="s">
        <v>1900</v>
      </c>
      <c r="E90" s="1167" t="s">
        <v>1900</v>
      </c>
      <c r="F90" s="1167" t="s">
        <v>2320</v>
      </c>
      <c r="G90" s="1167" t="s">
        <v>2253</v>
      </c>
      <c r="H90" s="1167">
        <v>10</v>
      </c>
      <c r="I90" s="1168">
        <v>23168</v>
      </c>
      <c r="J90" s="1168">
        <v>17690.7</v>
      </c>
      <c r="K90" s="1168">
        <v>15297.121333333334</v>
      </c>
      <c r="L90" s="1169">
        <f t="shared" si="19"/>
        <v>7870.8786666666656</v>
      </c>
      <c r="M90" s="1168">
        <v>805.59533333333331</v>
      </c>
      <c r="N90" s="1168">
        <v>1587.9829999999999</v>
      </c>
      <c r="O90" s="1169">
        <f t="shared" si="20"/>
        <v>2393.5783333333334</v>
      </c>
      <c r="P90" s="1169">
        <f t="shared" si="21"/>
        <v>5477.3003333333327</v>
      </c>
      <c r="Q90" s="1168">
        <v>6851.14</v>
      </c>
      <c r="R90" s="1168">
        <v>16316.86</v>
      </c>
      <c r="S90" s="1170">
        <v>231680</v>
      </c>
      <c r="T90" s="1170">
        <v>176907</v>
      </c>
      <c r="U90" s="1171">
        <f t="shared" si="22"/>
        <v>152971.21333333335</v>
      </c>
      <c r="V90" s="1171">
        <f t="shared" si="23"/>
        <v>8055.9533333333329</v>
      </c>
      <c r="W90" s="1171">
        <f t="shared" si="24"/>
        <v>15879.83</v>
      </c>
      <c r="X90" s="1171">
        <f t="shared" si="25"/>
        <v>54773</v>
      </c>
      <c r="Y90" s="1169">
        <f t="shared" si="28"/>
        <v>23.641660911602212</v>
      </c>
      <c r="Z90" s="1170">
        <v>68511.45</v>
      </c>
      <c r="AA90" s="1171">
        <f t="shared" si="26"/>
        <v>78708.786666666652</v>
      </c>
      <c r="AB90" s="1169">
        <f t="shared" si="29"/>
        <v>33.973060543278081</v>
      </c>
    </row>
    <row r="91" spans="1:28" outlineLevel="1" collapsed="1">
      <c r="B91" s="1173" t="s">
        <v>2321</v>
      </c>
      <c r="H91" s="1167">
        <f>SUBTOTAL(9,H90:H90)</f>
        <v>10</v>
      </c>
      <c r="I91" s="1168"/>
      <c r="J91" s="1168"/>
      <c r="K91" s="1168"/>
      <c r="L91" s="1169"/>
      <c r="M91" s="1168"/>
      <c r="N91" s="1168"/>
      <c r="O91" s="1169"/>
      <c r="P91" s="1169"/>
      <c r="Q91" s="1168"/>
      <c r="R91" s="1168"/>
      <c r="S91" s="1170">
        <f t="shared" ref="S91:X91" si="34">SUBTOTAL(9,S90:S90)</f>
        <v>231680</v>
      </c>
      <c r="T91" s="1170">
        <f t="shared" si="34"/>
        <v>176907</v>
      </c>
      <c r="U91" s="1171">
        <f t="shared" si="34"/>
        <v>152971.21333333335</v>
      </c>
      <c r="V91" s="1171">
        <f t="shared" si="34"/>
        <v>8055.9533333333329</v>
      </c>
      <c r="W91" s="1171">
        <f t="shared" si="34"/>
        <v>15879.83</v>
      </c>
      <c r="X91" s="1171">
        <f t="shared" si="34"/>
        <v>54773</v>
      </c>
      <c r="Y91" s="1169">
        <f t="shared" si="28"/>
        <v>23.641660911602212</v>
      </c>
      <c r="Z91" s="1170">
        <f>SUBTOTAL(9,Z90:Z90)</f>
        <v>68511.45</v>
      </c>
      <c r="AA91" s="1171">
        <f>SUBTOTAL(9,AA90:AA90)</f>
        <v>78708.786666666652</v>
      </c>
      <c r="AB91" s="1169">
        <f t="shared" si="29"/>
        <v>33.973060543278081</v>
      </c>
    </row>
    <row r="92" spans="1:28" hidden="1" outlineLevel="2">
      <c r="A92" s="1167" t="s">
        <v>2127</v>
      </c>
      <c r="B92" s="1167" t="s">
        <v>2093</v>
      </c>
      <c r="C92" s="1167" t="s">
        <v>2305</v>
      </c>
      <c r="D92" s="1167" t="s">
        <v>2068</v>
      </c>
      <c r="E92" s="1167" t="s">
        <v>2068</v>
      </c>
      <c r="F92" s="1167" t="s">
        <v>2254</v>
      </c>
      <c r="G92" s="1167" t="s">
        <v>2255</v>
      </c>
      <c r="H92" s="1167">
        <v>3</v>
      </c>
      <c r="I92" s="1168">
        <v>24500</v>
      </c>
      <c r="J92" s="1168">
        <v>20787.330000000002</v>
      </c>
      <c r="K92" s="1168">
        <v>20675.662</v>
      </c>
      <c r="L92" s="1169">
        <f t="shared" si="19"/>
        <v>3824.3379999999997</v>
      </c>
      <c r="M92" s="1168">
        <v>0</v>
      </c>
      <c r="N92" s="1168">
        <v>111.67</v>
      </c>
      <c r="O92" s="1169">
        <f t="shared" si="20"/>
        <v>111.67</v>
      </c>
      <c r="P92" s="1169">
        <f t="shared" si="21"/>
        <v>3712.6679999999997</v>
      </c>
      <c r="Q92" s="1168">
        <v>6136.98</v>
      </c>
      <c r="R92" s="1168">
        <v>18363.02</v>
      </c>
      <c r="S92" s="1170">
        <v>73500</v>
      </c>
      <c r="T92" s="1170">
        <v>62362</v>
      </c>
      <c r="U92" s="1171">
        <f t="shared" si="22"/>
        <v>62026.986000000004</v>
      </c>
      <c r="V92" s="1171">
        <f t="shared" si="23"/>
        <v>0</v>
      </c>
      <c r="W92" s="1171">
        <f t="shared" si="24"/>
        <v>335.01</v>
      </c>
      <c r="X92" s="1171">
        <f t="shared" si="25"/>
        <v>11138</v>
      </c>
      <c r="Y92" s="1169">
        <f t="shared" si="28"/>
        <v>15.153741496598638</v>
      </c>
      <c r="Z92" s="1170">
        <v>18410.939999999999</v>
      </c>
      <c r="AA92" s="1171">
        <f t="shared" si="26"/>
        <v>11473.013999999996</v>
      </c>
      <c r="AB92" s="1169">
        <f t="shared" si="29"/>
        <v>15.609542857142852</v>
      </c>
    </row>
    <row r="93" spans="1:28" hidden="1" outlineLevel="2">
      <c r="A93" s="1167" t="s">
        <v>2127</v>
      </c>
      <c r="B93" s="1167" t="s">
        <v>2093</v>
      </c>
      <c r="C93" s="1167" t="s">
        <v>2305</v>
      </c>
      <c r="D93" s="1167" t="s">
        <v>1242</v>
      </c>
      <c r="E93" s="1167" t="s">
        <v>1242</v>
      </c>
      <c r="F93" s="1167" t="s">
        <v>2256</v>
      </c>
      <c r="G93" s="1167" t="s">
        <v>2257</v>
      </c>
      <c r="H93" s="1167">
        <v>1</v>
      </c>
      <c r="I93" s="1168">
        <v>5500</v>
      </c>
      <c r="J93" s="1168">
        <v>4133</v>
      </c>
      <c r="K93" s="1168">
        <v>4021</v>
      </c>
      <c r="L93" s="1169">
        <f t="shared" si="19"/>
        <v>1479</v>
      </c>
      <c r="M93" s="1168">
        <v>0</v>
      </c>
      <c r="N93" s="1168">
        <v>112</v>
      </c>
      <c r="O93" s="1169">
        <f t="shared" si="20"/>
        <v>112</v>
      </c>
      <c r="P93" s="1169">
        <f t="shared" si="21"/>
        <v>1367</v>
      </c>
      <c r="Q93" s="1168">
        <v>4217.2</v>
      </c>
      <c r="R93" s="1168">
        <v>1282.8</v>
      </c>
      <c r="S93" s="1170">
        <v>5500</v>
      </c>
      <c r="T93" s="1170">
        <v>4133</v>
      </c>
      <c r="U93" s="1171">
        <f t="shared" si="22"/>
        <v>4021</v>
      </c>
      <c r="V93" s="1171">
        <f t="shared" si="23"/>
        <v>0</v>
      </c>
      <c r="W93" s="1171">
        <f t="shared" si="24"/>
        <v>112</v>
      </c>
      <c r="X93" s="1171">
        <f t="shared" si="25"/>
        <v>1367</v>
      </c>
      <c r="Y93" s="1169">
        <f t="shared" si="28"/>
        <v>24.854545454545455</v>
      </c>
      <c r="Z93" s="1170">
        <v>4217.2</v>
      </c>
      <c r="AA93" s="1171">
        <f t="shared" si="26"/>
        <v>1479</v>
      </c>
      <c r="AB93" s="1169">
        <f t="shared" si="29"/>
        <v>26.890909090909094</v>
      </c>
    </row>
    <row r="94" spans="1:28" outlineLevel="1" collapsed="1">
      <c r="B94" s="1173" t="s">
        <v>2322</v>
      </c>
      <c r="H94" s="1167">
        <f>SUBTOTAL(9,H92:H93)</f>
        <v>4</v>
      </c>
      <c r="I94" s="1168"/>
      <c r="J94" s="1168"/>
      <c r="K94" s="1168"/>
      <c r="L94" s="1169"/>
      <c r="M94" s="1168"/>
      <c r="N94" s="1168"/>
      <c r="O94" s="1169"/>
      <c r="P94" s="1169"/>
      <c r="Q94" s="1168"/>
      <c r="R94" s="1168"/>
      <c r="S94" s="1170">
        <f t="shared" ref="S94:X94" si="35">SUBTOTAL(9,S92:S93)</f>
        <v>79000</v>
      </c>
      <c r="T94" s="1170">
        <f t="shared" si="35"/>
        <v>66495</v>
      </c>
      <c r="U94" s="1171">
        <f t="shared" si="35"/>
        <v>66047.986000000004</v>
      </c>
      <c r="V94" s="1171">
        <f t="shared" si="35"/>
        <v>0</v>
      </c>
      <c r="W94" s="1171">
        <f t="shared" si="35"/>
        <v>447.01</v>
      </c>
      <c r="X94" s="1171">
        <f t="shared" si="35"/>
        <v>12505</v>
      </c>
      <c r="Y94" s="1169">
        <f t="shared" si="28"/>
        <v>15.829113924050633</v>
      </c>
      <c r="Z94" s="1170">
        <f>SUBTOTAL(9,Z92:Z93)</f>
        <v>22628.14</v>
      </c>
      <c r="AA94" s="1171">
        <f>SUBTOTAL(9,AA92:AA93)</f>
        <v>12952.013999999996</v>
      </c>
      <c r="AB94" s="1169">
        <f t="shared" si="29"/>
        <v>16.394954430379741</v>
      </c>
    </row>
    <row r="95" spans="1:28" hidden="1" outlineLevel="2">
      <c r="A95" s="1167" t="s">
        <v>2131</v>
      </c>
      <c r="B95" s="1167" t="s">
        <v>2132</v>
      </c>
      <c r="C95" s="1167" t="s">
        <v>2305</v>
      </c>
      <c r="D95" s="1167" t="s">
        <v>547</v>
      </c>
      <c r="E95" s="1167" t="s">
        <v>547</v>
      </c>
      <c r="F95" s="1167" t="s">
        <v>2323</v>
      </c>
      <c r="G95" s="1167" t="s">
        <v>2259</v>
      </c>
      <c r="H95" s="1167">
        <v>100</v>
      </c>
      <c r="I95" s="1168">
        <v>13908.1</v>
      </c>
      <c r="J95" s="1168">
        <v>10562.55</v>
      </c>
      <c r="K95" s="1168">
        <v>9479.5220000000008</v>
      </c>
      <c r="L95" s="1169">
        <f t="shared" si="19"/>
        <v>4428.5779999999995</v>
      </c>
      <c r="M95" s="1168">
        <v>700</v>
      </c>
      <c r="N95" s="1168">
        <v>383.02800000000002</v>
      </c>
      <c r="O95" s="1169">
        <f t="shared" si="20"/>
        <v>1083.028</v>
      </c>
      <c r="P95" s="1169">
        <f t="shared" si="21"/>
        <v>3345.5499999999993</v>
      </c>
      <c r="Q95" s="1168">
        <v>9755.5</v>
      </c>
      <c r="R95" s="1168">
        <v>4152.6000000000004</v>
      </c>
      <c r="S95" s="1170">
        <v>1390810</v>
      </c>
      <c r="T95" s="1170">
        <v>1056255</v>
      </c>
      <c r="U95" s="1171">
        <f t="shared" si="22"/>
        <v>947952.20000000007</v>
      </c>
      <c r="V95" s="1171">
        <f t="shared" si="23"/>
        <v>70000</v>
      </c>
      <c r="W95" s="1171">
        <f t="shared" si="24"/>
        <v>38302.800000000003</v>
      </c>
      <c r="X95" s="1171">
        <f t="shared" si="25"/>
        <v>334555</v>
      </c>
      <c r="Y95" s="1169">
        <f t="shared" si="28"/>
        <v>24.054687556172301</v>
      </c>
      <c r="Z95" s="1170">
        <v>975549.57</v>
      </c>
      <c r="AA95" s="1171">
        <f t="shared" si="26"/>
        <v>442857.79999999993</v>
      </c>
      <c r="AB95" s="1169">
        <f t="shared" si="29"/>
        <v>31.841718135475006</v>
      </c>
    </row>
    <row r="96" spans="1:28" outlineLevel="1" collapsed="1">
      <c r="B96" s="1173" t="s">
        <v>2324</v>
      </c>
      <c r="H96" s="1167">
        <f>SUBTOTAL(9,H95:H95)</f>
        <v>100</v>
      </c>
      <c r="I96" s="1168"/>
      <c r="J96" s="1168"/>
      <c r="K96" s="1168"/>
      <c r="L96" s="1169"/>
      <c r="M96" s="1168"/>
      <c r="N96" s="1168"/>
      <c r="O96" s="1169"/>
      <c r="P96" s="1169"/>
      <c r="Q96" s="1168"/>
      <c r="R96" s="1168"/>
      <c r="S96" s="1170">
        <f t="shared" ref="S96:X96" si="36">SUBTOTAL(9,S95:S95)</f>
        <v>1390810</v>
      </c>
      <c r="T96" s="1170">
        <f t="shared" si="36"/>
        <v>1056255</v>
      </c>
      <c r="U96" s="1171">
        <f t="shared" si="36"/>
        <v>947952.20000000007</v>
      </c>
      <c r="V96" s="1171">
        <f t="shared" si="36"/>
        <v>70000</v>
      </c>
      <c r="W96" s="1171">
        <f t="shared" si="36"/>
        <v>38302.800000000003</v>
      </c>
      <c r="X96" s="1171">
        <f t="shared" si="36"/>
        <v>334555</v>
      </c>
      <c r="Y96" s="1169">
        <f t="shared" si="28"/>
        <v>24.054687556172301</v>
      </c>
      <c r="Z96" s="1170">
        <f>SUBTOTAL(9,Z95:Z95)</f>
        <v>975549.57</v>
      </c>
      <c r="AA96" s="1171">
        <f>SUBTOTAL(9,AA95:AA95)</f>
        <v>442857.79999999993</v>
      </c>
      <c r="AB96" s="1169">
        <f t="shared" si="29"/>
        <v>31.841718135475006</v>
      </c>
    </row>
    <row r="97" spans="1:28" hidden="1" outlineLevel="2">
      <c r="A97" s="1167" t="s">
        <v>2031</v>
      </c>
      <c r="B97" s="1167" t="s">
        <v>1240</v>
      </c>
      <c r="C97" s="1167" t="s">
        <v>2305</v>
      </c>
      <c r="D97" s="1167" t="s">
        <v>547</v>
      </c>
      <c r="E97" s="1167" t="s">
        <v>547</v>
      </c>
      <c r="F97" s="1167" t="s">
        <v>2072</v>
      </c>
      <c r="G97" s="1167" t="s">
        <v>2069</v>
      </c>
      <c r="H97" s="1167">
        <v>4</v>
      </c>
      <c r="I97" s="1168">
        <v>13500</v>
      </c>
      <c r="J97" s="1168">
        <v>10537</v>
      </c>
      <c r="K97" s="1168">
        <v>9348.35</v>
      </c>
      <c r="L97" s="1169">
        <f t="shared" si="19"/>
        <v>4151.6499999999996</v>
      </c>
      <c r="M97" s="1168">
        <v>805.61</v>
      </c>
      <c r="N97" s="1168">
        <v>383.04</v>
      </c>
      <c r="O97" s="1169">
        <f t="shared" si="20"/>
        <v>1188.6500000000001</v>
      </c>
      <c r="P97" s="1169">
        <f t="shared" si="21"/>
        <v>2962.9999999999995</v>
      </c>
      <c r="Q97" s="1168">
        <v>2991.93</v>
      </c>
      <c r="R97" s="1168">
        <v>10508.07</v>
      </c>
      <c r="S97" s="1170">
        <v>54000</v>
      </c>
      <c r="T97" s="1170">
        <v>42148</v>
      </c>
      <c r="U97" s="1171">
        <f t="shared" si="22"/>
        <v>37393.4</v>
      </c>
      <c r="V97" s="1171">
        <f t="shared" si="23"/>
        <v>3222.44</v>
      </c>
      <c r="W97" s="1171">
        <f t="shared" si="24"/>
        <v>1532.16</v>
      </c>
      <c r="X97" s="1171">
        <f t="shared" si="25"/>
        <v>11852</v>
      </c>
      <c r="Y97" s="1169">
        <f t="shared" si="28"/>
        <v>21.948148148148146</v>
      </c>
      <c r="Z97" s="1170">
        <v>11967.71</v>
      </c>
      <c r="AA97" s="1171">
        <f t="shared" si="26"/>
        <v>16606.599999999999</v>
      </c>
      <c r="AB97" s="1169">
        <f t="shared" si="29"/>
        <v>30.752962962962961</v>
      </c>
    </row>
    <row r="98" spans="1:28" outlineLevel="1" collapsed="1">
      <c r="B98" s="1173" t="s">
        <v>2034</v>
      </c>
      <c r="H98" s="1167">
        <f>SUBTOTAL(9,H97:H97)</f>
        <v>4</v>
      </c>
      <c r="I98" s="1168"/>
      <c r="J98" s="1168"/>
      <c r="K98" s="1168"/>
      <c r="L98" s="1169"/>
      <c r="M98" s="1168"/>
      <c r="N98" s="1168"/>
      <c r="O98" s="1169"/>
      <c r="P98" s="1169"/>
      <c r="Q98" s="1168"/>
      <c r="R98" s="1168"/>
      <c r="S98" s="1170">
        <f t="shared" ref="S98:X98" si="37">SUBTOTAL(9,S97:S97)</f>
        <v>54000</v>
      </c>
      <c r="T98" s="1170">
        <f t="shared" si="37"/>
        <v>42148</v>
      </c>
      <c r="U98" s="1171">
        <f t="shared" si="37"/>
        <v>37393.4</v>
      </c>
      <c r="V98" s="1171">
        <f t="shared" si="37"/>
        <v>3222.44</v>
      </c>
      <c r="W98" s="1171">
        <f t="shared" si="37"/>
        <v>1532.16</v>
      </c>
      <c r="X98" s="1171">
        <f t="shared" si="37"/>
        <v>11852</v>
      </c>
      <c r="Y98" s="1169">
        <f t="shared" si="28"/>
        <v>21.948148148148146</v>
      </c>
      <c r="Z98" s="1170">
        <f>SUBTOTAL(9,Z97:Z97)</f>
        <v>11967.71</v>
      </c>
      <c r="AA98" s="1171">
        <f>SUBTOTAL(9,AA97:AA97)</f>
        <v>16606.599999999999</v>
      </c>
      <c r="AB98" s="1169">
        <f t="shared" si="29"/>
        <v>30.752962962962961</v>
      </c>
    </row>
    <row r="99" spans="1:28" hidden="1" outlineLevel="2">
      <c r="A99" s="1167" t="s">
        <v>880</v>
      </c>
      <c r="B99" s="1167" t="s">
        <v>881</v>
      </c>
      <c r="C99" s="1167" t="s">
        <v>2325</v>
      </c>
      <c r="D99" s="1167" t="s">
        <v>547</v>
      </c>
      <c r="E99" s="1167" t="s">
        <v>547</v>
      </c>
      <c r="F99" s="1167" t="s">
        <v>2326</v>
      </c>
      <c r="G99" s="1167" t="s">
        <v>2261</v>
      </c>
      <c r="H99" s="1167">
        <v>48</v>
      </c>
      <c r="I99" s="1168">
        <v>13210.31</v>
      </c>
      <c r="J99" s="1168">
        <v>12730.71</v>
      </c>
      <c r="K99" s="1168">
        <v>10209.279999999999</v>
      </c>
      <c r="L99" s="1169">
        <f t="shared" si="19"/>
        <v>3001.0300000000007</v>
      </c>
      <c r="M99" s="1168">
        <v>1300</v>
      </c>
      <c r="N99" s="1168">
        <v>1221.4284</v>
      </c>
      <c r="O99" s="1169">
        <f t="shared" si="20"/>
        <v>2521.4283999999998</v>
      </c>
      <c r="P99" s="1169">
        <f t="shared" si="21"/>
        <v>479.60160000000087</v>
      </c>
      <c r="Q99" s="1168">
        <v>9982.5400000000009</v>
      </c>
      <c r="R99" s="1168">
        <v>3227.77</v>
      </c>
      <c r="S99" s="1170">
        <v>634095</v>
      </c>
      <c r="T99" s="1170">
        <v>611074</v>
      </c>
      <c r="U99" s="1171">
        <f t="shared" si="22"/>
        <v>490045.43999999994</v>
      </c>
      <c r="V99" s="1171">
        <f t="shared" si="23"/>
        <v>62400</v>
      </c>
      <c r="W99" s="1171">
        <f t="shared" si="24"/>
        <v>58628.563200000004</v>
      </c>
      <c r="X99" s="1171">
        <f t="shared" si="25"/>
        <v>23021</v>
      </c>
      <c r="Y99" s="1169">
        <f t="shared" si="28"/>
        <v>3.6305285485613354</v>
      </c>
      <c r="Z99" s="1170">
        <v>479161.99</v>
      </c>
      <c r="AA99" s="1171">
        <f t="shared" si="26"/>
        <v>144049.56000000006</v>
      </c>
      <c r="AB99" s="1169">
        <f t="shared" si="29"/>
        <v>22.717346769805797</v>
      </c>
    </row>
    <row r="100" spans="1:28" hidden="1" outlineLevel="2">
      <c r="A100" s="1167" t="s">
        <v>880</v>
      </c>
      <c r="B100" s="1167" t="s">
        <v>881</v>
      </c>
      <c r="C100" s="1167" t="s">
        <v>2325</v>
      </c>
      <c r="D100" s="1167" t="s">
        <v>547</v>
      </c>
      <c r="E100" s="1167" t="s">
        <v>547</v>
      </c>
      <c r="F100" s="1167" t="s">
        <v>2262</v>
      </c>
      <c r="G100" s="1167" t="s">
        <v>2263</v>
      </c>
      <c r="H100" s="1167">
        <v>3</v>
      </c>
      <c r="I100" s="1168">
        <v>15067.67</v>
      </c>
      <c r="J100" s="1168">
        <v>10500</v>
      </c>
      <c r="K100" s="1168">
        <v>10500</v>
      </c>
      <c r="L100" s="1169">
        <f t="shared" si="19"/>
        <v>4567.67</v>
      </c>
      <c r="M100" s="1168">
        <v>0</v>
      </c>
      <c r="N100" s="1168">
        <v>0</v>
      </c>
      <c r="O100" s="1169">
        <f t="shared" si="20"/>
        <v>0</v>
      </c>
      <c r="P100" s="1169">
        <f t="shared" si="21"/>
        <v>4567.67</v>
      </c>
      <c r="Q100" s="1168">
        <v>0</v>
      </c>
      <c r="R100" s="1168">
        <v>15067.67</v>
      </c>
      <c r="S100" s="1170">
        <v>45203</v>
      </c>
      <c r="T100" s="1170">
        <v>31500</v>
      </c>
      <c r="U100" s="1171">
        <f t="shared" si="22"/>
        <v>31500</v>
      </c>
      <c r="V100" s="1171">
        <f t="shared" si="23"/>
        <v>0</v>
      </c>
      <c r="W100" s="1171">
        <f t="shared" si="24"/>
        <v>0</v>
      </c>
      <c r="X100" s="1171">
        <f t="shared" si="25"/>
        <v>13703</v>
      </c>
      <c r="Y100" s="1169">
        <f t="shared" si="28"/>
        <v>30.314359666393827</v>
      </c>
      <c r="Z100" s="1170">
        <v>0</v>
      </c>
      <c r="AA100" s="1171">
        <f t="shared" si="26"/>
        <v>13703</v>
      </c>
      <c r="AB100" s="1169">
        <f t="shared" si="29"/>
        <v>30.314359666393827</v>
      </c>
    </row>
    <row r="101" spans="1:28" hidden="1" outlineLevel="2">
      <c r="A101" s="1167" t="s">
        <v>880</v>
      </c>
      <c r="B101" s="1167" t="s">
        <v>881</v>
      </c>
      <c r="C101" s="1167" t="s">
        <v>2325</v>
      </c>
      <c r="D101" s="1167" t="s">
        <v>547</v>
      </c>
      <c r="E101" s="1167" t="s">
        <v>547</v>
      </c>
      <c r="F101" s="1167" t="s">
        <v>2327</v>
      </c>
      <c r="G101" s="1167" t="s">
        <v>1247</v>
      </c>
      <c r="H101" s="1167">
        <v>288</v>
      </c>
      <c r="I101" s="1168">
        <v>13180.03</v>
      </c>
      <c r="J101" s="1168">
        <v>12158.03</v>
      </c>
      <c r="K101" s="1168">
        <v>10080.513888888889</v>
      </c>
      <c r="L101" s="1169">
        <f t="shared" si="19"/>
        <v>3099.516111111112</v>
      </c>
      <c r="M101" s="1168">
        <v>1300</v>
      </c>
      <c r="N101" s="1168">
        <v>777.52083333333337</v>
      </c>
      <c r="O101" s="1169">
        <f t="shared" si="20"/>
        <v>2077.5208333333335</v>
      </c>
      <c r="P101" s="1169">
        <f t="shared" si="21"/>
        <v>1021.9952777777785</v>
      </c>
      <c r="Q101" s="1168">
        <v>9980.1299999999992</v>
      </c>
      <c r="R101" s="1168">
        <v>3199.9</v>
      </c>
      <c r="S101" s="1170">
        <v>3795850</v>
      </c>
      <c r="T101" s="1170">
        <v>3501514</v>
      </c>
      <c r="U101" s="1171">
        <f t="shared" si="22"/>
        <v>2903188</v>
      </c>
      <c r="V101" s="1171">
        <f t="shared" si="23"/>
        <v>374400</v>
      </c>
      <c r="W101" s="1171">
        <f t="shared" si="24"/>
        <v>223926</v>
      </c>
      <c r="X101" s="1171">
        <f t="shared" si="25"/>
        <v>294336</v>
      </c>
      <c r="Y101" s="1169">
        <f t="shared" si="28"/>
        <v>7.7541525613498949</v>
      </c>
      <c r="Z101" s="1170">
        <v>2874278.01</v>
      </c>
      <c r="AA101" s="1171">
        <f t="shared" si="26"/>
        <v>892662</v>
      </c>
      <c r="AB101" s="1169">
        <f t="shared" si="29"/>
        <v>23.516788071183004</v>
      </c>
    </row>
    <row r="102" spans="1:28" hidden="1" outlineLevel="2">
      <c r="A102" s="1167" t="s">
        <v>880</v>
      </c>
      <c r="B102" s="1167" t="s">
        <v>881</v>
      </c>
      <c r="C102" s="1167" t="s">
        <v>2325</v>
      </c>
      <c r="D102" s="1167" t="s">
        <v>547</v>
      </c>
      <c r="E102" s="1167" t="s">
        <v>547</v>
      </c>
      <c r="F102" s="1167" t="s">
        <v>2046</v>
      </c>
      <c r="G102" s="1167" t="s">
        <v>2047</v>
      </c>
      <c r="H102" s="1167">
        <v>24</v>
      </c>
      <c r="I102" s="1168">
        <v>13361.75</v>
      </c>
      <c r="J102" s="1168">
        <v>12175.63</v>
      </c>
      <c r="K102" s="1168">
        <v>10287.995000000001</v>
      </c>
      <c r="L102" s="1169">
        <f t="shared" si="19"/>
        <v>3073.7549999999992</v>
      </c>
      <c r="M102" s="1168">
        <v>1300</v>
      </c>
      <c r="N102" s="1168">
        <v>587.63</v>
      </c>
      <c r="O102" s="1169">
        <f t="shared" si="20"/>
        <v>1887.63</v>
      </c>
      <c r="P102" s="1169">
        <f t="shared" si="21"/>
        <v>1186.1249999999991</v>
      </c>
      <c r="Q102" s="1168">
        <v>3036.24</v>
      </c>
      <c r="R102" s="1168">
        <v>10325.51</v>
      </c>
      <c r="S102" s="1170">
        <v>320682</v>
      </c>
      <c r="T102" s="1170">
        <v>292215</v>
      </c>
      <c r="U102" s="1171">
        <f t="shared" si="22"/>
        <v>246911.88</v>
      </c>
      <c r="V102" s="1171">
        <f t="shared" si="23"/>
        <v>31200</v>
      </c>
      <c r="W102" s="1171">
        <f t="shared" si="24"/>
        <v>14103.119999999999</v>
      </c>
      <c r="X102" s="1171">
        <f t="shared" si="25"/>
        <v>28467</v>
      </c>
      <c r="Y102" s="1169">
        <f t="shared" si="28"/>
        <v>8.8770183546316908</v>
      </c>
      <c r="Z102" s="1170">
        <v>72869.740000000005</v>
      </c>
      <c r="AA102" s="1171">
        <f t="shared" si="26"/>
        <v>73770.12</v>
      </c>
      <c r="AB102" s="1169">
        <f t="shared" si="29"/>
        <v>23.004134937414634</v>
      </c>
    </row>
    <row r="103" spans="1:28" hidden="1" outlineLevel="2">
      <c r="A103" s="1167" t="s">
        <v>880</v>
      </c>
      <c r="B103" s="1167" t="s">
        <v>881</v>
      </c>
      <c r="C103" s="1167" t="s">
        <v>2325</v>
      </c>
      <c r="D103" s="1167" t="s">
        <v>547</v>
      </c>
      <c r="E103" s="1167" t="s">
        <v>547</v>
      </c>
      <c r="F103" s="1167" t="s">
        <v>2264</v>
      </c>
      <c r="G103" s="1167" t="s">
        <v>2265</v>
      </c>
      <c r="H103" s="1167">
        <v>48</v>
      </c>
      <c r="I103" s="1168">
        <v>13861.46</v>
      </c>
      <c r="J103" s="1168">
        <v>12444.25</v>
      </c>
      <c r="K103" s="1168">
        <v>10366.73</v>
      </c>
      <c r="L103" s="1169">
        <f t="shared" si="19"/>
        <v>3494.7299999999996</v>
      </c>
      <c r="M103" s="1168">
        <v>1300</v>
      </c>
      <c r="N103" s="1168">
        <v>777.52</v>
      </c>
      <c r="O103" s="1169">
        <f t="shared" si="20"/>
        <v>2077.52</v>
      </c>
      <c r="P103" s="1169">
        <f t="shared" si="21"/>
        <v>1417.2099999999996</v>
      </c>
      <c r="Q103" s="1168">
        <v>3036.24</v>
      </c>
      <c r="R103" s="1168">
        <v>10825.22</v>
      </c>
      <c r="S103" s="1170">
        <v>665350</v>
      </c>
      <c r="T103" s="1170">
        <v>597324</v>
      </c>
      <c r="U103" s="1171">
        <f t="shared" si="22"/>
        <v>497603.04</v>
      </c>
      <c r="V103" s="1171">
        <f t="shared" si="23"/>
        <v>62400</v>
      </c>
      <c r="W103" s="1171">
        <f t="shared" si="24"/>
        <v>37320.959999999999</v>
      </c>
      <c r="X103" s="1171">
        <f t="shared" si="25"/>
        <v>68026</v>
      </c>
      <c r="Y103" s="1169">
        <f t="shared" si="28"/>
        <v>10.224092582851132</v>
      </c>
      <c r="Z103" s="1170">
        <v>145739.47</v>
      </c>
      <c r="AA103" s="1171">
        <f t="shared" si="26"/>
        <v>167746.96000000002</v>
      </c>
      <c r="AB103" s="1169">
        <f t="shared" si="29"/>
        <v>25.211837378823176</v>
      </c>
    </row>
    <row r="104" spans="1:28" hidden="1" outlineLevel="2">
      <c r="A104" s="1167" t="s">
        <v>880</v>
      </c>
      <c r="B104" s="1167" t="s">
        <v>881</v>
      </c>
      <c r="C104" s="1167" t="s">
        <v>2325</v>
      </c>
      <c r="D104" s="1167" t="s">
        <v>1242</v>
      </c>
      <c r="E104" s="1167" t="s">
        <v>1242</v>
      </c>
      <c r="F104" s="1167" t="s">
        <v>2266</v>
      </c>
      <c r="G104" s="1167" t="s">
        <v>2267</v>
      </c>
      <c r="H104" s="1167">
        <v>1</v>
      </c>
      <c r="I104" s="1168">
        <v>6027</v>
      </c>
      <c r="J104" s="1168">
        <v>4200</v>
      </c>
      <c r="K104" s="1168">
        <v>4200</v>
      </c>
      <c r="L104" s="1169">
        <f t="shared" si="19"/>
        <v>1827</v>
      </c>
      <c r="M104" s="1168">
        <v>0</v>
      </c>
      <c r="N104" s="1168">
        <v>0</v>
      </c>
      <c r="O104" s="1169">
        <f t="shared" si="20"/>
        <v>0</v>
      </c>
      <c r="P104" s="1169">
        <f t="shared" si="21"/>
        <v>1827</v>
      </c>
      <c r="Q104" s="1168">
        <v>0</v>
      </c>
      <c r="R104" s="1168">
        <v>6027</v>
      </c>
      <c r="S104" s="1170">
        <v>6027</v>
      </c>
      <c r="T104" s="1170">
        <v>4200</v>
      </c>
      <c r="U104" s="1171">
        <f t="shared" si="22"/>
        <v>4200</v>
      </c>
      <c r="V104" s="1171">
        <f t="shared" si="23"/>
        <v>0</v>
      </c>
      <c r="W104" s="1171">
        <f t="shared" si="24"/>
        <v>0</v>
      </c>
      <c r="X104" s="1171">
        <f t="shared" si="25"/>
        <v>1827</v>
      </c>
      <c r="Y104" s="1169">
        <f t="shared" si="28"/>
        <v>30.313588850174217</v>
      </c>
      <c r="Z104" s="1170">
        <v>0</v>
      </c>
      <c r="AA104" s="1171">
        <f t="shared" si="26"/>
        <v>1827</v>
      </c>
      <c r="AB104" s="1169">
        <f t="shared" si="29"/>
        <v>30.313588850174217</v>
      </c>
    </row>
    <row r="105" spans="1:28" hidden="1" outlineLevel="2">
      <c r="A105" s="1167" t="s">
        <v>880</v>
      </c>
      <c r="B105" s="1167" t="s">
        <v>881</v>
      </c>
      <c r="C105" s="1167" t="s">
        <v>2325</v>
      </c>
      <c r="D105" s="1167" t="s">
        <v>1242</v>
      </c>
      <c r="E105" s="1167" t="s">
        <v>1242</v>
      </c>
      <c r="F105" s="1167" t="s">
        <v>2268</v>
      </c>
      <c r="G105" s="1167" t="s">
        <v>2269</v>
      </c>
      <c r="H105" s="1167">
        <v>2</v>
      </c>
      <c r="I105" s="1168">
        <v>6027</v>
      </c>
      <c r="J105" s="1168">
        <v>4200</v>
      </c>
      <c r="K105" s="1168">
        <v>4200</v>
      </c>
      <c r="L105" s="1169">
        <f t="shared" si="19"/>
        <v>1827</v>
      </c>
      <c r="M105" s="1168">
        <v>0</v>
      </c>
      <c r="N105" s="1168">
        <v>0</v>
      </c>
      <c r="O105" s="1169">
        <f t="shared" si="20"/>
        <v>0</v>
      </c>
      <c r="P105" s="1169">
        <f t="shared" si="21"/>
        <v>1827</v>
      </c>
      <c r="Q105" s="1168">
        <v>0</v>
      </c>
      <c r="R105" s="1168">
        <v>6027</v>
      </c>
      <c r="S105" s="1170">
        <v>12054</v>
      </c>
      <c r="T105" s="1170">
        <v>8400</v>
      </c>
      <c r="U105" s="1171">
        <f t="shared" si="22"/>
        <v>8400</v>
      </c>
      <c r="V105" s="1171">
        <f t="shared" si="23"/>
        <v>0</v>
      </c>
      <c r="W105" s="1171">
        <f t="shared" si="24"/>
        <v>0</v>
      </c>
      <c r="X105" s="1171">
        <f t="shared" si="25"/>
        <v>3654</v>
      </c>
      <c r="Y105" s="1169">
        <f t="shared" si="28"/>
        <v>30.313588850174217</v>
      </c>
      <c r="Z105" s="1170">
        <v>0</v>
      </c>
      <c r="AA105" s="1171">
        <f t="shared" si="26"/>
        <v>3654</v>
      </c>
      <c r="AB105" s="1169">
        <f t="shared" si="29"/>
        <v>30.313588850174217</v>
      </c>
    </row>
    <row r="106" spans="1:28" hidden="1" outlineLevel="2">
      <c r="A106" s="1167" t="s">
        <v>880</v>
      </c>
      <c r="B106" s="1167" t="s">
        <v>881</v>
      </c>
      <c r="C106" s="1167" t="s">
        <v>2325</v>
      </c>
      <c r="D106" s="1167" t="s">
        <v>1242</v>
      </c>
      <c r="E106" s="1167" t="s">
        <v>1242</v>
      </c>
      <c r="F106" s="1167" t="s">
        <v>2328</v>
      </c>
      <c r="G106" s="1167" t="s">
        <v>2271</v>
      </c>
      <c r="H106" s="1167">
        <v>24</v>
      </c>
      <c r="I106" s="1168">
        <v>4891.04</v>
      </c>
      <c r="J106" s="1168">
        <v>4536.38</v>
      </c>
      <c r="K106" s="1168">
        <v>4325.7349999999997</v>
      </c>
      <c r="L106" s="1169">
        <f t="shared" si="19"/>
        <v>565.30500000000029</v>
      </c>
      <c r="M106" s="1168">
        <v>0</v>
      </c>
      <c r="N106" s="1168">
        <v>210.64</v>
      </c>
      <c r="O106" s="1169">
        <f t="shared" si="20"/>
        <v>210.64</v>
      </c>
      <c r="P106" s="1169">
        <f t="shared" si="21"/>
        <v>354.6650000000003</v>
      </c>
      <c r="Q106" s="1168">
        <v>4323.74</v>
      </c>
      <c r="R106" s="1168">
        <v>567.29999999999995</v>
      </c>
      <c r="S106" s="1170">
        <v>117385</v>
      </c>
      <c r="T106" s="1170">
        <v>108873</v>
      </c>
      <c r="U106" s="1171">
        <f t="shared" si="22"/>
        <v>103817.63999999998</v>
      </c>
      <c r="V106" s="1171">
        <f t="shared" si="23"/>
        <v>0</v>
      </c>
      <c r="W106" s="1171">
        <f t="shared" si="24"/>
        <v>5055.3599999999997</v>
      </c>
      <c r="X106" s="1171">
        <f t="shared" si="25"/>
        <v>8512</v>
      </c>
      <c r="Y106" s="1169">
        <f t="shared" si="28"/>
        <v>7.2513523874430286</v>
      </c>
      <c r="Z106" s="1170">
        <v>103769.85</v>
      </c>
      <c r="AA106" s="1171">
        <f t="shared" si="26"/>
        <v>13567.360000000015</v>
      </c>
      <c r="AB106" s="1169">
        <f t="shared" si="29"/>
        <v>11.558001448225937</v>
      </c>
    </row>
    <row r="107" spans="1:28" hidden="1" outlineLevel="2">
      <c r="A107" s="1167" t="s">
        <v>880</v>
      </c>
      <c r="B107" s="1167" t="s">
        <v>881</v>
      </c>
      <c r="C107" s="1167" t="s">
        <v>2325</v>
      </c>
      <c r="D107" s="1167" t="s">
        <v>1242</v>
      </c>
      <c r="E107" s="1167" t="s">
        <v>1242</v>
      </c>
      <c r="F107" s="1167" t="s">
        <v>2329</v>
      </c>
      <c r="G107" s="1167" t="s">
        <v>1902</v>
      </c>
      <c r="H107" s="1167">
        <v>192</v>
      </c>
      <c r="I107" s="1168">
        <v>4739.6000000000004</v>
      </c>
      <c r="J107" s="1168">
        <v>4181.17</v>
      </c>
      <c r="K107" s="1168">
        <v>4079.4148047711724</v>
      </c>
      <c r="L107" s="1169">
        <f t="shared" si="19"/>
        <v>660.18519522882798</v>
      </c>
      <c r="M107" s="1168">
        <v>0</v>
      </c>
      <c r="N107" s="1168">
        <v>101.75705000000001</v>
      </c>
      <c r="O107" s="1169">
        <f t="shared" si="20"/>
        <v>101.75705000000001</v>
      </c>
      <c r="P107" s="1169">
        <f t="shared" si="21"/>
        <v>558.42814522882793</v>
      </c>
      <c r="Q107" s="1168">
        <v>4084.36</v>
      </c>
      <c r="R107" s="1168">
        <v>655.24</v>
      </c>
      <c r="S107" s="1170">
        <v>910004</v>
      </c>
      <c r="T107" s="1170">
        <v>802785</v>
      </c>
      <c r="U107" s="1171">
        <f t="shared" si="22"/>
        <v>783247.64251606516</v>
      </c>
      <c r="V107" s="1171">
        <f t="shared" si="23"/>
        <v>0</v>
      </c>
      <c r="W107" s="1171">
        <f t="shared" si="24"/>
        <v>19537.353600000002</v>
      </c>
      <c r="X107" s="1171">
        <f t="shared" si="25"/>
        <v>107219</v>
      </c>
      <c r="Y107" s="1169">
        <f t="shared" si="28"/>
        <v>11.78225590217186</v>
      </c>
      <c r="Z107" s="1170">
        <v>784197.76</v>
      </c>
      <c r="AA107" s="1171">
        <f t="shared" si="26"/>
        <v>126756.35748393484</v>
      </c>
      <c r="AB107" s="1169">
        <f t="shared" si="29"/>
        <v>13.929208825888113</v>
      </c>
    </row>
    <row r="108" spans="1:28" hidden="1" outlineLevel="2">
      <c r="A108" s="1167" t="s">
        <v>880</v>
      </c>
      <c r="B108" s="1167" t="s">
        <v>881</v>
      </c>
      <c r="C108" s="1167" t="s">
        <v>2325</v>
      </c>
      <c r="D108" s="1167" t="s">
        <v>1242</v>
      </c>
      <c r="E108" s="1167" t="s">
        <v>1242</v>
      </c>
      <c r="F108" s="1167" t="s">
        <v>2272</v>
      </c>
      <c r="G108" s="1167" t="s">
        <v>2273</v>
      </c>
      <c r="H108" s="1167">
        <v>48</v>
      </c>
      <c r="I108" s="1168">
        <v>5299.88</v>
      </c>
      <c r="J108" s="1168">
        <v>4259.6899999999996</v>
      </c>
      <c r="K108" s="1168">
        <v>4149.0540186915887</v>
      </c>
      <c r="L108" s="1169">
        <f t="shared" si="19"/>
        <v>1150.8259813084114</v>
      </c>
      <c r="M108" s="1168">
        <v>0</v>
      </c>
      <c r="N108" s="1168">
        <v>110.6335</v>
      </c>
      <c r="O108" s="1169">
        <f t="shared" si="20"/>
        <v>110.6335</v>
      </c>
      <c r="P108" s="1169">
        <f t="shared" si="21"/>
        <v>1040.1924813084115</v>
      </c>
      <c r="Q108" s="1168">
        <v>4129.97</v>
      </c>
      <c r="R108" s="1168">
        <v>1169.9100000000001</v>
      </c>
      <c r="S108" s="1170">
        <v>254394</v>
      </c>
      <c r="T108" s="1170">
        <v>204465</v>
      </c>
      <c r="U108" s="1171">
        <f t="shared" si="22"/>
        <v>199154.59289719624</v>
      </c>
      <c r="V108" s="1171">
        <f t="shared" si="23"/>
        <v>0</v>
      </c>
      <c r="W108" s="1171">
        <f t="shared" si="24"/>
        <v>5310.4079999999994</v>
      </c>
      <c r="X108" s="1171">
        <f t="shared" si="25"/>
        <v>49929</v>
      </c>
      <c r="Y108" s="1169">
        <f t="shared" si="28"/>
        <v>19.62664213778627</v>
      </c>
      <c r="Z108" s="1170">
        <v>198238.39</v>
      </c>
      <c r="AA108" s="1171">
        <f t="shared" si="26"/>
        <v>55239.407102803758</v>
      </c>
      <c r="AB108" s="1169">
        <f t="shared" si="29"/>
        <v>21.714115546280084</v>
      </c>
    </row>
    <row r="109" spans="1:28" hidden="1" outlineLevel="2">
      <c r="A109" s="1167" t="s">
        <v>880</v>
      </c>
      <c r="B109" s="1167" t="s">
        <v>881</v>
      </c>
      <c r="C109" s="1167" t="s">
        <v>2325</v>
      </c>
      <c r="D109" s="1167" t="s">
        <v>398</v>
      </c>
      <c r="E109" s="1167" t="s">
        <v>398</v>
      </c>
      <c r="F109" s="1167" t="s">
        <v>1245</v>
      </c>
      <c r="G109" s="1167" t="s">
        <v>1244</v>
      </c>
      <c r="H109" s="1167">
        <v>192</v>
      </c>
      <c r="I109" s="1168">
        <v>302.85000000000002</v>
      </c>
      <c r="J109" s="1168">
        <v>449.58</v>
      </c>
      <c r="K109" s="1168">
        <v>304.09653943652961</v>
      </c>
      <c r="L109" s="1169">
        <f t="shared" si="19"/>
        <v>-1.2465394365295879</v>
      </c>
      <c r="M109" s="1168">
        <v>80</v>
      </c>
      <c r="N109" s="1168">
        <v>65.486800000000002</v>
      </c>
      <c r="O109" s="1169">
        <f t="shared" si="20"/>
        <v>145.48680000000002</v>
      </c>
      <c r="P109" s="1169">
        <f t="shared" si="21"/>
        <v>-146.7333394365296</v>
      </c>
      <c r="Q109" s="1168">
        <v>304.31</v>
      </c>
      <c r="R109" s="1168">
        <v>-1.46</v>
      </c>
      <c r="S109" s="1170">
        <v>58147</v>
      </c>
      <c r="T109" s="1170">
        <v>86320</v>
      </c>
      <c r="U109" s="1171">
        <f t="shared" si="22"/>
        <v>58386.535571813685</v>
      </c>
      <c r="V109" s="1171">
        <f t="shared" si="23"/>
        <v>15360</v>
      </c>
      <c r="W109" s="1171">
        <f t="shared" si="24"/>
        <v>12573.4656</v>
      </c>
      <c r="X109" s="1171">
        <f t="shared" si="25"/>
        <v>-28173</v>
      </c>
      <c r="Y109" s="1169">
        <f t="shared" si="28"/>
        <v>-48.451338848091908</v>
      </c>
      <c r="Z109" s="1170">
        <v>58426.81</v>
      </c>
      <c r="AA109" s="1171">
        <f t="shared" si="26"/>
        <v>-239.53557181368524</v>
      </c>
      <c r="AB109" s="1169">
        <f t="shared" si="29"/>
        <v>-0.41194828935918487</v>
      </c>
    </row>
    <row r="110" spans="1:28" hidden="1" outlineLevel="2">
      <c r="A110" s="1167" t="s">
        <v>880</v>
      </c>
      <c r="B110" s="1167" t="s">
        <v>881</v>
      </c>
      <c r="C110" s="1167" t="s">
        <v>2325</v>
      </c>
      <c r="D110" s="1167" t="s">
        <v>398</v>
      </c>
      <c r="E110" s="1167" t="s">
        <v>398</v>
      </c>
      <c r="F110" s="1167" t="s">
        <v>2330</v>
      </c>
      <c r="G110" s="1167" t="s">
        <v>2035</v>
      </c>
      <c r="H110" s="1167">
        <v>48</v>
      </c>
      <c r="I110" s="1168">
        <v>302.83</v>
      </c>
      <c r="J110" s="1168">
        <v>448.42</v>
      </c>
      <c r="K110" s="1168">
        <v>314.01133120882025</v>
      </c>
      <c r="L110" s="1169">
        <f t="shared" si="19"/>
        <v>-11.181331208820268</v>
      </c>
      <c r="M110" s="1168">
        <v>80</v>
      </c>
      <c r="N110" s="1168">
        <v>54.4054</v>
      </c>
      <c r="O110" s="1169">
        <f t="shared" si="20"/>
        <v>134.40539999999999</v>
      </c>
      <c r="P110" s="1169">
        <f t="shared" si="21"/>
        <v>-145.58673120882025</v>
      </c>
      <c r="Q110" s="1168">
        <v>314.12</v>
      </c>
      <c r="R110" s="1168">
        <v>-11.29</v>
      </c>
      <c r="S110" s="1170">
        <v>14536</v>
      </c>
      <c r="T110" s="1170">
        <v>21524</v>
      </c>
      <c r="U110" s="1171">
        <f t="shared" si="22"/>
        <v>15072.543898023372</v>
      </c>
      <c r="V110" s="1171">
        <f t="shared" si="23"/>
        <v>3840</v>
      </c>
      <c r="W110" s="1171">
        <f t="shared" si="24"/>
        <v>2611.4592000000002</v>
      </c>
      <c r="X110" s="1171">
        <f t="shared" si="25"/>
        <v>-6988</v>
      </c>
      <c r="Y110" s="1169">
        <f t="shared" si="28"/>
        <v>-48.073747936158497</v>
      </c>
      <c r="Z110" s="1170">
        <v>15077.98</v>
      </c>
      <c r="AA110" s="1171">
        <f t="shared" si="26"/>
        <v>-536.54389802337209</v>
      </c>
      <c r="AB110" s="1169">
        <f t="shared" si="29"/>
        <v>-3.6911385389610079</v>
      </c>
    </row>
    <row r="111" spans="1:28" outlineLevel="1" collapsed="1">
      <c r="B111" s="1173" t="s">
        <v>2022</v>
      </c>
      <c r="H111" s="1167">
        <f>SUBTOTAL(9,H99:H110)</f>
        <v>918</v>
      </c>
      <c r="I111" s="1168"/>
      <c r="J111" s="1168"/>
      <c r="K111" s="1168"/>
      <c r="L111" s="1169"/>
      <c r="M111" s="1168"/>
      <c r="N111" s="1168"/>
      <c r="O111" s="1169"/>
      <c r="P111" s="1169"/>
      <c r="Q111" s="1168"/>
      <c r="R111" s="1168"/>
      <c r="S111" s="1170">
        <f t="shared" ref="S111:X111" si="38">SUBTOTAL(9,S99:S110)</f>
        <v>6833727</v>
      </c>
      <c r="T111" s="1170">
        <f t="shared" si="38"/>
        <v>6270194</v>
      </c>
      <c r="U111" s="1171">
        <f t="shared" si="38"/>
        <v>5341527.3148830989</v>
      </c>
      <c r="V111" s="1171">
        <f t="shared" si="38"/>
        <v>549600</v>
      </c>
      <c r="W111" s="1171">
        <f t="shared" si="38"/>
        <v>379066.68959999993</v>
      </c>
      <c r="X111" s="1171">
        <f t="shared" si="38"/>
        <v>563533</v>
      </c>
      <c r="Y111" s="1169">
        <f t="shared" si="28"/>
        <v>8.2463493200708786</v>
      </c>
      <c r="Z111" s="1170">
        <f>SUBTOTAL(9,Z99:Z110)</f>
        <v>4731760</v>
      </c>
      <c r="AA111" s="1171">
        <f>SUBTOTAL(9,AA99:AA110)</f>
        <v>1492199.6851169018</v>
      </c>
      <c r="AB111" s="1169">
        <f t="shared" si="29"/>
        <v>21.835810606963108</v>
      </c>
    </row>
    <row r="112" spans="1:28" s="1173" customFormat="1" outlineLevel="1">
      <c r="B112" s="1173" t="s">
        <v>348</v>
      </c>
      <c r="H112" s="1174">
        <f>SUBTOTAL(9,H2:H111)</f>
        <v>15889</v>
      </c>
      <c r="L112" s="1175"/>
      <c r="O112" s="1175"/>
      <c r="P112" s="1175"/>
      <c r="S112" s="1174">
        <f t="shared" ref="S112:X112" si="39">SUBTOTAL(9,S2:S111)</f>
        <v>81571277</v>
      </c>
      <c r="T112" s="1174">
        <f t="shared" si="39"/>
        <v>70526211</v>
      </c>
      <c r="U112" s="1176">
        <f t="shared" si="39"/>
        <v>61970103.623967789</v>
      </c>
      <c r="V112" s="1176">
        <f t="shared" si="39"/>
        <v>5263438.0990146529</v>
      </c>
      <c r="W112" s="1176">
        <f t="shared" si="39"/>
        <v>3292669.2819877667</v>
      </c>
      <c r="X112" s="1176">
        <f t="shared" si="39"/>
        <v>11045066</v>
      </c>
      <c r="Y112" s="1177">
        <f t="shared" si="28"/>
        <v>13.540386280822844</v>
      </c>
      <c r="Z112" s="1174">
        <f>SUBTOTAL(9,Z2:Z111)</f>
        <v>48027647.699999996</v>
      </c>
      <c r="AA112" s="1176">
        <f>SUBTOTAL(9,AA2:AA111)</f>
        <v>19601173.376032222</v>
      </c>
      <c r="AB112" s="1177">
        <f t="shared" si="29"/>
        <v>24.029504130519154</v>
      </c>
    </row>
  </sheetData>
  <phoneticPr fontId="56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2">
    <tabColor indexed="55"/>
  </sheetPr>
  <dimension ref="A1:CH9"/>
  <sheetViews>
    <sheetView view="pageBreakPreview" topLeftCell="BP10" zoomScale="90" zoomScaleSheetLayoutView="90" workbookViewId="0">
      <selection activeCell="BP10" sqref="A1:XFD1048576"/>
    </sheetView>
  </sheetViews>
  <sheetFormatPr baseColWidth="10" defaultColWidth="9.19921875" defaultRowHeight="16"/>
  <cols>
    <col min="1" max="1" width="16.59765625" style="404" bestFit="1" customWidth="1"/>
    <col min="2" max="8" width="11.59765625" style="404" hidden="1" customWidth="1"/>
    <col min="9" max="10" width="11.796875" style="404" hidden="1" customWidth="1"/>
    <col min="11" max="11" width="12" style="404" hidden="1" customWidth="1"/>
    <col min="12" max="12" width="10.796875" style="404" hidden="1" customWidth="1"/>
    <col min="13" max="13" width="11.3984375" style="404" hidden="1" customWidth="1"/>
    <col min="14" max="30" width="9.19921875" style="404" hidden="1" customWidth="1"/>
    <col min="31" max="31" width="11.796875" style="404" hidden="1" customWidth="1"/>
    <col min="32" max="36" width="9.19921875" style="404" hidden="1" customWidth="1"/>
    <col min="37" max="37" width="8.19921875" style="404" hidden="1" customWidth="1"/>
    <col min="38" max="38" width="8.796875" style="404" hidden="1" customWidth="1"/>
    <col min="39" max="48" width="9.19921875" style="404" hidden="1" customWidth="1"/>
    <col min="49" max="49" width="9.59765625" style="404" hidden="1" customWidth="1"/>
    <col min="50" max="50" width="11.59765625" style="404" hidden="1" customWidth="1"/>
    <col min="51" max="59" width="8.59765625" style="404" hidden="1" customWidth="1"/>
    <col min="60" max="62" width="9.796875" style="404" hidden="1" customWidth="1"/>
    <col min="63" max="69" width="8.59765625" style="404" bestFit="1" customWidth="1"/>
    <col min="70" max="70" width="8.796875" style="404" bestFit="1" customWidth="1"/>
    <col min="71" max="71" width="7.796875" style="404" bestFit="1" customWidth="1"/>
    <col min="72" max="74" width="11.3984375" style="404" customWidth="1"/>
    <col min="75" max="75" width="11.19921875" style="404" bestFit="1" customWidth="1"/>
    <col min="76" max="16384" width="9.19921875" style="404"/>
  </cols>
  <sheetData>
    <row r="1" spans="1:86" s="403" customFormat="1" ht="21.75" customHeight="1">
      <c r="C1" s="534" t="s">
        <v>1622</v>
      </c>
      <c r="O1" s="534" t="s">
        <v>1623</v>
      </c>
      <c r="AA1" s="534" t="s">
        <v>1624</v>
      </c>
      <c r="AM1" s="403" t="s">
        <v>1625</v>
      </c>
      <c r="AY1" s="403" t="s">
        <v>1626</v>
      </c>
      <c r="BK1" s="403" t="s">
        <v>1627</v>
      </c>
      <c r="BW1" s="403" t="s">
        <v>1628</v>
      </c>
    </row>
    <row r="2" spans="1:86" s="403" customFormat="1" ht="20.25" customHeight="1">
      <c r="B2" s="535" t="s">
        <v>437</v>
      </c>
      <c r="C2" s="535" t="s">
        <v>1155</v>
      </c>
      <c r="D2" s="535" t="s">
        <v>395</v>
      </c>
      <c r="E2" s="535" t="s">
        <v>485</v>
      </c>
      <c r="F2" s="535" t="s">
        <v>370</v>
      </c>
      <c r="G2" s="535" t="s">
        <v>1629</v>
      </c>
      <c r="H2" s="535" t="s">
        <v>1630</v>
      </c>
      <c r="I2" s="535" t="s">
        <v>381</v>
      </c>
      <c r="J2" s="535" t="s">
        <v>347</v>
      </c>
      <c r="K2" s="535" t="s">
        <v>394</v>
      </c>
      <c r="L2" s="535" t="s">
        <v>520</v>
      </c>
      <c r="M2" s="535" t="s">
        <v>427</v>
      </c>
      <c r="N2" s="535" t="s">
        <v>437</v>
      </c>
      <c r="O2" s="535" t="s">
        <v>1155</v>
      </c>
      <c r="P2" s="535" t="s">
        <v>395</v>
      </c>
      <c r="Q2" s="535" t="s">
        <v>485</v>
      </c>
      <c r="R2" s="535" t="s">
        <v>370</v>
      </c>
      <c r="S2" s="535" t="s">
        <v>380</v>
      </c>
      <c r="T2" s="535" t="s">
        <v>417</v>
      </c>
      <c r="U2" s="535" t="s">
        <v>381</v>
      </c>
      <c r="V2" s="535" t="s">
        <v>347</v>
      </c>
      <c r="W2" s="535" t="s">
        <v>394</v>
      </c>
      <c r="X2" s="535" t="s">
        <v>520</v>
      </c>
      <c r="Y2" s="535" t="s">
        <v>427</v>
      </c>
      <c r="Z2" s="535" t="s">
        <v>437</v>
      </c>
      <c r="AA2" s="535" t="s">
        <v>1155</v>
      </c>
      <c r="AB2" s="535" t="s">
        <v>395</v>
      </c>
      <c r="AC2" s="535" t="s">
        <v>485</v>
      </c>
      <c r="AD2" s="535" t="s">
        <v>370</v>
      </c>
      <c r="AE2" s="535" t="s">
        <v>380</v>
      </c>
      <c r="AF2" s="535" t="s">
        <v>417</v>
      </c>
      <c r="AG2" s="535" t="s">
        <v>381</v>
      </c>
      <c r="AH2" s="535" t="s">
        <v>1156</v>
      </c>
      <c r="AI2" s="535" t="s">
        <v>1157</v>
      </c>
      <c r="AJ2" s="535" t="s">
        <v>1158</v>
      </c>
      <c r="AK2" s="535" t="s">
        <v>1159</v>
      </c>
      <c r="AL2" s="535" t="s">
        <v>528</v>
      </c>
      <c r="AM2" s="535" t="s">
        <v>1160</v>
      </c>
      <c r="AN2" s="535" t="s">
        <v>532</v>
      </c>
      <c r="AO2" s="535" t="s">
        <v>537</v>
      </c>
      <c r="AP2" s="535" t="s">
        <v>538</v>
      </c>
      <c r="AQ2" s="535" t="s">
        <v>1161</v>
      </c>
      <c r="AR2" s="535" t="s">
        <v>540</v>
      </c>
      <c r="AS2" s="535" t="s">
        <v>545</v>
      </c>
      <c r="AT2" s="535" t="s">
        <v>1156</v>
      </c>
      <c r="AU2" s="535" t="s">
        <v>1157</v>
      </c>
      <c r="AV2" s="535" t="s">
        <v>1158</v>
      </c>
      <c r="AW2" s="535" t="s">
        <v>1159</v>
      </c>
      <c r="AX2" s="535" t="s">
        <v>1162</v>
      </c>
      <c r="AY2" s="535" t="s">
        <v>1160</v>
      </c>
      <c r="AZ2" s="535" t="s">
        <v>532</v>
      </c>
      <c r="BA2" s="535" t="s">
        <v>537</v>
      </c>
      <c r="BB2" s="535" t="s">
        <v>538</v>
      </c>
      <c r="BC2" s="535" t="s">
        <v>1161</v>
      </c>
      <c r="BD2" s="535" t="s">
        <v>540</v>
      </c>
      <c r="BE2" s="535" t="s">
        <v>545</v>
      </c>
      <c r="BF2" s="535" t="s">
        <v>1156</v>
      </c>
      <c r="BG2" s="535" t="s">
        <v>1157</v>
      </c>
      <c r="BH2" s="535" t="s">
        <v>1158</v>
      </c>
      <c r="BI2" s="535" t="s">
        <v>1159</v>
      </c>
      <c r="BJ2" s="535" t="s">
        <v>1162</v>
      </c>
      <c r="BK2" s="535" t="s">
        <v>1160</v>
      </c>
      <c r="BL2" s="535" t="s">
        <v>532</v>
      </c>
      <c r="BM2" s="535" t="s">
        <v>537</v>
      </c>
      <c r="BN2" s="535" t="s">
        <v>538</v>
      </c>
      <c r="BO2" s="535" t="s">
        <v>1161</v>
      </c>
      <c r="BP2" s="535" t="s">
        <v>540</v>
      </c>
      <c r="BQ2" s="535" t="s">
        <v>545</v>
      </c>
      <c r="BR2" s="535" t="s">
        <v>1156</v>
      </c>
      <c r="BS2" s="535" t="s">
        <v>1157</v>
      </c>
      <c r="BT2" s="535" t="s">
        <v>1158</v>
      </c>
      <c r="BU2" s="535" t="s">
        <v>1159</v>
      </c>
      <c r="BV2" s="535" t="s">
        <v>1162</v>
      </c>
      <c r="BW2" s="535" t="s">
        <v>1160</v>
      </c>
      <c r="BX2" s="535" t="s">
        <v>532</v>
      </c>
      <c r="BY2" s="535" t="s">
        <v>537</v>
      </c>
      <c r="BZ2" s="535" t="s">
        <v>538</v>
      </c>
      <c r="CA2" s="535" t="s">
        <v>1161</v>
      </c>
      <c r="CB2" s="535" t="s">
        <v>540</v>
      </c>
      <c r="CC2" s="535" t="s">
        <v>545</v>
      </c>
      <c r="CD2" s="535" t="s">
        <v>1156</v>
      </c>
      <c r="CE2" s="535" t="s">
        <v>1157</v>
      </c>
      <c r="CF2" s="535" t="s">
        <v>1158</v>
      </c>
      <c r="CG2" s="535" t="s">
        <v>1159</v>
      </c>
      <c r="CH2" s="535" t="s">
        <v>1162</v>
      </c>
    </row>
    <row r="3" spans="1:86" s="403" customFormat="1" ht="20.25" customHeight="1">
      <c r="A3" s="403" t="s">
        <v>1163</v>
      </c>
      <c r="B3" s="536">
        <f>比率分析!B28</f>
        <v>7.7165041064090083</v>
      </c>
      <c r="C3" s="536">
        <f>比率分析!C28</f>
        <v>6.3276589742228957</v>
      </c>
      <c r="D3" s="536">
        <f>比率分析!D28</f>
        <v>4.6277796022833888</v>
      </c>
      <c r="E3" s="536">
        <f>比率分析!E28</f>
        <v>4.5935362038950407</v>
      </c>
      <c r="F3" s="536">
        <f>比率分析!F28</f>
        <v>6.4433964342272549</v>
      </c>
      <c r="G3" s="536">
        <f>比率分析!G28</f>
        <v>5.5848505131424453</v>
      </c>
      <c r="H3" s="536">
        <f>比率分析!H28</f>
        <v>5.3382965362304979</v>
      </c>
      <c r="I3" s="536">
        <f>比率分析!I28</f>
        <v>5.6873532242789588</v>
      </c>
      <c r="J3" s="536">
        <f>比率分析!J28</f>
        <v>5.7732976704813792</v>
      </c>
      <c r="K3" s="536">
        <f>比率分析!K28</f>
        <v>5.530884976646762</v>
      </c>
      <c r="L3" s="536">
        <f>比率分析!L28</f>
        <v>5.924824875602174</v>
      </c>
      <c r="M3" s="536">
        <f>比率分析!M28</f>
        <v>6.4784181242562706</v>
      </c>
      <c r="N3" s="536">
        <f>比率分析!N28</f>
        <v>6.514208484505235</v>
      </c>
      <c r="O3" s="536">
        <f>比率分析!O28</f>
        <v>6.2387662842416765</v>
      </c>
      <c r="P3" s="536">
        <f>比率分析!P28</f>
        <v>7.4731979203987766</v>
      </c>
      <c r="Q3" s="536">
        <f>比率分析!Q28</f>
        <v>8.2380037057450792</v>
      </c>
      <c r="R3" s="536">
        <f>比率分析!R28</f>
        <v>7.3796983094675142</v>
      </c>
      <c r="S3" s="536">
        <f>比率分析!S28</f>
        <v>8.2953237166739981</v>
      </c>
      <c r="T3" s="536">
        <f>比率分析!T28</f>
        <v>8.159184026602551</v>
      </c>
      <c r="U3" s="536">
        <f>比率分析!U28</f>
        <v>8.0198419077394068</v>
      </c>
      <c r="V3" s="536">
        <f>比率分析!V28</f>
        <v>7.603866204157514</v>
      </c>
      <c r="W3" s="536">
        <f>比率分析!W28</f>
        <v>8.2526100342995914</v>
      </c>
      <c r="X3" s="536">
        <f>比率分析!X28</f>
        <v>8.1018550176854998</v>
      </c>
      <c r="Y3" s="536">
        <f>比率分析!Y28</f>
        <v>8.2138533241603326</v>
      </c>
      <c r="Z3" s="536">
        <f>比率分析!Z28</f>
        <v>7.318450775409894</v>
      </c>
      <c r="AA3" s="536">
        <f>比率分析!AA28</f>
        <v>12.271231474799848</v>
      </c>
      <c r="AB3" s="536">
        <f>比率分析!AB28</f>
        <v>11.630463539330238</v>
      </c>
      <c r="AC3" s="536">
        <f>比率分析!AC28</f>
        <v>9.6082759039928245</v>
      </c>
      <c r="AD3" s="536">
        <f>比率分析!AD28</f>
        <v>10.449712188034265</v>
      </c>
      <c r="AE3" s="536">
        <f>比率分析!AE28</f>
        <v>11.014778421488586</v>
      </c>
      <c r="AF3" s="536">
        <f>比率分析!AF28</f>
        <v>8.2720658138201646</v>
      </c>
      <c r="AG3" s="536">
        <f>比率分析!AG28</f>
        <v>7.9921626874056502</v>
      </c>
      <c r="AH3" s="536">
        <f>比率分析!AH28</f>
        <v>12.262837799999332</v>
      </c>
      <c r="AI3" s="536">
        <f>比率分析!AI28</f>
        <v>11.081343445793696</v>
      </c>
      <c r="AJ3" s="536">
        <f>比率分析!AJ28</f>
        <v>11.783994022522036</v>
      </c>
      <c r="AK3" s="536">
        <f>比率分析!AK28</f>
        <v>9.6304016399712182</v>
      </c>
      <c r="AL3" s="536">
        <f>比率分析!AL28</f>
        <v>8.5885959787179367</v>
      </c>
      <c r="AM3" s="536">
        <f>比率分析!AM28</f>
        <v>5.8603030950147978</v>
      </c>
      <c r="AN3" s="536">
        <f>比率分析!AN28</f>
        <v>5.8694794163548911</v>
      </c>
      <c r="AO3" s="536">
        <f>比率分析!AO28</f>
        <v>6.3281117496252088</v>
      </c>
      <c r="AP3" s="536">
        <f>比率分析!AP28</f>
        <v>6.1242779889071937</v>
      </c>
      <c r="AQ3" s="536">
        <f>比率分析!AQ28</f>
        <v>7.3344732795249969</v>
      </c>
      <c r="AR3" s="536">
        <f>比率分析!AR28</f>
        <v>7.2270655067584144</v>
      </c>
      <c r="AS3" s="536">
        <f>比率分析!AS28</f>
        <v>8.0557677698687744</v>
      </c>
      <c r="AT3" s="536">
        <f>比率分析!AT28</f>
        <v>8.6507698301025098</v>
      </c>
      <c r="AU3" s="536">
        <f>比率分析!AU28</f>
        <v>7.9788571909516088</v>
      </c>
      <c r="AV3" s="536">
        <f>比率分析!AV28</f>
        <v>8.7490729388537964</v>
      </c>
      <c r="AW3" s="536">
        <f>比率分析!AW28</f>
        <v>8.2733786437967893</v>
      </c>
      <c r="AX3" s="536">
        <f>比率分析!AX28</f>
        <v>6.6838892676512254</v>
      </c>
      <c r="AY3" s="536">
        <f>比率分析!AY28</f>
        <v>4.6802515432749114</v>
      </c>
      <c r="AZ3" s="536">
        <f>比率分析!AZ28</f>
        <v>5.4969548374178139</v>
      </c>
      <c r="BA3" s="536">
        <f>比率分析!BA28</f>
        <v>5.933269873440234</v>
      </c>
      <c r="BB3" s="536">
        <f>比率分析!BB28</f>
        <v>5.6765129352146761</v>
      </c>
      <c r="BC3" s="536">
        <f>比率分析!BC28</f>
        <v>5.9868819012712615</v>
      </c>
      <c r="BD3" s="536">
        <f>比率分析!BD28</f>
        <v>5.9208879681429094</v>
      </c>
      <c r="BE3" s="536">
        <f>比率分析!BE28</f>
        <v>6.2288041431137042</v>
      </c>
      <c r="BF3" s="536">
        <f>比率分析!BF28</f>
        <v>6.4986264902636925</v>
      </c>
      <c r="BG3" s="536">
        <f>比率分析!BG28</f>
        <v>7.0319301079637917</v>
      </c>
      <c r="BH3" s="536">
        <f>比率分析!BH28</f>
        <v>7.733789244359234</v>
      </c>
      <c r="BI3" s="536">
        <f>比率分析!BI28</f>
        <v>8.2341637626447515</v>
      </c>
      <c r="BJ3" s="536">
        <f>比率分析!BJ28</f>
        <v>6.131656336817751</v>
      </c>
      <c r="BK3" s="536">
        <f>比率分析!BK28</f>
        <v>3.8840252669218192</v>
      </c>
      <c r="BL3" s="536">
        <f>比率分析!BL28</f>
        <v>4.3552068020141164</v>
      </c>
      <c r="BM3" s="536">
        <f>比率分析!BM28</f>
        <v>4.9864543947208517</v>
      </c>
      <c r="BN3" s="536">
        <f>比率分析!BN28</f>
        <v>4.951893140906086</v>
      </c>
      <c r="BO3" s="536">
        <f>比率分析!BO28</f>
        <v>5.0633148956666831</v>
      </c>
      <c r="BP3" s="536">
        <f>比率分析!BP28</f>
        <v>4.3067640573943873</v>
      </c>
      <c r="BQ3" s="536">
        <f>比率分析!BQ28</f>
        <v>4.3013188258051844</v>
      </c>
      <c r="BR3" s="536">
        <f>比率分析!BR28</f>
        <v>5.2575864693298033</v>
      </c>
      <c r="BS3" s="536">
        <f>比率分析!BS28</f>
        <v>5.6168881006193567</v>
      </c>
      <c r="BT3" s="536">
        <f>比率分析!BT28</f>
        <v>5.0637583656140972</v>
      </c>
      <c r="BU3" s="536">
        <f>比率分析!BU28</f>
        <v>5.0795365894123279</v>
      </c>
      <c r="BV3" s="536">
        <f>比率分析!BV28</f>
        <v>4.8496044613940885</v>
      </c>
      <c r="BW3" s="536">
        <f>比率分析!BW28</f>
        <v>3.8015799497517646</v>
      </c>
      <c r="BX3" s="536">
        <f>比率分析!BX28</f>
        <v>4.1159019135167476</v>
      </c>
      <c r="BY3" s="536">
        <f>比率分析!BY28</f>
        <v>4.1226773616386101</v>
      </c>
      <c r="BZ3" s="536">
        <f>比率分析!BZ28</f>
        <v>4.2725676223588538</v>
      </c>
      <c r="CA3" s="536">
        <f>比率分析!CA28</f>
        <v>7.9455984406993831</v>
      </c>
      <c r="CB3" s="536">
        <f>比率分析!CB28</f>
        <v>6.7293916135539247</v>
      </c>
      <c r="CC3" s="536">
        <f>比率分析!CC28</f>
        <v>5.2855336538613482</v>
      </c>
      <c r="CD3" s="536">
        <f>比率分析!CD28</f>
        <v>4.2218938985734082</v>
      </c>
    </row>
    <row r="4" spans="1:86" s="403" customFormat="1" ht="20.25" customHeight="1">
      <c r="A4" s="537" t="s">
        <v>1164</v>
      </c>
      <c r="B4" s="538">
        <f>比率分析!B29</f>
        <v>47.301212435932761</v>
      </c>
      <c r="C4" s="538">
        <f>比率分析!C29</f>
        <v>57.683260347453526</v>
      </c>
      <c r="D4" s="538">
        <f>比率分析!D29</f>
        <v>78.871517524280037</v>
      </c>
      <c r="E4" s="538">
        <f>比率分析!E29</f>
        <v>79.459480408688648</v>
      </c>
      <c r="F4" s="538">
        <f>比率分析!F29</f>
        <v>56.647143121774064</v>
      </c>
      <c r="G4" s="538">
        <f>比率分析!G29</f>
        <v>65.355375070661353</v>
      </c>
      <c r="H4" s="538">
        <f>比率分析!H29</f>
        <v>68.373871238283712</v>
      </c>
      <c r="I4" s="538">
        <f>比率分析!I29</f>
        <v>64.177480386102559</v>
      </c>
      <c r="J4" s="538">
        <f>比率分析!J29</f>
        <v>63.222099540480855</v>
      </c>
      <c r="K4" s="538">
        <f>比率分析!K29</f>
        <v>65.99305563958599</v>
      </c>
      <c r="L4" s="538">
        <f>比率分析!L29</f>
        <v>61.60519638361513</v>
      </c>
      <c r="M4" s="538">
        <f>比率分析!M29</f>
        <v>56.340914247782116</v>
      </c>
      <c r="N4" s="538">
        <f>比率分析!N29</f>
        <v>56.03136603137478</v>
      </c>
      <c r="O4" s="538">
        <f>比率分析!O29</f>
        <v>58.50515684838895</v>
      </c>
      <c r="P4" s="538">
        <f>比率分析!P29</f>
        <v>48.841206119230314</v>
      </c>
      <c r="Q4" s="538">
        <f>比率分析!Q29</f>
        <v>44.306850668864548</v>
      </c>
      <c r="R4" s="538">
        <f>比率分析!R29</f>
        <v>49.460016479499792</v>
      </c>
      <c r="S4" s="538">
        <f>比率分析!S29</f>
        <v>44.000693941133669</v>
      </c>
      <c r="T4" s="538">
        <f>比率分析!T29</f>
        <v>44.734865497571626</v>
      </c>
      <c r="U4" s="538">
        <f>比率分析!U29</f>
        <v>45.512119091495208</v>
      </c>
      <c r="V4" s="538">
        <f>比率分析!V29</f>
        <v>48.001896693083772</v>
      </c>
      <c r="W4" s="538">
        <f>比率分析!W29</f>
        <v>44.228431791031305</v>
      </c>
      <c r="X4" s="538">
        <f>比率分析!X29</f>
        <v>45.051410967394908</v>
      </c>
      <c r="Y4" s="538">
        <f>比率分析!Y29</f>
        <v>44.437121725364193</v>
      </c>
      <c r="Z4" s="538">
        <f>比率分析!Z29</f>
        <v>49.873943434368044</v>
      </c>
      <c r="AA4" s="538">
        <f>比率分析!AA29</f>
        <v>29.744365979043142</v>
      </c>
      <c r="AB4" s="538">
        <f>比率分析!AB29</f>
        <v>31.383099974106379</v>
      </c>
      <c r="AC4" s="538">
        <f>比率分析!AC29</f>
        <v>37.988084818455334</v>
      </c>
      <c r="AD4" s="538">
        <f>比率分析!AD29</f>
        <v>34.929191678403683</v>
      </c>
      <c r="AE4" s="538">
        <f>比率分析!AE29</f>
        <v>33.13729845785425</v>
      </c>
      <c r="AF4" s="538">
        <f>比率分析!AF29</f>
        <v>44.124407157181153</v>
      </c>
      <c r="AG4" s="538">
        <f>比率分析!AG29</f>
        <v>45.669741004544449</v>
      </c>
      <c r="AH4" s="538">
        <f>比率分析!AH29</f>
        <v>29.764725421061989</v>
      </c>
      <c r="AI4" s="538">
        <f>比率分析!AI29</f>
        <v>32.938244517504621</v>
      </c>
      <c r="AJ4" s="538">
        <f>比率分析!AJ29</f>
        <v>30.97421802000218</v>
      </c>
      <c r="AK4" s="538">
        <f>比率分析!AK29</f>
        <v>37.900807634549587</v>
      </c>
      <c r="AL4" s="538">
        <f>比率分析!AL29</f>
        <v>42.498215180275068</v>
      </c>
      <c r="AM4" s="538">
        <f>比率分析!AM29</f>
        <v>62.283467950743997</v>
      </c>
      <c r="AN4" s="538">
        <f>比率分析!AN29</f>
        <v>62.186094218671798</v>
      </c>
      <c r="AO4" s="538">
        <f>比率分析!AO29</f>
        <v>57.679133119230649</v>
      </c>
      <c r="AP4" s="538">
        <f>比率分析!AP29</f>
        <v>59.598862210552596</v>
      </c>
      <c r="AQ4" s="538">
        <f>比率分析!AQ29</f>
        <v>49.76499144375348</v>
      </c>
      <c r="AR4" s="538">
        <f>比率分析!AR29</f>
        <v>50.504592722823539</v>
      </c>
      <c r="AS4" s="538">
        <f>比率分析!AS29</f>
        <v>45.309151210294353</v>
      </c>
      <c r="AT4" s="538">
        <f>比率分析!AT29</f>
        <v>42.192776731833916</v>
      </c>
      <c r="AU4" s="538">
        <f>比率分析!AU29</f>
        <v>45.745899602505332</v>
      </c>
      <c r="AV4" s="538">
        <f>比率分析!AV29</f>
        <v>41.718705804711021</v>
      </c>
      <c r="AW4" s="538">
        <f>比率分析!AW29</f>
        <v>44.117405441568849</v>
      </c>
      <c r="AX4" s="538">
        <f>比率分析!AX29</f>
        <v>54.608923844165368</v>
      </c>
      <c r="AY4" s="538">
        <f>比率分析!AY29</f>
        <v>77.987261288225255</v>
      </c>
      <c r="AZ4" s="538">
        <f>比率分析!AZ29</f>
        <v>66.400400002459946</v>
      </c>
      <c r="BA4" s="538">
        <f>比率分析!BA29</f>
        <v>61.51751189236996</v>
      </c>
      <c r="BB4" s="538">
        <f>比率分析!BB29</f>
        <v>64.300038450664843</v>
      </c>
      <c r="BC4" s="538">
        <f>比率分析!BC29</f>
        <v>60.966627706902898</v>
      </c>
      <c r="BD4" s="538">
        <f>比率分析!BD29</f>
        <v>61.64615881331774</v>
      </c>
      <c r="BE4" s="538">
        <f>比率分析!BE29</f>
        <v>58.598728040522545</v>
      </c>
      <c r="BF4" s="538">
        <f>比率分析!BF29</f>
        <v>56.165714485491151</v>
      </c>
      <c r="BG4" s="538">
        <f>比率分析!BG29</f>
        <v>51.906090418423062</v>
      </c>
      <c r="BH4" s="538">
        <f>比率分析!BH29</f>
        <v>47.195493498380337</v>
      </c>
      <c r="BI4" s="538">
        <f>比率分析!BI29</f>
        <v>44.327512850286666</v>
      </c>
      <c r="BJ4" s="538">
        <f>比率分析!BJ29</f>
        <v>59.527145676502506</v>
      </c>
      <c r="BK4" s="538">
        <f>比率分析!BK29</f>
        <v>93.974671871604741</v>
      </c>
      <c r="BL4" s="538">
        <f>比率分析!BL29</f>
        <v>83.807730974152932</v>
      </c>
      <c r="BM4" s="538">
        <f>比率分析!BM29</f>
        <v>73.198303064081898</v>
      </c>
      <c r="BN4" s="538">
        <f>比率分析!BN29</f>
        <v>73.709183460532657</v>
      </c>
      <c r="BO4" s="538">
        <f>比率分析!BO29</f>
        <v>72.087161774665944</v>
      </c>
      <c r="BP4" s="538">
        <f>比率分析!BP29</f>
        <v>84.750405440326517</v>
      </c>
      <c r="BQ4" s="538">
        <f>比率分析!BQ29</f>
        <v>84.85769476334363</v>
      </c>
      <c r="BR4" s="538">
        <f>比率分析!BR29</f>
        <v>69.423489680908162</v>
      </c>
      <c r="BS4" s="538">
        <f>比率分析!BS29</f>
        <v>64.982601301911743</v>
      </c>
      <c r="BT4" s="538">
        <f>比率分析!BT29</f>
        <v>72.08084858048619</v>
      </c>
      <c r="BU4" s="538">
        <f>比率分析!BU29</f>
        <v>71.856948675357074</v>
      </c>
      <c r="BV4" s="538">
        <f>比率分析!BV29</f>
        <v>75.263870054894227</v>
      </c>
      <c r="BW4" s="538">
        <f>比率分析!BW29</f>
        <v>96.012711773649201</v>
      </c>
      <c r="BX4" s="538">
        <f>比率分析!BX29</f>
        <v>88.680441776644102</v>
      </c>
      <c r="BY4" s="538">
        <f>比率分析!BY29</f>
        <v>88.534699172997165</v>
      </c>
      <c r="BZ4" s="538">
        <f>比率分析!BZ29</f>
        <v>85.428723957442273</v>
      </c>
      <c r="CA4" s="538">
        <f>比率分析!CA29</f>
        <v>45.937383159256683</v>
      </c>
      <c r="CB4" s="538">
        <f>比率分析!CB29</f>
        <v>54.239672909634145</v>
      </c>
      <c r="CC4" s="538">
        <f>比率分析!CC29</f>
        <v>69.056413959893931</v>
      </c>
      <c r="CD4" s="538">
        <f>比率分析!CD29</f>
        <v>86.454091165894695</v>
      </c>
    </row>
    <row r="5" spans="1:86" s="403" customFormat="1" ht="20.25" customHeight="1">
      <c r="A5" s="403" t="s">
        <v>1165</v>
      </c>
      <c r="B5" s="536">
        <f>比率分析!B30</f>
        <v>4.3317906512465356</v>
      </c>
      <c r="C5" s="536">
        <f>比率分析!C30</f>
        <v>4.4459484814909356</v>
      </c>
      <c r="D5" s="536">
        <f>比率分析!D30</f>
        <v>3.2412506949962419</v>
      </c>
      <c r="E5" s="536">
        <f>比率分析!E30</f>
        <v>3.8002594826524949</v>
      </c>
      <c r="F5" s="536">
        <f>比率分析!F30</f>
        <v>3.9634357748418996</v>
      </c>
      <c r="G5" s="536">
        <f>比率分析!G30</f>
        <v>3.7423060846596896</v>
      </c>
      <c r="H5" s="536">
        <f>比率分析!H30</f>
        <v>4.2459879479769675</v>
      </c>
      <c r="I5" s="536">
        <f>比率分析!I30</f>
        <v>4.2642579923765611</v>
      </c>
      <c r="J5" s="536">
        <f>比率分析!J30</f>
        <v>3.9441930631602613</v>
      </c>
      <c r="K5" s="536">
        <f>比率分析!K30</f>
        <v>4.1795527250839744</v>
      </c>
      <c r="L5" s="536">
        <f>比率分析!L30</f>
        <v>4.1099235590377443</v>
      </c>
      <c r="M5" s="536">
        <f>比率分析!M30</f>
        <v>4.0755813305549795</v>
      </c>
      <c r="N5" s="536">
        <f>比率分析!N30</f>
        <v>3.7559521850497912</v>
      </c>
      <c r="O5" s="536">
        <f>比率分析!O30</f>
        <v>2.4049588902626748</v>
      </c>
      <c r="P5" s="536">
        <f>比率分析!P30</f>
        <v>2.9312120874161254</v>
      </c>
      <c r="Q5" s="536">
        <f>比率分析!Q30</f>
        <v>3.016975614419843</v>
      </c>
      <c r="R5" s="536">
        <f>比率分析!R30</f>
        <v>2.7839864744937777</v>
      </c>
      <c r="S5" s="536">
        <f>比率分析!S30</f>
        <v>2.9524462843217214</v>
      </c>
      <c r="T5" s="536">
        <f>比率分析!T30</f>
        <v>2.9082052105598746</v>
      </c>
      <c r="U5" s="536">
        <f>比率分析!U30</f>
        <v>2.8574744244185935</v>
      </c>
      <c r="V5" s="536">
        <f>比率分析!V30</f>
        <v>2.7780828754750102</v>
      </c>
      <c r="W5" s="536">
        <f>比率分析!W30</f>
        <v>2.8819282180071633</v>
      </c>
      <c r="X5" s="536">
        <f>比率分析!X30</f>
        <v>2.9847491827002068</v>
      </c>
      <c r="Y5" s="536">
        <f>比率分析!Y30</f>
        <v>2.9273255059770249</v>
      </c>
      <c r="Z5" s="536">
        <f>比率分析!Z30</f>
        <v>3.0802599667129624</v>
      </c>
      <c r="AA5" s="536">
        <f>比率分析!AA30</f>
        <v>5.8173301474225543</v>
      </c>
      <c r="AB5" s="536">
        <f>比率分析!AB30</f>
        <v>4.1106291346819344</v>
      </c>
      <c r="AC5" s="536">
        <f>比率分析!AC30</f>
        <v>3.679177967848601</v>
      </c>
      <c r="AD5" s="536">
        <f>比率分析!AD30</f>
        <v>3.7602390216069059</v>
      </c>
      <c r="AE5" s="536">
        <f>比率分析!AE30</f>
        <v>3.7649845779006057</v>
      </c>
      <c r="AF5" s="536">
        <f>比率分析!AF30</f>
        <v>3.9213913391291122</v>
      </c>
      <c r="AG5" s="536">
        <f>比率分析!AG30</f>
        <v>3.5124822875735213</v>
      </c>
      <c r="AH5" s="536">
        <f>比率分析!AH30</f>
        <v>4.1849343599429645</v>
      </c>
      <c r="AI5" s="536">
        <f>比率分析!AI30</f>
        <v>3.3816914135048144</v>
      </c>
      <c r="AJ5" s="536">
        <f>比率分析!AJ30</f>
        <v>3.2314857243227686</v>
      </c>
      <c r="AK5" s="536">
        <f>比率分析!AK30</f>
        <v>3.3179437971907011</v>
      </c>
      <c r="AL5" s="536">
        <f>比率分析!AL30</f>
        <v>3.1874691822224883</v>
      </c>
      <c r="AM5" s="536">
        <f>比率分析!AM30</f>
        <v>1.51075686552651</v>
      </c>
      <c r="AN5" s="536">
        <f>比率分析!AN30</f>
        <v>1.6834095997783884</v>
      </c>
      <c r="AO5" s="536">
        <f>比率分析!AO30</f>
        <v>2.0107090850057707</v>
      </c>
      <c r="AP5" s="536">
        <f>比率分析!AP30</f>
        <v>1.7565615715166234</v>
      </c>
      <c r="AQ5" s="536">
        <f>比率分析!AQ30</f>
        <v>2.1384471608906903</v>
      </c>
      <c r="AR5" s="536">
        <f>比率分析!AR30</f>
        <v>2.4795751621010029</v>
      </c>
      <c r="AS5" s="536">
        <f>比率分析!AS30</f>
        <v>2.5303866664998678</v>
      </c>
      <c r="AT5" s="536">
        <f>比率分析!AT30</f>
        <v>2.5230348894468633</v>
      </c>
      <c r="AU5" s="536">
        <f>比率分析!AU30</f>
        <v>2.5325412982146984</v>
      </c>
      <c r="AV5" s="536">
        <f>比率分析!AV30</f>
        <v>2.2680578042922228</v>
      </c>
      <c r="AW5" s="536">
        <f>比率分析!AW30</f>
        <v>2.1956952956509816</v>
      </c>
      <c r="AX5" s="536">
        <f>比率分析!AX30</f>
        <v>5.2679075195550498</v>
      </c>
      <c r="AY5" s="536">
        <f>比率分析!AY30</f>
        <v>2.3161881865797116</v>
      </c>
      <c r="AZ5" s="536">
        <f>比率分析!AZ30</f>
        <v>2.8448126639558993</v>
      </c>
      <c r="BA5" s="536">
        <f>比率分析!BA30</f>
        <v>4.1595855677001143</v>
      </c>
      <c r="BB5" s="536">
        <f>比率分析!BB30</f>
        <v>4.4528703391035371</v>
      </c>
      <c r="BC5" s="536">
        <f>比率分析!BC30</f>
        <v>4.0007172128369417</v>
      </c>
      <c r="BD5" s="536">
        <f>比率分析!BD30</f>
        <v>4.0950645017882925</v>
      </c>
      <c r="BE5" s="536">
        <f>比率分析!BE30</f>
        <v>4.1475552637524551</v>
      </c>
      <c r="BF5" s="536">
        <f>比率分析!BF30</f>
        <v>4.0728896983419611</v>
      </c>
      <c r="BG5" s="536">
        <f>比率分析!BG30</f>
        <v>3.9572015469593884</v>
      </c>
      <c r="BH5" s="536">
        <f>比率分析!BH30</f>
        <v>3.8936541329020775</v>
      </c>
      <c r="BI5" s="536">
        <f>比率分析!BI30</f>
        <v>3.8528310876282448</v>
      </c>
      <c r="BJ5" s="536">
        <f>比率分析!BJ30</f>
        <v>9.9004134529132717</v>
      </c>
      <c r="BK5" s="536">
        <f>比率分析!BK30</f>
        <v>4.2222548979921157</v>
      </c>
      <c r="BL5" s="536">
        <f>比率分析!BL30</f>
        <v>4.725389615488055</v>
      </c>
      <c r="BM5" s="536">
        <f>比率分析!BM30</f>
        <v>5.3511927853355212</v>
      </c>
      <c r="BN5" s="536">
        <f>比率分析!BN30</f>
        <v>4.7393951582432292</v>
      </c>
      <c r="BO5" s="536">
        <f>比率分析!BO30</f>
        <v>4.801746752587893</v>
      </c>
      <c r="BP5" s="536">
        <f>比率分析!BP30</f>
        <v>4.3655401710116246</v>
      </c>
      <c r="BQ5" s="536">
        <f>比率分析!BQ30</f>
        <v>4.1077030444962066</v>
      </c>
      <c r="BR5" s="536">
        <f>比率分析!BR30</f>
        <v>4.5935974320358763</v>
      </c>
      <c r="BS5" s="536">
        <f>比率分析!BS30</f>
        <v>4.6760575690761623</v>
      </c>
      <c r="BT5" s="536">
        <f>比率分析!BT30</f>
        <v>4.6482755282625021</v>
      </c>
      <c r="BU5" s="536">
        <f>比率分析!BU30</f>
        <v>4.91777935237916</v>
      </c>
      <c r="BV5" s="536">
        <f>比率分析!BV30</f>
        <v>5.3576768707209075</v>
      </c>
      <c r="BW5" s="536">
        <f>比率分析!BW30</f>
        <v>4.6206603868237046</v>
      </c>
      <c r="BX5" s="536">
        <f>比率分析!BX30</f>
        <v>4.4699131014926916</v>
      </c>
      <c r="BY5" s="536">
        <f>比率分析!BY30</f>
        <v>4.4422570637090271</v>
      </c>
      <c r="BZ5" s="536">
        <f>比率分析!BZ30</f>
        <v>4.4275461209720213</v>
      </c>
      <c r="CA5" s="536">
        <f>比率分析!CA30</f>
        <v>4.1180068453953975</v>
      </c>
      <c r="CB5" s="536">
        <f>比率分析!CB30</f>
        <v>6.9385276000612786</v>
      </c>
      <c r="CC5" s="536">
        <f>比率分析!CC30</f>
        <v>5.7443520307387477</v>
      </c>
      <c r="CD5" s="536">
        <f>比率分析!CD30</f>
        <v>4.988157250189678</v>
      </c>
    </row>
    <row r="6" spans="1:86" s="403" customFormat="1" ht="20.25" customHeight="1">
      <c r="A6" s="537" t="s">
        <v>1166</v>
      </c>
      <c r="B6" s="538">
        <f>比率分析!B31</f>
        <v>84.260766363435863</v>
      </c>
      <c r="C6" s="538">
        <f>比率分析!C31</f>
        <v>82.097217617240204</v>
      </c>
      <c r="D6" s="538">
        <f>比率分析!D31</f>
        <v>112.61085128758397</v>
      </c>
      <c r="E6" s="538">
        <f>比率分析!E31</f>
        <v>96.046073081630283</v>
      </c>
      <c r="F6" s="538">
        <f>比率分析!F31</f>
        <v>92.091816478232133</v>
      </c>
      <c r="G6" s="538">
        <f>比率分析!G31</f>
        <v>97.533443749081158</v>
      </c>
      <c r="H6" s="538">
        <f>比率分析!H31</f>
        <v>85.963503540773587</v>
      </c>
      <c r="I6" s="538">
        <f>比率分析!I31</f>
        <v>85.595196316106993</v>
      </c>
      <c r="J6" s="538">
        <f>比率分析!J31</f>
        <v>92.541108955641718</v>
      </c>
      <c r="K6" s="538">
        <f>比率分析!K31</f>
        <v>87.329918775618879</v>
      </c>
      <c r="L6" s="538">
        <f>比率分析!L31</f>
        <v>88.809437634761608</v>
      </c>
      <c r="M6" s="538">
        <f>比率分析!M31</f>
        <v>89.557776031498619</v>
      </c>
      <c r="N6" s="538">
        <f>比率分析!N31</f>
        <v>97.179085892745817</v>
      </c>
      <c r="O6" s="538">
        <f>比率分析!O31</f>
        <v>151.7697460350908</v>
      </c>
      <c r="P6" s="538">
        <f>比率分析!P31</f>
        <v>124.52186642070956</v>
      </c>
      <c r="Q6" s="538">
        <f>比率分析!Q31</f>
        <v>120.98208492486891</v>
      </c>
      <c r="R6" s="538">
        <f>比率分析!R31</f>
        <v>131.10695879597233</v>
      </c>
      <c r="S6" s="538">
        <f>比率分析!S31</f>
        <v>123.62629658607085</v>
      </c>
      <c r="T6" s="538">
        <f>比率分析!T31</f>
        <v>125.50696170774408</v>
      </c>
      <c r="U6" s="538">
        <f>比率分析!U31</f>
        <v>127.73517651842712</v>
      </c>
      <c r="V6" s="538">
        <f>比率分析!V31</f>
        <v>131.38556924353472</v>
      </c>
      <c r="W6" s="538">
        <f>比率分析!W31</f>
        <v>126.6513155044491</v>
      </c>
      <c r="X6" s="538">
        <f>比率分析!X31</f>
        <v>122.2883323381284</v>
      </c>
      <c r="Y6" s="538">
        <f>比率分析!Y31</f>
        <v>124.68719288467973</v>
      </c>
      <c r="Z6" s="538">
        <f>比率分析!Z31</f>
        <v>118.49649183653236</v>
      </c>
      <c r="AA6" s="538">
        <f>比率分析!AA31</f>
        <v>62.743559459440021</v>
      </c>
      <c r="AB6" s="538">
        <f>比率分析!AB31</f>
        <v>88.794193793948864</v>
      </c>
      <c r="AC6" s="538">
        <f>比率分析!AC31</f>
        <v>99.206943287234822</v>
      </c>
      <c r="AD6" s="538">
        <f>比率分析!AD31</f>
        <v>97.068297494562032</v>
      </c>
      <c r="AE6" s="538">
        <f>比率分析!AE31</f>
        <v>96.945948236400952</v>
      </c>
      <c r="AF6" s="538">
        <f>比率分析!AF31</f>
        <v>93.079207973428524</v>
      </c>
      <c r="AG6" s="538">
        <f>比率分析!AG31</f>
        <v>103.91511475838581</v>
      </c>
      <c r="AH6" s="538">
        <f>比率分析!AH31</f>
        <v>87.21761648012432</v>
      </c>
      <c r="AI6" s="538">
        <f>比率分析!AI31</f>
        <v>107.93415346603457</v>
      </c>
      <c r="AJ6" s="538">
        <f>比率分析!AJ31</f>
        <v>112.95114109671459</v>
      </c>
      <c r="AK6" s="538">
        <f>比率分析!AK31</f>
        <v>110.00789112493257</v>
      </c>
      <c r="AL6" s="538">
        <f>比率分析!AL31</f>
        <v>114.51091104997001</v>
      </c>
      <c r="AM6" s="538">
        <f>比率分析!AM31</f>
        <v>241.60075544173938</v>
      </c>
      <c r="AN6" s="538">
        <f>比率分析!AN31</f>
        <v>216.82185966389298</v>
      </c>
      <c r="AO6" s="538">
        <f>比率分析!AO31</f>
        <v>181.52800060529515</v>
      </c>
      <c r="AP6" s="538">
        <f>比率分析!AP31</f>
        <v>207.79231762702022</v>
      </c>
      <c r="AQ6" s="538">
        <f>比率分析!AQ31</f>
        <v>170.68460080536798</v>
      </c>
      <c r="AR6" s="538">
        <f>比率分析!AR31</f>
        <v>147.20263599137152</v>
      </c>
      <c r="AS6" s="538">
        <f>比率分析!AS31</f>
        <v>144.24672909966074</v>
      </c>
      <c r="AT6" s="538">
        <f>比率分析!AT31</f>
        <v>144.66704425162374</v>
      </c>
      <c r="AU6" s="538">
        <f>比率分析!AU31</f>
        <v>144.12400708225562</v>
      </c>
      <c r="AV6" s="538">
        <f>比率分析!AV31</f>
        <v>160.9306426446671</v>
      </c>
      <c r="AW6" s="538">
        <f>比率分析!AW31</f>
        <v>166.23435898549141</v>
      </c>
      <c r="AX6" s="538">
        <f>比率分析!AX31</f>
        <v>69.287472994747915</v>
      </c>
      <c r="AY6" s="538">
        <f>比率分析!AY31</f>
        <v>157.58650446231283</v>
      </c>
      <c r="AZ6" s="538">
        <f>比率分析!AZ31</f>
        <v>128.30370330693179</v>
      </c>
      <c r="BA6" s="538">
        <f>比率分析!BA31</f>
        <v>87.749126459685485</v>
      </c>
      <c r="BB6" s="538">
        <f>比率分析!BB31</f>
        <v>81.969599876892602</v>
      </c>
      <c r="BC6" s="538">
        <f>比率分析!BC31</f>
        <v>91.233641515286081</v>
      </c>
      <c r="BD6" s="538">
        <f>比率分析!BD31</f>
        <v>89.131685188501052</v>
      </c>
      <c r="BE6" s="538">
        <f>比率分析!BE31</f>
        <v>88.003649569160956</v>
      </c>
      <c r="BF6" s="538">
        <f>比率分析!BF31</f>
        <v>89.616961674309124</v>
      </c>
      <c r="BG6" s="538">
        <f>比率分析!BG31</f>
        <v>92.236899149212292</v>
      </c>
      <c r="BH6" s="538">
        <f>比率分析!BH31</f>
        <v>93.74227590367731</v>
      </c>
      <c r="BI6" s="538">
        <f>比率分析!BI31</f>
        <v>94.73553127518224</v>
      </c>
      <c r="BJ6" s="538">
        <f>比率分析!BJ31</f>
        <v>36.867147188948557</v>
      </c>
      <c r="BK6" s="538">
        <f>比率分析!BK31</f>
        <v>86.446699410207316</v>
      </c>
      <c r="BL6" s="538">
        <f>比率分析!BL31</f>
        <v>77.242307978937205</v>
      </c>
      <c r="BM6" s="538">
        <f>比率分析!BM31</f>
        <v>68.209091812249923</v>
      </c>
      <c r="BN6" s="538">
        <f>比率分析!BN31</f>
        <v>77.014046690146856</v>
      </c>
      <c r="BO6" s="538">
        <f>比率分析!BO31</f>
        <v>76.014004654302909</v>
      </c>
      <c r="BP6" s="538">
        <f>比率分析!BP31</f>
        <v>83.609355475342866</v>
      </c>
      <c r="BQ6" s="538">
        <f>比率分析!BQ31</f>
        <v>88.857445644483235</v>
      </c>
      <c r="BR6" s="538">
        <f>比率分析!BR31</f>
        <v>79.458421291878963</v>
      </c>
      <c r="BS6" s="538">
        <f>比率分析!BS31</f>
        <v>78.057208365831173</v>
      </c>
      <c r="BT6" s="538">
        <f>比率分析!BT31</f>
        <v>78.523744511426329</v>
      </c>
      <c r="BU6" s="538">
        <f>比率分析!BU31</f>
        <v>74.220491373493118</v>
      </c>
      <c r="BV6" s="538">
        <f>比率分析!BV31</f>
        <v>68.126542306924733</v>
      </c>
      <c r="BW6" s="538">
        <f>比率分析!BW31</f>
        <v>78.993037670726807</v>
      </c>
      <c r="BX6" s="538">
        <f>比率分析!BX31</f>
        <v>81.65706842893907</v>
      </c>
      <c r="BY6" s="538">
        <f>比率分析!BY31</f>
        <v>82.165438596938415</v>
      </c>
      <c r="BZ6" s="538">
        <f>比率分析!BZ31</f>
        <v>82.43844107486521</v>
      </c>
      <c r="CA6" s="538">
        <f>比率分析!CA31</f>
        <v>88.635112495776795</v>
      </c>
      <c r="CB6" s="538">
        <f>比率分析!CB31</f>
        <v>52.604820653415928</v>
      </c>
      <c r="CC6" s="538">
        <f>比率分析!CC31</f>
        <v>63.540674047627867</v>
      </c>
      <c r="CD6" s="538">
        <f>比率分析!CD31</f>
        <v>73.173314651642272</v>
      </c>
    </row>
    <row r="7" spans="1:86" s="403" customFormat="1" ht="20.25" customHeight="1">
      <c r="A7" s="403" t="s">
        <v>1167</v>
      </c>
      <c r="B7" s="536">
        <f>比率分析!B32</f>
        <v>5.7356716560890888</v>
      </c>
      <c r="C7" s="536">
        <f>比率分析!C32</f>
        <v>3.5825353150428949</v>
      </c>
      <c r="D7" s="536">
        <f>比率分析!D32</f>
        <v>2.4835653600636616</v>
      </c>
      <c r="E7" s="536">
        <f>比率分析!E32</f>
        <v>3.0093107390791105</v>
      </c>
      <c r="F7" s="536">
        <f>比率分析!F32</f>
        <v>3.0639556781477983</v>
      </c>
      <c r="G7" s="536">
        <f>比率分析!G32</f>
        <v>3.6355772093692069</v>
      </c>
      <c r="H7" s="536">
        <f>比率分析!H32</f>
        <v>3.7502671253224071</v>
      </c>
      <c r="I7" s="536">
        <f>比率分析!I32</f>
        <v>3.4197956302969885</v>
      </c>
      <c r="J7" s="536">
        <f>比率分析!J32</f>
        <v>3.9927375405418277</v>
      </c>
      <c r="K7" s="536">
        <f>比率分析!K32</f>
        <v>4.1554441042656238</v>
      </c>
      <c r="L7" s="536">
        <f>比率分析!L32</f>
        <v>4.4284440116024264</v>
      </c>
      <c r="M7" s="536">
        <f>比率分析!M32</f>
        <v>4.6402867153520138</v>
      </c>
      <c r="N7" s="536">
        <f>比率分析!N32</f>
        <v>3.7746245612023617</v>
      </c>
      <c r="O7" s="536">
        <f>比率分析!O32</f>
        <v>2.1063389381929323</v>
      </c>
      <c r="P7" s="536">
        <f>比率分析!P32</f>
        <v>3.2693916414745865</v>
      </c>
      <c r="Q7" s="536">
        <f>比率分析!Q32</f>
        <v>2.8637981894913782</v>
      </c>
      <c r="R7" s="536">
        <f>比率分析!R32</f>
        <v>3.50545316900988</v>
      </c>
      <c r="S7" s="536">
        <f>比率分析!S32</f>
        <v>3.4587557357171064</v>
      </c>
      <c r="T7" s="536">
        <f>比率分析!T32</f>
        <v>3.1251425367087577</v>
      </c>
      <c r="U7" s="536">
        <f>比率分析!U32</f>
        <v>3.5865901823257857</v>
      </c>
      <c r="V7" s="536">
        <f>比率分析!V32</f>
        <v>3.7006111335303777</v>
      </c>
      <c r="W7" s="536">
        <f>比率分析!W32</f>
        <v>3.140998675845045</v>
      </c>
      <c r="X7" s="536">
        <f>比率分析!X32</f>
        <v>3.7586263252164445</v>
      </c>
      <c r="Y7" s="536">
        <f>比率分析!Y32</f>
        <v>3.5463296428438542</v>
      </c>
      <c r="Z7" s="536">
        <f>比率分析!Z32</f>
        <v>3.0312398956110922</v>
      </c>
      <c r="AA7" s="536">
        <f>比率分析!AA32</f>
        <v>8.2956663516663305</v>
      </c>
      <c r="AB7" s="536">
        <f>比率分析!AB32</f>
        <v>5.5446447011222313</v>
      </c>
      <c r="AC7" s="536">
        <f>比率分析!AC32</f>
        <v>5.8045034467726255</v>
      </c>
      <c r="AD7" s="536">
        <f>比率分析!AD32</f>
        <v>7.4528142818947494</v>
      </c>
      <c r="AE7" s="536">
        <f>比率分析!AE32</f>
        <v>6.9068866499355455</v>
      </c>
      <c r="AF7" s="536">
        <f>比率分析!AF32</f>
        <v>5.2090289688589504</v>
      </c>
      <c r="AG7" s="536">
        <f>比率分析!AG32</f>
        <v>5.8093277654221867</v>
      </c>
      <c r="AH7" s="536">
        <f>比率分析!AH32</f>
        <v>5.6545705888558029</v>
      </c>
      <c r="AI7" s="536">
        <f>比率分析!AI32</f>
        <v>7.2997451042973518</v>
      </c>
      <c r="AJ7" s="536">
        <f>比率分析!AJ32</f>
        <v>8.0987233388372033</v>
      </c>
      <c r="AK7" s="536">
        <f>比率分析!AK32</f>
        <v>6.3310394705605573</v>
      </c>
      <c r="AL7" s="536">
        <f>比率分析!AL32</f>
        <v>6.4408152528715403</v>
      </c>
      <c r="AM7" s="536">
        <f>比率分析!AM32</f>
        <v>7.2037583316730158</v>
      </c>
      <c r="AN7" s="536">
        <f>比率分析!AN32</f>
        <v>5.3832051587568435</v>
      </c>
      <c r="AO7" s="536">
        <f>比率分析!AO32</f>
        <v>7.2422605590135376</v>
      </c>
      <c r="AP7" s="536">
        <f>比率分析!AP32</f>
        <v>7.0151360346386324</v>
      </c>
      <c r="AQ7" s="536">
        <f>比率分析!AQ32</f>
        <v>5.3391712462749457</v>
      </c>
      <c r="AR7" s="536">
        <f>比率分析!AR32</f>
        <v>5.7283829725089292</v>
      </c>
      <c r="AS7" s="536">
        <f>比率分析!AS32</f>
        <v>6.4105292495998736</v>
      </c>
      <c r="AT7" s="536">
        <f>比率分析!AT32</f>
        <v>4.8979552752930129</v>
      </c>
      <c r="AU7" s="536">
        <f>比率分析!AU32</f>
        <v>5.9287951853619854</v>
      </c>
      <c r="AV7" s="536">
        <f>比率分析!AV32</f>
        <v>5.681033895152737</v>
      </c>
      <c r="AW7" s="536">
        <f>比率分析!AW32</f>
        <v>4.1500569133169884</v>
      </c>
      <c r="AX7" s="536">
        <f>比率分析!AX32</f>
        <v>5.3883873321935498</v>
      </c>
      <c r="AY7" s="536">
        <f>比率分析!AY32</f>
        <v>3.9336627300244391</v>
      </c>
      <c r="AZ7" s="536">
        <f>比率分析!AZ32</f>
        <v>6.5094830811502087</v>
      </c>
      <c r="BA7" s="536">
        <f>比率分析!BA32</f>
        <v>6.2881755143111109</v>
      </c>
      <c r="BB7" s="536">
        <f>比率分析!BB32</f>
        <v>7.6997526080117531</v>
      </c>
      <c r="BC7" s="536">
        <f>比率分析!BC32</f>
        <v>5.4619361862470397</v>
      </c>
      <c r="BD7" s="536">
        <f>比率分析!BD32</f>
        <v>7.2444042986274404</v>
      </c>
      <c r="BE7" s="536">
        <f>比率分析!BE32</f>
        <v>7.4027573447062922</v>
      </c>
      <c r="BF7" s="536">
        <f>比率分析!BF32</f>
        <v>9.991488449065983</v>
      </c>
      <c r="BG7" s="536">
        <f>比率分析!BG32</f>
        <v>10.580213505286013</v>
      </c>
      <c r="BH7" s="536">
        <f>比率分析!BH32</f>
        <v>8.3732213530811102</v>
      </c>
      <c r="BI7" s="536">
        <f>比率分析!BI32</f>
        <v>9.9960172683874315</v>
      </c>
      <c r="BJ7" s="536">
        <f>比率分析!BJ32</f>
        <v>7.9047910493669962</v>
      </c>
      <c r="BK7" s="536">
        <f>比率分析!BK32</f>
        <v>6.8294918351870182</v>
      </c>
      <c r="BL7" s="536">
        <f>比率分析!BL32</f>
        <v>5.9811598292808652</v>
      </c>
      <c r="BM7" s="536">
        <f>比率分析!BM32</f>
        <v>7.3865194396711606</v>
      </c>
      <c r="BN7" s="536">
        <f>比率分析!BN32</f>
        <v>4.0272951454927899</v>
      </c>
      <c r="BO7" s="536">
        <f>比率分析!BO32</f>
        <v>6.9103985631433229</v>
      </c>
      <c r="BP7" s="536">
        <f>比率分析!BP32</f>
        <v>5.8360127409061375</v>
      </c>
      <c r="BQ7" s="536">
        <f>比率分析!BQ32</f>
        <v>5.8150127913082938</v>
      </c>
      <c r="BR7" s="536">
        <f>比率分析!BR32</f>
        <v>7.6797164066787857</v>
      </c>
      <c r="BS7" s="536">
        <f>比率分析!BS32</f>
        <v>7.9502114049115526</v>
      </c>
      <c r="BT7" s="536">
        <f>比率分析!BT32</f>
        <v>7.9482126657805638</v>
      </c>
      <c r="BU7" s="536">
        <f>比率分析!BU32</f>
        <v>7.021135355540614</v>
      </c>
      <c r="BV7" s="536">
        <f>比率分析!BV32</f>
        <v>5.6000513218703771</v>
      </c>
      <c r="BW7" s="536">
        <f>比率分析!BW32</f>
        <v>5.1004219067135148</v>
      </c>
      <c r="BX7" s="536">
        <f>比率分析!BX32</f>
        <v>4.2592717938562572</v>
      </c>
      <c r="BY7" s="536">
        <f>比率分析!BY32</f>
        <v>5.3988763369528838</v>
      </c>
      <c r="BZ7" s="536">
        <f>比率分析!BZ32</f>
        <v>4.2336781559151229</v>
      </c>
      <c r="CA7" s="536">
        <f>比率分析!CA32</f>
        <v>5.612680884006191</v>
      </c>
      <c r="CB7" s="536">
        <f>比率分析!CB32</f>
        <v>5.6938867197328351</v>
      </c>
      <c r="CC7" s="536">
        <f>比率分析!CC32</f>
        <v>4.8758014911153982</v>
      </c>
      <c r="CD7" s="536">
        <f>比率分析!CD32</f>
        <v>5.1710523968685411</v>
      </c>
    </row>
    <row r="8" spans="1:86" s="403" customFormat="1" ht="20.25" customHeight="1">
      <c r="A8" s="537" t="s">
        <v>1168</v>
      </c>
      <c r="B8" s="538">
        <f>比率分析!B33</f>
        <v>63.636836605266559</v>
      </c>
      <c r="C8" s="538">
        <f>比率分析!C33</f>
        <v>101.88315477795359</v>
      </c>
      <c r="D8" s="538">
        <f>比率分析!D33</f>
        <v>146.96613419936082</v>
      </c>
      <c r="E8" s="538">
        <f>比率分析!E33</f>
        <v>121.29023276329877</v>
      </c>
      <c r="F8" s="538">
        <f>比率分析!F33</f>
        <v>119.12704958599379</v>
      </c>
      <c r="G8" s="538">
        <f>比率分析!G33</f>
        <v>100.39671253834534</v>
      </c>
      <c r="H8" s="538">
        <f>比率分析!H33</f>
        <v>97.326400441040917</v>
      </c>
      <c r="I8" s="538">
        <f>比率分析!I33</f>
        <v>106.73152417833283</v>
      </c>
      <c r="J8" s="538">
        <f>比率分析!J33</f>
        <v>91.415976205254978</v>
      </c>
      <c r="K8" s="538">
        <f>比率分析!K33</f>
        <v>87.836580361006952</v>
      </c>
      <c r="L8" s="538">
        <f>比率分析!L33</f>
        <v>82.421726241476236</v>
      </c>
      <c r="M8" s="538">
        <f>比率分析!M33</f>
        <v>78.658932602683151</v>
      </c>
      <c r="N8" s="538">
        <f>比率分析!N33</f>
        <v>96.698358759085068</v>
      </c>
      <c r="O8" s="538">
        <f>比率分析!O33</f>
        <v>173.28645137858979</v>
      </c>
      <c r="P8" s="538">
        <f>比率分析!P33</f>
        <v>111.64156516757193</v>
      </c>
      <c r="Q8" s="538">
        <f>比率分析!Q33</f>
        <v>127.45311500627264</v>
      </c>
      <c r="R8" s="538">
        <f>比率分析!R33</f>
        <v>104.12348486831868</v>
      </c>
      <c r="S8" s="538">
        <f>比率分析!S33</f>
        <v>105.5292792812165</v>
      </c>
      <c r="T8" s="538">
        <f>比率分析!T33</f>
        <v>116.79467279095678</v>
      </c>
      <c r="U8" s="538">
        <f>比率分析!U33</f>
        <v>101.76796942083567</v>
      </c>
      <c r="V8" s="538">
        <f>比率分析!V33</f>
        <v>98.632357421405288</v>
      </c>
      <c r="W8" s="538">
        <f>比率分析!W33</f>
        <v>116.20507923385274</v>
      </c>
      <c r="X8" s="538">
        <f>比率分析!X33</f>
        <v>97.10994613942664</v>
      </c>
      <c r="Y8" s="538">
        <f>比率分析!Y33</f>
        <v>102.92331417541351</v>
      </c>
      <c r="Z8" s="538">
        <f>比率分析!Z33</f>
        <v>120.41277251875728</v>
      </c>
      <c r="AA8" s="538">
        <f>比率分析!AA33</f>
        <v>43.998876585324979</v>
      </c>
      <c r="AB8" s="538">
        <f>比率分析!AB33</f>
        <v>65.82928567562216</v>
      </c>
      <c r="AC8" s="538">
        <f>比率分析!AC33</f>
        <v>62.882209192750921</v>
      </c>
      <c r="AD8" s="538">
        <f>比率分析!AD33</f>
        <v>48.974788072567542</v>
      </c>
      <c r="AE8" s="538">
        <f>比率分析!AE33</f>
        <v>52.845807163116852</v>
      </c>
      <c r="AF8" s="538">
        <f>比率分析!AF33</f>
        <v>70.070641223551135</v>
      </c>
      <c r="AG8" s="538">
        <f>比率分析!AG33</f>
        <v>62.829989069049198</v>
      </c>
      <c r="AH8" s="538">
        <f>比率分析!AH33</f>
        <v>64.549552307181898</v>
      </c>
      <c r="AI8" s="538">
        <f>比率分析!AI33</f>
        <v>50.001745921939779</v>
      </c>
      <c r="AJ8" s="538">
        <f>比率分析!AJ33</f>
        <v>45.068831805829518</v>
      </c>
      <c r="AK8" s="538">
        <f>比率分析!AK33</f>
        <v>57.652460026075701</v>
      </c>
      <c r="AL8" s="538">
        <f>比率分析!AL33</f>
        <v>56.669844681117077</v>
      </c>
      <c r="AM8" s="538">
        <f>比率分析!AM33</f>
        <v>50.667996231243869</v>
      </c>
      <c r="AN8" s="538">
        <f>比率分析!AN33</f>
        <v>67.803471953183063</v>
      </c>
      <c r="AO8" s="538">
        <f>比率分析!AO33</f>
        <v>50.398628580924232</v>
      </c>
      <c r="AP8" s="538">
        <f>比率分析!AP33</f>
        <v>52.03035239769261</v>
      </c>
      <c r="AQ8" s="538">
        <f>比率分析!AQ33</f>
        <v>68.36266962867218</v>
      </c>
      <c r="AR8" s="538">
        <f>比率分析!AR33</f>
        <v>63.717806884014344</v>
      </c>
      <c r="AS8" s="538">
        <f>比率分析!AS33</f>
        <v>56.937576569482502</v>
      </c>
      <c r="AT8" s="538">
        <f>比率分析!AT33</f>
        <v>74.520892798100206</v>
      </c>
      <c r="AU8" s="538">
        <f>比率分析!AU33</f>
        <v>61.563941507234702</v>
      </c>
      <c r="AV8" s="538">
        <f>比率分析!AV33</f>
        <v>64.24886855743479</v>
      </c>
      <c r="AW8" s="538">
        <f>比率分析!AW33</f>
        <v>87.950601069773967</v>
      </c>
      <c r="AX8" s="538">
        <f>比率分析!AX33</f>
        <v>67.738263324031081</v>
      </c>
      <c r="AY8" s="538">
        <f>比率分析!AY33</f>
        <v>92.788839575408218</v>
      </c>
      <c r="AZ8" s="538">
        <f>比率分析!AZ33</f>
        <v>56.072040659717864</v>
      </c>
      <c r="BA8" s="538">
        <f>比率分析!BA33</f>
        <v>58.045453592907052</v>
      </c>
      <c r="BB8" s="538">
        <f>比率分析!BB33</f>
        <v>47.404120441507416</v>
      </c>
      <c r="BC8" s="538">
        <f>比率分析!BC33</f>
        <v>66.826119448091859</v>
      </c>
      <c r="BD8" s="538">
        <f>比率分析!BD33</f>
        <v>50.383714789241488</v>
      </c>
      <c r="BE8" s="538">
        <f>比率分析!BE33</f>
        <v>49.30595222886933</v>
      </c>
      <c r="BF8" s="538">
        <f>比率分析!BF33</f>
        <v>36.531093626407653</v>
      </c>
      <c r="BG8" s="538">
        <f>比率分析!BG33</f>
        <v>34.498358640649478</v>
      </c>
      <c r="BH8" s="538">
        <f>比率分析!BH33</f>
        <v>43.591347297380388</v>
      </c>
      <c r="BI8" s="538">
        <f>比率分析!BI33</f>
        <v>36.514542762377822</v>
      </c>
      <c r="BJ8" s="538">
        <f>比率分析!BJ33</f>
        <v>46.174528551166276</v>
      </c>
      <c r="BK8" s="538">
        <f>比率分析!BK33</f>
        <v>53.44467916623622</v>
      </c>
      <c r="BL8" s="538">
        <f>比率分析!BL33</f>
        <v>61.024953423437466</v>
      </c>
      <c r="BM8" s="538">
        <f>比率分析!BM33</f>
        <v>49.414342300336436</v>
      </c>
      <c r="BN8" s="538">
        <f>比率分析!BN33</f>
        <v>90.631549666404624</v>
      </c>
      <c r="BO8" s="538">
        <f>比率分析!BO33</f>
        <v>52.818950551814915</v>
      </c>
      <c r="BP8" s="538">
        <f>比率分析!BP33</f>
        <v>62.542701019416846</v>
      </c>
      <c r="BQ8" s="538">
        <f>比率分析!BQ33</f>
        <v>62.768563561126797</v>
      </c>
      <c r="BR8" s="538">
        <f>比率分析!BR33</f>
        <v>47.527796688243853</v>
      </c>
      <c r="BS8" s="538">
        <f>比率分析!BS33</f>
        <v>45.910728836029072</v>
      </c>
      <c r="BT8" s="538">
        <f>比率分析!BT33</f>
        <v>45.92227401909291</v>
      </c>
      <c r="BU8" s="538">
        <f>比率分析!BU33</f>
        <v>51.985894234607827</v>
      </c>
      <c r="BV8" s="538">
        <f>比率分析!BV33</f>
        <v>65.177974097225345</v>
      </c>
      <c r="BW8" s="538">
        <f>比率分析!BW33</f>
        <v>71.562707296736122</v>
      </c>
      <c r="BX8" s="538">
        <f>比率分析!BX33</f>
        <v>85.695399980459214</v>
      </c>
      <c r="BY8" s="538">
        <f>比率分析!BY33</f>
        <v>67.606660575227281</v>
      </c>
      <c r="BZ8" s="538">
        <f>比率分析!BZ33</f>
        <v>86.213449997382739</v>
      </c>
      <c r="CA8" s="538">
        <f>比率分析!CA33</f>
        <v>65.031311692795214</v>
      </c>
      <c r="CB8" s="538">
        <f>比率分析!CB33</f>
        <v>64.103839427477453</v>
      </c>
      <c r="CC8" s="538">
        <f>比率分析!CC33</f>
        <v>74.859487340716541</v>
      </c>
      <c r="CD8" s="538">
        <f>比率分析!CD33</f>
        <v>70.585244934094035</v>
      </c>
    </row>
    <row r="9" spans="1:86" s="403" customFormat="1" ht="20.25" customHeight="1">
      <c r="A9" s="403" t="s">
        <v>1169</v>
      </c>
      <c r="B9" s="539">
        <v>24</v>
      </c>
      <c r="C9" s="539">
        <v>25</v>
      </c>
      <c r="D9" s="539">
        <v>26</v>
      </c>
      <c r="E9" s="539">
        <v>27</v>
      </c>
      <c r="F9" s="539">
        <v>28</v>
      </c>
      <c r="G9" s="539">
        <v>29</v>
      </c>
      <c r="H9" s="539">
        <v>30</v>
      </c>
      <c r="I9" s="539">
        <v>31</v>
      </c>
      <c r="J9" s="539">
        <v>32</v>
      </c>
      <c r="K9" s="539">
        <v>33</v>
      </c>
      <c r="L9" s="539">
        <v>34</v>
      </c>
      <c r="M9" s="539">
        <v>35</v>
      </c>
      <c r="N9" s="539">
        <v>36</v>
      </c>
      <c r="O9" s="539">
        <v>37</v>
      </c>
      <c r="P9" s="539">
        <v>38</v>
      </c>
      <c r="Q9" s="539">
        <v>39</v>
      </c>
      <c r="R9" s="539">
        <v>40</v>
      </c>
      <c r="S9" s="539">
        <v>41</v>
      </c>
      <c r="T9" s="539">
        <v>42</v>
      </c>
      <c r="U9" s="539">
        <v>43</v>
      </c>
      <c r="V9" s="539">
        <v>44</v>
      </c>
      <c r="W9" s="539">
        <v>45</v>
      </c>
      <c r="X9" s="539">
        <v>46</v>
      </c>
      <c r="Y9" s="539">
        <v>47</v>
      </c>
      <c r="Z9" s="539">
        <v>48</v>
      </c>
      <c r="AA9" s="539">
        <v>49</v>
      </c>
      <c r="AB9" s="539">
        <v>50</v>
      </c>
      <c r="AC9" s="539">
        <v>51</v>
      </c>
      <c r="AD9" s="539">
        <v>52</v>
      </c>
      <c r="AE9" s="539">
        <v>53</v>
      </c>
      <c r="AF9" s="539">
        <v>54</v>
      </c>
      <c r="AG9" s="539">
        <v>55</v>
      </c>
      <c r="AH9" s="539">
        <v>56</v>
      </c>
      <c r="AI9" s="539">
        <v>57</v>
      </c>
      <c r="AJ9" s="539">
        <v>58</v>
      </c>
      <c r="AK9" s="539">
        <v>59</v>
      </c>
      <c r="AL9" s="539">
        <v>60</v>
      </c>
      <c r="AM9" s="539">
        <v>61</v>
      </c>
      <c r="AN9" s="539">
        <v>62</v>
      </c>
      <c r="AO9" s="539">
        <v>63</v>
      </c>
      <c r="AP9" s="539">
        <v>64</v>
      </c>
      <c r="AQ9" s="539">
        <v>65</v>
      </c>
      <c r="AR9" s="539">
        <v>66</v>
      </c>
      <c r="AS9" s="539">
        <v>67</v>
      </c>
      <c r="AT9" s="539">
        <v>68</v>
      </c>
      <c r="AU9" s="539">
        <v>69</v>
      </c>
      <c r="AV9" s="539">
        <v>70</v>
      </c>
      <c r="AW9" s="539">
        <v>71</v>
      </c>
      <c r="AX9" s="539">
        <v>72</v>
      </c>
      <c r="AY9" s="539">
        <v>73</v>
      </c>
      <c r="AZ9" s="539">
        <v>74</v>
      </c>
      <c r="BA9" s="539">
        <v>75</v>
      </c>
      <c r="BB9" s="539">
        <v>76</v>
      </c>
      <c r="BC9" s="539">
        <v>77</v>
      </c>
      <c r="BD9" s="539">
        <v>78</v>
      </c>
      <c r="BE9" s="539">
        <v>79</v>
      </c>
      <c r="BF9" s="539">
        <v>80</v>
      </c>
      <c r="BG9" s="539">
        <v>81</v>
      </c>
      <c r="BH9" s="539">
        <v>82</v>
      </c>
      <c r="BI9" s="539">
        <v>83</v>
      </c>
      <c r="BJ9" s="539">
        <v>84</v>
      </c>
      <c r="BK9" s="539">
        <v>85</v>
      </c>
      <c r="BL9" s="539">
        <v>86</v>
      </c>
      <c r="BM9" s="539">
        <v>87</v>
      </c>
      <c r="BN9" s="539">
        <v>88</v>
      </c>
      <c r="BO9" s="539">
        <v>89</v>
      </c>
      <c r="BP9" s="539">
        <v>90</v>
      </c>
      <c r="BQ9" s="539">
        <v>91</v>
      </c>
      <c r="BR9" s="539">
        <v>92</v>
      </c>
      <c r="BS9" s="539">
        <v>93</v>
      </c>
      <c r="BT9" s="539">
        <v>94</v>
      </c>
      <c r="BU9" s="539">
        <v>95</v>
      </c>
      <c r="BV9" s="539">
        <v>96</v>
      </c>
      <c r="BW9" s="539">
        <v>97</v>
      </c>
      <c r="BX9" s="539">
        <v>98</v>
      </c>
      <c r="BY9" s="539">
        <v>99</v>
      </c>
      <c r="BZ9" s="539">
        <v>100</v>
      </c>
      <c r="CA9" s="539">
        <v>101</v>
      </c>
      <c r="CB9" s="539">
        <v>102</v>
      </c>
      <c r="CC9" s="539">
        <v>103</v>
      </c>
      <c r="CD9" s="539">
        <v>104</v>
      </c>
      <c r="CE9" s="539">
        <v>105</v>
      </c>
      <c r="CF9" s="539">
        <v>106</v>
      </c>
      <c r="CG9" s="539">
        <v>107</v>
      </c>
      <c r="CH9" s="539">
        <v>108</v>
      </c>
    </row>
  </sheetData>
  <phoneticPr fontId="39" type="noConversion"/>
  <pageMargins left="0.14000000000000001" right="0.14000000000000001" top="1" bottom="1" header="0.5" footer="0.5"/>
  <pageSetup paperSize="9" scale="64" orientation="landscape" r:id="rId1"/>
  <headerFooter alignWithMargins="0">
    <oddHeader>&amp;R&amp;F--&amp;A</oddHeader>
    <oddFooter>&amp;RP.16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6B4C-AF1A-6A4D-8CB1-B6EDF78F59E0}">
  <sheetPr>
    <tabColor indexed="55"/>
  </sheetPr>
  <dimension ref="A1:CH9"/>
  <sheetViews>
    <sheetView workbookViewId="0">
      <selection activeCell="Z39" sqref="Z39"/>
    </sheetView>
  </sheetViews>
  <sheetFormatPr baseColWidth="10" defaultRowHeight="13"/>
  <sheetData>
    <row r="1" spans="1:86">
      <c r="C1" t="s">
        <v>2403</v>
      </c>
      <c r="O1" t="s">
        <v>2404</v>
      </c>
      <c r="AA1" t="s">
        <v>2405</v>
      </c>
      <c r="AM1" t="s">
        <v>2406</v>
      </c>
      <c r="AY1" t="s">
        <v>2407</v>
      </c>
      <c r="BK1" t="s">
        <v>2408</v>
      </c>
      <c r="BW1" t="s">
        <v>2368</v>
      </c>
    </row>
    <row r="2" spans="1:86">
      <c r="B2" t="s">
        <v>528</v>
      </c>
      <c r="C2" t="s">
        <v>2409</v>
      </c>
      <c r="D2" t="s">
        <v>532</v>
      </c>
      <c r="E2" t="s">
        <v>537</v>
      </c>
      <c r="F2" t="s">
        <v>538</v>
      </c>
      <c r="G2" t="s">
        <v>2410</v>
      </c>
      <c r="H2" t="s">
        <v>540</v>
      </c>
      <c r="I2" t="s">
        <v>545</v>
      </c>
      <c r="J2" t="s">
        <v>2411</v>
      </c>
      <c r="K2" t="s">
        <v>2412</v>
      </c>
      <c r="L2" t="s">
        <v>2413</v>
      </c>
      <c r="M2" t="s">
        <v>2414</v>
      </c>
      <c r="N2" t="s">
        <v>528</v>
      </c>
      <c r="O2" t="s">
        <v>2409</v>
      </c>
      <c r="P2" t="s">
        <v>532</v>
      </c>
      <c r="Q2" t="s">
        <v>537</v>
      </c>
      <c r="R2" t="s">
        <v>538</v>
      </c>
      <c r="S2" t="s">
        <v>2410</v>
      </c>
      <c r="T2" t="s">
        <v>540</v>
      </c>
      <c r="U2" t="s">
        <v>545</v>
      </c>
      <c r="V2" t="s">
        <v>2411</v>
      </c>
      <c r="W2" t="s">
        <v>2412</v>
      </c>
      <c r="X2" t="s">
        <v>2413</v>
      </c>
      <c r="Y2" t="s">
        <v>2414</v>
      </c>
      <c r="Z2" t="s">
        <v>528</v>
      </c>
      <c r="AA2" t="s">
        <v>2409</v>
      </c>
      <c r="AB2" t="s">
        <v>532</v>
      </c>
      <c r="AC2" t="s">
        <v>537</v>
      </c>
      <c r="AD2" t="s">
        <v>538</v>
      </c>
      <c r="AE2" t="s">
        <v>2410</v>
      </c>
      <c r="AF2" t="s">
        <v>540</v>
      </c>
      <c r="AG2" t="s">
        <v>545</v>
      </c>
      <c r="AH2" t="s">
        <v>2411</v>
      </c>
      <c r="AI2" t="s">
        <v>2412</v>
      </c>
      <c r="AJ2" t="s">
        <v>2413</v>
      </c>
      <c r="AK2" t="s">
        <v>2414</v>
      </c>
      <c r="AL2" t="s">
        <v>528</v>
      </c>
      <c r="AM2" t="s">
        <v>2409</v>
      </c>
      <c r="AN2" t="s">
        <v>532</v>
      </c>
      <c r="AO2" t="s">
        <v>537</v>
      </c>
      <c r="AP2" t="s">
        <v>538</v>
      </c>
      <c r="AQ2" t="s">
        <v>2410</v>
      </c>
      <c r="AR2" t="s">
        <v>540</v>
      </c>
      <c r="AS2" t="s">
        <v>545</v>
      </c>
      <c r="AT2" t="s">
        <v>2411</v>
      </c>
      <c r="AU2" t="s">
        <v>2412</v>
      </c>
      <c r="AV2" t="s">
        <v>2413</v>
      </c>
      <c r="AW2" t="s">
        <v>2414</v>
      </c>
      <c r="AX2" t="s">
        <v>528</v>
      </c>
      <c r="AY2" t="s">
        <v>2409</v>
      </c>
      <c r="AZ2" t="s">
        <v>532</v>
      </c>
      <c r="BA2" t="s">
        <v>537</v>
      </c>
      <c r="BB2" t="s">
        <v>538</v>
      </c>
      <c r="BC2" t="s">
        <v>2410</v>
      </c>
      <c r="BD2" t="s">
        <v>540</v>
      </c>
      <c r="BE2" t="s">
        <v>545</v>
      </c>
      <c r="BF2" t="s">
        <v>2411</v>
      </c>
      <c r="BG2" t="s">
        <v>2412</v>
      </c>
      <c r="BH2" t="s">
        <v>2413</v>
      </c>
      <c r="BI2" t="s">
        <v>2414</v>
      </c>
      <c r="BJ2" t="s">
        <v>528</v>
      </c>
      <c r="BK2" t="s">
        <v>2409</v>
      </c>
      <c r="BL2" t="s">
        <v>532</v>
      </c>
      <c r="BM2" t="s">
        <v>537</v>
      </c>
      <c r="BN2" t="s">
        <v>538</v>
      </c>
      <c r="BO2" t="s">
        <v>2410</v>
      </c>
      <c r="BP2" t="s">
        <v>540</v>
      </c>
      <c r="BQ2" t="s">
        <v>545</v>
      </c>
      <c r="BR2" t="s">
        <v>2411</v>
      </c>
      <c r="BS2" t="s">
        <v>2412</v>
      </c>
      <c r="BT2" t="s">
        <v>2413</v>
      </c>
      <c r="BU2" t="s">
        <v>2414</v>
      </c>
      <c r="BV2" t="s">
        <v>528</v>
      </c>
      <c r="BW2" t="s">
        <v>2409</v>
      </c>
      <c r="BX2" t="s">
        <v>532</v>
      </c>
      <c r="BY2" t="s">
        <v>537</v>
      </c>
      <c r="BZ2" t="s">
        <v>538</v>
      </c>
      <c r="CA2" t="s">
        <v>2410</v>
      </c>
      <c r="CB2" t="s">
        <v>540</v>
      </c>
      <c r="CC2" t="s">
        <v>545</v>
      </c>
      <c r="CD2" t="s">
        <v>2411</v>
      </c>
      <c r="CE2" t="s">
        <v>2412</v>
      </c>
      <c r="CF2" t="s">
        <v>2413</v>
      </c>
      <c r="CG2" t="s">
        <v>2414</v>
      </c>
      <c r="CH2" t="s">
        <v>528</v>
      </c>
    </row>
    <row r="3" spans="1:86">
      <c r="A3" t="s">
        <v>2415</v>
      </c>
      <c r="B3">
        <v>7.7165041064090083</v>
      </c>
      <c r="C3">
        <v>6.3276589742228957</v>
      </c>
      <c r="D3">
        <v>4.6277796022833888</v>
      </c>
      <c r="E3">
        <v>4.5935362038950407</v>
      </c>
      <c r="F3">
        <v>6.4433964342272549</v>
      </c>
      <c r="G3">
        <v>5.5848505131424453</v>
      </c>
      <c r="H3">
        <v>5.3382965362304979</v>
      </c>
      <c r="I3">
        <v>5.6873532242789588</v>
      </c>
      <c r="J3">
        <v>5.7732976704813792</v>
      </c>
      <c r="K3">
        <v>5.530884976646762</v>
      </c>
      <c r="L3">
        <v>5.924824875602174</v>
      </c>
      <c r="M3">
        <v>6.4784181242562706</v>
      </c>
      <c r="N3">
        <v>6.514208484505235</v>
      </c>
      <c r="O3">
        <v>6.2387662842416765</v>
      </c>
      <c r="P3">
        <v>7.4731979203987766</v>
      </c>
      <c r="Q3">
        <v>8.2380037057450792</v>
      </c>
      <c r="R3">
        <v>7.3796983094675142</v>
      </c>
      <c r="S3">
        <v>8.2953237166739981</v>
      </c>
      <c r="T3">
        <v>8.159184026602551</v>
      </c>
      <c r="U3">
        <v>8.0198419077394068</v>
      </c>
      <c r="V3">
        <v>7.603866204157514</v>
      </c>
      <c r="W3">
        <v>8.2526100342995914</v>
      </c>
      <c r="X3">
        <v>8.1018550176854998</v>
      </c>
      <c r="Y3">
        <v>8.2138533241603326</v>
      </c>
      <c r="Z3">
        <v>7.318450775409894</v>
      </c>
      <c r="AA3">
        <v>12.271231474799848</v>
      </c>
      <c r="AB3">
        <v>11.630463539330238</v>
      </c>
      <c r="AC3">
        <v>9.6082759039928245</v>
      </c>
      <c r="AD3">
        <v>10.449712188034265</v>
      </c>
      <c r="AE3">
        <v>11.014778421488586</v>
      </c>
      <c r="AF3">
        <v>8.2720658138201646</v>
      </c>
      <c r="AG3">
        <v>7.9921626874056502</v>
      </c>
      <c r="AH3">
        <v>12.262837799999332</v>
      </c>
      <c r="AI3">
        <v>11.081343445793696</v>
      </c>
      <c r="AJ3">
        <v>11.783994022522036</v>
      </c>
      <c r="AK3">
        <v>9.6304016399712182</v>
      </c>
      <c r="AL3">
        <v>8.5885959787179367</v>
      </c>
      <c r="AM3">
        <v>5.8603030950147978</v>
      </c>
      <c r="AN3">
        <v>5.8694794163548911</v>
      </c>
      <c r="AO3">
        <v>6.3281117496252088</v>
      </c>
      <c r="AP3">
        <v>6.1242779889071937</v>
      </c>
      <c r="AQ3">
        <v>7.3344732795249969</v>
      </c>
      <c r="AR3">
        <v>7.2270655067584144</v>
      </c>
      <c r="AS3">
        <v>8.0557677698687744</v>
      </c>
      <c r="AT3">
        <v>8.6507698301025098</v>
      </c>
      <c r="AU3">
        <v>7.9788571909516088</v>
      </c>
      <c r="AV3">
        <v>8.7490729388537964</v>
      </c>
      <c r="AW3">
        <v>8.2733786437967893</v>
      </c>
      <c r="AX3">
        <v>6.6838892676512254</v>
      </c>
      <c r="AY3">
        <v>4.6802515432749114</v>
      </c>
      <c r="AZ3">
        <v>5.4969548374178139</v>
      </c>
      <c r="BA3">
        <v>5.933269873440234</v>
      </c>
      <c r="BB3">
        <v>5.6765129352146761</v>
      </c>
      <c r="BC3">
        <v>5.9868819012712615</v>
      </c>
      <c r="BD3">
        <v>5.9208879681429094</v>
      </c>
      <c r="BE3">
        <v>6.2288041431137042</v>
      </c>
      <c r="BF3">
        <v>6.4986264902636925</v>
      </c>
      <c r="BG3">
        <v>7.0319301079637917</v>
      </c>
      <c r="BH3">
        <v>7.733789244359234</v>
      </c>
      <c r="BI3">
        <v>8.2341637626447515</v>
      </c>
      <c r="BJ3">
        <v>6.131656336817751</v>
      </c>
      <c r="BK3">
        <v>3.8840252669218192</v>
      </c>
      <c r="BL3">
        <v>4.3552068020141164</v>
      </c>
      <c r="BM3">
        <v>4.9864543947208517</v>
      </c>
      <c r="BN3">
        <v>4.951893140906086</v>
      </c>
      <c r="BO3">
        <v>5.0633148956666831</v>
      </c>
      <c r="BP3">
        <v>4.3067640573943873</v>
      </c>
      <c r="BQ3">
        <v>4.3013188258051844</v>
      </c>
      <c r="BR3">
        <v>5.2575864693298033</v>
      </c>
      <c r="BS3">
        <v>5.6168881006193567</v>
      </c>
      <c r="BT3">
        <v>5.0637583656140972</v>
      </c>
      <c r="BU3">
        <v>5.0795365894123279</v>
      </c>
      <c r="BV3">
        <v>4.8496044613940885</v>
      </c>
      <c r="BW3">
        <v>3.8015799497517646</v>
      </c>
      <c r="BX3">
        <v>4.1159019135167476</v>
      </c>
      <c r="BY3">
        <v>4.1226773616386101</v>
      </c>
      <c r="BZ3">
        <v>4.2725676223588538</v>
      </c>
      <c r="CA3">
        <v>7.9455984406993831</v>
      </c>
      <c r="CB3">
        <v>6.7293916135539247</v>
      </c>
      <c r="CC3">
        <v>5.2855336538613482</v>
      </c>
      <c r="CD3">
        <v>4.2218938985734082</v>
      </c>
    </row>
    <row r="4" spans="1:86">
      <c r="A4" t="s">
        <v>2416</v>
      </c>
      <c r="B4">
        <v>47.301212435932761</v>
      </c>
      <c r="C4">
        <v>57.683260347453526</v>
      </c>
      <c r="D4">
        <v>78.871517524280037</v>
      </c>
      <c r="E4">
        <v>79.459480408688648</v>
      </c>
      <c r="F4">
        <v>56.647143121774064</v>
      </c>
      <c r="G4">
        <v>65.355375070661353</v>
      </c>
      <c r="H4">
        <v>68.373871238283712</v>
      </c>
      <c r="I4">
        <v>64.177480386102559</v>
      </c>
      <c r="J4">
        <v>63.222099540480855</v>
      </c>
      <c r="K4">
        <v>65.99305563958599</v>
      </c>
      <c r="L4">
        <v>61.60519638361513</v>
      </c>
      <c r="M4">
        <v>56.340914247782116</v>
      </c>
      <c r="N4">
        <v>56.03136603137478</v>
      </c>
      <c r="O4">
        <v>58.50515684838895</v>
      </c>
      <c r="P4">
        <v>48.841206119230314</v>
      </c>
      <c r="Q4">
        <v>44.306850668864548</v>
      </c>
      <c r="R4">
        <v>49.460016479499792</v>
      </c>
      <c r="S4">
        <v>44.000693941133669</v>
      </c>
      <c r="T4">
        <v>44.734865497571626</v>
      </c>
      <c r="U4">
        <v>45.512119091495208</v>
      </c>
      <c r="V4">
        <v>48.001896693083772</v>
      </c>
      <c r="W4">
        <v>44.228431791031305</v>
      </c>
      <c r="X4">
        <v>45.051410967394908</v>
      </c>
      <c r="Y4">
        <v>44.437121725364193</v>
      </c>
      <c r="Z4">
        <v>49.873943434368044</v>
      </c>
      <c r="AA4">
        <v>29.744365979043142</v>
      </c>
      <c r="AB4">
        <v>31.383099974106379</v>
      </c>
      <c r="AC4">
        <v>37.988084818455334</v>
      </c>
      <c r="AD4">
        <v>34.929191678403683</v>
      </c>
      <c r="AE4">
        <v>33.13729845785425</v>
      </c>
      <c r="AF4">
        <v>44.124407157181153</v>
      </c>
      <c r="AG4">
        <v>45.669741004544449</v>
      </c>
      <c r="AH4">
        <v>29.764725421061989</v>
      </c>
      <c r="AI4">
        <v>32.938244517504621</v>
      </c>
      <c r="AJ4">
        <v>30.97421802000218</v>
      </c>
      <c r="AK4">
        <v>37.900807634549587</v>
      </c>
      <c r="AL4">
        <v>42.498215180275068</v>
      </c>
      <c r="AM4">
        <v>62.283467950743997</v>
      </c>
      <c r="AN4">
        <v>62.186094218671798</v>
      </c>
      <c r="AO4">
        <v>57.679133119230649</v>
      </c>
      <c r="AP4">
        <v>59.598862210552596</v>
      </c>
      <c r="AQ4">
        <v>49.76499144375348</v>
      </c>
      <c r="AR4">
        <v>50.504592722823539</v>
      </c>
      <c r="AS4">
        <v>45.309151210294353</v>
      </c>
      <c r="AT4">
        <v>42.192776731833916</v>
      </c>
      <c r="AU4">
        <v>45.745899602505332</v>
      </c>
      <c r="AV4">
        <v>41.718705804711021</v>
      </c>
      <c r="AW4">
        <v>44.117405441568849</v>
      </c>
      <c r="AX4">
        <v>54.608923844165368</v>
      </c>
      <c r="AY4">
        <v>77.987261288225255</v>
      </c>
      <c r="AZ4">
        <v>66.400400002459946</v>
      </c>
      <c r="BA4">
        <v>61.51751189236996</v>
      </c>
      <c r="BB4">
        <v>64.300038450664843</v>
      </c>
      <c r="BC4">
        <v>60.966627706902898</v>
      </c>
      <c r="BD4">
        <v>61.64615881331774</v>
      </c>
      <c r="BE4">
        <v>58.598728040522545</v>
      </c>
      <c r="BF4">
        <v>56.165714485491151</v>
      </c>
      <c r="BG4">
        <v>51.906090418423062</v>
      </c>
      <c r="BH4">
        <v>47.195493498380337</v>
      </c>
      <c r="BI4">
        <v>44.327512850286666</v>
      </c>
      <c r="BJ4">
        <v>59.527145676502506</v>
      </c>
      <c r="BK4">
        <v>93.974671871604741</v>
      </c>
      <c r="BL4">
        <v>83.807730974152932</v>
      </c>
      <c r="BM4">
        <v>73.198303064081898</v>
      </c>
      <c r="BN4">
        <v>73.709183460532657</v>
      </c>
      <c r="BO4">
        <v>72.087161774665944</v>
      </c>
      <c r="BP4">
        <v>84.750405440326517</v>
      </c>
      <c r="BQ4">
        <v>84.85769476334363</v>
      </c>
      <c r="BR4">
        <v>69.423489680908162</v>
      </c>
      <c r="BS4">
        <v>64.982601301911743</v>
      </c>
      <c r="BT4">
        <v>72.08084858048619</v>
      </c>
      <c r="BU4">
        <v>71.856948675357074</v>
      </c>
      <c r="BV4">
        <v>75.263870054894227</v>
      </c>
      <c r="BW4">
        <v>96.012711773649201</v>
      </c>
      <c r="BX4">
        <v>88.680441776644102</v>
      </c>
      <c r="BY4">
        <v>88.534699172997165</v>
      </c>
      <c r="BZ4">
        <v>85.428723957442273</v>
      </c>
      <c r="CA4">
        <v>45.937383159256683</v>
      </c>
      <c r="CB4">
        <v>54.239672909634145</v>
      </c>
      <c r="CC4">
        <v>69.056413959893931</v>
      </c>
      <c r="CD4">
        <v>86.454091165894695</v>
      </c>
    </row>
    <row r="5" spans="1:86">
      <c r="A5" t="s">
        <v>2417</v>
      </c>
      <c r="B5">
        <v>4.3317906512465356</v>
      </c>
      <c r="C5">
        <v>4.4459484814909356</v>
      </c>
      <c r="D5">
        <v>3.2412506949962419</v>
      </c>
      <c r="E5">
        <v>3.8002594826524949</v>
      </c>
      <c r="F5">
        <v>3.9634357748418996</v>
      </c>
      <c r="G5">
        <v>3.7423060846596896</v>
      </c>
      <c r="H5">
        <v>4.2459879479769675</v>
      </c>
      <c r="I5">
        <v>4.2642579923765611</v>
      </c>
      <c r="J5">
        <v>3.9441930631602613</v>
      </c>
      <c r="K5">
        <v>4.1795527250839744</v>
      </c>
      <c r="L5">
        <v>4.1099235590377443</v>
      </c>
      <c r="M5">
        <v>4.0755813305549795</v>
      </c>
      <c r="N5">
        <v>3.7559521850497912</v>
      </c>
      <c r="O5">
        <v>2.4049588902626748</v>
      </c>
      <c r="P5">
        <v>2.9312120874161254</v>
      </c>
      <c r="Q5">
        <v>3.016975614419843</v>
      </c>
      <c r="R5">
        <v>2.7839864744937777</v>
      </c>
      <c r="S5">
        <v>2.9524462843217214</v>
      </c>
      <c r="T5">
        <v>2.9082052105598746</v>
      </c>
      <c r="U5">
        <v>2.8574744244185935</v>
      </c>
      <c r="V5">
        <v>2.7780828754750102</v>
      </c>
      <c r="W5">
        <v>2.8819282180071633</v>
      </c>
      <c r="X5">
        <v>2.9847491827002068</v>
      </c>
      <c r="Y5">
        <v>2.9273255059770249</v>
      </c>
      <c r="Z5">
        <v>3.0802599667129624</v>
      </c>
      <c r="AA5">
        <v>5.8173301474225543</v>
      </c>
      <c r="AB5">
        <v>4.1106291346819344</v>
      </c>
      <c r="AC5">
        <v>3.679177967848601</v>
      </c>
      <c r="AD5">
        <v>3.7602390216069059</v>
      </c>
      <c r="AE5">
        <v>3.7649845779006057</v>
      </c>
      <c r="AF5">
        <v>3.9213913391291122</v>
      </c>
      <c r="AG5">
        <v>3.5124822875735213</v>
      </c>
      <c r="AH5">
        <v>4.1849343599429645</v>
      </c>
      <c r="AI5">
        <v>3.3816914135048144</v>
      </c>
      <c r="AJ5">
        <v>3.2314857243227686</v>
      </c>
      <c r="AK5">
        <v>3.3179437971907011</v>
      </c>
      <c r="AL5">
        <v>3.1874691822224883</v>
      </c>
      <c r="AM5">
        <v>1.51075686552651</v>
      </c>
      <c r="AN5">
        <v>1.6834095997783884</v>
      </c>
      <c r="AO5">
        <v>2.0107090850057707</v>
      </c>
      <c r="AP5">
        <v>1.7565615715166234</v>
      </c>
      <c r="AQ5">
        <v>2.1384471608906903</v>
      </c>
      <c r="AR5">
        <v>2.4795751621010029</v>
      </c>
      <c r="AS5">
        <v>2.5303866664998678</v>
      </c>
      <c r="AT5">
        <v>2.5230348894468633</v>
      </c>
      <c r="AU5">
        <v>2.5325412982146984</v>
      </c>
      <c r="AV5">
        <v>2.2680578042922228</v>
      </c>
      <c r="AW5">
        <v>2.1956952956509816</v>
      </c>
      <c r="AX5">
        <v>5.2679075195550498</v>
      </c>
      <c r="AY5">
        <v>2.3161881865797116</v>
      </c>
      <c r="AZ5">
        <v>2.8448126639558993</v>
      </c>
      <c r="BA5">
        <v>4.1595855677001143</v>
      </c>
      <c r="BB5">
        <v>4.4528703391035371</v>
      </c>
      <c r="BC5">
        <v>4.0007172128369417</v>
      </c>
      <c r="BD5">
        <v>4.0950645017882925</v>
      </c>
      <c r="BE5">
        <v>4.1475552637524551</v>
      </c>
      <c r="BF5">
        <v>4.0728896983419611</v>
      </c>
      <c r="BG5">
        <v>3.9572015469593884</v>
      </c>
      <c r="BH5">
        <v>3.8936541329020775</v>
      </c>
      <c r="BI5">
        <v>3.8528310876282448</v>
      </c>
      <c r="BJ5">
        <v>9.9004134529132717</v>
      </c>
      <c r="BK5">
        <v>4.2222548979921157</v>
      </c>
      <c r="BL5">
        <v>4.725389615488055</v>
      </c>
      <c r="BM5">
        <v>5.3511927853355212</v>
      </c>
      <c r="BN5">
        <v>4.7393951582432292</v>
      </c>
      <c r="BO5">
        <v>4.801746752587893</v>
      </c>
      <c r="BP5">
        <v>4.3655401710116246</v>
      </c>
      <c r="BQ5">
        <v>4.1077030444962066</v>
      </c>
      <c r="BR5">
        <v>4.5935974320358763</v>
      </c>
      <c r="BS5">
        <v>4.6760575690761623</v>
      </c>
      <c r="BT5">
        <v>4.6482755282625021</v>
      </c>
      <c r="BU5">
        <v>4.91777935237916</v>
      </c>
      <c r="BV5">
        <v>5.3576768707209075</v>
      </c>
      <c r="BW5">
        <v>4.6206603868237046</v>
      </c>
      <c r="BX5">
        <v>4.4699131014926916</v>
      </c>
      <c r="BY5">
        <v>4.4422570637090271</v>
      </c>
      <c r="BZ5">
        <v>4.4275461209720213</v>
      </c>
      <c r="CA5">
        <v>4.1180068453953975</v>
      </c>
      <c r="CB5">
        <v>6.9385276000612786</v>
      </c>
      <c r="CC5">
        <v>5.7443520307387477</v>
      </c>
      <c r="CD5">
        <v>4.988157250189678</v>
      </c>
    </row>
    <row r="6" spans="1:86">
      <c r="A6" t="s">
        <v>2418</v>
      </c>
      <c r="B6">
        <v>84.260766363435863</v>
      </c>
      <c r="C6">
        <v>82.097217617240204</v>
      </c>
      <c r="D6">
        <v>112.61085128758397</v>
      </c>
      <c r="E6">
        <v>96.046073081630283</v>
      </c>
      <c r="F6">
        <v>92.091816478232133</v>
      </c>
      <c r="G6">
        <v>97.533443749081158</v>
      </c>
      <c r="H6">
        <v>85.963503540773587</v>
      </c>
      <c r="I6">
        <v>85.595196316106993</v>
      </c>
      <c r="J6">
        <v>92.541108955641718</v>
      </c>
      <c r="K6">
        <v>87.329918775618879</v>
      </c>
      <c r="L6">
        <v>88.809437634761608</v>
      </c>
      <c r="M6">
        <v>89.557776031498619</v>
      </c>
      <c r="N6">
        <v>97.179085892745817</v>
      </c>
      <c r="O6">
        <v>151.7697460350908</v>
      </c>
      <c r="P6">
        <v>124.52186642070956</v>
      </c>
      <c r="Q6">
        <v>120.98208492486891</v>
      </c>
      <c r="R6">
        <v>131.10695879597233</v>
      </c>
      <c r="S6">
        <v>123.62629658607085</v>
      </c>
      <c r="T6">
        <v>125.50696170774408</v>
      </c>
      <c r="U6">
        <v>127.73517651842712</v>
      </c>
      <c r="V6">
        <v>131.38556924353472</v>
      </c>
      <c r="W6">
        <v>126.6513155044491</v>
      </c>
      <c r="X6">
        <v>122.2883323381284</v>
      </c>
      <c r="Y6">
        <v>124.68719288467973</v>
      </c>
      <c r="Z6">
        <v>118.49649183653236</v>
      </c>
      <c r="AA6">
        <v>62.743559459440021</v>
      </c>
      <c r="AB6">
        <v>88.794193793948864</v>
      </c>
      <c r="AC6">
        <v>99.206943287234822</v>
      </c>
      <c r="AD6">
        <v>97.068297494562032</v>
      </c>
      <c r="AE6">
        <v>96.945948236400952</v>
      </c>
      <c r="AF6">
        <v>93.079207973428524</v>
      </c>
      <c r="AG6">
        <v>103.91511475838581</v>
      </c>
      <c r="AH6">
        <v>87.21761648012432</v>
      </c>
      <c r="AI6">
        <v>107.93415346603457</v>
      </c>
      <c r="AJ6">
        <v>112.95114109671459</v>
      </c>
      <c r="AK6">
        <v>110.00789112493257</v>
      </c>
      <c r="AL6">
        <v>114.51091104997001</v>
      </c>
      <c r="AM6">
        <v>241.60075544173938</v>
      </c>
      <c r="AN6">
        <v>216.82185966389298</v>
      </c>
      <c r="AO6">
        <v>181.52800060529515</v>
      </c>
      <c r="AP6">
        <v>207.79231762702022</v>
      </c>
      <c r="AQ6">
        <v>170.68460080536798</v>
      </c>
      <c r="AR6">
        <v>147.20263599137152</v>
      </c>
      <c r="AS6">
        <v>144.24672909966074</v>
      </c>
      <c r="AT6">
        <v>144.66704425162374</v>
      </c>
      <c r="AU6">
        <v>144.12400708225562</v>
      </c>
      <c r="AV6">
        <v>160.9306426446671</v>
      </c>
      <c r="AW6">
        <v>166.23435898549141</v>
      </c>
      <c r="AX6">
        <v>69.287472994747915</v>
      </c>
      <c r="AY6">
        <v>157.58650446231283</v>
      </c>
      <c r="AZ6">
        <v>128.30370330693179</v>
      </c>
      <c r="BA6">
        <v>87.749126459685485</v>
      </c>
      <c r="BB6">
        <v>81.969599876892602</v>
      </c>
      <c r="BC6">
        <v>91.233641515286081</v>
      </c>
      <c r="BD6">
        <v>89.131685188501052</v>
      </c>
      <c r="BE6">
        <v>88.003649569160956</v>
      </c>
      <c r="BF6">
        <v>89.616961674309124</v>
      </c>
      <c r="BG6">
        <v>92.236899149212292</v>
      </c>
      <c r="BH6">
        <v>93.74227590367731</v>
      </c>
      <c r="BI6">
        <v>94.73553127518224</v>
      </c>
      <c r="BJ6">
        <v>36.867147188948557</v>
      </c>
      <c r="BK6">
        <v>86.446699410207316</v>
      </c>
      <c r="BL6">
        <v>77.242307978937205</v>
      </c>
      <c r="BM6">
        <v>68.209091812249923</v>
      </c>
      <c r="BN6">
        <v>77.014046690146856</v>
      </c>
      <c r="BO6">
        <v>76.014004654302909</v>
      </c>
      <c r="BP6">
        <v>83.609355475342866</v>
      </c>
      <c r="BQ6">
        <v>88.857445644483235</v>
      </c>
      <c r="BR6">
        <v>79.458421291878963</v>
      </c>
      <c r="BS6">
        <v>78.057208365831173</v>
      </c>
      <c r="BT6">
        <v>78.523744511426329</v>
      </c>
      <c r="BU6">
        <v>74.220491373493118</v>
      </c>
      <c r="BV6">
        <v>68.126542306924733</v>
      </c>
      <c r="BW6">
        <v>78.993037670726807</v>
      </c>
      <c r="BX6">
        <v>81.65706842893907</v>
      </c>
      <c r="BY6">
        <v>82.165438596938415</v>
      </c>
      <c r="BZ6">
        <v>82.43844107486521</v>
      </c>
      <c r="CA6">
        <v>88.635112495776795</v>
      </c>
      <c r="CB6">
        <v>52.604820653415928</v>
      </c>
      <c r="CC6">
        <v>63.540674047627867</v>
      </c>
      <c r="CD6">
        <v>73.173314651642272</v>
      </c>
    </row>
    <row r="7" spans="1:86">
      <c r="A7" t="s">
        <v>2419</v>
      </c>
      <c r="B7">
        <v>5.7356716560890888</v>
      </c>
      <c r="C7">
        <v>3.5825353150428949</v>
      </c>
      <c r="D7">
        <v>2.4835653600636616</v>
      </c>
      <c r="E7">
        <v>3.0093107390791105</v>
      </c>
      <c r="F7">
        <v>3.0639556781477983</v>
      </c>
      <c r="G7">
        <v>3.6355772093692069</v>
      </c>
      <c r="H7">
        <v>3.7502671253224071</v>
      </c>
      <c r="I7">
        <v>3.4197956302969885</v>
      </c>
      <c r="J7">
        <v>3.9927375405418277</v>
      </c>
      <c r="K7">
        <v>4.1554441042656238</v>
      </c>
      <c r="L7">
        <v>4.4284440116024264</v>
      </c>
      <c r="M7">
        <v>4.6402867153520138</v>
      </c>
      <c r="N7">
        <v>3.7746245612023617</v>
      </c>
      <c r="O7">
        <v>2.1063389381929323</v>
      </c>
      <c r="P7">
        <v>3.2693916414745865</v>
      </c>
      <c r="Q7">
        <v>2.8637981894913782</v>
      </c>
      <c r="R7">
        <v>3.50545316900988</v>
      </c>
      <c r="S7">
        <v>3.4587557357171064</v>
      </c>
      <c r="T7">
        <v>3.1251425367087577</v>
      </c>
      <c r="U7">
        <v>3.5865901823257857</v>
      </c>
      <c r="V7">
        <v>3.7006111335303777</v>
      </c>
      <c r="W7">
        <v>3.140998675845045</v>
      </c>
      <c r="X7">
        <v>3.7586263252164445</v>
      </c>
      <c r="Y7">
        <v>3.5463296428438542</v>
      </c>
      <c r="Z7">
        <v>3.0312398956110922</v>
      </c>
      <c r="AA7">
        <v>8.2956663516663305</v>
      </c>
      <c r="AB7">
        <v>5.5446447011222313</v>
      </c>
      <c r="AC7">
        <v>5.8045034467726255</v>
      </c>
      <c r="AD7">
        <v>7.4528142818947494</v>
      </c>
      <c r="AE7">
        <v>6.9068866499355455</v>
      </c>
      <c r="AF7">
        <v>5.2090289688589504</v>
      </c>
      <c r="AG7">
        <v>5.8093277654221867</v>
      </c>
      <c r="AH7">
        <v>5.6545705888558029</v>
      </c>
      <c r="AI7">
        <v>7.2997451042973518</v>
      </c>
      <c r="AJ7">
        <v>8.0987233388372033</v>
      </c>
      <c r="AK7">
        <v>6.3310394705605573</v>
      </c>
      <c r="AL7">
        <v>6.4408152528715403</v>
      </c>
      <c r="AM7">
        <v>7.2037583316730158</v>
      </c>
      <c r="AN7">
        <v>5.3832051587568435</v>
      </c>
      <c r="AO7">
        <v>7.2422605590135376</v>
      </c>
      <c r="AP7">
        <v>7.0151360346386324</v>
      </c>
      <c r="AQ7">
        <v>5.3391712462749457</v>
      </c>
      <c r="AR7">
        <v>5.7283829725089292</v>
      </c>
      <c r="AS7">
        <v>6.4105292495998736</v>
      </c>
      <c r="AT7">
        <v>4.8979552752930129</v>
      </c>
      <c r="AU7">
        <v>5.9287951853619854</v>
      </c>
      <c r="AV7">
        <v>5.681033895152737</v>
      </c>
      <c r="AW7">
        <v>4.1500569133169884</v>
      </c>
      <c r="AX7">
        <v>5.3883873321935498</v>
      </c>
      <c r="AY7">
        <v>3.9336627300244391</v>
      </c>
      <c r="AZ7">
        <v>6.5094830811502087</v>
      </c>
      <c r="BA7">
        <v>6.2881755143111109</v>
      </c>
      <c r="BB7">
        <v>7.6997526080117531</v>
      </c>
      <c r="BC7">
        <v>5.4619361862470397</v>
      </c>
      <c r="BD7">
        <v>7.2444042986274404</v>
      </c>
      <c r="BE7">
        <v>7.4027573447062922</v>
      </c>
      <c r="BF7">
        <v>9.991488449065983</v>
      </c>
      <c r="BG7">
        <v>10.580213505286013</v>
      </c>
      <c r="BH7">
        <v>8.3732213530811102</v>
      </c>
      <c r="BI7">
        <v>9.9960172683874315</v>
      </c>
      <c r="BJ7">
        <v>7.9047910493669962</v>
      </c>
      <c r="BK7">
        <v>6.8294918351870182</v>
      </c>
      <c r="BL7">
        <v>5.9811598292808652</v>
      </c>
      <c r="BM7">
        <v>7.3865194396711606</v>
      </c>
      <c r="BN7">
        <v>4.0272951454927899</v>
      </c>
      <c r="BO7">
        <v>6.9103985631433229</v>
      </c>
      <c r="BP7">
        <v>5.8360127409061375</v>
      </c>
      <c r="BQ7">
        <v>5.8150127913082938</v>
      </c>
      <c r="BR7">
        <v>7.6797164066787857</v>
      </c>
      <c r="BS7">
        <v>7.9502114049115526</v>
      </c>
      <c r="BT7">
        <v>7.9482126657805638</v>
      </c>
      <c r="BU7">
        <v>7.021135355540614</v>
      </c>
      <c r="BV7">
        <v>5.6000513218703771</v>
      </c>
      <c r="BW7">
        <v>5.1004219067135148</v>
      </c>
      <c r="BX7">
        <v>4.2592717938562572</v>
      </c>
      <c r="BY7">
        <v>5.3988763369528838</v>
      </c>
      <c r="BZ7">
        <v>4.2336781559151229</v>
      </c>
      <c r="CA7">
        <v>5.612680884006191</v>
      </c>
      <c r="CB7">
        <v>5.6938867197328351</v>
      </c>
      <c r="CC7">
        <v>4.8758014911153982</v>
      </c>
      <c r="CD7">
        <v>5.1710523968685411</v>
      </c>
    </row>
    <row r="8" spans="1:86">
      <c r="A8" t="s">
        <v>2420</v>
      </c>
      <c r="B8">
        <v>63.636836605266559</v>
      </c>
      <c r="C8">
        <v>101.88315477795359</v>
      </c>
      <c r="D8">
        <v>146.96613419936082</v>
      </c>
      <c r="E8">
        <v>121.29023276329877</v>
      </c>
      <c r="F8">
        <v>119.12704958599379</v>
      </c>
      <c r="G8">
        <v>100.39671253834534</v>
      </c>
      <c r="H8">
        <v>97.326400441040917</v>
      </c>
      <c r="I8">
        <v>106.73152417833283</v>
      </c>
      <c r="J8">
        <v>91.415976205254978</v>
      </c>
      <c r="K8">
        <v>87.836580361006952</v>
      </c>
      <c r="L8">
        <v>82.421726241476236</v>
      </c>
      <c r="M8">
        <v>78.658932602683151</v>
      </c>
      <c r="N8">
        <v>96.698358759085068</v>
      </c>
      <c r="O8">
        <v>173.28645137858979</v>
      </c>
      <c r="P8">
        <v>111.64156516757193</v>
      </c>
      <c r="Q8">
        <v>127.45311500627264</v>
      </c>
      <c r="R8">
        <v>104.12348486831868</v>
      </c>
      <c r="S8">
        <v>105.5292792812165</v>
      </c>
      <c r="T8">
        <v>116.79467279095678</v>
      </c>
      <c r="U8">
        <v>101.76796942083567</v>
      </c>
      <c r="V8">
        <v>98.632357421405288</v>
      </c>
      <c r="W8">
        <v>116.20507923385274</v>
      </c>
      <c r="X8">
        <v>97.10994613942664</v>
      </c>
      <c r="Y8">
        <v>102.92331417541351</v>
      </c>
      <c r="Z8">
        <v>120.41277251875728</v>
      </c>
      <c r="AA8">
        <v>43.998876585324979</v>
      </c>
      <c r="AB8">
        <v>65.82928567562216</v>
      </c>
      <c r="AC8">
        <v>62.882209192750921</v>
      </c>
      <c r="AD8">
        <v>48.974788072567542</v>
      </c>
      <c r="AE8">
        <v>52.845807163116852</v>
      </c>
      <c r="AF8">
        <v>70.070641223551135</v>
      </c>
      <c r="AG8">
        <v>62.829989069049198</v>
      </c>
      <c r="AH8">
        <v>64.549552307181898</v>
      </c>
      <c r="AI8">
        <v>50.001745921939779</v>
      </c>
      <c r="AJ8">
        <v>45.068831805829518</v>
      </c>
      <c r="AK8">
        <v>57.652460026075701</v>
      </c>
      <c r="AL8">
        <v>56.669844681117077</v>
      </c>
      <c r="AM8">
        <v>50.667996231243869</v>
      </c>
      <c r="AN8">
        <v>67.803471953183063</v>
      </c>
      <c r="AO8">
        <v>50.398628580924232</v>
      </c>
      <c r="AP8">
        <v>52.03035239769261</v>
      </c>
      <c r="AQ8">
        <v>68.36266962867218</v>
      </c>
      <c r="AR8">
        <v>63.717806884014344</v>
      </c>
      <c r="AS8">
        <v>56.937576569482502</v>
      </c>
      <c r="AT8">
        <v>74.520892798100206</v>
      </c>
      <c r="AU8">
        <v>61.563941507234702</v>
      </c>
      <c r="AV8">
        <v>64.24886855743479</v>
      </c>
      <c r="AW8">
        <v>87.950601069773967</v>
      </c>
      <c r="AX8">
        <v>67.738263324031081</v>
      </c>
      <c r="AY8">
        <v>92.788839575408218</v>
      </c>
      <c r="AZ8">
        <v>56.072040659717864</v>
      </c>
      <c r="BA8">
        <v>58.045453592907052</v>
      </c>
      <c r="BB8">
        <v>47.404120441507416</v>
      </c>
      <c r="BC8">
        <v>66.826119448091859</v>
      </c>
      <c r="BD8">
        <v>50.383714789241488</v>
      </c>
      <c r="BE8">
        <v>49.30595222886933</v>
      </c>
      <c r="BF8">
        <v>36.531093626407653</v>
      </c>
      <c r="BG8">
        <v>34.498358640649478</v>
      </c>
      <c r="BH8">
        <v>43.591347297380388</v>
      </c>
      <c r="BI8">
        <v>36.514542762377822</v>
      </c>
      <c r="BJ8">
        <v>46.174528551166276</v>
      </c>
      <c r="BK8">
        <v>53.44467916623622</v>
      </c>
      <c r="BL8">
        <v>61.024953423437466</v>
      </c>
      <c r="BM8">
        <v>49.414342300336436</v>
      </c>
      <c r="BN8">
        <v>90.631549666404624</v>
      </c>
      <c r="BO8">
        <v>52.818950551814915</v>
      </c>
      <c r="BP8">
        <v>62.542701019416846</v>
      </c>
      <c r="BQ8">
        <v>62.768563561126797</v>
      </c>
      <c r="BR8">
        <v>47.527796688243853</v>
      </c>
      <c r="BS8">
        <v>45.910728836029072</v>
      </c>
      <c r="BT8">
        <v>45.92227401909291</v>
      </c>
      <c r="BU8">
        <v>51.985894234607827</v>
      </c>
      <c r="BV8">
        <v>65.177974097225345</v>
      </c>
      <c r="BW8">
        <v>71.562707296736122</v>
      </c>
      <c r="BX8">
        <v>85.695399980459214</v>
      </c>
      <c r="BY8">
        <v>67.606660575227281</v>
      </c>
      <c r="BZ8">
        <v>86.213449997382739</v>
      </c>
      <c r="CA8">
        <v>65.031311692795214</v>
      </c>
      <c r="CB8">
        <v>64.103839427477453</v>
      </c>
      <c r="CC8">
        <v>74.859487340716541</v>
      </c>
      <c r="CD8">
        <v>70.585244934094035</v>
      </c>
    </row>
    <row r="9" spans="1:86">
      <c r="A9" t="s">
        <v>2421</v>
      </c>
      <c r="B9">
        <v>24</v>
      </c>
      <c r="C9">
        <v>25</v>
      </c>
      <c r="D9">
        <v>26</v>
      </c>
      <c r="E9">
        <v>27</v>
      </c>
      <c r="F9">
        <v>28</v>
      </c>
      <c r="G9">
        <v>29</v>
      </c>
      <c r="H9">
        <v>30</v>
      </c>
      <c r="I9">
        <v>31</v>
      </c>
      <c r="J9">
        <v>32</v>
      </c>
      <c r="K9">
        <v>33</v>
      </c>
      <c r="L9">
        <v>34</v>
      </c>
      <c r="M9">
        <v>35</v>
      </c>
      <c r="N9">
        <v>36</v>
      </c>
      <c r="O9">
        <v>37</v>
      </c>
      <c r="P9">
        <v>38</v>
      </c>
      <c r="Q9">
        <v>39</v>
      </c>
      <c r="R9">
        <v>40</v>
      </c>
      <c r="S9">
        <v>41</v>
      </c>
      <c r="T9">
        <v>42</v>
      </c>
      <c r="U9">
        <v>43</v>
      </c>
      <c r="V9">
        <v>44</v>
      </c>
      <c r="W9">
        <v>45</v>
      </c>
      <c r="X9">
        <v>46</v>
      </c>
      <c r="Y9">
        <v>47</v>
      </c>
      <c r="Z9">
        <v>48</v>
      </c>
      <c r="AA9">
        <v>49</v>
      </c>
      <c r="AB9">
        <v>50</v>
      </c>
      <c r="AC9">
        <v>51</v>
      </c>
      <c r="AD9">
        <v>52</v>
      </c>
      <c r="AE9">
        <v>53</v>
      </c>
      <c r="AF9">
        <v>54</v>
      </c>
      <c r="AG9">
        <v>55</v>
      </c>
      <c r="AH9">
        <v>56</v>
      </c>
      <c r="AI9">
        <v>57</v>
      </c>
      <c r="AJ9">
        <v>58</v>
      </c>
      <c r="AK9">
        <v>59</v>
      </c>
      <c r="AL9">
        <v>60</v>
      </c>
      <c r="AM9">
        <v>61</v>
      </c>
      <c r="AN9">
        <v>62</v>
      </c>
      <c r="AO9">
        <v>63</v>
      </c>
      <c r="AP9">
        <v>64</v>
      </c>
      <c r="AQ9">
        <v>65</v>
      </c>
      <c r="AR9">
        <v>66</v>
      </c>
      <c r="AS9">
        <v>67</v>
      </c>
      <c r="AT9">
        <v>68</v>
      </c>
      <c r="AU9">
        <v>69</v>
      </c>
      <c r="AV9">
        <v>70</v>
      </c>
      <c r="AW9">
        <v>71</v>
      </c>
      <c r="AX9">
        <v>72</v>
      </c>
      <c r="AY9">
        <v>73</v>
      </c>
      <c r="AZ9">
        <v>74</v>
      </c>
      <c r="BA9">
        <v>75</v>
      </c>
      <c r="BB9">
        <v>76</v>
      </c>
      <c r="BC9">
        <v>77</v>
      </c>
      <c r="BD9">
        <v>78</v>
      </c>
      <c r="BE9">
        <v>79</v>
      </c>
      <c r="BF9">
        <v>80</v>
      </c>
      <c r="BG9">
        <v>81</v>
      </c>
      <c r="BH9">
        <v>82</v>
      </c>
      <c r="BI9">
        <v>83</v>
      </c>
      <c r="BJ9">
        <v>84</v>
      </c>
      <c r="BK9">
        <v>85</v>
      </c>
      <c r="BL9">
        <v>86</v>
      </c>
      <c r="BM9">
        <v>87</v>
      </c>
      <c r="BN9">
        <v>88</v>
      </c>
      <c r="BO9">
        <v>89</v>
      </c>
      <c r="BP9">
        <v>90</v>
      </c>
      <c r="BQ9">
        <v>91</v>
      </c>
      <c r="BR9">
        <v>92</v>
      </c>
      <c r="BS9">
        <v>93</v>
      </c>
      <c r="BT9">
        <v>94</v>
      </c>
      <c r="BU9">
        <v>95</v>
      </c>
      <c r="BV9">
        <v>96</v>
      </c>
      <c r="BW9">
        <v>97</v>
      </c>
      <c r="BX9">
        <v>98</v>
      </c>
      <c r="BY9">
        <v>99</v>
      </c>
      <c r="BZ9">
        <v>100</v>
      </c>
      <c r="CA9">
        <v>101</v>
      </c>
      <c r="CB9">
        <v>102</v>
      </c>
      <c r="CC9">
        <v>103</v>
      </c>
      <c r="CD9">
        <v>104</v>
      </c>
      <c r="CE9">
        <v>105</v>
      </c>
      <c r="CF9">
        <v>106</v>
      </c>
      <c r="CG9">
        <v>107</v>
      </c>
      <c r="CH9">
        <v>108</v>
      </c>
    </row>
  </sheetData>
  <phoneticPr fontId="18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6541-8067-4C42-BFEE-EF35D95A67A6}">
  <sheetPr>
    <tabColor indexed="55"/>
  </sheetPr>
  <dimension ref="A1:E16"/>
  <sheetViews>
    <sheetView tabSelected="1" zoomScale="201" zoomScaleNormal="201" workbookViewId="0">
      <selection activeCell="F17" sqref="F17"/>
    </sheetView>
  </sheetViews>
  <sheetFormatPr baseColWidth="10" defaultRowHeight="13"/>
  <cols>
    <col min="1" max="1" width="48.3984375" bestFit="1" customWidth="1"/>
    <col min="2" max="2" width="22.796875" style="1216" bestFit="1" customWidth="1"/>
    <col min="5" max="5" width="54.3984375" bestFit="1" customWidth="1"/>
  </cols>
  <sheetData>
    <row r="1" spans="1:5">
      <c r="A1" t="s">
        <v>2423</v>
      </c>
      <c r="D1" t="s">
        <v>2439</v>
      </c>
      <c r="E1" t="s">
        <v>2444</v>
      </c>
    </row>
    <row r="2" spans="1:5">
      <c r="A2" t="s">
        <v>2422</v>
      </c>
      <c r="B2" s="1216" t="s">
        <v>2424</v>
      </c>
      <c r="D2" t="s">
        <v>2440</v>
      </c>
      <c r="E2">
        <f>0.6</f>
        <v>0.6</v>
      </c>
    </row>
    <row r="3" spans="1:5">
      <c r="A3" t="s">
        <v>2425</v>
      </c>
      <c r="B3" s="1216">
        <f>TWN_前十大客戶!D3</f>
        <v>64105578</v>
      </c>
      <c r="D3" t="s">
        <v>2441</v>
      </c>
      <c r="E3">
        <v>1.5</v>
      </c>
    </row>
    <row r="4" spans="1:5">
      <c r="A4" t="s">
        <v>2426</v>
      </c>
      <c r="B4" s="1216">
        <f>ＴＷＮ_IS_v!K21</f>
        <v>82134915</v>
      </c>
      <c r="D4" t="s">
        <v>2442</v>
      </c>
      <c r="E4">
        <f>0.8</f>
        <v>0.8</v>
      </c>
    </row>
    <row r="5" spans="1:5">
      <c r="A5" t="s">
        <v>2427</v>
      </c>
      <c r="B5" s="1217">
        <f>IFERROR(B3/B4,"")</f>
        <v>0.78049119549219714</v>
      </c>
      <c r="D5" t="s">
        <v>2443</v>
      </c>
      <c r="E5">
        <f>1</f>
        <v>1</v>
      </c>
    </row>
    <row r="6" spans="1:5">
      <c r="A6" t="s">
        <v>2428</v>
      </c>
      <c r="B6" s="1216">
        <f>'Inventory+AR Aging'!J10</f>
        <v>169910050.24000001</v>
      </c>
    </row>
    <row r="7" spans="1:5">
      <c r="A7" t="s">
        <v>2429</v>
      </c>
      <c r="B7" s="1216">
        <f>ABS(19459280)</f>
        <v>19459280</v>
      </c>
    </row>
    <row r="8" spans="1:5">
      <c r="A8" t="s">
        <v>2430</v>
      </c>
      <c r="B8" s="1216">
        <f>IFERROR(ABS(B7)/B6,"")</f>
        <v>0.11452695101033476</v>
      </c>
    </row>
    <row r="9" spans="1:5">
      <c r="A9" t="s">
        <v>2431</v>
      </c>
      <c r="B9" s="1216">
        <f>'Inventory+AR Aging'!G25</f>
        <v>9879655.4100000001</v>
      </c>
    </row>
    <row r="10" spans="1:5">
      <c r="A10" t="s">
        <v>2432</v>
      </c>
      <c r="B10" s="1216">
        <f>'Inventory+AR Aging'!H25</f>
        <v>135651355.88</v>
      </c>
    </row>
    <row r="11" spans="1:5">
      <c r="A11" t="s">
        <v>2433</v>
      </c>
      <c r="B11" s="1216">
        <f>IFERROR(B9/B10,"")</f>
        <v>7.2831232285947428E-2</v>
      </c>
    </row>
    <row r="12" spans="1:5">
      <c r="A12" t="s">
        <v>2434</v>
      </c>
      <c r="B12" s="1216">
        <f>MIN(1,0.6+1.5*$B$8+0.8*$B$11)</f>
        <v>0.83005541234426006</v>
      </c>
    </row>
    <row r="13" spans="1:5">
      <c r="A13" t="s">
        <v>2435</v>
      </c>
      <c r="B13" s="1216">
        <f>MAX(0,B6-B7)</f>
        <v>150450770.24000001</v>
      </c>
    </row>
    <row r="14" spans="1:5">
      <c r="A14" t="s">
        <v>2436</v>
      </c>
      <c r="B14" s="1216">
        <f>B10*$B$5</f>
        <v>105874688.92091869</v>
      </c>
    </row>
    <row r="15" spans="1:5">
      <c r="A15" t="s">
        <v>2437</v>
      </c>
      <c r="B15" s="1216">
        <f>B14*$B$12</f>
        <v>87881858.569073424</v>
      </c>
    </row>
    <row r="16" spans="1:5">
      <c r="A16" t="s">
        <v>2438</v>
      </c>
      <c r="B16" s="1216">
        <f>MIN(1,$B$11*10)</f>
        <v>0.72831232285947434</v>
      </c>
    </row>
  </sheetData>
  <phoneticPr fontId="18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8">
    <tabColor indexed="55"/>
  </sheetPr>
  <dimension ref="A1:CJ47"/>
  <sheetViews>
    <sheetView zoomScale="80" zoomScaleNormal="80" workbookViewId="0">
      <pane xSplit="49" ySplit="2" topLeftCell="CA24" activePane="bottomRight" state="frozen"/>
      <selection pane="topRight" activeCell="AX1" sqref="AX1"/>
      <selection pane="bottomLeft" activeCell="A3" sqref="A3"/>
      <selection pane="bottomRight" activeCell="CA32" sqref="CA32"/>
    </sheetView>
  </sheetViews>
  <sheetFormatPr baseColWidth="10" defaultColWidth="9.19921875" defaultRowHeight="16" outlineLevelCol="1"/>
  <cols>
    <col min="1" max="1" width="34.19921875" style="403" customWidth="1"/>
    <col min="2" max="5" width="14.19921875" style="403" hidden="1" customWidth="1" outlineLevel="1"/>
    <col min="6" max="6" width="16.59765625" style="403" hidden="1" customWidth="1" outlineLevel="1"/>
    <col min="7" max="11" width="14.19921875" style="403" hidden="1" customWidth="1" outlineLevel="1"/>
    <col min="12" max="13" width="15.19921875" style="403" hidden="1" customWidth="1" outlineLevel="1"/>
    <col min="14" max="14" width="14.796875" style="403" hidden="1" customWidth="1" outlineLevel="1"/>
    <col min="15" max="15" width="16.796875" style="403" hidden="1" customWidth="1" outlineLevel="1"/>
    <col min="16" max="16" width="14.19921875" style="403" hidden="1" customWidth="1" outlineLevel="1"/>
    <col min="17" max="17" width="13.3984375" style="403" hidden="1" customWidth="1" outlineLevel="1"/>
    <col min="18" max="18" width="17.59765625" style="403" hidden="1" customWidth="1" outlineLevel="1" collapsed="1"/>
    <col min="19" max="20" width="14.19921875" style="403" hidden="1" customWidth="1" outlineLevel="1"/>
    <col min="21" max="23" width="14.796875" style="403" hidden="1" customWidth="1" outlineLevel="1"/>
    <col min="24" max="26" width="15.796875" style="403" hidden="1" customWidth="1" outlineLevel="1"/>
    <col min="27" max="29" width="14.796875" style="403" hidden="1" customWidth="1" outlineLevel="1"/>
    <col min="30" max="30" width="19.19921875" style="403" hidden="1" customWidth="1" outlineLevel="1"/>
    <col min="31" max="31" width="15" style="403" hidden="1" customWidth="1" outlineLevel="1"/>
    <col min="32" max="32" width="15.796875" style="403" hidden="1" customWidth="1" outlineLevel="1"/>
    <col min="33" max="35" width="14.3984375" style="403" hidden="1" customWidth="1" outlineLevel="1"/>
    <col min="36" max="36" width="17.796875" style="403" hidden="1" customWidth="1" outlineLevel="1"/>
    <col min="37" max="37" width="19" style="403" hidden="1" customWidth="1" outlineLevel="1"/>
    <col min="38" max="38" width="16.796875" style="403" hidden="1" customWidth="1" outlineLevel="1"/>
    <col min="39" max="39" width="19.796875" style="403" hidden="1" customWidth="1" outlineLevel="1"/>
    <col min="40" max="43" width="19.19921875" style="403" hidden="1" customWidth="1" outlineLevel="1"/>
    <col min="44" max="49" width="18.19921875" style="403" hidden="1" customWidth="1" outlineLevel="1"/>
    <col min="50" max="50" width="18.19921875" style="403" customWidth="1" collapsed="1"/>
    <col min="51" max="59" width="14.796875" style="403" hidden="1" customWidth="1" outlineLevel="1"/>
    <col min="60" max="61" width="15.796875" style="403" hidden="1" customWidth="1" outlineLevel="1"/>
    <col min="62" max="62" width="15.796875" style="403" bestFit="1" customWidth="1" collapsed="1"/>
    <col min="63" max="71" width="14.796875" style="403" hidden="1" customWidth="1" outlineLevel="1"/>
    <col min="72" max="73" width="15.796875" style="403" hidden="1" customWidth="1" outlineLevel="1"/>
    <col min="74" max="74" width="15.796875" style="403" customWidth="1" collapsed="1"/>
    <col min="75" max="75" width="15.796875" style="403" customWidth="1"/>
    <col min="76" max="78" width="17.19921875" style="403" customWidth="1"/>
    <col min="79" max="79" width="15.796875" style="403" customWidth="1"/>
    <col min="80" max="80" width="16.59765625" style="403" customWidth="1"/>
    <col min="81" max="82" width="15.796875" style="403" customWidth="1"/>
    <col min="83" max="86" width="15.796875" style="403" hidden="1" customWidth="1" outlineLevel="1"/>
    <col min="87" max="87" width="0.796875" style="403" hidden="1" customWidth="1" outlineLevel="1"/>
    <col min="88" max="88" width="9.19921875" style="403" collapsed="1"/>
    <col min="89" max="16384" width="9.19921875" style="403"/>
  </cols>
  <sheetData>
    <row r="1" spans="1:87" ht="18">
      <c r="A1" s="521" t="s">
        <v>1170</v>
      </c>
    </row>
    <row r="2" spans="1:87" s="524" customFormat="1" ht="17">
      <c r="A2" s="522"/>
      <c r="B2" s="523" t="s">
        <v>446</v>
      </c>
      <c r="C2" s="523" t="s">
        <v>1171</v>
      </c>
      <c r="D2" s="523" t="s">
        <v>447</v>
      </c>
      <c r="E2" s="523" t="s">
        <v>448</v>
      </c>
      <c r="F2" s="523" t="s">
        <v>449</v>
      </c>
      <c r="G2" s="523" t="s">
        <v>1172</v>
      </c>
      <c r="H2" s="523" t="s">
        <v>1173</v>
      </c>
      <c r="I2" s="523" t="s">
        <v>1174</v>
      </c>
      <c r="J2" s="523" t="s">
        <v>450</v>
      </c>
      <c r="K2" s="523" t="s">
        <v>451</v>
      </c>
      <c r="L2" s="523" t="s">
        <v>452</v>
      </c>
      <c r="M2" s="523" t="s">
        <v>453</v>
      </c>
      <c r="N2" s="523" t="s">
        <v>454</v>
      </c>
      <c r="O2" s="523" t="s">
        <v>1175</v>
      </c>
      <c r="P2" s="523" t="s">
        <v>455</v>
      </c>
      <c r="Q2" s="523" t="s">
        <v>456</v>
      </c>
      <c r="R2" s="523" t="s">
        <v>457</v>
      </c>
      <c r="S2" s="523" t="s">
        <v>458</v>
      </c>
      <c r="T2" s="523" t="s">
        <v>459</v>
      </c>
      <c r="U2" s="523" t="s">
        <v>340</v>
      </c>
      <c r="V2" s="523" t="s">
        <v>503</v>
      </c>
      <c r="W2" s="523" t="s">
        <v>461</v>
      </c>
      <c r="X2" s="523" t="s">
        <v>460</v>
      </c>
      <c r="Y2" s="523" t="s">
        <v>368</v>
      </c>
      <c r="Z2" s="523" t="s">
        <v>349</v>
      </c>
      <c r="AA2" s="523" t="s">
        <v>1176</v>
      </c>
      <c r="AB2" s="523" t="s">
        <v>484</v>
      </c>
      <c r="AC2" s="523" t="s">
        <v>1177</v>
      </c>
      <c r="AD2" s="523" t="s">
        <v>486</v>
      </c>
      <c r="AE2" s="523" t="s">
        <v>1178</v>
      </c>
      <c r="AF2" s="523" t="s">
        <v>1</v>
      </c>
      <c r="AG2" s="523" t="s">
        <v>4</v>
      </c>
      <c r="AH2" s="523" t="s">
        <v>1179</v>
      </c>
      <c r="AI2" s="523" t="s">
        <v>1180</v>
      </c>
      <c r="AJ2" s="523" t="s">
        <v>1181</v>
      </c>
      <c r="AK2" s="523" t="s">
        <v>1182</v>
      </c>
      <c r="AL2" s="523" t="s">
        <v>529</v>
      </c>
      <c r="AM2" s="523" t="s">
        <v>1183</v>
      </c>
      <c r="AN2" s="523" t="s">
        <v>533</v>
      </c>
      <c r="AO2" s="523" t="s">
        <v>1184</v>
      </c>
      <c r="AP2" s="523" t="s">
        <v>1185</v>
      </c>
      <c r="AQ2" s="523" t="s">
        <v>1186</v>
      </c>
      <c r="AR2" s="523" t="s">
        <v>541</v>
      </c>
      <c r="AS2" s="523" t="s">
        <v>1187</v>
      </c>
      <c r="AT2" s="523" t="s">
        <v>1188</v>
      </c>
      <c r="AU2" s="523" t="s">
        <v>1189</v>
      </c>
      <c r="AV2" s="523" t="s">
        <v>1190</v>
      </c>
      <c r="AW2" s="523" t="s">
        <v>1191</v>
      </c>
      <c r="AX2" s="523" t="s">
        <v>1192</v>
      </c>
      <c r="AY2" s="523" t="s">
        <v>1193</v>
      </c>
      <c r="AZ2" s="523" t="s">
        <v>1194</v>
      </c>
      <c r="BA2" s="523" t="s">
        <v>1195</v>
      </c>
      <c r="BB2" s="523" t="s">
        <v>578</v>
      </c>
      <c r="BC2" s="523" t="s">
        <v>1196</v>
      </c>
      <c r="BD2" s="523" t="s">
        <v>1197</v>
      </c>
      <c r="BE2" s="523" t="s">
        <v>1198</v>
      </c>
      <c r="BF2" s="523" t="s">
        <v>1199</v>
      </c>
      <c r="BG2" s="523" t="s">
        <v>1200</v>
      </c>
      <c r="BH2" s="523" t="s">
        <v>1201</v>
      </c>
      <c r="BI2" s="523" t="s">
        <v>1202</v>
      </c>
      <c r="BJ2" s="523" t="s">
        <v>1203</v>
      </c>
      <c r="BK2" s="523" t="s">
        <v>604</v>
      </c>
      <c r="BL2" s="523" t="s">
        <v>605</v>
      </c>
      <c r="BM2" s="523" t="s">
        <v>606</v>
      </c>
      <c r="BN2" s="523" t="s">
        <v>607</v>
      </c>
      <c r="BO2" s="523" t="s">
        <v>608</v>
      </c>
      <c r="BP2" s="523" t="s">
        <v>609</v>
      </c>
      <c r="BQ2" s="523" t="s">
        <v>610</v>
      </c>
      <c r="BR2" s="523" t="s">
        <v>611</v>
      </c>
      <c r="BS2" s="523" t="s">
        <v>612</v>
      </c>
      <c r="BT2" s="523" t="s">
        <v>613</v>
      </c>
      <c r="BU2" s="523" t="s">
        <v>614</v>
      </c>
      <c r="BV2" s="523" t="s">
        <v>615</v>
      </c>
      <c r="BW2" s="523" t="s">
        <v>1828</v>
      </c>
      <c r="BX2" s="523" t="s">
        <v>1829</v>
      </c>
      <c r="BY2" s="523" t="s">
        <v>1830</v>
      </c>
      <c r="BZ2" s="523" t="s">
        <v>1831</v>
      </c>
      <c r="CA2" s="523" t="s">
        <v>1832</v>
      </c>
      <c r="CB2" s="523" t="s">
        <v>1833</v>
      </c>
      <c r="CC2" s="523" t="s">
        <v>1834</v>
      </c>
      <c r="CD2" s="523" t="s">
        <v>1835</v>
      </c>
      <c r="CE2" s="523" t="s">
        <v>1836</v>
      </c>
      <c r="CF2" s="523" t="s">
        <v>1837</v>
      </c>
      <c r="CG2" s="523" t="s">
        <v>1838</v>
      </c>
      <c r="CH2" s="523" t="s">
        <v>1839</v>
      </c>
      <c r="CI2" s="523" t="s">
        <v>1840</v>
      </c>
    </row>
    <row r="3" spans="1:87" ht="17">
      <c r="A3" s="396"/>
      <c r="B3" s="396"/>
      <c r="C3" s="396"/>
      <c r="D3" s="396"/>
      <c r="E3" s="396"/>
      <c r="F3" s="396"/>
      <c r="G3" s="396"/>
      <c r="H3" s="396"/>
      <c r="I3" s="396"/>
      <c r="J3" s="396"/>
      <c r="K3" s="396"/>
      <c r="L3" s="396"/>
      <c r="M3" s="396"/>
      <c r="N3" s="396"/>
      <c r="O3" s="396"/>
      <c r="P3" s="396"/>
      <c r="Q3" s="396"/>
      <c r="R3" s="396"/>
      <c r="S3" s="396"/>
      <c r="T3" s="396"/>
    </row>
    <row r="4" spans="1:87" ht="17">
      <c r="A4" s="396" t="s">
        <v>1204</v>
      </c>
      <c r="B4" s="398">
        <v>487236343</v>
      </c>
      <c r="C4" s="398">
        <v>48632980</v>
      </c>
      <c r="D4" s="398">
        <v>70220279</v>
      </c>
      <c r="E4" s="398">
        <v>98657842</v>
      </c>
      <c r="F4" s="398">
        <v>134519641</v>
      </c>
      <c r="G4" s="398">
        <v>164009409</v>
      </c>
      <c r="H4" s="398">
        <v>218166174</v>
      </c>
      <c r="I4" s="398">
        <v>267548899</v>
      </c>
      <c r="J4" s="398">
        <v>300078612</v>
      </c>
      <c r="K4" s="398">
        <v>352964066</v>
      </c>
      <c r="L4" s="398">
        <v>389354631</v>
      </c>
      <c r="M4" s="398">
        <v>420615844</v>
      </c>
      <c r="N4" s="398">
        <v>449879667</v>
      </c>
      <c r="O4" s="398">
        <v>20389557</v>
      </c>
      <c r="P4" s="398">
        <v>53282224</v>
      </c>
      <c r="Q4" s="398">
        <v>82591835</v>
      </c>
      <c r="R4" s="398">
        <v>105135675</v>
      </c>
      <c r="S4" s="398">
        <v>132384518</v>
      </c>
      <c r="T4" s="398">
        <v>156122237</v>
      </c>
      <c r="U4" s="398">
        <v>184235013</v>
      </c>
      <c r="V4" s="398">
        <v>204007264</v>
      </c>
      <c r="W4" s="398">
        <v>226149263</v>
      </c>
      <c r="X4" s="398">
        <v>250067431</v>
      </c>
      <c r="Y4" s="398">
        <v>266634154</v>
      </c>
      <c r="Z4" s="398">
        <v>292935541</v>
      </c>
      <c r="AA4" s="398">
        <v>39991069</v>
      </c>
      <c r="AB4" s="398">
        <v>56185015</v>
      </c>
      <c r="AC4" s="398">
        <v>81344496</v>
      </c>
      <c r="AD4" s="398">
        <v>109494761</v>
      </c>
      <c r="AE4" s="398">
        <v>135557875</v>
      </c>
      <c r="AF4" s="398">
        <v>170514421</v>
      </c>
      <c r="AG4" s="398">
        <v>194379585</v>
      </c>
      <c r="AH4" s="398">
        <v>214732622</v>
      </c>
      <c r="AI4" s="398">
        <v>235879360</v>
      </c>
      <c r="AJ4" s="398">
        <v>249084291</v>
      </c>
      <c r="AK4" s="398">
        <v>274670100</v>
      </c>
      <c r="AL4" s="398">
        <v>297540274</v>
      </c>
      <c r="AM4" s="398">
        <v>15348219</v>
      </c>
      <c r="AN4" s="398">
        <v>29286442</v>
      </c>
      <c r="AO4" s="398">
        <v>54107836</v>
      </c>
      <c r="AP4" s="398">
        <v>65899495</v>
      </c>
      <c r="AQ4" s="398">
        <v>99072161</v>
      </c>
      <c r="AR4" s="398">
        <v>132882747</v>
      </c>
      <c r="AS4" s="398">
        <v>152989327</v>
      </c>
      <c r="AT4" s="398">
        <v>173261900</v>
      </c>
      <c r="AU4" s="398">
        <v>196293698</v>
      </c>
      <c r="AV4" s="398">
        <v>206452293</v>
      </c>
      <c r="AW4" s="398">
        <v>227283038</v>
      </c>
      <c r="AX4" s="398">
        <v>261607246</v>
      </c>
      <c r="AY4" s="398">
        <v>20121424</v>
      </c>
      <c r="AZ4" s="398">
        <v>48537889</v>
      </c>
      <c r="BA4" s="398">
        <v>109636263</v>
      </c>
      <c r="BB4" s="398">
        <v>158719839</v>
      </c>
      <c r="BC4" s="398">
        <v>191881190</v>
      </c>
      <c r="BD4" s="398">
        <v>251052176</v>
      </c>
      <c r="BE4" s="398">
        <v>280332604</v>
      </c>
      <c r="BF4" s="398">
        <v>305040337</v>
      </c>
      <c r="BG4" s="398">
        <v>336200306</v>
      </c>
      <c r="BH4" s="398">
        <v>361087845</v>
      </c>
      <c r="BI4" s="398">
        <v>385788216</v>
      </c>
      <c r="BJ4" s="398">
        <v>467703973</v>
      </c>
      <c r="BK4" s="398">
        <v>36955643</v>
      </c>
      <c r="BL4" s="398">
        <v>78159319</v>
      </c>
      <c r="BM4" s="398">
        <v>146958017</v>
      </c>
      <c r="BN4" s="398">
        <v>189031271</v>
      </c>
      <c r="BO4" s="398">
        <v>249720834</v>
      </c>
      <c r="BP4" s="398">
        <v>305746905</v>
      </c>
      <c r="BQ4" s="398">
        <v>356253725</v>
      </c>
      <c r="BR4" s="398">
        <v>424257151</v>
      </c>
      <c r="BS4" s="398">
        <v>478303313</v>
      </c>
      <c r="BT4" s="398">
        <v>526980900</v>
      </c>
      <c r="BU4" s="398">
        <v>595200910</v>
      </c>
      <c r="BV4" s="398">
        <v>688568742</v>
      </c>
      <c r="BW4" s="398">
        <f>TWN_IS!$D$21</f>
        <v>60246951</v>
      </c>
      <c r="BX4" s="398">
        <f>TWN_IS!$D$21+TWN_IS!$E$21</f>
        <v>113318451</v>
      </c>
      <c r="BY4" s="398">
        <f>TWN_IS!$D$21+TWN_IS!$E$21+TWN_IS!$F$21</f>
        <v>177050421</v>
      </c>
      <c r="BZ4" s="398">
        <f>TWN_IS!$D$21+TWN_IS!$E$21+TWN_IS!$F$21+TWN_IS!$G$21</f>
        <v>244416101</v>
      </c>
      <c r="CA4" s="398">
        <f>TWN_IS!$D$21+TWN_IS!$E$21+TWN_IS!$F$21+TWN_IS!$G$21+TWN_IS!$H$21+TWN_IS!$I$21+TWN_IS!$J$21+TWN_IS!$K$21+TWN_IS!$L$21+TWN_IS!$M$21+TWN_IS!$N$21+TWN_IS!$O$21</f>
        <v>565561491</v>
      </c>
      <c r="CB4" s="398">
        <f>TWN_IS!$D$21+TWN_IS!$E$21+TWN_IS!$F$21+TWN_IS!$G$21+TWN_IS!$H$21+TWN_IS!$I$21+TWN_IS!$J$21+TWN_IS!$K$21+TWN_IS!$L$21+TWN_IS!$M$21+TWN_IS!$N$21+TWN_IS!$O$21</f>
        <v>565561491</v>
      </c>
      <c r="CC4" s="398">
        <f>TWN_IS!$D$21+TWN_IS!$E$21+TWN_IS!$F$21+TWN_IS!$G$21+TWN_IS!$H$21+TWN_IS!$I$21+TWN_IS!$J$21+TWN_IS!$K$21+TWN_IS!$L$21+TWN_IS!$M$21+TWN_IS!$N$21+TWN_IS!$O$21</f>
        <v>565561491</v>
      </c>
      <c r="CD4" s="398">
        <f>TWN_IS!$D$21+TWN_IS!$E$21+TWN_IS!$F$21+TWN_IS!$G$21+TWN_IS!$H$21+TWN_IS!$I$21+TWN_IS!$J$21+TWN_IS!$K$21+TWN_IS!$L$21+TWN_IS!$M$21+TWN_IS!$N$21+TWN_IS!$O$21</f>
        <v>565561491</v>
      </c>
      <c r="CE4" s="398">
        <f>TWN_IS!$D$21+TWN_IS!$E$21+TWN_IS!$F$21+TWN_IS!$G$21+TWN_IS!$H$21+TWN_IS!$I$21+TWN_IS!$J$21+TWN_IS!$K$21+TWN_IS!$L$21+TWN_IS!$M$21+TWN_IS!$N$21+TWN_IS!$O$21</f>
        <v>565561491</v>
      </c>
      <c r="CF4" s="398">
        <f>TWN_IS!$D$21+TWN_IS!$E$21+TWN_IS!$F$21+TWN_IS!$G$21+TWN_IS!$H$21+TWN_IS!$I$21+TWN_IS!$J$21+TWN_IS!$K$21+TWN_IS!$L$21+TWN_IS!$M$21+TWN_IS!$N$21+TWN_IS!$O$21</f>
        <v>565561491</v>
      </c>
      <c r="CG4" s="398">
        <f>TWN_IS!$D$21+TWN_IS!$E$21+TWN_IS!$F$21+TWN_IS!$G$21+TWN_IS!$H$21+TWN_IS!$I$21+TWN_IS!$J$21+TWN_IS!$K$21+TWN_IS!$L$21+TWN_IS!$M$21+TWN_IS!$N$21+TWN_IS!$O$21</f>
        <v>565561491</v>
      </c>
      <c r="CH4" s="398">
        <f>TWN_IS!$D$21+TWN_IS!$E$21+TWN_IS!$F$21+TWN_IS!$G$21+TWN_IS!$H$21+TWN_IS!$I$21+TWN_IS!$J$21+TWN_IS!$K$21+TWN_IS!$L$21+TWN_IS!$M$21+TWN_IS!$N$21+TWN_IS!$O$21</f>
        <v>565561491</v>
      </c>
      <c r="CI4" s="398">
        <f>TWN_IS!$D$21+TWN_IS!$E$21+TWN_IS!$F$21+TWN_IS!$G$21+TWN_IS!$H$21+TWN_IS!$I$21+TWN_IS!$J$21+TWN_IS!$K$21+TWN_IS!$L$21+TWN_IS!$M$21+TWN_IS!$N$21+TWN_IS!$O$21</f>
        <v>565561491</v>
      </c>
    </row>
    <row r="5" spans="1:87" ht="17">
      <c r="A5" s="396" t="s">
        <v>1205</v>
      </c>
      <c r="B5" s="525">
        <v>404928635</v>
      </c>
      <c r="C5" s="525">
        <v>37717001</v>
      </c>
      <c r="D5" s="525">
        <v>54226806</v>
      </c>
      <c r="E5" s="525">
        <v>90146087</v>
      </c>
      <c r="F5" s="525">
        <v>124719621</v>
      </c>
      <c r="G5" s="525">
        <v>151030087</v>
      </c>
      <c r="H5" s="525">
        <v>194642353</v>
      </c>
      <c r="I5" s="525">
        <v>235695281</v>
      </c>
      <c r="J5" s="525">
        <v>262569775</v>
      </c>
      <c r="K5" s="525">
        <v>306849614</v>
      </c>
      <c r="L5" s="525">
        <v>335281155</v>
      </c>
      <c r="M5" s="525">
        <v>360601630</v>
      </c>
      <c r="N5" s="525">
        <v>383444151</v>
      </c>
      <c r="O5" s="525">
        <v>19195795</v>
      </c>
      <c r="P5" s="525">
        <v>47286836</v>
      </c>
      <c r="Q5" s="525">
        <v>71320534</v>
      </c>
      <c r="R5" s="525">
        <v>89785446</v>
      </c>
      <c r="S5" s="525">
        <v>113990922</v>
      </c>
      <c r="T5" s="525">
        <v>137680162</v>
      </c>
      <c r="U5" s="525">
        <v>157838186</v>
      </c>
      <c r="V5" s="525">
        <v>175912178</v>
      </c>
      <c r="W5" s="525">
        <v>198265426</v>
      </c>
      <c r="X5" s="525">
        <v>218663503</v>
      </c>
      <c r="Y5" s="525">
        <v>233460458</v>
      </c>
      <c r="Z5" s="525">
        <v>251857249</v>
      </c>
      <c r="AA5" s="525">
        <v>31221524</v>
      </c>
      <c r="AB5" s="525">
        <v>45125850</v>
      </c>
      <c r="AC5" s="525">
        <v>63175195</v>
      </c>
      <c r="AD5" s="525">
        <v>85540786</v>
      </c>
      <c r="AE5" s="525">
        <v>108052707</v>
      </c>
      <c r="AF5" s="525">
        <v>134690014</v>
      </c>
      <c r="AG5" s="525">
        <v>153238373</v>
      </c>
      <c r="AH5" s="525">
        <v>167418324</v>
      </c>
      <c r="AI5" s="525">
        <v>187721440</v>
      </c>
      <c r="AJ5" s="525">
        <v>204583769</v>
      </c>
      <c r="AK5" s="525">
        <v>226251393</v>
      </c>
      <c r="AL5" s="525">
        <v>239945203</v>
      </c>
      <c r="AM5" s="525">
        <v>10931860</v>
      </c>
      <c r="AN5" s="525">
        <v>24739207</v>
      </c>
      <c r="AO5" s="525">
        <v>43038508</v>
      </c>
      <c r="AP5" s="525">
        <v>51648998</v>
      </c>
      <c r="AQ5" s="525">
        <v>76796198</v>
      </c>
      <c r="AR5" s="525">
        <v>105294787</v>
      </c>
      <c r="AS5" s="525">
        <v>119865654</v>
      </c>
      <c r="AT5" s="525">
        <v>135423121</v>
      </c>
      <c r="AU5" s="525">
        <v>152144325</v>
      </c>
      <c r="AV5" s="525">
        <v>160589185</v>
      </c>
      <c r="AW5" s="525">
        <v>179908281</v>
      </c>
      <c r="AX5" s="525">
        <v>202925650</v>
      </c>
      <c r="AY5" s="525">
        <v>16692801</v>
      </c>
      <c r="AZ5" s="525">
        <v>43741896</v>
      </c>
      <c r="BA5" s="525">
        <v>96654297</v>
      </c>
      <c r="BB5" s="525">
        <v>137898026</v>
      </c>
      <c r="BC5" s="525">
        <v>165857403</v>
      </c>
      <c r="BD5" s="525">
        <v>213948481</v>
      </c>
      <c r="BE5" s="525">
        <v>239175862</v>
      </c>
      <c r="BF5" s="525">
        <v>262021291</v>
      </c>
      <c r="BG5" s="525">
        <v>288448694</v>
      </c>
      <c r="BH5" s="525">
        <v>310482642</v>
      </c>
      <c r="BI5" s="525">
        <v>332427069</v>
      </c>
      <c r="BJ5" s="525">
        <v>391296735</v>
      </c>
      <c r="BK5" s="525">
        <v>31243974</v>
      </c>
      <c r="BL5" s="525">
        <v>70800766</v>
      </c>
      <c r="BM5" s="525">
        <v>123493303</v>
      </c>
      <c r="BN5" s="525">
        <v>157699454</v>
      </c>
      <c r="BO5" s="525">
        <v>203426954</v>
      </c>
      <c r="BP5" s="525">
        <v>244781667</v>
      </c>
      <c r="BQ5" s="525">
        <v>286724622</v>
      </c>
      <c r="BR5" s="525">
        <v>342284631</v>
      </c>
      <c r="BS5" s="525">
        <v>388309343</v>
      </c>
      <c r="BT5" s="525">
        <v>431577670</v>
      </c>
      <c r="BU5" s="525">
        <v>486701267</v>
      </c>
      <c r="BV5" s="525">
        <v>563284915</v>
      </c>
      <c r="BW5" s="525">
        <f>TWN_IS!$D$89</f>
        <v>55646869</v>
      </c>
      <c r="BX5" s="525">
        <f>TWN_IS!$D$89+TWN_IS!$E$89</f>
        <v>107967040</v>
      </c>
      <c r="BY5" s="525">
        <f>TWN_IS!$D$89+TWN_IS!$E$89+TWN_IS!$F$89</f>
        <v>161439442</v>
      </c>
      <c r="BZ5" s="525">
        <f>TWN_IS!$D$89+TWN_IS!$E$89+TWN_IS!$F$89+TWN_IS!$G$89</f>
        <v>221386757</v>
      </c>
      <c r="CA5" s="525">
        <f>TWN_IS!$D$89+TWN_IS!$E$89+TWN_IS!$F$89+TWN_IS!$G$89+TWN_IS!$H$89</f>
        <v>268325658</v>
      </c>
      <c r="CB5" s="525">
        <f>TWN_IS!$D$89+TWN_IS!$E$89+TWN_IS!$F$89+TWN_IS!$G$89+TWN_IS!$H$89+TWN_IS!$I$89+TWN_IS!$J$89+TWN_IS!$K$89+TWN_IS!$L$89+TWN_IS!$M$89+TWN_IS!$N$89+TWN_IS!$O$89</f>
        <v>503024412</v>
      </c>
      <c r="CC5" s="525">
        <f>TWN_IS!$D$89+TWN_IS!$E$89+TWN_IS!$F$89+TWN_IS!$G$89+TWN_IS!$H$89+TWN_IS!$I$89+TWN_IS!$J$89+TWN_IS!$K$89+TWN_IS!$L$89+TWN_IS!$M$89+TWN_IS!$N$89+TWN_IS!$O$89</f>
        <v>503024412</v>
      </c>
      <c r="CD5" s="525">
        <f>TWN_IS!$D$89+TWN_IS!$E$89+TWN_IS!$F$89+TWN_IS!$G$89+TWN_IS!$H$89+TWN_IS!$I$89+TWN_IS!$J$89+TWN_IS!$K$89+TWN_IS!$L$89+TWN_IS!$M$89+TWN_IS!$N$89+TWN_IS!$O$89</f>
        <v>503024412</v>
      </c>
      <c r="CE5" s="525">
        <f>TWN_IS!$D$89+TWN_IS!$E$89+TWN_IS!$F$89+TWN_IS!$G$89+TWN_IS!$H$89+TWN_IS!$I$89+TWN_IS!$J$89+TWN_IS!$K$89+TWN_IS!$L$89+TWN_IS!$M$89+TWN_IS!$N$89+TWN_IS!$O$89</f>
        <v>503024412</v>
      </c>
      <c r="CF5" s="525">
        <f>TWN_IS!$D$89+TWN_IS!$E$89+TWN_IS!$F$89+TWN_IS!$G$89+TWN_IS!$H$89+TWN_IS!$I$89+TWN_IS!$J$89+TWN_IS!$K$89+TWN_IS!$L$89+TWN_IS!$M$89+TWN_IS!$N$89+TWN_IS!$O$89</f>
        <v>503024412</v>
      </c>
      <c r="CG5" s="525">
        <f>TWN_IS!$D$89+TWN_IS!$E$89+TWN_IS!$F$89+TWN_IS!$G$89+TWN_IS!$H$89+TWN_IS!$I$89+TWN_IS!$J$89+TWN_IS!$K$89+TWN_IS!$L$89+TWN_IS!$M$89+TWN_IS!$N$89+TWN_IS!$O$89</f>
        <v>503024412</v>
      </c>
      <c r="CH5" s="525">
        <f>TWN_IS!$D$89+TWN_IS!$E$89+TWN_IS!$F$89+TWN_IS!$G$89+TWN_IS!$H$89+TWN_IS!$I$89+TWN_IS!$J$89+TWN_IS!$K$89+TWN_IS!$L$89+TWN_IS!$M$89+TWN_IS!$N$89+TWN_IS!$O$89</f>
        <v>503024412</v>
      </c>
      <c r="CI5" s="525">
        <f>TWN_IS!$D$89+TWN_IS!$E$89+TWN_IS!$F$89+TWN_IS!$G$89+TWN_IS!$H$89+TWN_IS!$I$89+TWN_IS!$J$89+TWN_IS!$K$89+TWN_IS!$L$89+TWN_IS!$M$89+TWN_IS!$N$89+TWN_IS!$O$89</f>
        <v>503024412</v>
      </c>
    </row>
    <row r="6" spans="1:87" ht="17">
      <c r="A6" s="396" t="s">
        <v>1206</v>
      </c>
      <c r="B6" s="397">
        <v>82307708</v>
      </c>
      <c r="C6" s="397">
        <f t="shared" ref="C6:AB6" si="0">C4-C5</f>
        <v>10915979</v>
      </c>
      <c r="D6" s="397">
        <f t="shared" si="0"/>
        <v>15993473</v>
      </c>
      <c r="E6" s="397">
        <f t="shared" si="0"/>
        <v>8511755</v>
      </c>
      <c r="F6" s="397">
        <f t="shared" si="0"/>
        <v>9800020</v>
      </c>
      <c r="G6" s="397">
        <v>12979322</v>
      </c>
      <c r="H6" s="397">
        <f t="shared" si="0"/>
        <v>23523821</v>
      </c>
      <c r="I6" s="397">
        <f t="shared" si="0"/>
        <v>31853618</v>
      </c>
      <c r="J6" s="397">
        <f t="shared" si="0"/>
        <v>37508837</v>
      </c>
      <c r="K6" s="397">
        <f t="shared" si="0"/>
        <v>46114452</v>
      </c>
      <c r="L6" s="397">
        <f t="shared" si="0"/>
        <v>54073476</v>
      </c>
      <c r="M6" s="397">
        <f t="shared" si="0"/>
        <v>60014214</v>
      </c>
      <c r="N6" s="397">
        <f t="shared" si="0"/>
        <v>66435516</v>
      </c>
      <c r="O6" s="397">
        <f t="shared" si="0"/>
        <v>1193762</v>
      </c>
      <c r="P6" s="397">
        <f t="shared" si="0"/>
        <v>5995388</v>
      </c>
      <c r="Q6" s="397">
        <f t="shared" si="0"/>
        <v>11271301</v>
      </c>
      <c r="R6" s="397">
        <f t="shared" si="0"/>
        <v>15350229</v>
      </c>
      <c r="S6" s="397">
        <f t="shared" si="0"/>
        <v>18393596</v>
      </c>
      <c r="T6" s="397">
        <f t="shared" si="0"/>
        <v>18442075</v>
      </c>
      <c r="U6" s="397">
        <f t="shared" si="0"/>
        <v>26396827</v>
      </c>
      <c r="V6" s="397">
        <f t="shared" si="0"/>
        <v>28095086</v>
      </c>
      <c r="W6" s="397">
        <f t="shared" si="0"/>
        <v>27883837</v>
      </c>
      <c r="X6" s="397">
        <f t="shared" si="0"/>
        <v>31403928</v>
      </c>
      <c r="Y6" s="397">
        <f t="shared" si="0"/>
        <v>33173696</v>
      </c>
      <c r="Z6" s="397">
        <f t="shared" si="0"/>
        <v>41078292</v>
      </c>
      <c r="AA6" s="397">
        <f t="shared" si="0"/>
        <v>8769545</v>
      </c>
      <c r="AB6" s="397">
        <f t="shared" si="0"/>
        <v>11059165</v>
      </c>
      <c r="AC6" s="397">
        <v>18169301</v>
      </c>
      <c r="AD6" s="397">
        <v>23953975</v>
      </c>
      <c r="AE6" s="397">
        <v>27505168</v>
      </c>
      <c r="AF6" s="397">
        <v>35824407</v>
      </c>
      <c r="AG6" s="397">
        <v>41141212</v>
      </c>
      <c r="AH6" s="397">
        <v>47314298</v>
      </c>
      <c r="AI6" s="397">
        <v>48157920</v>
      </c>
      <c r="AJ6" s="397">
        <v>44500522</v>
      </c>
      <c r="AK6" s="397">
        <v>48418707</v>
      </c>
      <c r="AL6" s="397">
        <v>57595071</v>
      </c>
      <c r="AM6" s="397">
        <v>4416359</v>
      </c>
      <c r="AN6" s="397">
        <v>4547235</v>
      </c>
      <c r="AO6" s="397">
        <v>11069328</v>
      </c>
      <c r="AP6" s="397">
        <v>14250497</v>
      </c>
      <c r="AQ6" s="397">
        <v>22275963</v>
      </c>
      <c r="AR6" s="397">
        <v>27587960</v>
      </c>
      <c r="AS6" s="397">
        <v>33123673</v>
      </c>
      <c r="AT6" s="397">
        <v>37838779</v>
      </c>
      <c r="AU6" s="397">
        <v>44149373</v>
      </c>
      <c r="AV6" s="397">
        <v>45863108</v>
      </c>
      <c r="AW6" s="397">
        <v>47374757</v>
      </c>
      <c r="AX6" s="397">
        <v>58681596</v>
      </c>
      <c r="AY6" s="397">
        <v>3428623</v>
      </c>
      <c r="AZ6" s="397">
        <v>4795993</v>
      </c>
      <c r="BA6" s="397">
        <v>12981966</v>
      </c>
      <c r="BB6" s="397">
        <v>20821813</v>
      </c>
      <c r="BC6" s="397">
        <v>26023787</v>
      </c>
      <c r="BD6" s="397">
        <v>37103695</v>
      </c>
      <c r="BE6" s="397">
        <v>41156742</v>
      </c>
      <c r="BF6" s="397">
        <v>43019046</v>
      </c>
      <c r="BG6" s="397">
        <v>47751612</v>
      </c>
      <c r="BH6" s="397">
        <v>50605203</v>
      </c>
      <c r="BI6" s="397">
        <v>53361147</v>
      </c>
      <c r="BJ6" s="397">
        <f>BJ4-BJ5</f>
        <v>76407238</v>
      </c>
      <c r="BK6" s="397">
        <v>5711669</v>
      </c>
      <c r="BL6" s="397">
        <v>7358553</v>
      </c>
      <c r="BM6" s="397">
        <v>23464714</v>
      </c>
      <c r="BN6" s="397">
        <v>31331817</v>
      </c>
      <c r="BO6" s="397">
        <v>46293880</v>
      </c>
      <c r="BP6" s="397">
        <v>60965238</v>
      </c>
      <c r="BQ6" s="397">
        <v>69529103</v>
      </c>
      <c r="BR6" s="397">
        <v>81972520</v>
      </c>
      <c r="BS6" s="397">
        <v>89993970</v>
      </c>
      <c r="BT6" s="397">
        <v>95403230</v>
      </c>
      <c r="BU6" s="397">
        <v>108499643</v>
      </c>
      <c r="BV6" s="397">
        <v>125283827</v>
      </c>
      <c r="BW6" s="397">
        <f t="shared" ref="BW6:CI6" si="1">BW4-BW5</f>
        <v>4600082</v>
      </c>
      <c r="BX6" s="397">
        <f t="shared" si="1"/>
        <v>5351411</v>
      </c>
      <c r="BY6" s="397">
        <f t="shared" si="1"/>
        <v>15610979</v>
      </c>
      <c r="BZ6" s="397">
        <f t="shared" si="1"/>
        <v>23029344</v>
      </c>
      <c r="CA6" s="397">
        <f t="shared" si="1"/>
        <v>297235833</v>
      </c>
      <c r="CB6" s="397">
        <f t="shared" si="1"/>
        <v>62537079</v>
      </c>
      <c r="CC6" s="397">
        <f t="shared" si="1"/>
        <v>62537079</v>
      </c>
      <c r="CD6" s="397">
        <f t="shared" si="1"/>
        <v>62537079</v>
      </c>
      <c r="CE6" s="397">
        <f t="shared" si="1"/>
        <v>62537079</v>
      </c>
      <c r="CF6" s="397">
        <f t="shared" si="1"/>
        <v>62537079</v>
      </c>
      <c r="CG6" s="397">
        <f t="shared" si="1"/>
        <v>62537079</v>
      </c>
      <c r="CH6" s="397">
        <f t="shared" si="1"/>
        <v>62537079</v>
      </c>
      <c r="CI6" s="397">
        <f t="shared" si="1"/>
        <v>62537079</v>
      </c>
    </row>
    <row r="7" spans="1:87" ht="17">
      <c r="A7" s="396" t="s">
        <v>1207</v>
      </c>
      <c r="B7" s="525">
        <v>79924562</v>
      </c>
      <c r="C7" s="525">
        <v>7341268</v>
      </c>
      <c r="D7" s="525">
        <v>13704118</v>
      </c>
      <c r="E7" s="525">
        <v>20350685</v>
      </c>
      <c r="F7" s="525">
        <v>26832684</v>
      </c>
      <c r="G7" s="525">
        <v>32464152</v>
      </c>
      <c r="H7" s="525">
        <v>39893476</v>
      </c>
      <c r="I7" s="525">
        <v>45597090</v>
      </c>
      <c r="J7" s="525">
        <v>51293134</v>
      </c>
      <c r="K7" s="525">
        <v>57640559</v>
      </c>
      <c r="L7" s="525">
        <v>63898219</v>
      </c>
      <c r="M7" s="525">
        <v>69736178</v>
      </c>
      <c r="N7" s="525">
        <v>75154673</v>
      </c>
      <c r="O7" s="525">
        <v>5619915</v>
      </c>
      <c r="P7" s="525">
        <v>11161546</v>
      </c>
      <c r="Q7" s="525">
        <v>16957967</v>
      </c>
      <c r="R7" s="525">
        <v>22349656</v>
      </c>
      <c r="S7" s="525">
        <v>27757619</v>
      </c>
      <c r="T7" s="525">
        <v>33793614</v>
      </c>
      <c r="U7" s="525">
        <v>39176297</v>
      </c>
      <c r="V7" s="525">
        <v>44166245</v>
      </c>
      <c r="W7" s="525">
        <v>50276771</v>
      </c>
      <c r="X7" s="525">
        <v>56181143</v>
      </c>
      <c r="Y7" s="525">
        <v>60589561</v>
      </c>
      <c r="Z7" s="525">
        <v>65642214</v>
      </c>
      <c r="AA7" s="525">
        <v>4658749</v>
      </c>
      <c r="AB7" s="525">
        <v>8805235</v>
      </c>
      <c r="AC7" s="525">
        <v>13515509</v>
      </c>
      <c r="AD7" s="525">
        <v>18135089</v>
      </c>
      <c r="AE7" s="525">
        <v>23530606</v>
      </c>
      <c r="AF7" s="525">
        <v>29426567</v>
      </c>
      <c r="AG7" s="525">
        <v>34837479</v>
      </c>
      <c r="AH7" s="525">
        <v>40429392</v>
      </c>
      <c r="AI7" s="525">
        <v>45952234</v>
      </c>
      <c r="AJ7" s="525">
        <v>51607063</v>
      </c>
      <c r="AK7" s="525">
        <v>56981984</v>
      </c>
      <c r="AL7" s="525">
        <v>60871271</v>
      </c>
      <c r="AM7" s="525">
        <v>4894138</v>
      </c>
      <c r="AN7" s="525">
        <v>9886031</v>
      </c>
      <c r="AO7" s="525">
        <v>16534817</v>
      </c>
      <c r="AP7" s="525">
        <v>22989645</v>
      </c>
      <c r="AQ7" s="525">
        <v>28957597</v>
      </c>
      <c r="AR7" s="525">
        <v>35099960</v>
      </c>
      <c r="AS7" s="525">
        <v>40087401</v>
      </c>
      <c r="AT7" s="525">
        <v>44969449</v>
      </c>
      <c r="AU7" s="525">
        <v>50772838</v>
      </c>
      <c r="AV7" s="525">
        <v>56422811</v>
      </c>
      <c r="AW7" s="525">
        <v>62202988</v>
      </c>
      <c r="AX7" s="525">
        <v>65110745</v>
      </c>
      <c r="AY7" s="525">
        <v>5957139</v>
      </c>
      <c r="AZ7" s="525">
        <v>13360933</v>
      </c>
      <c r="BA7" s="525">
        <v>20414928</v>
      </c>
      <c r="BB7" s="525">
        <v>27994825</v>
      </c>
      <c r="BC7" s="525">
        <v>35114405</v>
      </c>
      <c r="BD7" s="525">
        <v>48771729</v>
      </c>
      <c r="BE7" s="525">
        <v>74609002</v>
      </c>
      <c r="BF7" s="525">
        <v>81032922</v>
      </c>
      <c r="BG7" s="525">
        <v>87935098</v>
      </c>
      <c r="BH7" s="525">
        <v>96093626</v>
      </c>
      <c r="BI7" s="525">
        <v>103580593</v>
      </c>
      <c r="BJ7" s="525">
        <v>110052255</v>
      </c>
      <c r="BK7" s="525">
        <v>7135594</v>
      </c>
      <c r="BL7" s="525">
        <v>14240245</v>
      </c>
      <c r="BM7" s="525">
        <v>21410968</v>
      </c>
      <c r="BN7" s="525">
        <v>30525587</v>
      </c>
      <c r="BO7" s="525">
        <v>39053891</v>
      </c>
      <c r="BP7" s="525">
        <v>48005681</v>
      </c>
      <c r="BQ7" s="525">
        <v>56933289</v>
      </c>
      <c r="BR7" s="525">
        <v>63919483</v>
      </c>
      <c r="BS7" s="525">
        <v>69695209</v>
      </c>
      <c r="BT7" s="525">
        <v>76919761</v>
      </c>
      <c r="BU7" s="525">
        <v>84956792</v>
      </c>
      <c r="BV7" s="525">
        <v>88491321</v>
      </c>
      <c r="BW7" s="525">
        <f>TWN_IS!$D$210</f>
        <v>7375802</v>
      </c>
      <c r="BX7" s="525">
        <f>TWN_IS!$D$210+TWN_IS!$E$210</f>
        <v>15118497</v>
      </c>
      <c r="BY7" s="525">
        <f>TWN_IS!$D$210+TWN_IS!$E$210+TWN_IS!$F$210</f>
        <v>22274346</v>
      </c>
      <c r="BZ7" s="525">
        <f>TWN_IS!$D$210+TWN_IS!$E$210+TWN_IS!$F$210+TWN_IS!$G$210</f>
        <v>30241953</v>
      </c>
      <c r="CA7" s="525">
        <f>TWN_IS!$D$210+TWN_IS!$E$210+TWN_IS!$F$210+TWN_IS!$G$210+TWN_IS!$H$210</f>
        <v>38007888</v>
      </c>
      <c r="CB7" s="525">
        <f>TWN_IS!$D$210+TWN_IS!$E$210+TWN_IS!$F$210+TWN_IS!$G$210+TWN_IS!$H$210+TWN_IS!$I$210+TWN_IS!$J$210+TWN_IS!$K$210+TWN_IS!$L$210+TWN_IS!$M$210+TWN_IS!$N$210+TWN_IS!$O$210</f>
        <v>65725359</v>
      </c>
      <c r="CC7" s="525">
        <f>TWN_IS!$D$210+TWN_IS!$E$210+TWN_IS!$F$210+TWN_IS!$G$210+TWN_IS!$H$210+TWN_IS!$I$210+TWN_IS!$J$210+TWN_IS!$K$210+TWN_IS!$L$210+TWN_IS!$M$210+TWN_IS!$N$210+TWN_IS!$O$210</f>
        <v>65725359</v>
      </c>
      <c r="CD7" s="525">
        <f>TWN_IS!$D$210+TWN_IS!$E$210+TWN_IS!$F$210+TWN_IS!$G$210+TWN_IS!$H$210+TWN_IS!$I$210+TWN_IS!$J$210+TWN_IS!$K$210+TWN_IS!$L$210+TWN_IS!$M$210+TWN_IS!$N$210+TWN_IS!$O$210</f>
        <v>65725359</v>
      </c>
      <c r="CE7" s="525">
        <f>TWN_IS!$D$210+TWN_IS!$E$210+TWN_IS!$F$210+TWN_IS!$G$210+TWN_IS!$H$210+TWN_IS!$I$210+TWN_IS!$J$210+TWN_IS!$K$210+TWN_IS!$L$210+TWN_IS!$M$210+TWN_IS!$N$210+TWN_IS!$O$210</f>
        <v>65725359</v>
      </c>
      <c r="CF7" s="525">
        <f>TWN_IS!$D$210+TWN_IS!$E$210+TWN_IS!$F$210+TWN_IS!$G$210+TWN_IS!$H$210+TWN_IS!$I$210+TWN_IS!$J$210+TWN_IS!$K$210+TWN_IS!$L$210+TWN_IS!$M$210+TWN_IS!$N$210+TWN_IS!$O$210</f>
        <v>65725359</v>
      </c>
      <c r="CG7" s="525">
        <f>TWN_IS!$D$210+TWN_IS!$E$210+TWN_IS!$F$210+TWN_IS!$G$210+TWN_IS!$H$210+TWN_IS!$I$210+TWN_IS!$J$210+TWN_IS!$K$210+TWN_IS!$L$210+TWN_IS!$M$210+TWN_IS!$N$210+TWN_IS!$O$210</f>
        <v>65725359</v>
      </c>
      <c r="CH7" s="525">
        <f>TWN_IS!$D$210+TWN_IS!$E$210+TWN_IS!$F$210+TWN_IS!$G$210+TWN_IS!$H$210+TWN_IS!$I$210+TWN_IS!$J$210+TWN_IS!$K$210+TWN_IS!$L$210+TWN_IS!$M$210+TWN_IS!$N$210+TWN_IS!$O$210</f>
        <v>65725359</v>
      </c>
      <c r="CI7" s="525">
        <f>TWN_IS!$D$210+TWN_IS!$E$210+TWN_IS!$F$210+TWN_IS!$G$210+TWN_IS!$H$210+TWN_IS!$I$210+TWN_IS!$J$210+TWN_IS!$K$210+TWN_IS!$L$210+TWN_IS!$M$210+TWN_IS!$N$210+TWN_IS!$O$210</f>
        <v>65725359</v>
      </c>
    </row>
    <row r="8" spans="1:87" ht="17">
      <c r="A8" s="396" t="s">
        <v>1208</v>
      </c>
      <c r="B8" s="397">
        <v>2383146</v>
      </c>
      <c r="C8" s="397">
        <f t="shared" ref="C8:AB8" si="2">C6-C7</f>
        <v>3574711</v>
      </c>
      <c r="D8" s="397">
        <f t="shared" si="2"/>
        <v>2289355</v>
      </c>
      <c r="E8" s="397">
        <f t="shared" si="2"/>
        <v>-11838930</v>
      </c>
      <c r="F8" s="397">
        <f t="shared" si="2"/>
        <v>-17032664</v>
      </c>
      <c r="G8" s="397">
        <v>-19484830</v>
      </c>
      <c r="H8" s="397">
        <f t="shared" si="2"/>
        <v>-16369655</v>
      </c>
      <c r="I8" s="397">
        <f t="shared" si="2"/>
        <v>-13743472</v>
      </c>
      <c r="J8" s="397">
        <f t="shared" si="2"/>
        <v>-13784297</v>
      </c>
      <c r="K8" s="397">
        <f t="shared" si="2"/>
        <v>-11526107</v>
      </c>
      <c r="L8" s="397">
        <f t="shared" si="2"/>
        <v>-9824743</v>
      </c>
      <c r="M8" s="397">
        <f t="shared" si="2"/>
        <v>-9721964</v>
      </c>
      <c r="N8" s="397">
        <f t="shared" si="2"/>
        <v>-8719157</v>
      </c>
      <c r="O8" s="397">
        <f t="shared" si="2"/>
        <v>-4426153</v>
      </c>
      <c r="P8" s="397">
        <f t="shared" si="2"/>
        <v>-5166158</v>
      </c>
      <c r="Q8" s="397">
        <f t="shared" si="2"/>
        <v>-5686666</v>
      </c>
      <c r="R8" s="397">
        <f t="shared" si="2"/>
        <v>-6999427</v>
      </c>
      <c r="S8" s="397">
        <f t="shared" si="2"/>
        <v>-9364023</v>
      </c>
      <c r="T8" s="397">
        <f t="shared" si="2"/>
        <v>-15351539</v>
      </c>
      <c r="U8" s="397">
        <f t="shared" si="2"/>
        <v>-12779470</v>
      </c>
      <c r="V8" s="397">
        <f t="shared" si="2"/>
        <v>-16071159</v>
      </c>
      <c r="W8" s="397">
        <f t="shared" si="2"/>
        <v>-22392934</v>
      </c>
      <c r="X8" s="397">
        <f t="shared" si="2"/>
        <v>-24777215</v>
      </c>
      <c r="Y8" s="397">
        <f t="shared" si="2"/>
        <v>-27415865</v>
      </c>
      <c r="Z8" s="397">
        <f t="shared" si="2"/>
        <v>-24563922</v>
      </c>
      <c r="AA8" s="397">
        <f t="shared" si="2"/>
        <v>4110796</v>
      </c>
      <c r="AB8" s="397">
        <f t="shared" si="2"/>
        <v>2253930</v>
      </c>
      <c r="AC8" s="397">
        <v>4653792</v>
      </c>
      <c r="AD8" s="397">
        <v>5818886</v>
      </c>
      <c r="AE8" s="397">
        <v>3974562</v>
      </c>
      <c r="AF8" s="397">
        <v>6397840</v>
      </c>
      <c r="AG8" s="397">
        <v>6303733</v>
      </c>
      <c r="AH8" s="397">
        <v>6884906</v>
      </c>
      <c r="AI8" s="397">
        <v>2205686</v>
      </c>
      <c r="AJ8" s="397">
        <v>-7106541</v>
      </c>
      <c r="AK8" s="397">
        <v>-8563277</v>
      </c>
      <c r="AL8" s="397">
        <v>-3276200</v>
      </c>
      <c r="AM8" s="397">
        <v>-477779</v>
      </c>
      <c r="AN8" s="397">
        <v>-5338796</v>
      </c>
      <c r="AO8" s="397">
        <v>-5465489</v>
      </c>
      <c r="AP8" s="397">
        <v>-8739148</v>
      </c>
      <c r="AQ8" s="397">
        <v>-6681634</v>
      </c>
      <c r="AR8" s="397">
        <v>-7512000</v>
      </c>
      <c r="AS8" s="397">
        <v>-6963728</v>
      </c>
      <c r="AT8" s="397">
        <v>-7130670</v>
      </c>
      <c r="AU8" s="397">
        <v>-6623465</v>
      </c>
      <c r="AV8" s="397">
        <v>-10559703</v>
      </c>
      <c r="AW8" s="397">
        <v>-14828231</v>
      </c>
      <c r="AX8" s="397">
        <v>-6429149</v>
      </c>
      <c r="AY8" s="397">
        <v>-2528516</v>
      </c>
      <c r="AZ8" s="397">
        <v>-8564940</v>
      </c>
      <c r="BA8" s="397">
        <v>-7432962</v>
      </c>
      <c r="BB8" s="397">
        <v>-7173012</v>
      </c>
      <c r="BC8" s="397">
        <v>-9090618</v>
      </c>
      <c r="BD8" s="397">
        <v>-11668034</v>
      </c>
      <c r="BE8" s="397">
        <v>-33452260</v>
      </c>
      <c r="BF8" s="397">
        <v>-38013876</v>
      </c>
      <c r="BG8" s="397">
        <v>-40183486</v>
      </c>
      <c r="BH8" s="397">
        <v>-45488423</v>
      </c>
      <c r="BI8" s="397">
        <v>-50219446</v>
      </c>
      <c r="BJ8" s="397">
        <f>BJ6-BJ7</f>
        <v>-33645017</v>
      </c>
      <c r="BK8" s="397">
        <v>-1423925</v>
      </c>
      <c r="BL8" s="397">
        <v>-6881692</v>
      </c>
      <c r="BM8" s="397">
        <v>2053746</v>
      </c>
      <c r="BN8" s="397">
        <v>806230</v>
      </c>
      <c r="BO8" s="397">
        <v>7239989</v>
      </c>
      <c r="BP8" s="397">
        <v>12959557</v>
      </c>
      <c r="BQ8" s="397">
        <v>12595814</v>
      </c>
      <c r="BR8" s="397">
        <v>18053037</v>
      </c>
      <c r="BS8" s="397">
        <v>20298761</v>
      </c>
      <c r="BT8" s="397">
        <v>18483469</v>
      </c>
      <c r="BU8" s="397">
        <v>23542851</v>
      </c>
      <c r="BV8" s="397">
        <v>36792506</v>
      </c>
      <c r="BW8" s="397">
        <f t="shared" ref="BW8:CI8" si="3">BW6-BW7</f>
        <v>-2775720</v>
      </c>
      <c r="BX8" s="397">
        <f t="shared" si="3"/>
        <v>-9767086</v>
      </c>
      <c r="BY8" s="397">
        <f t="shared" si="3"/>
        <v>-6663367</v>
      </c>
      <c r="BZ8" s="397">
        <f t="shared" si="3"/>
        <v>-7212609</v>
      </c>
      <c r="CA8" s="397">
        <f t="shared" si="3"/>
        <v>259227945</v>
      </c>
      <c r="CB8" s="397">
        <f t="shared" si="3"/>
        <v>-3188280</v>
      </c>
      <c r="CC8" s="397">
        <f t="shared" si="3"/>
        <v>-3188280</v>
      </c>
      <c r="CD8" s="397">
        <f t="shared" si="3"/>
        <v>-3188280</v>
      </c>
      <c r="CE8" s="397">
        <f t="shared" si="3"/>
        <v>-3188280</v>
      </c>
      <c r="CF8" s="397">
        <f t="shared" si="3"/>
        <v>-3188280</v>
      </c>
      <c r="CG8" s="397">
        <f t="shared" si="3"/>
        <v>-3188280</v>
      </c>
      <c r="CH8" s="397">
        <f t="shared" si="3"/>
        <v>-3188280</v>
      </c>
      <c r="CI8" s="397">
        <f t="shared" si="3"/>
        <v>-3188280</v>
      </c>
    </row>
    <row r="9" spans="1:87" ht="17">
      <c r="A9" s="396" t="s">
        <v>1209</v>
      </c>
      <c r="B9" s="398">
        <v>-1229425</v>
      </c>
      <c r="C9" s="398">
        <v>961482</v>
      </c>
      <c r="D9" s="398">
        <v>2043598</v>
      </c>
      <c r="E9" s="398">
        <v>2171497</v>
      </c>
      <c r="F9" s="398">
        <v>1407704</v>
      </c>
      <c r="G9" s="398">
        <v>1675168</v>
      </c>
      <c r="H9" s="398">
        <v>2514736</v>
      </c>
      <c r="I9" s="398">
        <v>2281683</v>
      </c>
      <c r="J9" s="398">
        <v>2749355</v>
      </c>
      <c r="K9" s="398">
        <v>6034969</v>
      </c>
      <c r="L9" s="398">
        <v>4692372</v>
      </c>
      <c r="M9" s="398">
        <v>5856541</v>
      </c>
      <c r="N9" s="398">
        <v>5930870</v>
      </c>
      <c r="O9" s="398">
        <v>-1043834</v>
      </c>
      <c r="P9" s="398">
        <v>-1155519</v>
      </c>
      <c r="Q9" s="398">
        <v>-749811</v>
      </c>
      <c r="R9" s="398">
        <v>-1065054</v>
      </c>
      <c r="S9" s="398">
        <v>95175</v>
      </c>
      <c r="T9" s="398">
        <v>355573</v>
      </c>
      <c r="U9" s="398">
        <v>682949</v>
      </c>
      <c r="V9" s="398">
        <v>826203</v>
      </c>
      <c r="W9" s="398">
        <v>-108689</v>
      </c>
      <c r="X9" s="398">
        <v>-127969</v>
      </c>
      <c r="Y9" s="398">
        <v>-355142</v>
      </c>
      <c r="Z9" s="398">
        <v>-117961</v>
      </c>
      <c r="AA9" s="398">
        <v>806284</v>
      </c>
      <c r="AB9" s="398">
        <v>925194</v>
      </c>
      <c r="AC9" s="398">
        <v>1418382</v>
      </c>
      <c r="AD9" s="398">
        <v>1086210</v>
      </c>
      <c r="AE9" s="398">
        <v>2366448</v>
      </c>
      <c r="AF9" s="398">
        <v>2759468</v>
      </c>
      <c r="AG9" s="398">
        <v>2813794</v>
      </c>
      <c r="AH9" s="398">
        <v>2744099</v>
      </c>
      <c r="AI9" s="398">
        <v>1909806</v>
      </c>
      <c r="AJ9" s="398">
        <v>1695197</v>
      </c>
      <c r="AK9" s="398">
        <v>2506827</v>
      </c>
      <c r="AL9" s="398">
        <v>3446066</v>
      </c>
      <c r="AM9" s="398">
        <v>1277447</v>
      </c>
      <c r="AN9" s="398">
        <v>1415301</v>
      </c>
      <c r="AO9" s="398">
        <v>1959162</v>
      </c>
      <c r="AP9" s="398">
        <v>1448179</v>
      </c>
      <c r="AQ9" s="398">
        <v>1080222</v>
      </c>
      <c r="AR9" s="398">
        <v>1281520</v>
      </c>
      <c r="AS9" s="398">
        <v>1585562</v>
      </c>
      <c r="AT9" s="398">
        <v>1900354</v>
      </c>
      <c r="AU9" s="398">
        <v>3375848</v>
      </c>
      <c r="AV9" s="398">
        <v>3518816</v>
      </c>
      <c r="AW9" s="398">
        <v>4842390</v>
      </c>
      <c r="AX9" s="398">
        <v>6613836</v>
      </c>
      <c r="AY9" s="398">
        <v>-731029</v>
      </c>
      <c r="AZ9" s="398">
        <v>-530037</v>
      </c>
      <c r="BA9" s="398">
        <v>-1147851</v>
      </c>
      <c r="BB9" s="398">
        <v>-2623412</v>
      </c>
      <c r="BC9" s="398">
        <v>-2409821</v>
      </c>
      <c r="BD9" s="398">
        <v>-1947502</v>
      </c>
      <c r="BE9" s="398">
        <v>-64176</v>
      </c>
      <c r="BF9" s="398">
        <v>2897062</v>
      </c>
      <c r="BG9" s="398">
        <v>4115573</v>
      </c>
      <c r="BH9" s="398">
        <v>2282205</v>
      </c>
      <c r="BI9" s="398">
        <v>2791861</v>
      </c>
      <c r="BJ9" s="398">
        <v>3611804</v>
      </c>
      <c r="BK9" s="398">
        <v>2764245</v>
      </c>
      <c r="BL9" s="398">
        <v>2270057</v>
      </c>
      <c r="BM9" s="398">
        <v>-1194264</v>
      </c>
      <c r="BN9" s="398">
        <v>-928800</v>
      </c>
      <c r="BO9" s="398">
        <v>319953</v>
      </c>
      <c r="BP9" s="398">
        <v>-1117637</v>
      </c>
      <c r="BQ9" s="398">
        <v>-3059906</v>
      </c>
      <c r="BR9" s="398">
        <v>-3765740</v>
      </c>
      <c r="BS9" s="398">
        <v>-5161682</v>
      </c>
      <c r="BT9" s="398">
        <v>-4282796</v>
      </c>
      <c r="BU9" s="398">
        <v>-3080250</v>
      </c>
      <c r="BV9" s="398">
        <v>-1348762</v>
      </c>
      <c r="BW9" s="398">
        <f>TWN_IS!$D$265</f>
        <v>-4980453</v>
      </c>
      <c r="BX9" s="398">
        <f>TWN_IS!$D$265+TWN_IS!$E$265</f>
        <v>-8961543</v>
      </c>
      <c r="BY9" s="398">
        <f>TWN_IS!$D$265+TWN_IS!$E$265+TWN_IS!$F$265</f>
        <v>-10006790</v>
      </c>
      <c r="BZ9" s="398">
        <f>TWN_IS!$D$265+TWN_IS!$E$265+TWN_IS!$F$265+TWN_IS!$G$265+TWN_IS!$H$265</f>
        <v>-10634029</v>
      </c>
      <c r="CA9" s="398">
        <f>TWN_IS!$D$265+TWN_IS!$E$265+TWN_IS!$F$265+TWN_IS!$G$265+TWN_IS!$H$265+TWN_IS!$I$265</f>
        <v>-8855494</v>
      </c>
      <c r="CB9" s="398">
        <f>TWN_IS!$D$265+TWN_IS!$E$265+TWN_IS!$F$265+TWN_IS!$G$265+TWN_IS!$H$265+TWN_IS!$I$265+TWN_IS!$J$265+TWN_IS!$K$265+TWN_IS!$L$265+TWN_IS!$M$265+TWN_IS!$N$265+TWN_IS!$O$265</f>
        <v>-10425572</v>
      </c>
      <c r="CC9" s="398">
        <f>TWN_IS!$D$265+TWN_IS!$E$265+TWN_IS!$F$265+TWN_IS!$G$265+TWN_IS!$H$265+TWN_IS!$I$265+TWN_IS!$J$265+TWN_IS!$K$265+TWN_IS!$L$265+TWN_IS!$M$265+TWN_IS!$N$265+TWN_IS!$O$265</f>
        <v>-10425572</v>
      </c>
      <c r="CD9" s="398">
        <f>TWN_IS!$D$265+TWN_IS!$E$265+TWN_IS!$F$265+TWN_IS!$G$265+TWN_IS!$H$265+TWN_IS!$I$265+TWN_IS!$J$265+TWN_IS!$K$265+TWN_IS!$L$265+TWN_IS!$M$265+TWN_IS!$N$265+TWN_IS!$O$265</f>
        <v>-10425572</v>
      </c>
      <c r="CE9" s="398">
        <f>TWN_IS!$D$265+TWN_IS!$E$265+TWN_IS!$F$265+TWN_IS!$G$265+TWN_IS!$H$265+TWN_IS!$I$265+TWN_IS!$J$265+TWN_IS!$K$265+TWN_IS!$L$265+TWN_IS!$M$265+TWN_IS!$N$265+TWN_IS!$O$265</f>
        <v>-10425572</v>
      </c>
      <c r="CF9" s="398">
        <f>TWN_IS!$D$265+TWN_IS!$E$265+TWN_IS!$F$265+TWN_IS!$G$265+TWN_IS!$H$265+TWN_IS!$I$265+TWN_IS!$J$265+TWN_IS!$K$265+TWN_IS!$L$265+TWN_IS!$M$265+TWN_IS!$N$265+TWN_IS!$O$265</f>
        <v>-10425572</v>
      </c>
      <c r="CG9" s="398">
        <f>TWN_IS!$D$265+TWN_IS!$E$265+TWN_IS!$F$265+TWN_IS!$G$265+TWN_IS!$H$265+TWN_IS!$I$265+TWN_IS!$J$265+TWN_IS!$K$265+TWN_IS!$L$265+TWN_IS!$M$265+TWN_IS!$N$265+TWN_IS!$O$265</f>
        <v>-10425572</v>
      </c>
      <c r="CH9" s="398">
        <f>TWN_IS!$D$265+TWN_IS!$E$265+TWN_IS!$F$265+TWN_IS!$G$265+TWN_IS!$H$265+TWN_IS!$I$265+TWN_IS!$J$265+TWN_IS!$K$265+TWN_IS!$L$265+TWN_IS!$M$265+TWN_IS!$N$265+TWN_IS!$O$265</f>
        <v>-10425572</v>
      </c>
      <c r="CI9" s="398">
        <f>TWN_IS!$D$265+TWN_IS!$E$265+TWN_IS!$F$265+TWN_IS!$G$265+TWN_IS!$H$265+TWN_IS!$I$265+TWN_IS!$J$265+TWN_IS!$K$265+TWN_IS!$L$265+TWN_IS!$M$265+TWN_IS!$N$265+TWN_IS!$O$265</f>
        <v>-10425572</v>
      </c>
    </row>
    <row r="10" spans="1:87" ht="18" thickBot="1">
      <c r="A10" s="396" t="s">
        <v>1210</v>
      </c>
      <c r="B10" s="526">
        <v>1153721</v>
      </c>
      <c r="C10" s="526">
        <f t="shared" ref="C10:AB10" si="4">C8+C9</f>
        <v>4536193</v>
      </c>
      <c r="D10" s="526">
        <f t="shared" si="4"/>
        <v>4332953</v>
      </c>
      <c r="E10" s="526">
        <f t="shared" si="4"/>
        <v>-9667433</v>
      </c>
      <c r="F10" s="526">
        <f t="shared" si="4"/>
        <v>-15624960</v>
      </c>
      <c r="G10" s="526">
        <v>-17809662</v>
      </c>
      <c r="H10" s="526">
        <f t="shared" si="4"/>
        <v>-13854919</v>
      </c>
      <c r="I10" s="526">
        <f t="shared" si="4"/>
        <v>-11461789</v>
      </c>
      <c r="J10" s="526">
        <f t="shared" si="4"/>
        <v>-11034942</v>
      </c>
      <c r="K10" s="526">
        <f t="shared" si="4"/>
        <v>-5491138</v>
      </c>
      <c r="L10" s="526">
        <f t="shared" si="4"/>
        <v>-5132371</v>
      </c>
      <c r="M10" s="526">
        <f t="shared" si="4"/>
        <v>-3865423</v>
      </c>
      <c r="N10" s="526">
        <f t="shared" si="4"/>
        <v>-2788287</v>
      </c>
      <c r="O10" s="526">
        <f t="shared" si="4"/>
        <v>-5469987</v>
      </c>
      <c r="P10" s="526">
        <f t="shared" si="4"/>
        <v>-6321677</v>
      </c>
      <c r="Q10" s="526">
        <f t="shared" si="4"/>
        <v>-6436477</v>
      </c>
      <c r="R10" s="526">
        <f t="shared" si="4"/>
        <v>-8064481</v>
      </c>
      <c r="S10" s="526">
        <f t="shared" si="4"/>
        <v>-9268848</v>
      </c>
      <c r="T10" s="526">
        <f t="shared" si="4"/>
        <v>-14995966</v>
      </c>
      <c r="U10" s="526">
        <f t="shared" si="4"/>
        <v>-12096521</v>
      </c>
      <c r="V10" s="526">
        <f t="shared" si="4"/>
        <v>-15244956</v>
      </c>
      <c r="W10" s="526">
        <f t="shared" si="4"/>
        <v>-22501623</v>
      </c>
      <c r="X10" s="526">
        <f t="shared" si="4"/>
        <v>-24905184</v>
      </c>
      <c r="Y10" s="526">
        <f t="shared" si="4"/>
        <v>-27771007</v>
      </c>
      <c r="Z10" s="526">
        <f t="shared" si="4"/>
        <v>-24681883</v>
      </c>
      <c r="AA10" s="526">
        <f t="shared" si="4"/>
        <v>4917080</v>
      </c>
      <c r="AB10" s="526">
        <f t="shared" si="4"/>
        <v>3179124</v>
      </c>
      <c r="AC10" s="526">
        <v>6072174</v>
      </c>
      <c r="AD10" s="526">
        <v>6905096</v>
      </c>
      <c r="AE10" s="526">
        <v>6341010</v>
      </c>
      <c r="AF10" s="526">
        <v>9157308</v>
      </c>
      <c r="AG10" s="526">
        <v>9117527</v>
      </c>
      <c r="AH10" s="526">
        <v>9629005</v>
      </c>
      <c r="AI10" s="526">
        <v>4115492</v>
      </c>
      <c r="AJ10" s="526">
        <v>-5411344</v>
      </c>
      <c r="AK10" s="526">
        <v>-6056450</v>
      </c>
      <c r="AL10" s="526">
        <v>169866</v>
      </c>
      <c r="AM10" s="526">
        <v>799668</v>
      </c>
      <c r="AN10" s="526">
        <v>-3923495</v>
      </c>
      <c r="AO10" s="526">
        <v>-3506327</v>
      </c>
      <c r="AP10" s="526">
        <v>-7290969</v>
      </c>
      <c r="AQ10" s="526">
        <v>-5601412</v>
      </c>
      <c r="AR10" s="526">
        <v>-6230480</v>
      </c>
      <c r="AS10" s="526">
        <v>-5378166</v>
      </c>
      <c r="AT10" s="526">
        <v>-5230316</v>
      </c>
      <c r="AU10" s="526">
        <v>-3247617</v>
      </c>
      <c r="AV10" s="526">
        <v>-7040887</v>
      </c>
      <c r="AW10" s="526">
        <v>-9985841</v>
      </c>
      <c r="AX10" s="526">
        <v>184687</v>
      </c>
      <c r="AY10" s="526">
        <v>-3259545</v>
      </c>
      <c r="AZ10" s="526">
        <v>-9094977</v>
      </c>
      <c r="BA10" s="526">
        <v>-8580813</v>
      </c>
      <c r="BB10" s="526">
        <v>-9796424</v>
      </c>
      <c r="BC10" s="526">
        <v>-11500439</v>
      </c>
      <c r="BD10" s="526">
        <v>-13615536</v>
      </c>
      <c r="BE10" s="526">
        <v>-33516436</v>
      </c>
      <c r="BF10" s="526">
        <v>-35116814</v>
      </c>
      <c r="BG10" s="526">
        <v>-36067913</v>
      </c>
      <c r="BH10" s="526">
        <v>-43206218</v>
      </c>
      <c r="BI10" s="526">
        <v>-47427585</v>
      </c>
      <c r="BJ10" s="526">
        <f>BJ8+BJ9</f>
        <v>-30033213</v>
      </c>
      <c r="BK10" s="526">
        <v>1340320</v>
      </c>
      <c r="BL10" s="526">
        <v>-4611635</v>
      </c>
      <c r="BM10" s="526">
        <v>859482</v>
      </c>
      <c r="BN10" s="526">
        <v>-122570</v>
      </c>
      <c r="BO10" s="526">
        <v>7559942</v>
      </c>
      <c r="BP10" s="526">
        <v>11841920</v>
      </c>
      <c r="BQ10" s="526">
        <v>9535908</v>
      </c>
      <c r="BR10" s="526">
        <v>14287297</v>
      </c>
      <c r="BS10" s="526">
        <v>15137079</v>
      </c>
      <c r="BT10" s="526">
        <v>14200673</v>
      </c>
      <c r="BU10" s="526">
        <v>20462601</v>
      </c>
      <c r="BV10" s="526">
        <v>35443744</v>
      </c>
      <c r="BW10" s="526">
        <f t="shared" ref="BW10:CI10" si="5">BW8+BW9</f>
        <v>-7756173</v>
      </c>
      <c r="BX10" s="526">
        <f t="shared" si="5"/>
        <v>-18728629</v>
      </c>
      <c r="BY10" s="526">
        <f t="shared" si="5"/>
        <v>-16670157</v>
      </c>
      <c r="BZ10" s="526">
        <f t="shared" si="5"/>
        <v>-17846638</v>
      </c>
      <c r="CA10" s="526">
        <f t="shared" si="5"/>
        <v>250372451</v>
      </c>
      <c r="CB10" s="526">
        <f t="shared" si="5"/>
        <v>-13613852</v>
      </c>
      <c r="CC10" s="526">
        <f t="shared" si="5"/>
        <v>-13613852</v>
      </c>
      <c r="CD10" s="526">
        <f t="shared" si="5"/>
        <v>-13613852</v>
      </c>
      <c r="CE10" s="526">
        <f t="shared" si="5"/>
        <v>-13613852</v>
      </c>
      <c r="CF10" s="526">
        <f t="shared" si="5"/>
        <v>-13613852</v>
      </c>
      <c r="CG10" s="526">
        <f t="shared" si="5"/>
        <v>-13613852</v>
      </c>
      <c r="CH10" s="526">
        <f t="shared" si="5"/>
        <v>-13613852</v>
      </c>
      <c r="CI10" s="526">
        <f t="shared" si="5"/>
        <v>-13613852</v>
      </c>
    </row>
    <row r="11" spans="1:87" ht="18" thickTop="1">
      <c r="A11" s="396"/>
      <c r="B11" s="396"/>
      <c r="C11" s="396"/>
      <c r="D11" s="396"/>
      <c r="E11" s="396"/>
      <c r="F11" s="396"/>
      <c r="G11" s="396"/>
      <c r="H11" s="396"/>
      <c r="I11" s="396"/>
      <c r="J11" s="396"/>
      <c r="K11" s="396"/>
      <c r="L11" s="396"/>
      <c r="M11" s="396"/>
      <c r="N11" s="396"/>
      <c r="O11" s="396"/>
      <c r="P11" s="396"/>
      <c r="Q11" s="396"/>
      <c r="R11" s="396"/>
      <c r="S11" s="396"/>
      <c r="T11" s="396"/>
      <c r="AY11" s="527"/>
      <c r="AZ11" s="527"/>
      <c r="BA11" s="527"/>
      <c r="BB11" s="527"/>
      <c r="BK11" s="527"/>
      <c r="BL11" s="527"/>
      <c r="BM11" s="527"/>
      <c r="BN11" s="527"/>
    </row>
    <row r="12" spans="1:87" ht="17">
      <c r="A12" s="396"/>
      <c r="B12" s="396"/>
      <c r="C12" s="396"/>
      <c r="D12" s="396"/>
      <c r="E12" s="396"/>
      <c r="F12" s="396"/>
      <c r="G12" s="396"/>
      <c r="H12" s="396"/>
      <c r="I12" s="396"/>
      <c r="J12" s="396"/>
      <c r="K12" s="396"/>
      <c r="L12" s="396"/>
      <c r="M12" s="396"/>
      <c r="N12" s="396"/>
      <c r="O12" s="396"/>
      <c r="P12" s="396"/>
      <c r="Q12" s="396"/>
      <c r="R12" s="396"/>
      <c r="S12" s="396"/>
      <c r="T12" s="396"/>
    </row>
    <row r="13" spans="1:87" ht="17">
      <c r="A13" s="396" t="s">
        <v>1211</v>
      </c>
      <c r="B13" s="397">
        <v>90787466.450000003</v>
      </c>
      <c r="C13" s="397">
        <v>93453877.450000003</v>
      </c>
      <c r="D13" s="397">
        <v>91296258.450000003</v>
      </c>
      <c r="E13" s="397">
        <v>80812566.450000003</v>
      </c>
      <c r="F13" s="397">
        <v>34226928.450000003</v>
      </c>
      <c r="G13" s="397">
        <v>50173363.450000003</v>
      </c>
      <c r="H13" s="397">
        <v>72685036.450000003</v>
      </c>
      <c r="I13" s="397">
        <v>70272056.450000003</v>
      </c>
      <c r="J13" s="397">
        <v>65143491.450000003</v>
      </c>
      <c r="K13" s="397">
        <v>79390997.450000003</v>
      </c>
      <c r="L13" s="397">
        <v>66930463.450000003</v>
      </c>
      <c r="M13" s="397">
        <v>50735272.450000003</v>
      </c>
      <c r="N13" s="397">
        <v>46916726.450000003</v>
      </c>
      <c r="O13" s="397">
        <v>31101759.449999999</v>
      </c>
      <c r="P13" s="397">
        <v>38214655.450000003</v>
      </c>
      <c r="Q13" s="397">
        <v>32870557.449999999</v>
      </c>
      <c r="R13" s="397">
        <v>38144531.450000003</v>
      </c>
      <c r="S13" s="397">
        <v>29262160.449999999</v>
      </c>
      <c r="T13" s="397">
        <v>28992020.449999999</v>
      </c>
      <c r="U13" s="397">
        <v>30791415.449999999</v>
      </c>
      <c r="V13" s="397">
        <v>33150101.449999999</v>
      </c>
      <c r="W13" s="397">
        <v>25724065.449999999</v>
      </c>
      <c r="X13" s="397">
        <v>26741967.449999999</v>
      </c>
      <c r="Y13" s="397">
        <v>22340815.449999999</v>
      </c>
      <c r="Z13" s="397">
        <v>32718854.449999999</v>
      </c>
      <c r="AA13" s="397">
        <v>45494551.450000003</v>
      </c>
      <c r="AB13" s="397">
        <v>25251335.449999999</v>
      </c>
      <c r="AC13" s="397">
        <v>35009838.450000003</v>
      </c>
      <c r="AD13" s="397">
        <v>30150682.449999999</v>
      </c>
      <c r="AE13" s="397">
        <v>26354308.449999999</v>
      </c>
      <c r="AF13" s="397">
        <v>49086526.450000003</v>
      </c>
      <c r="AG13" s="397">
        <v>50666019.450000003</v>
      </c>
      <c r="AH13" s="397">
        <v>33224421.449999999</v>
      </c>
      <c r="AI13" s="397">
        <v>24044265.449999999</v>
      </c>
      <c r="AJ13" s="397">
        <v>18011169.449999999</v>
      </c>
      <c r="AK13" s="397">
        <v>29506087.449999999</v>
      </c>
      <c r="AL13" s="397">
        <v>36568436.450000003</v>
      </c>
      <c r="AM13" s="397">
        <v>26287912.449999999</v>
      </c>
      <c r="AN13" s="397">
        <v>23306942.449999999</v>
      </c>
      <c r="AO13" s="397">
        <v>31834699.449999999</v>
      </c>
      <c r="AP13" s="397">
        <v>27993781.449999999</v>
      </c>
      <c r="AQ13" s="397">
        <v>28268717.449999999</v>
      </c>
      <c r="AR13" s="397">
        <v>36978840.450000003</v>
      </c>
      <c r="AS13" s="397">
        <v>28544517.449999999</v>
      </c>
      <c r="AT13" s="397">
        <v>23517048.449999999</v>
      </c>
      <c r="AU13" s="397">
        <v>29036179.449999999</v>
      </c>
      <c r="AV13" s="397">
        <v>20064478.449999999</v>
      </c>
      <c r="AW13" s="397">
        <v>23369623.449999999</v>
      </c>
      <c r="AX13" s="397">
        <v>48827868.450000003</v>
      </c>
      <c r="AY13" s="397">
        <v>54353375.450000003</v>
      </c>
      <c r="AZ13" s="397">
        <v>57131646.450000003</v>
      </c>
      <c r="BA13" s="397">
        <v>98997887.450000003</v>
      </c>
      <c r="BB13" s="397">
        <v>118936927.45</v>
      </c>
      <c r="BC13" s="397">
        <v>105013434.45</v>
      </c>
      <c r="BD13" s="397">
        <v>120776540.45</v>
      </c>
      <c r="BE13" s="397">
        <v>105477891.45</v>
      </c>
      <c r="BF13" s="397">
        <v>91989735.450000003</v>
      </c>
      <c r="BG13" s="397">
        <v>78666878.450000003</v>
      </c>
      <c r="BH13" s="397">
        <v>63227270.450000003</v>
      </c>
      <c r="BI13" s="397">
        <v>53394988.450000003</v>
      </c>
      <c r="BJ13" s="397">
        <v>103726008.45</v>
      </c>
      <c r="BK13" s="397">
        <v>124628693.45</v>
      </c>
      <c r="BL13" s="397">
        <v>111628134.45</v>
      </c>
      <c r="BM13" s="397">
        <v>132045552.45</v>
      </c>
      <c r="BN13" s="397">
        <v>125315207.45</v>
      </c>
      <c r="BO13" s="397">
        <v>133008231.45</v>
      </c>
      <c r="BP13" s="397">
        <v>180243023.44999999</v>
      </c>
      <c r="BQ13" s="397">
        <v>180243023.44999999</v>
      </c>
      <c r="BR13" s="397">
        <v>138356829.44999999</v>
      </c>
      <c r="BS13" s="397">
        <v>123352665.45</v>
      </c>
      <c r="BT13" s="397">
        <v>146039890.44999999</v>
      </c>
      <c r="BU13" s="397">
        <v>151931204.44999999</v>
      </c>
      <c r="BV13" s="397">
        <v>180243023.44999999</v>
      </c>
      <c r="BW13" s="397">
        <v>200105895.44999999</v>
      </c>
      <c r="BX13" s="397">
        <v>150139342.44999999</v>
      </c>
      <c r="BY13" s="397">
        <v>163320938.44999999</v>
      </c>
      <c r="BZ13" s="397">
        <v>162992411.44999999</v>
      </c>
      <c r="CA13" s="397">
        <v>161417227.44999999</v>
      </c>
      <c r="CB13" s="397">
        <v>155930897.44999999</v>
      </c>
      <c r="CC13" s="397">
        <v>186620210.44999999</v>
      </c>
      <c r="CD13" s="397">
        <f>TWN_BS!$C$10</f>
        <v>221634549.44999999</v>
      </c>
      <c r="CE13" s="397"/>
      <c r="CF13" s="397"/>
      <c r="CG13" s="397"/>
      <c r="CH13" s="397"/>
      <c r="CI13" s="397"/>
    </row>
    <row r="14" spans="1:87" ht="17">
      <c r="A14" s="396" t="s">
        <v>1212</v>
      </c>
      <c r="B14" s="397">
        <v>0</v>
      </c>
      <c r="C14" s="397">
        <v>217320</v>
      </c>
      <c r="D14" s="397">
        <v>0</v>
      </c>
      <c r="E14" s="397">
        <v>220260</v>
      </c>
      <c r="F14" s="397">
        <v>248400</v>
      </c>
      <c r="G14" s="397">
        <v>0</v>
      </c>
      <c r="H14" s="397">
        <v>0</v>
      </c>
      <c r="I14" s="397">
        <v>230004</v>
      </c>
      <c r="J14" s="397">
        <v>0</v>
      </c>
      <c r="K14" s="397">
        <v>0</v>
      </c>
      <c r="L14" s="397">
        <v>0</v>
      </c>
      <c r="M14" s="397">
        <v>133338</v>
      </c>
      <c r="N14" s="397">
        <v>418395</v>
      </c>
      <c r="O14" s="397">
        <v>0</v>
      </c>
      <c r="P14" s="397">
        <v>7530</v>
      </c>
      <c r="Q14" s="397">
        <v>0</v>
      </c>
      <c r="R14" s="397">
        <v>0</v>
      </c>
      <c r="S14" s="397">
        <v>5598</v>
      </c>
      <c r="T14" s="397">
        <v>211020</v>
      </c>
      <c r="U14" s="397">
        <v>635976</v>
      </c>
      <c r="V14" s="397">
        <v>3015</v>
      </c>
      <c r="W14" s="397">
        <v>16446</v>
      </c>
      <c r="X14" s="397">
        <v>0</v>
      </c>
      <c r="Y14" s="397">
        <v>1149195</v>
      </c>
      <c r="Z14" s="397">
        <v>0</v>
      </c>
      <c r="AA14" s="397">
        <v>884</v>
      </c>
      <c r="AB14" s="397">
        <v>0</v>
      </c>
      <c r="AC14" s="397">
        <v>0</v>
      </c>
      <c r="AD14" s="397">
        <v>0</v>
      </c>
      <c r="AE14" s="397">
        <v>0</v>
      </c>
      <c r="AF14" s="397">
        <v>647745</v>
      </c>
      <c r="AG14" s="397">
        <v>2354</v>
      </c>
      <c r="AH14" s="397">
        <v>6323</v>
      </c>
      <c r="AI14" s="397">
        <v>0</v>
      </c>
      <c r="AJ14" s="397">
        <v>0</v>
      </c>
      <c r="AK14" s="397">
        <v>3015</v>
      </c>
      <c r="AL14" s="397">
        <v>0</v>
      </c>
      <c r="AM14" s="397">
        <v>0</v>
      </c>
      <c r="AN14" s="397">
        <v>0</v>
      </c>
      <c r="AO14" s="397">
        <v>0</v>
      </c>
      <c r="AP14" s="397">
        <v>0</v>
      </c>
      <c r="AQ14" s="397">
        <v>0</v>
      </c>
      <c r="AR14" s="397">
        <v>0</v>
      </c>
      <c r="AS14" s="397">
        <v>0</v>
      </c>
      <c r="AT14" s="397">
        <v>0</v>
      </c>
      <c r="AU14" s="397">
        <v>0</v>
      </c>
      <c r="AV14" s="397">
        <v>0</v>
      </c>
      <c r="AW14" s="397">
        <v>0</v>
      </c>
      <c r="AX14" s="397">
        <v>0</v>
      </c>
      <c r="AY14" s="397">
        <v>0</v>
      </c>
      <c r="AZ14" s="397">
        <v>0</v>
      </c>
      <c r="BA14" s="397">
        <v>0</v>
      </c>
      <c r="BB14" s="397">
        <v>0</v>
      </c>
      <c r="BC14" s="397">
        <v>0</v>
      </c>
      <c r="BD14" s="397">
        <v>0</v>
      </c>
      <c r="BE14" s="397">
        <v>0</v>
      </c>
      <c r="BF14" s="397">
        <v>0</v>
      </c>
      <c r="BG14" s="397">
        <v>0</v>
      </c>
      <c r="BH14" s="397">
        <v>0</v>
      </c>
      <c r="BI14" s="397">
        <v>0</v>
      </c>
      <c r="BJ14" s="397">
        <v>0</v>
      </c>
      <c r="BK14" s="397">
        <v>0</v>
      </c>
      <c r="BL14" s="397">
        <v>0</v>
      </c>
      <c r="BM14" s="397">
        <v>0</v>
      </c>
      <c r="BN14" s="397">
        <v>0</v>
      </c>
      <c r="BO14" s="397">
        <v>0</v>
      </c>
      <c r="BP14" s="397">
        <v>0</v>
      </c>
      <c r="BQ14" s="397">
        <v>0</v>
      </c>
      <c r="BR14" s="397">
        <v>0</v>
      </c>
      <c r="BS14" s="397">
        <v>0</v>
      </c>
      <c r="BT14" s="397">
        <v>0</v>
      </c>
      <c r="BU14" s="397">
        <v>0</v>
      </c>
      <c r="BV14" s="397">
        <v>0</v>
      </c>
      <c r="BW14" s="397">
        <v>0</v>
      </c>
      <c r="BX14" s="397">
        <v>0</v>
      </c>
      <c r="BY14" s="397">
        <v>0</v>
      </c>
      <c r="BZ14" s="397">
        <v>0</v>
      </c>
      <c r="CA14" s="397">
        <v>0</v>
      </c>
      <c r="CB14" s="397">
        <v>0</v>
      </c>
      <c r="CC14" s="397">
        <v>0</v>
      </c>
      <c r="CD14" s="397">
        <f>TWN_BS!$C$9</f>
        <v>0</v>
      </c>
      <c r="CE14" s="397"/>
      <c r="CF14" s="397"/>
      <c r="CG14" s="397"/>
      <c r="CH14" s="397"/>
      <c r="CI14" s="397"/>
    </row>
    <row r="15" spans="1:87" ht="17">
      <c r="A15" s="396" t="s">
        <v>1213</v>
      </c>
      <c r="B15" s="397">
        <v>107158846.23999999</v>
      </c>
      <c r="C15" s="397">
        <v>96444058.239999995</v>
      </c>
      <c r="D15" s="397">
        <v>93603678.239999995</v>
      </c>
      <c r="E15" s="397">
        <v>82609431.24000001</v>
      </c>
      <c r="F15" s="397">
        <v>81646465.24000001</v>
      </c>
      <c r="G15" s="397">
        <v>86557114.24000001</v>
      </c>
      <c r="H15" s="397">
        <v>76207056.24000001</v>
      </c>
      <c r="I15" s="397">
        <v>82346129.24000001</v>
      </c>
      <c r="J15" s="397">
        <v>92554837.239999995</v>
      </c>
      <c r="K15" s="397">
        <v>88619432.24000001</v>
      </c>
      <c r="L15" s="397">
        <v>88629411.24000001</v>
      </c>
      <c r="M15" s="397">
        <v>85885318.24000001</v>
      </c>
      <c r="N15" s="397">
        <v>97020617.239999995</v>
      </c>
      <c r="O15" s="397">
        <v>94541526.239999995</v>
      </c>
      <c r="P15" s="397">
        <v>96565522.239999995</v>
      </c>
      <c r="Q15" s="397">
        <v>92097342.24000001</v>
      </c>
      <c r="R15" s="397">
        <v>96483439.239999995</v>
      </c>
      <c r="S15" s="397">
        <v>88302458.24000001</v>
      </c>
      <c r="T15" s="397">
        <v>92347260.24000001</v>
      </c>
      <c r="U15" s="397">
        <v>92363228.24000001</v>
      </c>
      <c r="V15" s="397">
        <v>92943670.24000001</v>
      </c>
      <c r="W15" s="397">
        <v>86435653.24000001</v>
      </c>
      <c r="X15" s="397">
        <v>78804008.24000001</v>
      </c>
      <c r="Y15" s="397">
        <v>76984040.24000001</v>
      </c>
      <c r="Z15" s="397">
        <v>66509248.240000002</v>
      </c>
      <c r="AA15" s="397">
        <v>62298393.240000002</v>
      </c>
      <c r="AB15" s="397">
        <v>65224893.240000002</v>
      </c>
      <c r="AC15" s="397">
        <v>70858817.239999995</v>
      </c>
      <c r="AD15" s="397">
        <v>69983329.239999995</v>
      </c>
      <c r="AE15" s="397">
        <v>71247755.239999995</v>
      </c>
      <c r="AF15" s="397">
        <v>70880777.239999995</v>
      </c>
      <c r="AG15" s="397">
        <v>83068362.239999995</v>
      </c>
      <c r="AH15" s="397">
        <v>87284410.239999995</v>
      </c>
      <c r="AI15" s="397">
        <v>81520375.239999995</v>
      </c>
      <c r="AJ15" s="397">
        <v>85433569.239999995</v>
      </c>
      <c r="AK15" s="397">
        <v>82269463.239999995</v>
      </c>
      <c r="AL15" s="397">
        <v>84046060.239999995</v>
      </c>
      <c r="AM15" s="397">
        <v>89618310.239999995</v>
      </c>
      <c r="AN15" s="397">
        <v>92304653.239999995</v>
      </c>
      <c r="AO15" s="397">
        <v>87191075.239999995</v>
      </c>
      <c r="AP15" s="397">
        <v>92374734.239999995</v>
      </c>
      <c r="AQ15" s="397">
        <v>88332176.239999995</v>
      </c>
      <c r="AR15" s="397">
        <v>85813339.239999995</v>
      </c>
      <c r="AS15" s="397">
        <v>78367045.239999995</v>
      </c>
      <c r="AT15" s="397">
        <v>76978016.239999995</v>
      </c>
      <c r="AU15" s="397">
        <v>76155947.239999995</v>
      </c>
      <c r="AV15" s="397">
        <v>85885254.239999995</v>
      </c>
      <c r="AW15" s="397">
        <v>94725174.239999995</v>
      </c>
      <c r="AX15" s="397">
        <v>79046544.239999995</v>
      </c>
      <c r="AY15" s="397">
        <v>93921795</v>
      </c>
      <c r="AZ15" s="397">
        <v>105465694</v>
      </c>
      <c r="BA15" s="397">
        <v>106845623</v>
      </c>
      <c r="BB15" s="397">
        <v>106763527.23999999</v>
      </c>
      <c r="BC15" s="397">
        <v>119946659.23999999</v>
      </c>
      <c r="BD15" s="397">
        <v>129935249.23999999</v>
      </c>
      <c r="BE15" s="397">
        <v>118667886.23999999</v>
      </c>
      <c r="BF15" s="397">
        <v>113952513.23999999</v>
      </c>
      <c r="BG15" s="397">
        <v>115332364.23999999</v>
      </c>
      <c r="BH15" s="397">
        <v>112331096.23999999</v>
      </c>
      <c r="BI15" s="397">
        <v>109203448.23999999</v>
      </c>
      <c r="BJ15" s="397">
        <v>77650917.239999995</v>
      </c>
      <c r="BK15" s="397">
        <v>99945034.239999995</v>
      </c>
      <c r="BL15" s="397">
        <v>102145726.23999999</v>
      </c>
      <c r="BM15" s="397">
        <v>106970804.23999999</v>
      </c>
      <c r="BN15" s="397">
        <v>121994120.23999999</v>
      </c>
      <c r="BO15" s="397">
        <v>125702035.23999999</v>
      </c>
      <c r="BP15" s="397">
        <v>146634424.24000001</v>
      </c>
      <c r="BQ15" s="397">
        <v>161669169</v>
      </c>
      <c r="BR15" s="397">
        <v>145889327.24000001</v>
      </c>
      <c r="BS15" s="397">
        <v>143794513.24000001</v>
      </c>
      <c r="BT15" s="397">
        <v>145181486.24000001</v>
      </c>
      <c r="BU15" s="397">
        <v>138278590.24000001</v>
      </c>
      <c r="BV15" s="397">
        <v>132621157.23999999</v>
      </c>
      <c r="BW15" s="397">
        <f>'Inventory+AR Aging'!C10</f>
        <v>156412172.24000001</v>
      </c>
      <c r="BX15" s="397">
        <v>157228880.24000001</v>
      </c>
      <c r="BY15" s="397">
        <f>'Inventory+AR Aging'!E10</f>
        <v>158112926.24000001</v>
      </c>
      <c r="BZ15" s="397">
        <f>'Inventory+AR Aging'!F10</f>
        <v>167391650.24000001</v>
      </c>
      <c r="CA15" s="397">
        <v>180142567.24000001</v>
      </c>
      <c r="CB15" s="397">
        <v>157367982.24000001</v>
      </c>
      <c r="CC15" s="397">
        <v>167613772.24000001</v>
      </c>
      <c r="CD15" s="397">
        <f>'Inventory+AR Aging'!J10</f>
        <v>169910050.24000001</v>
      </c>
      <c r="CE15" s="397">
        <f>'Inventory+AR Aging'!K10</f>
        <v>0</v>
      </c>
      <c r="CF15" s="397">
        <f>'Inventory+AR Aging'!L10</f>
        <v>0</v>
      </c>
      <c r="CG15" s="397">
        <f>'Inventory+AR Aging'!M10</f>
        <v>0</v>
      </c>
      <c r="CH15" s="397">
        <f>'Inventory+AR Aging'!N10</f>
        <v>0</v>
      </c>
      <c r="CI15" s="397"/>
    </row>
    <row r="16" spans="1:87" ht="17">
      <c r="A16" s="396" t="s">
        <v>1214</v>
      </c>
      <c r="B16" s="397">
        <v>12119221</v>
      </c>
      <c r="C16" s="397">
        <v>6731302</v>
      </c>
      <c r="D16" s="397">
        <v>11687423</v>
      </c>
      <c r="E16" s="397">
        <v>13546521</v>
      </c>
      <c r="F16" s="397">
        <v>9741847</v>
      </c>
      <c r="G16" s="397">
        <v>7619561</v>
      </c>
      <c r="H16" s="397">
        <v>11289786</v>
      </c>
      <c r="I16" s="397">
        <v>6807864</v>
      </c>
      <c r="J16" s="397">
        <v>6227484</v>
      </c>
      <c r="K16" s="397">
        <v>6245826</v>
      </c>
      <c r="L16" s="397">
        <v>4845310</v>
      </c>
      <c r="M16" s="397">
        <v>7085537</v>
      </c>
      <c r="N16" s="397">
        <v>9801855</v>
      </c>
      <c r="O16" s="397">
        <v>7278549</v>
      </c>
      <c r="P16" s="397">
        <v>7996976</v>
      </c>
      <c r="Q16" s="397">
        <v>7719079</v>
      </c>
      <c r="R16" s="397">
        <v>8314480</v>
      </c>
      <c r="S16" s="397">
        <v>8940597</v>
      </c>
      <c r="T16" s="397">
        <v>5542871</v>
      </c>
      <c r="U16" s="397">
        <v>5406258</v>
      </c>
      <c r="V16" s="397">
        <v>1713988</v>
      </c>
      <c r="W16" s="397">
        <v>4076209</v>
      </c>
      <c r="X16" s="397">
        <v>1006333</v>
      </c>
      <c r="Y16" s="397">
        <v>1016912</v>
      </c>
      <c r="Z16" s="397">
        <v>8493667</v>
      </c>
      <c r="AA16" s="397">
        <v>3648503</v>
      </c>
      <c r="AB16" s="397">
        <v>2847575</v>
      </c>
      <c r="AC16" s="397">
        <v>1618419</v>
      </c>
      <c r="AD16" s="397">
        <v>1489147</v>
      </c>
      <c r="AE16" s="397">
        <v>1942535</v>
      </c>
      <c r="AF16" s="397">
        <v>1269483</v>
      </c>
      <c r="AG16" s="397">
        <v>1200322</v>
      </c>
      <c r="AH16" s="397">
        <v>701813</v>
      </c>
      <c r="AI16" s="397">
        <v>968205</v>
      </c>
      <c r="AJ16" s="397">
        <v>1182852</v>
      </c>
      <c r="AK16" s="397">
        <v>1317610</v>
      </c>
      <c r="AL16" s="397">
        <v>674348</v>
      </c>
      <c r="AM16" s="397">
        <v>707202</v>
      </c>
      <c r="AN16" s="397">
        <v>854796</v>
      </c>
      <c r="AO16" s="397">
        <v>1014832</v>
      </c>
      <c r="AP16" s="397">
        <v>996951</v>
      </c>
      <c r="AQ16" s="397">
        <v>502930</v>
      </c>
      <c r="AR16" s="397">
        <v>431915</v>
      </c>
      <c r="AS16" s="397">
        <v>677658</v>
      </c>
      <c r="AT16" s="397">
        <v>386396</v>
      </c>
      <c r="AU16" s="397">
        <v>845965</v>
      </c>
      <c r="AV16" s="397">
        <v>586317</v>
      </c>
      <c r="AW16" s="397">
        <v>483550</v>
      </c>
      <c r="AX16" s="397">
        <v>895940</v>
      </c>
      <c r="AY16" s="397">
        <v>881397</v>
      </c>
      <c r="AZ16" s="397">
        <v>959768</v>
      </c>
      <c r="BA16" s="397">
        <v>1320909</v>
      </c>
      <c r="BB16" s="397">
        <v>892098</v>
      </c>
      <c r="BC16" s="397">
        <v>893867</v>
      </c>
      <c r="BD16" s="397">
        <v>590051</v>
      </c>
      <c r="BE16" s="397">
        <v>860340</v>
      </c>
      <c r="BF16" s="397">
        <v>393897</v>
      </c>
      <c r="BG16" s="397">
        <v>505143</v>
      </c>
      <c r="BH16" s="397">
        <v>517771</v>
      </c>
      <c r="BI16" s="397">
        <v>506330</v>
      </c>
      <c r="BJ16" s="397">
        <v>870657</v>
      </c>
      <c r="BK16" s="397">
        <v>1186263</v>
      </c>
      <c r="BL16" s="397">
        <v>1080990</v>
      </c>
      <c r="BM16" s="397">
        <v>999601</v>
      </c>
      <c r="BN16" s="397">
        <v>850373</v>
      </c>
      <c r="BO16" s="397">
        <v>1065552</v>
      </c>
      <c r="BP16" s="397">
        <v>877028</v>
      </c>
      <c r="BQ16" s="397">
        <v>877028</v>
      </c>
      <c r="BR16" s="397">
        <v>424452</v>
      </c>
      <c r="BS16" s="397">
        <v>475700</v>
      </c>
      <c r="BT16" s="397">
        <v>643158</v>
      </c>
      <c r="BU16" s="397">
        <v>623495</v>
      </c>
      <c r="BV16" s="397">
        <v>877028</v>
      </c>
      <c r="BW16" s="397">
        <v>1276876</v>
      </c>
      <c r="BX16" s="397">
        <v>995217</v>
      </c>
      <c r="BY16" s="397">
        <v>890353</v>
      </c>
      <c r="BZ16" s="397">
        <v>1099716</v>
      </c>
      <c r="CA16" s="397">
        <v>1039429</v>
      </c>
      <c r="CB16" s="397">
        <v>619261</v>
      </c>
      <c r="CC16" s="397">
        <v>462973</v>
      </c>
      <c r="CD16" s="397">
        <f>TWN_BS!$C$13</f>
        <v>485063</v>
      </c>
      <c r="CE16" s="397"/>
      <c r="CF16" s="397"/>
      <c r="CG16" s="397"/>
      <c r="CH16" s="397"/>
      <c r="CI16" s="397"/>
    </row>
    <row r="17" spans="1:87" ht="17">
      <c r="A17" s="396" t="s">
        <v>1215</v>
      </c>
      <c r="B17" s="397">
        <v>87963321</v>
      </c>
      <c r="C17" s="397">
        <v>69717572</v>
      </c>
      <c r="D17" s="397">
        <v>83642999</v>
      </c>
      <c r="E17" s="397">
        <v>69323806</v>
      </c>
      <c r="F17" s="397">
        <v>81307493</v>
      </c>
      <c r="G17" s="397">
        <v>65588199</v>
      </c>
      <c r="H17" s="397">
        <v>67625560</v>
      </c>
      <c r="I17" s="397">
        <v>102451470</v>
      </c>
      <c r="J17" s="397">
        <v>79144648</v>
      </c>
      <c r="K17" s="397">
        <v>76884619</v>
      </c>
      <c r="L17" s="397">
        <v>66043087</v>
      </c>
      <c r="M17" s="397">
        <v>54805354</v>
      </c>
      <c r="N17" s="397">
        <v>89126568</v>
      </c>
      <c r="O17" s="397">
        <v>43045937</v>
      </c>
      <c r="P17" s="397">
        <v>47644590</v>
      </c>
      <c r="Q17" s="397">
        <v>57523714</v>
      </c>
      <c r="R17" s="397">
        <v>33546527</v>
      </c>
      <c r="S17" s="397">
        <v>29460827</v>
      </c>
      <c r="T17" s="397">
        <v>45531831</v>
      </c>
      <c r="U17" s="397">
        <v>30431923</v>
      </c>
      <c r="V17" s="397">
        <v>23227192</v>
      </c>
      <c r="W17" s="397">
        <v>40912090</v>
      </c>
      <c r="X17" s="397">
        <v>14404012</v>
      </c>
      <c r="Y17" s="397">
        <v>17871713</v>
      </c>
      <c r="Z17" s="397">
        <v>32260659</v>
      </c>
      <c r="AA17" s="397">
        <v>35145618</v>
      </c>
      <c r="AB17" s="397">
        <v>47066034</v>
      </c>
      <c r="AC17" s="397">
        <v>49058166</v>
      </c>
      <c r="AD17" s="397">
        <v>29609227</v>
      </c>
      <c r="AE17" s="397">
        <v>34346952</v>
      </c>
      <c r="AF17" s="397">
        <v>56888037</v>
      </c>
      <c r="AG17" s="397">
        <v>50734227</v>
      </c>
      <c r="AH17" s="397">
        <v>63366024</v>
      </c>
      <c r="AI17" s="397">
        <v>30856100</v>
      </c>
      <c r="AJ17" s="397">
        <v>22309681</v>
      </c>
      <c r="AK17" s="397">
        <v>35614411</v>
      </c>
      <c r="AL17" s="397">
        <v>32524801</v>
      </c>
      <c r="AM17" s="397">
        <v>47213333</v>
      </c>
      <c r="AN17" s="397">
        <v>44782695</v>
      </c>
      <c r="AO17" s="397">
        <v>17227336</v>
      </c>
      <c r="AP17" s="397">
        <v>17315925</v>
      </c>
      <c r="AQ17" s="397">
        <v>33841615</v>
      </c>
      <c r="AR17" s="397">
        <v>35830058</v>
      </c>
      <c r="AS17" s="397">
        <v>22696496</v>
      </c>
      <c r="AT17" s="397">
        <v>38046674</v>
      </c>
      <c r="AU17" s="397">
        <v>24817679</v>
      </c>
      <c r="AV17" s="397">
        <v>27016299</v>
      </c>
      <c r="AW17" s="397">
        <v>53240481</v>
      </c>
      <c r="AX17" s="397">
        <v>38200940</v>
      </c>
      <c r="AY17" s="397">
        <v>69116120</v>
      </c>
      <c r="AZ17" s="397">
        <v>82129188</v>
      </c>
      <c r="BA17" s="397">
        <v>91212940</v>
      </c>
      <c r="BB17" s="397">
        <v>74126728</v>
      </c>
      <c r="BC17" s="397">
        <v>116894343</v>
      </c>
      <c r="BD17" s="397">
        <v>91979542</v>
      </c>
      <c r="BE17" s="397">
        <v>81378026</v>
      </c>
      <c r="BF17" s="397">
        <v>42234622</v>
      </c>
      <c r="BG17" s="397">
        <v>32757690</v>
      </c>
      <c r="BH17" s="397">
        <v>46429721</v>
      </c>
      <c r="BI17" s="397">
        <v>29170970</v>
      </c>
      <c r="BJ17" s="397">
        <v>46346791</v>
      </c>
      <c r="BK17" s="397">
        <v>95805568</v>
      </c>
      <c r="BL17" s="397">
        <v>101445308</v>
      </c>
      <c r="BM17" s="397">
        <v>86108276</v>
      </c>
      <c r="BN17" s="397">
        <v>135909086</v>
      </c>
      <c r="BO17" s="397">
        <v>88349761</v>
      </c>
      <c r="BP17" s="397">
        <v>118316244</v>
      </c>
      <c r="BQ17" s="397">
        <v>118316244</v>
      </c>
      <c r="BR17" s="397">
        <v>73989530</v>
      </c>
      <c r="BS17" s="397">
        <v>67277201</v>
      </c>
      <c r="BT17" s="397">
        <v>65809470</v>
      </c>
      <c r="BU17" s="397">
        <v>81624687</v>
      </c>
      <c r="BV17" s="397">
        <v>118316244</v>
      </c>
      <c r="BW17" s="397">
        <v>170806278</v>
      </c>
      <c r="BX17" s="397">
        <v>158330270</v>
      </c>
      <c r="BY17" s="397">
        <v>94978914</v>
      </c>
      <c r="BZ17" s="397">
        <v>162330181</v>
      </c>
      <c r="CA17" s="397">
        <v>90147951</v>
      </c>
      <c r="CB17" s="397">
        <v>81340354</v>
      </c>
      <c r="CC17" s="397">
        <v>135260921</v>
      </c>
      <c r="CD17" s="397">
        <f>TWN_BS!$K$8</f>
        <v>123723496</v>
      </c>
      <c r="CE17" s="397"/>
      <c r="CF17" s="397"/>
      <c r="CG17" s="397"/>
      <c r="CH17" s="397"/>
      <c r="CI17" s="397"/>
    </row>
    <row r="18" spans="1:87" ht="17">
      <c r="A18" s="396" t="s">
        <v>1216</v>
      </c>
      <c r="B18" s="397">
        <v>0</v>
      </c>
      <c r="C18" s="397">
        <v>0</v>
      </c>
      <c r="D18" s="397">
        <v>0</v>
      </c>
      <c r="E18" s="397">
        <v>0</v>
      </c>
      <c r="F18" s="397">
        <v>0</v>
      </c>
      <c r="G18" s="397">
        <v>0</v>
      </c>
      <c r="H18" s="397">
        <v>0</v>
      </c>
      <c r="I18" s="397">
        <v>0</v>
      </c>
      <c r="J18" s="397">
        <v>0</v>
      </c>
      <c r="K18" s="397">
        <v>0</v>
      </c>
      <c r="L18" s="397">
        <v>0</v>
      </c>
      <c r="M18" s="397">
        <v>0</v>
      </c>
      <c r="N18" s="397">
        <v>0</v>
      </c>
      <c r="O18" s="397">
        <v>0</v>
      </c>
      <c r="P18" s="397">
        <v>0</v>
      </c>
      <c r="Q18" s="397">
        <v>0</v>
      </c>
      <c r="R18" s="397">
        <v>0</v>
      </c>
      <c r="S18" s="397">
        <v>0</v>
      </c>
      <c r="T18" s="397">
        <v>0</v>
      </c>
      <c r="U18" s="397">
        <v>0</v>
      </c>
      <c r="V18" s="397">
        <v>0</v>
      </c>
      <c r="W18" s="397">
        <v>0</v>
      </c>
      <c r="X18" s="397">
        <v>899908</v>
      </c>
      <c r="Y18" s="397">
        <v>0</v>
      </c>
      <c r="Z18" s="397">
        <v>0</v>
      </c>
      <c r="AA18" s="397">
        <v>0</v>
      </c>
      <c r="AB18" s="397">
        <v>0</v>
      </c>
      <c r="AC18" s="397">
        <v>0</v>
      </c>
      <c r="AD18" s="397">
        <v>0</v>
      </c>
      <c r="AE18" s="397">
        <v>0</v>
      </c>
      <c r="AF18" s="397">
        <v>0</v>
      </c>
      <c r="AG18" s="397">
        <v>70000</v>
      </c>
      <c r="AH18" s="397">
        <v>70000</v>
      </c>
      <c r="AI18" s="397">
        <v>70000</v>
      </c>
      <c r="AJ18" s="397">
        <v>70000</v>
      </c>
      <c r="AK18" s="397">
        <v>70000</v>
      </c>
      <c r="AL18" s="397">
        <v>70000</v>
      </c>
      <c r="AM18" s="397">
        <v>166500</v>
      </c>
      <c r="AN18" s="397">
        <v>70000</v>
      </c>
      <c r="AO18" s="397">
        <v>70000</v>
      </c>
      <c r="AP18" s="397">
        <v>70000</v>
      </c>
      <c r="AQ18" s="397">
        <v>70000</v>
      </c>
      <c r="AR18" s="397">
        <v>70000</v>
      </c>
      <c r="AS18" s="397">
        <v>70000</v>
      </c>
      <c r="AT18" s="397">
        <v>70000</v>
      </c>
      <c r="AU18" s="397">
        <v>70000</v>
      </c>
      <c r="AV18" s="397">
        <v>70000</v>
      </c>
      <c r="AW18" s="397">
        <v>70000</v>
      </c>
      <c r="AX18" s="397">
        <v>70000</v>
      </c>
      <c r="AY18" s="397">
        <v>70000</v>
      </c>
      <c r="AZ18" s="397">
        <v>70000</v>
      </c>
      <c r="BA18" s="397">
        <v>70000</v>
      </c>
      <c r="BB18" s="397">
        <v>70000</v>
      </c>
      <c r="BC18" s="397">
        <v>70000</v>
      </c>
      <c r="BD18" s="397">
        <v>70000</v>
      </c>
      <c r="BE18" s="397">
        <v>70000</v>
      </c>
      <c r="BF18" s="397">
        <v>70000</v>
      </c>
      <c r="BG18" s="397">
        <v>70000</v>
      </c>
      <c r="BH18" s="397">
        <v>70000</v>
      </c>
      <c r="BI18" s="397">
        <v>70000</v>
      </c>
      <c r="BJ18" s="397">
        <v>70000</v>
      </c>
      <c r="BK18" s="397">
        <v>70000</v>
      </c>
      <c r="BL18" s="397">
        <v>70000</v>
      </c>
      <c r="BM18" s="397">
        <v>70000</v>
      </c>
      <c r="BN18" s="397">
        <v>70000</v>
      </c>
      <c r="BO18" s="397">
        <v>70000</v>
      </c>
      <c r="BP18" s="397">
        <v>70000</v>
      </c>
      <c r="BQ18" s="397">
        <v>70000</v>
      </c>
      <c r="BR18" s="397">
        <v>70000</v>
      </c>
      <c r="BS18" s="397">
        <v>70000</v>
      </c>
      <c r="BT18" s="397">
        <v>70000</v>
      </c>
      <c r="BU18" s="397">
        <v>70000</v>
      </c>
      <c r="BV18" s="397">
        <v>70000</v>
      </c>
      <c r="BW18" s="397">
        <v>70000</v>
      </c>
      <c r="BX18" s="397">
        <v>70000</v>
      </c>
      <c r="BY18" s="397">
        <v>70000</v>
      </c>
      <c r="BZ18" s="397">
        <v>70000</v>
      </c>
      <c r="CA18" s="397">
        <v>70000</v>
      </c>
      <c r="CB18" s="397">
        <v>70000</v>
      </c>
      <c r="CC18" s="397">
        <v>70000</v>
      </c>
      <c r="CD18" s="397">
        <f>TWN_BS!$K$7</f>
        <v>70000</v>
      </c>
      <c r="CE18" s="397"/>
      <c r="CF18" s="397"/>
      <c r="CG18" s="397"/>
      <c r="CH18" s="397"/>
      <c r="CI18" s="397"/>
    </row>
    <row r="19" spans="1:87" ht="17">
      <c r="A19" s="396" t="s">
        <v>1217</v>
      </c>
      <c r="B19" s="528">
        <v>393337314.63999999</v>
      </c>
      <c r="C19" s="528">
        <v>23537390.32</v>
      </c>
      <c r="D19" s="528">
        <v>35516292.659999996</v>
      </c>
      <c r="E19" s="528">
        <v>59165730.049999997</v>
      </c>
      <c r="F19" s="528">
        <v>86439711.949999988</v>
      </c>
      <c r="G19" s="528">
        <v>116301751.36999999</v>
      </c>
      <c r="H19" s="528">
        <f>G19+29573215</f>
        <v>145874966.37</v>
      </c>
      <c r="I19" s="528">
        <f>H19+44052437.44</f>
        <v>189927403.81</v>
      </c>
      <c r="J19" s="528">
        <f>I19+32478683.24</f>
        <v>222406087.05000001</v>
      </c>
      <c r="K19" s="528">
        <f>J19+34475063.09</f>
        <v>256881150.14000002</v>
      </c>
      <c r="L19" s="528">
        <f>K19+27289164.55</f>
        <v>284170314.69</v>
      </c>
      <c r="M19" s="528">
        <f>L19+19469828.88</f>
        <v>303640143.56999999</v>
      </c>
      <c r="N19" s="528">
        <f>M19+30583778.71</f>
        <v>334223922.27999997</v>
      </c>
      <c r="O19" s="528">
        <f>11600003.91</f>
        <v>11600003.91</v>
      </c>
      <c r="P19" s="528">
        <f>O19+25663202.82</f>
        <v>37263206.730000004</v>
      </c>
      <c r="Q19" s="528">
        <f>P19+15233894.78</f>
        <v>52497101.510000005</v>
      </c>
      <c r="R19" s="528">
        <f>Q19+19173696.76</f>
        <v>71670798.270000011</v>
      </c>
      <c r="S19" s="528">
        <f>R19+13780208.53</f>
        <v>85451006.800000012</v>
      </c>
      <c r="T19" s="528">
        <f>S19+19755665.86</f>
        <v>105206672.66000001</v>
      </c>
      <c r="U19" s="528">
        <f>T19+19862126.1</f>
        <v>125068798.76000002</v>
      </c>
      <c r="V19" s="528">
        <f>U19+13523726.29</f>
        <v>138592525.05000001</v>
      </c>
      <c r="W19" s="528">
        <f>V19+14576694.67</f>
        <v>153169219.72</v>
      </c>
      <c r="X19" s="528">
        <f>W19+10378772.51</f>
        <v>163547992.22999999</v>
      </c>
      <c r="Y19" s="528">
        <f>X19+10367129.94</f>
        <v>173915122.16999999</v>
      </c>
      <c r="Z19" s="528">
        <f>Y19+10061780.48</f>
        <v>183976902.64999998</v>
      </c>
      <c r="AA19" s="528">
        <f>'[2]成本表-Final'!$Q$109</f>
        <v>23299166</v>
      </c>
      <c r="AB19" s="528">
        <f>'[2]成本表-Final'!$Q$109+'[2]成本表-Final'!$R$109</f>
        <v>36653194</v>
      </c>
      <c r="AC19" s="528">
        <f>SUM('[2]成本表-Final'!$Q$109:$S$109)</f>
        <v>59001925</v>
      </c>
      <c r="AD19" s="528">
        <v>76850795</v>
      </c>
      <c r="AE19" s="528">
        <v>95844004</v>
      </c>
      <c r="AF19" s="528">
        <v>116094535</v>
      </c>
      <c r="AG19" s="528">
        <v>140744085</v>
      </c>
      <c r="AH19" s="528">
        <v>157827731</v>
      </c>
      <c r="AI19" s="528">
        <v>172967713</v>
      </c>
      <c r="AJ19" s="528">
        <v>184382082</v>
      </c>
      <c r="AK19" s="528">
        <v>197158005</v>
      </c>
      <c r="AL19" s="528">
        <v>208861018</v>
      </c>
      <c r="AM19" s="528">
        <v>24004914</v>
      </c>
      <c r="AN19" s="528">
        <v>34742980</v>
      </c>
      <c r="AO19" s="528">
        <v>45166482</v>
      </c>
      <c r="AP19" s="528">
        <v>58436932</v>
      </c>
      <c r="AQ19" s="528">
        <v>73976905</v>
      </c>
      <c r="AR19" s="528">
        <v>98091196</v>
      </c>
      <c r="AS19" s="528">
        <v>103511104</v>
      </c>
      <c r="AT19" s="528">
        <v>115447214</v>
      </c>
      <c r="AU19" s="528">
        <v>127800694</v>
      </c>
      <c r="AV19" s="528">
        <v>141270980</v>
      </c>
      <c r="AW19" s="528">
        <v>163401246</v>
      </c>
      <c r="AX19" s="528">
        <v>175015528</v>
      </c>
      <c r="AY19" s="528">
        <v>17612493</v>
      </c>
      <c r="AZ19" s="528">
        <v>65349855</v>
      </c>
      <c r="BA19" s="528">
        <v>101832192</v>
      </c>
      <c r="BB19" s="528">
        <v>144328870</v>
      </c>
      <c r="BC19" s="528">
        <v>176642752</v>
      </c>
      <c r="BD19" s="528">
        <v>236023565</v>
      </c>
      <c r="BE19" s="528">
        <v>258489716</v>
      </c>
      <c r="BF19" s="528">
        <v>268356599</v>
      </c>
      <c r="BG19" s="528">
        <v>282089507</v>
      </c>
      <c r="BH19" s="528">
        <v>295751462</v>
      </c>
      <c r="BI19" s="528">
        <v>309306350</v>
      </c>
      <c r="BJ19" s="528">
        <v>334719409</v>
      </c>
      <c r="BK19" s="528">
        <v>40491021</v>
      </c>
      <c r="BL19" s="528">
        <v>73733794</v>
      </c>
      <c r="BM19" s="528">
        <v>122427005</v>
      </c>
      <c r="BN19" s="528">
        <v>122427005</v>
      </c>
      <c r="BO19" s="528">
        <v>194119649</v>
      </c>
      <c r="BP19" s="528">
        <v>240448153</v>
      </c>
      <c r="BQ19" s="528">
        <v>279513429</v>
      </c>
      <c r="BR19" s="528">
        <v>308407993</v>
      </c>
      <c r="BS19" s="528">
        <v>339167920</v>
      </c>
      <c r="BT19" s="528">
        <v>371897735</v>
      </c>
      <c r="BU19" s="528">
        <v>412265346</v>
      </c>
      <c r="BV19" s="528">
        <v>461452727</v>
      </c>
      <c r="BW19" s="528">
        <v>61473371</v>
      </c>
      <c r="BX19" s="528">
        <v>98242416</v>
      </c>
      <c r="BY19" s="528">
        <f>61473371+36769045+45796337</f>
        <v>144038753</v>
      </c>
      <c r="BZ19" s="528">
        <f>61473371+36769045+45796337+54087806</f>
        <v>198126559</v>
      </c>
      <c r="CA19" s="528">
        <v>243922662</v>
      </c>
      <c r="CB19" s="528">
        <v>284404799</v>
      </c>
      <c r="CC19" s="528">
        <v>360813405</v>
      </c>
      <c r="CD19" s="528">
        <f>61473371+36769045+45796337+54087806+45796103+40482137+76408606+56627970</f>
        <v>417441375</v>
      </c>
      <c r="CE19" s="528"/>
      <c r="CF19" s="528"/>
      <c r="CG19" s="528"/>
      <c r="CH19" s="528"/>
      <c r="CI19" s="528"/>
    </row>
    <row r="20" spans="1:87" ht="17">
      <c r="A20" s="396" t="s">
        <v>1218</v>
      </c>
      <c r="B20" s="397">
        <v>336506451.36000001</v>
      </c>
      <c r="C20" s="397">
        <v>300904465.36000001</v>
      </c>
      <c r="D20" s="397">
        <v>317957925.36000001</v>
      </c>
      <c r="E20" s="397">
        <v>291169060.36000001</v>
      </c>
      <c r="F20" s="397">
        <v>298247800.36000001</v>
      </c>
      <c r="G20" s="397">
        <v>281736505.36000001</v>
      </c>
      <c r="H20" s="397">
        <v>290685799.36000001</v>
      </c>
      <c r="I20" s="397">
        <v>328914209.36000001</v>
      </c>
      <c r="J20" s="397">
        <v>308273002.36000001</v>
      </c>
      <c r="K20" s="397">
        <v>313352529.36000001</v>
      </c>
      <c r="L20" s="397">
        <v>302515735.36000001</v>
      </c>
      <c r="M20" s="397">
        <v>296808512.36000001</v>
      </c>
      <c r="N20" s="397">
        <v>331880715.36000001</v>
      </c>
      <c r="O20" s="397">
        <v>274161455.35999995</v>
      </c>
      <c r="P20" s="397">
        <v>275023509.36000001</v>
      </c>
      <c r="Q20" s="397">
        <v>287306892.35999995</v>
      </c>
      <c r="R20" s="397">
        <v>265056847.36000001</v>
      </c>
      <c r="S20" s="397">
        <v>258000434.35999998</v>
      </c>
      <c r="T20" s="397">
        <v>270767756.36000001</v>
      </c>
      <c r="U20" s="397">
        <v>260178830.35999998</v>
      </c>
      <c r="V20" s="397">
        <v>250326474.35999998</v>
      </c>
      <c r="W20" s="397">
        <v>262099279.35999998</v>
      </c>
      <c r="X20" s="397">
        <v>239782194.35999998</v>
      </c>
      <c r="Y20" s="397">
        <v>238375273.35999998</v>
      </c>
      <c r="Z20" s="397">
        <v>256331784.35999998</v>
      </c>
      <c r="AA20" s="397">
        <v>264993157.36000001</v>
      </c>
      <c r="AB20" s="397">
        <v>273245119.36000001</v>
      </c>
      <c r="AC20" s="397">
        <v>278872133.36000001</v>
      </c>
      <c r="AD20" s="397">
        <v>261299008.35999998</v>
      </c>
      <c r="AE20" s="397">
        <v>268106237.35999998</v>
      </c>
      <c r="AF20" s="397">
        <v>295310810.36000001</v>
      </c>
      <c r="AG20" s="397">
        <v>289834596.36000001</v>
      </c>
      <c r="AH20" s="397">
        <v>303228593.35999995</v>
      </c>
      <c r="AI20" s="397">
        <v>266833768.35999998</v>
      </c>
      <c r="AJ20" s="397">
        <v>250086744.35999998</v>
      </c>
      <c r="AK20" s="397">
        <v>264470748.35999998</v>
      </c>
      <c r="AL20" s="397">
        <v>261257987.36000001</v>
      </c>
      <c r="AM20" s="397">
        <v>270992955.36000001</v>
      </c>
      <c r="AN20" s="397">
        <v>265992612.35999998</v>
      </c>
      <c r="AO20" s="397">
        <v>240636091.35999998</v>
      </c>
      <c r="AP20" s="397">
        <v>238737235.35999998</v>
      </c>
      <c r="AQ20" s="397">
        <v>256246961.35999998</v>
      </c>
      <c r="AR20" s="397">
        <v>257780662.36000001</v>
      </c>
      <c r="AS20" s="397">
        <v>246664982.35999998</v>
      </c>
      <c r="AT20" s="397">
        <v>259805331.35999998</v>
      </c>
      <c r="AU20" s="397">
        <v>250705095.35999998</v>
      </c>
      <c r="AV20" s="397">
        <v>250980993.35999998</v>
      </c>
      <c r="AW20" s="397">
        <v>274263474.36000001</v>
      </c>
      <c r="AX20" s="397">
        <v>262747806.36000001</v>
      </c>
      <c r="AY20" s="397">
        <v>294249885.36000001</v>
      </c>
      <c r="AZ20" s="397">
        <v>301988731.36000001</v>
      </c>
      <c r="BA20" s="397">
        <v>304409463.36000001</v>
      </c>
      <c r="BB20" s="397">
        <v>286970020.36000001</v>
      </c>
      <c r="BC20" s="397">
        <v>324444244.36000001</v>
      </c>
      <c r="BD20" s="397">
        <v>314623027.36000001</v>
      </c>
      <c r="BE20" s="397">
        <v>289653153.36000001</v>
      </c>
      <c r="BF20" s="397">
        <v>255751202.36000001</v>
      </c>
      <c r="BG20" s="397">
        <v>293928478.36000001</v>
      </c>
      <c r="BH20" s="397">
        <v>252651384.36000001</v>
      </c>
      <c r="BI20" s="397">
        <v>230017111.36000001</v>
      </c>
      <c r="BJ20" s="397">
        <v>244481687.36000001</v>
      </c>
      <c r="BK20" s="397">
        <v>274974365.36000001</v>
      </c>
      <c r="BL20" s="397">
        <v>276509256.36000001</v>
      </c>
      <c r="BM20" s="397">
        <v>270616158.36000001</v>
      </c>
      <c r="BN20" s="397">
        <v>338292904.36000001</v>
      </c>
      <c r="BO20" s="397">
        <v>326687248.36000001</v>
      </c>
      <c r="BP20" s="397">
        <v>378183790.36000001</v>
      </c>
      <c r="BQ20" s="397">
        <v>378183790.36000001</v>
      </c>
      <c r="BR20" s="397">
        <v>303617194.36000001</v>
      </c>
      <c r="BS20" s="397">
        <v>312043353.36000001</v>
      </c>
      <c r="BT20" s="397">
        <v>306718117.36000001</v>
      </c>
      <c r="BU20" s="397">
        <v>334824416.36000001</v>
      </c>
      <c r="BV20" s="397">
        <v>378183790.36000001</v>
      </c>
      <c r="BW20" s="397">
        <v>448881214.36000001</v>
      </c>
      <c r="BX20" s="397">
        <v>432700515.36000001</v>
      </c>
      <c r="BY20" s="397">
        <v>384294532.36000001</v>
      </c>
      <c r="BZ20" s="397">
        <v>427575732.36000001</v>
      </c>
      <c r="CA20" s="397">
        <v>396566773.36000001</v>
      </c>
      <c r="CB20" s="397">
        <v>377299308.36000001</v>
      </c>
      <c r="CC20" s="397">
        <v>443920056.36000001</v>
      </c>
      <c r="CD20" s="397">
        <f>TWN_BS!$C$16</f>
        <v>442850546.36000001</v>
      </c>
      <c r="CE20" s="397"/>
      <c r="CF20" s="397"/>
      <c r="CG20" s="397"/>
      <c r="CH20" s="397"/>
      <c r="CI20" s="397"/>
    </row>
    <row r="21" spans="1:87" ht="17">
      <c r="A21" s="396" t="s">
        <v>1219</v>
      </c>
      <c r="B21" s="397">
        <v>126962654.88</v>
      </c>
      <c r="C21" s="397">
        <v>86584071.879999995</v>
      </c>
      <c r="D21" s="397">
        <v>101214146.88</v>
      </c>
      <c r="E21" s="397">
        <v>88778866.879999995</v>
      </c>
      <c r="F21" s="397">
        <v>101087482.88</v>
      </c>
      <c r="G21" s="397">
        <v>85480895.879999995</v>
      </c>
      <c r="H21" s="397">
        <v>89568610.879999995</v>
      </c>
      <c r="I21" s="397">
        <v>124216434.88</v>
      </c>
      <c r="J21" s="397">
        <v>103369482.88</v>
      </c>
      <c r="K21" s="397">
        <v>102423650.88</v>
      </c>
      <c r="L21" s="397">
        <v>91634944.879999995</v>
      </c>
      <c r="M21" s="397">
        <v>84913273.879999995</v>
      </c>
      <c r="N21" s="397">
        <v>117859392.88</v>
      </c>
      <c r="O21" s="397">
        <v>63179860.879999995</v>
      </c>
      <c r="P21" s="397">
        <v>65073728.880000003</v>
      </c>
      <c r="Q21" s="397">
        <v>76475545.879999995</v>
      </c>
      <c r="R21" s="397">
        <v>54758314.880000003</v>
      </c>
      <c r="S21" s="397">
        <v>47969503.880000003</v>
      </c>
      <c r="T21" s="397">
        <v>65798541.880000003</v>
      </c>
      <c r="U21" s="397">
        <v>51512695.880000003</v>
      </c>
      <c r="V21" s="397">
        <v>43978953.880000003</v>
      </c>
      <c r="W21" s="397">
        <v>62014961.880000003</v>
      </c>
      <c r="X21" s="397">
        <v>41555022.880000003</v>
      </c>
      <c r="Y21" s="397">
        <v>42150845.880000003</v>
      </c>
      <c r="Z21" s="397">
        <v>56165013.880000003</v>
      </c>
      <c r="AA21" s="397">
        <v>51619434.880000003</v>
      </c>
      <c r="AB21" s="397">
        <v>61884946.880000003</v>
      </c>
      <c r="AC21" s="397">
        <v>63702891.880000003</v>
      </c>
      <c r="AD21" s="397">
        <v>44505168.880000003</v>
      </c>
      <c r="AE21" s="397">
        <v>51077167.880000003</v>
      </c>
      <c r="AF21" s="397">
        <v>75396651.879999995</v>
      </c>
      <c r="AG21" s="397">
        <v>70095168.879999995</v>
      </c>
      <c r="AH21" s="397">
        <v>82450505.879999995</v>
      </c>
      <c r="AI21" s="397">
        <v>51504745.880000003</v>
      </c>
      <c r="AJ21" s="397">
        <v>44258037.880000003</v>
      </c>
      <c r="AK21" s="397">
        <v>60353179.880000003</v>
      </c>
      <c r="AL21" s="397">
        <v>50932421.880000003</v>
      </c>
      <c r="AM21" s="397">
        <v>61118583.879999995</v>
      </c>
      <c r="AN21" s="397">
        <v>60240191.880000003</v>
      </c>
      <c r="AO21" s="397">
        <v>34298911.880000003</v>
      </c>
      <c r="AP21" s="397">
        <v>36592755.880000003</v>
      </c>
      <c r="AQ21" s="397">
        <v>52422127.880000003</v>
      </c>
      <c r="AR21" s="397">
        <v>54262259.880000003</v>
      </c>
      <c r="AS21" s="397">
        <v>43782828.880000003</v>
      </c>
      <c r="AT21" s="397">
        <v>57689830.880000003</v>
      </c>
      <c r="AU21" s="397">
        <v>47481449.880000003</v>
      </c>
      <c r="AV21" s="397">
        <v>51527442.880000003</v>
      </c>
      <c r="AW21" s="397">
        <v>78508258.879999995</v>
      </c>
      <c r="AX21" s="397">
        <v>57586707.880000003</v>
      </c>
      <c r="AY21" s="397">
        <v>97355178.879999995</v>
      </c>
      <c r="AZ21" s="397">
        <v>111528267.88</v>
      </c>
      <c r="BA21" s="397">
        <v>114591541.88</v>
      </c>
      <c r="BB21" s="397">
        <v>100823627.88</v>
      </c>
      <c r="BC21" s="397">
        <v>142257722.88</v>
      </c>
      <c r="BD21" s="397">
        <v>135706354.88</v>
      </c>
      <c r="BE21" s="397">
        <v>134509405.88</v>
      </c>
      <c r="BF21" s="397">
        <v>102983527.88</v>
      </c>
      <c r="BG21" s="397">
        <v>143327614.88</v>
      </c>
      <c r="BH21" s="397">
        <v>111208722.88</v>
      </c>
      <c r="BI21" s="397">
        <v>95008242.879999995</v>
      </c>
      <c r="BJ21" s="397">
        <v>91022410.879999995</v>
      </c>
      <c r="BK21" s="397">
        <v>117299444.88</v>
      </c>
      <c r="BL21" s="397">
        <v>124433082.88</v>
      </c>
      <c r="BM21" s="397">
        <v>111796146.88</v>
      </c>
      <c r="BN21" s="397">
        <v>179626895.88</v>
      </c>
      <c r="BO21" s="397">
        <v>158638925.88</v>
      </c>
      <c r="BP21" s="397">
        <v>169855308.88</v>
      </c>
      <c r="BQ21" s="397">
        <v>169855308.88</v>
      </c>
      <c r="BR21" s="397">
        <v>123538126.88</v>
      </c>
      <c r="BS21" s="397">
        <v>129240347.88</v>
      </c>
      <c r="BT21" s="397">
        <v>123013483.88</v>
      </c>
      <c r="BU21" s="397">
        <v>143072242.88</v>
      </c>
      <c r="BV21" s="397">
        <v>169855308.88</v>
      </c>
      <c r="BW21" s="397">
        <v>247694864.88</v>
      </c>
      <c r="BX21" s="397">
        <v>240855886.88</v>
      </c>
      <c r="BY21" s="397">
        <v>189319697.88</v>
      </c>
      <c r="BZ21" s="397">
        <v>233594864.88</v>
      </c>
      <c r="CA21" s="397">
        <v>203371216.88</v>
      </c>
      <c r="CB21" s="397">
        <v>179623141.88</v>
      </c>
      <c r="CC21" s="397">
        <v>245566336.88</v>
      </c>
      <c r="CD21" s="397">
        <f>TWN_BS!$K$13</f>
        <v>241703046.88</v>
      </c>
      <c r="CE21" s="397"/>
      <c r="CF21" s="397"/>
      <c r="CG21" s="397"/>
      <c r="CH21" s="397"/>
      <c r="CI21" s="397"/>
    </row>
    <row r="22" spans="1:87" ht="17">
      <c r="A22" s="396" t="s">
        <v>1220</v>
      </c>
      <c r="B22" s="397">
        <v>401729353.36000001</v>
      </c>
      <c r="C22" s="397">
        <v>366473300.36000001</v>
      </c>
      <c r="D22" s="397">
        <v>379986477.36000001</v>
      </c>
      <c r="E22" s="397">
        <v>353552918.36000001</v>
      </c>
      <c r="F22" s="397">
        <v>359903632.36000001</v>
      </c>
      <c r="G22" s="397">
        <v>342110591.36000001</v>
      </c>
      <c r="H22" s="397">
        <v>350145711.36000001</v>
      </c>
      <c r="I22" s="397">
        <v>387170779.36000001</v>
      </c>
      <c r="J22" s="397">
        <v>366752208.36000001</v>
      </c>
      <c r="K22" s="397">
        <v>371352461.36000001</v>
      </c>
      <c r="L22" s="397">
        <v>360928576.36000001</v>
      </c>
      <c r="M22" s="397">
        <v>355462425.36000001</v>
      </c>
      <c r="N22" s="397">
        <v>389476296.36000001</v>
      </c>
      <c r="O22" s="397">
        <v>332369441.35999995</v>
      </c>
      <c r="P22" s="397">
        <v>332464621.36000001</v>
      </c>
      <c r="Q22" s="397">
        <v>343749378.35999995</v>
      </c>
      <c r="R22" s="397">
        <v>320393021.36000001</v>
      </c>
      <c r="S22" s="397">
        <v>312396868.36000001</v>
      </c>
      <c r="T22" s="397">
        <v>324501844.36000001</v>
      </c>
      <c r="U22" s="397">
        <v>313119595.36000001</v>
      </c>
      <c r="V22" s="397">
        <v>302442962.36000001</v>
      </c>
      <c r="W22" s="397">
        <v>313218641.36000001</v>
      </c>
      <c r="X22" s="397">
        <v>290335977.36000001</v>
      </c>
      <c r="Y22" s="397">
        <v>288031097.36000001</v>
      </c>
      <c r="Z22" s="397">
        <v>305096086.36000001</v>
      </c>
      <c r="AA22" s="397">
        <v>312414791.36000001</v>
      </c>
      <c r="AB22" s="397">
        <v>319580488.36000001</v>
      </c>
      <c r="AC22" s="397">
        <v>324281212.36000001</v>
      </c>
      <c r="AD22" s="397">
        <v>305901892.36000001</v>
      </c>
      <c r="AE22" s="397">
        <v>311925524.36000001</v>
      </c>
      <c r="AF22" s="397">
        <v>339066802.36000001</v>
      </c>
      <c r="AG22" s="397">
        <v>333738644.36000001</v>
      </c>
      <c r="AH22" s="397">
        <v>346624274.35999995</v>
      </c>
      <c r="AI22" s="397">
        <v>310179165.36000001</v>
      </c>
      <c r="AJ22" s="397">
        <v>293416352.36000001</v>
      </c>
      <c r="AK22" s="397">
        <v>308864047.36000001</v>
      </c>
      <c r="AL22" s="397">
        <v>305672321.36000001</v>
      </c>
      <c r="AM22" s="397">
        <v>316663634.36000001</v>
      </c>
      <c r="AN22" s="397">
        <v>311190228.36000001</v>
      </c>
      <c r="AO22" s="397">
        <v>285687836.36000001</v>
      </c>
      <c r="AP22" s="397">
        <v>284215105.36000001</v>
      </c>
      <c r="AQ22" s="397">
        <v>301729388.36000001</v>
      </c>
      <c r="AR22" s="397">
        <v>302928933.36000001</v>
      </c>
      <c r="AS22" s="397">
        <v>293290824.36000001</v>
      </c>
      <c r="AT22" s="397">
        <v>307343335.36000001</v>
      </c>
      <c r="AU22" s="397">
        <v>299125325.36000001</v>
      </c>
      <c r="AV22" s="397">
        <v>299393552.36000001</v>
      </c>
      <c r="AW22" s="397">
        <v>323449537.36000001</v>
      </c>
      <c r="AX22" s="397">
        <v>312705073.36000001</v>
      </c>
      <c r="AY22" s="397">
        <v>349211707.36000001</v>
      </c>
      <c r="AZ22" s="397">
        <v>357628605.36000001</v>
      </c>
      <c r="BA22" s="397">
        <v>361209808.36000001</v>
      </c>
      <c r="BB22" s="397">
        <v>346246915.36000001</v>
      </c>
      <c r="BC22" s="397">
        <v>386007645.36000001</v>
      </c>
      <c r="BD22" s="397">
        <v>377360540.36000001</v>
      </c>
      <c r="BE22" s="397">
        <v>356274709.36000001</v>
      </c>
      <c r="BF22" s="397">
        <v>323155676.36000001</v>
      </c>
      <c r="BG22" s="397">
        <v>362570634.36000001</v>
      </c>
      <c r="BH22" s="397">
        <v>323333268.36000001</v>
      </c>
      <c r="BI22" s="397">
        <v>302926477.36000001</v>
      </c>
      <c r="BJ22" s="397">
        <v>316332270.36000001</v>
      </c>
      <c r="BK22" s="397">
        <v>344493091.36000001</v>
      </c>
      <c r="BL22" s="397">
        <v>345672479.36000001</v>
      </c>
      <c r="BM22" s="397">
        <v>338514005.36000001</v>
      </c>
      <c r="BN22" s="397">
        <v>405369776.36000001</v>
      </c>
      <c r="BO22" s="397">
        <v>392074095.36000001</v>
      </c>
      <c r="BP22" s="397">
        <v>431178868.36000001</v>
      </c>
      <c r="BQ22" s="397">
        <v>431178868.36000001</v>
      </c>
      <c r="BR22" s="397">
        <v>363682222.36000001</v>
      </c>
      <c r="BS22" s="397">
        <v>370223463.36000001</v>
      </c>
      <c r="BT22" s="397">
        <v>363056623.36000001</v>
      </c>
      <c r="BU22" s="397">
        <v>389393641.36000001</v>
      </c>
      <c r="BV22" s="397">
        <v>431178868.36000001</v>
      </c>
      <c r="BW22" s="397">
        <v>499420879.36000001</v>
      </c>
      <c r="BX22" s="397">
        <v>481619893.36000001</v>
      </c>
      <c r="BY22" s="397">
        <v>432147892.36000001</v>
      </c>
      <c r="BZ22" s="397">
        <v>475532054.36000001</v>
      </c>
      <c r="CA22" s="397">
        <v>443609484.36000001</v>
      </c>
      <c r="CB22" s="397">
        <v>423875936.36000001</v>
      </c>
      <c r="CC22" s="397">
        <v>489178909.36000001</v>
      </c>
      <c r="CD22" s="397">
        <f>TWN_BS!$C$40</f>
        <v>487616687.36000001</v>
      </c>
      <c r="CE22" s="397"/>
      <c r="CF22" s="397"/>
      <c r="CG22" s="397"/>
      <c r="CH22" s="397"/>
      <c r="CI22" s="397"/>
    </row>
    <row r="23" spans="1:87" ht="17">
      <c r="A23" s="396" t="s">
        <v>1221</v>
      </c>
      <c r="B23" s="397">
        <v>127255662.88</v>
      </c>
      <c r="C23" s="397">
        <v>86891545.879999995</v>
      </c>
      <c r="D23" s="397">
        <v>101509041.88</v>
      </c>
      <c r="E23" s="397">
        <v>89075868.879999995</v>
      </c>
      <c r="F23" s="397">
        <v>101384109.88</v>
      </c>
      <c r="G23" s="397">
        <v>85775770.879999995</v>
      </c>
      <c r="H23" s="397">
        <v>89856147.879999995</v>
      </c>
      <c r="I23" s="397">
        <v>124488085.88</v>
      </c>
      <c r="J23" s="397">
        <v>103642667.88</v>
      </c>
      <c r="K23" s="397">
        <v>102699116.88</v>
      </c>
      <c r="L23" s="397">
        <v>91916464.879999995</v>
      </c>
      <c r="M23" s="397">
        <v>85183365.879999995</v>
      </c>
      <c r="N23" s="397">
        <v>118120100.88</v>
      </c>
      <c r="O23" s="397">
        <v>63446099.879999995</v>
      </c>
      <c r="P23" s="397">
        <v>65325255.880000003</v>
      </c>
      <c r="Q23" s="397">
        <v>76724812.879999995</v>
      </c>
      <c r="R23" s="397">
        <v>54996459.880000003</v>
      </c>
      <c r="S23" s="397">
        <v>48204673.880000003</v>
      </c>
      <c r="T23" s="397">
        <v>66036767.880000003</v>
      </c>
      <c r="U23" s="397">
        <v>51755073.880000003</v>
      </c>
      <c r="V23" s="397">
        <v>44226875.880000003</v>
      </c>
      <c r="W23" s="397">
        <v>62259221.880000003</v>
      </c>
      <c r="X23" s="397">
        <v>41780118.880000003</v>
      </c>
      <c r="Y23" s="397">
        <v>42341061.880000003</v>
      </c>
      <c r="Z23" s="397">
        <v>56316926.880000003</v>
      </c>
      <c r="AA23" s="397">
        <v>51746551.880000003</v>
      </c>
      <c r="AB23" s="397">
        <v>61970081.880000003</v>
      </c>
      <c r="AC23" s="397">
        <v>63777755.880000003</v>
      </c>
      <c r="AD23" s="397">
        <v>44565513.880000003</v>
      </c>
      <c r="AE23" s="397">
        <v>51153231.880000003</v>
      </c>
      <c r="AF23" s="397">
        <v>75478211.879999995</v>
      </c>
      <c r="AG23" s="397">
        <v>70189834.879999995</v>
      </c>
      <c r="AH23" s="397">
        <v>82563986.879999995</v>
      </c>
      <c r="AI23" s="397">
        <v>51632390.880000003</v>
      </c>
      <c r="AJ23" s="397">
        <v>44396413.880000003</v>
      </c>
      <c r="AK23" s="397">
        <v>60489214.880000003</v>
      </c>
      <c r="AL23" s="397">
        <v>51071172.880000003</v>
      </c>
      <c r="AM23" s="397">
        <v>61262817.879999995</v>
      </c>
      <c r="AN23" s="397">
        <v>60402880.880000003</v>
      </c>
      <c r="AO23" s="397">
        <v>34483320.880000003</v>
      </c>
      <c r="AP23" s="397">
        <v>36795231.880000003</v>
      </c>
      <c r="AQ23" s="397">
        <v>52619957.880000003</v>
      </c>
      <c r="AR23" s="397">
        <v>54448570.880000003</v>
      </c>
      <c r="AS23" s="397">
        <v>43958147.880000003</v>
      </c>
      <c r="AT23" s="397">
        <v>57862808.880000003</v>
      </c>
      <c r="AU23" s="397">
        <v>47662099.880000003</v>
      </c>
      <c r="AV23" s="397">
        <v>51723596.880000003</v>
      </c>
      <c r="AW23" s="397">
        <v>78724535.879999995</v>
      </c>
      <c r="AX23" s="397">
        <v>57809543.880000003</v>
      </c>
      <c r="AY23" s="397">
        <v>97575722.879999995</v>
      </c>
      <c r="AZ23" s="397">
        <v>111742933.88</v>
      </c>
      <c r="BA23" s="397">
        <v>114809972.88</v>
      </c>
      <c r="BB23" s="397">
        <v>101062690.88</v>
      </c>
      <c r="BC23" s="397">
        <v>142527435.88</v>
      </c>
      <c r="BD23" s="397">
        <v>135995427.88</v>
      </c>
      <c r="BE23" s="397">
        <v>134810496.88</v>
      </c>
      <c r="BF23" s="397">
        <v>103291841.88</v>
      </c>
      <c r="BG23" s="397">
        <v>143657898.88</v>
      </c>
      <c r="BH23" s="397">
        <v>111558837.88</v>
      </c>
      <c r="BI23" s="397">
        <v>95373413.879999995</v>
      </c>
      <c r="BJ23" s="397">
        <v>91384834.879999995</v>
      </c>
      <c r="BK23" s="397">
        <v>117658520.88</v>
      </c>
      <c r="BL23" s="397">
        <v>124789863.88</v>
      </c>
      <c r="BM23" s="397">
        <v>112160272.88</v>
      </c>
      <c r="BN23" s="397">
        <v>179998095.88</v>
      </c>
      <c r="BO23" s="397">
        <v>159019902.88</v>
      </c>
      <c r="BP23" s="397">
        <v>170240873.88</v>
      </c>
      <c r="BQ23" s="397">
        <v>170240873.88</v>
      </c>
      <c r="BR23" s="397">
        <v>123900674.88</v>
      </c>
      <c r="BS23" s="397">
        <v>129592133.88</v>
      </c>
      <c r="BT23" s="397">
        <v>123361699.88</v>
      </c>
      <c r="BU23" s="397">
        <v>143436789.88</v>
      </c>
      <c r="BV23" s="397">
        <v>170240873.88</v>
      </c>
      <c r="BW23" s="397">
        <v>248095442.88</v>
      </c>
      <c r="BX23" s="397">
        <v>241266912.88</v>
      </c>
      <c r="BY23" s="397">
        <v>189736439.88</v>
      </c>
      <c r="BZ23" s="397">
        <v>234020931.88</v>
      </c>
      <c r="CA23" s="397">
        <v>203798005.88</v>
      </c>
      <c r="CB23" s="397">
        <v>180052190.88</v>
      </c>
      <c r="CC23" s="397">
        <v>246000991.88</v>
      </c>
      <c r="CD23" s="397">
        <f>TWN_BS!$K$22</f>
        <v>242148929.88</v>
      </c>
      <c r="CE23" s="397"/>
      <c r="CF23" s="397"/>
      <c r="CG23" s="397"/>
      <c r="CH23" s="397"/>
      <c r="CI23" s="397"/>
    </row>
    <row r="24" spans="1:87" ht="17">
      <c r="A24" s="396" t="s">
        <v>1222</v>
      </c>
      <c r="B24" s="397">
        <v>335040000</v>
      </c>
      <c r="C24" s="397">
        <v>335040000</v>
      </c>
      <c r="D24" s="397">
        <v>335040000</v>
      </c>
      <c r="E24" s="397">
        <v>335040000</v>
      </c>
      <c r="F24" s="397">
        <v>335040000</v>
      </c>
      <c r="G24" s="397">
        <v>335040000</v>
      </c>
      <c r="H24" s="397">
        <v>335040000</v>
      </c>
      <c r="I24" s="397">
        <v>335040000</v>
      </c>
      <c r="J24" s="397">
        <v>335040000</v>
      </c>
      <c r="K24" s="397">
        <v>335040000</v>
      </c>
      <c r="L24" s="397">
        <v>335040000</v>
      </c>
      <c r="M24" s="397">
        <v>335040000</v>
      </c>
      <c r="N24" s="397">
        <v>335040000</v>
      </c>
      <c r="O24" s="397">
        <v>335040000</v>
      </c>
      <c r="P24" s="397">
        <v>335040000</v>
      </c>
      <c r="Q24" s="397">
        <v>335040000</v>
      </c>
      <c r="R24" s="397">
        <v>335040000</v>
      </c>
      <c r="S24" s="397">
        <v>335040000</v>
      </c>
      <c r="T24" s="397">
        <v>335040000</v>
      </c>
      <c r="U24" s="397">
        <v>335040000</v>
      </c>
      <c r="V24" s="397">
        <v>335040000</v>
      </c>
      <c r="W24" s="397">
        <v>335040000</v>
      </c>
      <c r="X24" s="397">
        <v>335040000</v>
      </c>
      <c r="Y24" s="397">
        <v>335040000</v>
      </c>
      <c r="Z24" s="397">
        <v>335040000</v>
      </c>
      <c r="AA24" s="397">
        <v>335040000</v>
      </c>
      <c r="AB24" s="397">
        <v>335040000</v>
      </c>
      <c r="AC24" s="397">
        <v>335040000</v>
      </c>
      <c r="AD24" s="397">
        <v>335040000</v>
      </c>
      <c r="AE24" s="397">
        <v>335040000</v>
      </c>
      <c r="AF24" s="397">
        <v>335040000</v>
      </c>
      <c r="AG24" s="397">
        <v>335040000</v>
      </c>
      <c r="AH24" s="397">
        <v>335040000</v>
      </c>
      <c r="AI24" s="397">
        <v>335040000</v>
      </c>
      <c r="AJ24" s="397">
        <v>335040000</v>
      </c>
      <c r="AK24" s="397">
        <v>335040000</v>
      </c>
      <c r="AL24" s="397">
        <v>335040000</v>
      </c>
      <c r="AM24" s="397">
        <v>335040000</v>
      </c>
      <c r="AN24" s="397">
        <v>335040000</v>
      </c>
      <c r="AO24" s="397">
        <v>335040000</v>
      </c>
      <c r="AP24" s="397">
        <v>335040000</v>
      </c>
      <c r="AQ24" s="397">
        <v>335040000</v>
      </c>
      <c r="AR24" s="397">
        <v>335040000</v>
      </c>
      <c r="AS24" s="397">
        <v>335040000</v>
      </c>
      <c r="AT24" s="397">
        <v>335040000</v>
      </c>
      <c r="AU24" s="397">
        <v>335040000</v>
      </c>
      <c r="AV24" s="397">
        <v>335040000</v>
      </c>
      <c r="AW24" s="397">
        <v>335040000</v>
      </c>
      <c r="AX24" s="397">
        <v>335040000</v>
      </c>
      <c r="AY24" s="397">
        <v>335040000</v>
      </c>
      <c r="AZ24" s="397">
        <v>335040000</v>
      </c>
      <c r="BA24" s="397">
        <v>335040000</v>
      </c>
      <c r="BB24" s="397">
        <v>335040000</v>
      </c>
      <c r="BC24" s="397">
        <v>335040000</v>
      </c>
      <c r="BD24" s="397">
        <v>335040000</v>
      </c>
      <c r="BE24" s="397">
        <v>335040000</v>
      </c>
      <c r="BF24" s="397">
        <v>335040000</v>
      </c>
      <c r="BG24" s="397">
        <v>335040000</v>
      </c>
      <c r="BH24" s="397">
        <v>335040000</v>
      </c>
      <c r="BI24" s="397">
        <v>335040000</v>
      </c>
      <c r="BJ24" s="397">
        <v>335040000</v>
      </c>
      <c r="BK24" s="397">
        <v>335040000</v>
      </c>
      <c r="BL24" s="397">
        <v>335040000</v>
      </c>
      <c r="BM24" s="397">
        <v>335040000</v>
      </c>
      <c r="BN24" s="397">
        <v>335040000</v>
      </c>
      <c r="BO24" s="397">
        <v>335040000</v>
      </c>
      <c r="BP24" s="397">
        <v>335040000</v>
      </c>
      <c r="BQ24" s="397">
        <v>335040000</v>
      </c>
      <c r="BR24" s="397">
        <v>335040000</v>
      </c>
      <c r="BS24" s="397">
        <v>335040000</v>
      </c>
      <c r="BT24" s="397">
        <v>335040000</v>
      </c>
      <c r="BU24" s="397">
        <v>335040000</v>
      </c>
      <c r="BV24" s="397">
        <v>335040000</v>
      </c>
      <c r="BW24" s="397">
        <v>335040000</v>
      </c>
      <c r="BX24" s="397">
        <v>335040000</v>
      </c>
      <c r="BY24" s="397">
        <v>335040000</v>
      </c>
      <c r="BZ24" s="397">
        <v>335040000</v>
      </c>
      <c r="CA24" s="397">
        <v>335040000</v>
      </c>
      <c r="CB24" s="397">
        <v>335040000</v>
      </c>
      <c r="CC24" s="397">
        <v>335040000</v>
      </c>
      <c r="CD24" s="397">
        <f>TWN_BS!$K$26</f>
        <v>335040000</v>
      </c>
      <c r="CE24" s="397"/>
      <c r="CF24" s="397"/>
      <c r="CG24" s="397"/>
      <c r="CH24" s="397"/>
      <c r="CI24" s="397"/>
    </row>
    <row r="25" spans="1:87" ht="17">
      <c r="A25" s="396"/>
      <c r="B25" s="396"/>
      <c r="C25" s="396"/>
      <c r="D25" s="396"/>
      <c r="E25" s="396"/>
      <c r="F25" s="396"/>
      <c r="G25" s="396"/>
      <c r="H25" s="396"/>
      <c r="I25" s="396"/>
      <c r="J25" s="396"/>
      <c r="K25" s="396"/>
      <c r="L25" s="396"/>
      <c r="M25" s="396"/>
      <c r="N25" s="396"/>
      <c r="O25" s="396"/>
      <c r="P25" s="396"/>
      <c r="Q25" s="396"/>
      <c r="R25" s="396"/>
      <c r="S25" s="396"/>
      <c r="T25" s="396"/>
      <c r="U25" s="396"/>
      <c r="V25" s="396"/>
    </row>
    <row r="26" spans="1:87" ht="17">
      <c r="A26" s="396" t="s">
        <v>1223</v>
      </c>
      <c r="B26" s="529">
        <v>16.892768608601102</v>
      </c>
      <c r="C26" s="529">
        <f>C6/C4*100</f>
        <v>22.445630516575378</v>
      </c>
      <c r="D26" s="529">
        <f>D6/D4*100</f>
        <v>22.776145620270178</v>
      </c>
      <c r="E26" s="529">
        <f>E6/E4*100</f>
        <v>8.6275503573248642</v>
      </c>
      <c r="F26" s="529">
        <f>F6/F4*100</f>
        <v>7.2851963677185259</v>
      </c>
      <c r="G26" s="529">
        <v>7.913766703470043</v>
      </c>
      <c r="H26" s="529">
        <f t="shared" ref="H26:M26" si="6">H6/H4*100</f>
        <v>10.782524425624294</v>
      </c>
      <c r="I26" s="529">
        <f t="shared" si="6"/>
        <v>11.905718214149706</v>
      </c>
      <c r="J26" s="529">
        <f t="shared" si="6"/>
        <v>12.499670253073552</v>
      </c>
      <c r="K26" s="529">
        <f t="shared" si="6"/>
        <v>13.064914092416421</v>
      </c>
      <c r="L26" s="529">
        <f t="shared" si="6"/>
        <v>13.887975561282072</v>
      </c>
      <c r="M26" s="529">
        <f t="shared" si="6"/>
        <v>14.268177211127597</v>
      </c>
      <c r="N26" s="529">
        <f t="shared" ref="N26:S26" si="7">N6/N4*100</f>
        <v>14.767396900380476</v>
      </c>
      <c r="O26" s="529">
        <f t="shared" si="7"/>
        <v>5.8547716362842017</v>
      </c>
      <c r="P26" s="529">
        <f t="shared" si="7"/>
        <v>11.252135421374303</v>
      </c>
      <c r="Q26" s="529">
        <f t="shared" si="7"/>
        <v>13.646991860636104</v>
      </c>
      <c r="R26" s="529">
        <f t="shared" si="7"/>
        <v>14.600399911828216</v>
      </c>
      <c r="S26" s="529">
        <f t="shared" si="7"/>
        <v>13.894068791337066</v>
      </c>
      <c r="T26" s="529">
        <f t="shared" ref="T26:Y26" si="8">T6/T4*100</f>
        <v>11.812586953900745</v>
      </c>
      <c r="U26" s="529">
        <f t="shared" si="8"/>
        <v>14.327801523806988</v>
      </c>
      <c r="V26" s="529">
        <f t="shared" si="8"/>
        <v>13.771610603042056</v>
      </c>
      <c r="W26" s="529">
        <f t="shared" si="8"/>
        <v>12.329837661244113</v>
      </c>
      <c r="X26" s="529">
        <f t="shared" si="8"/>
        <v>12.558183956390549</v>
      </c>
      <c r="Y26" s="529">
        <f t="shared" si="8"/>
        <v>12.441652917427826</v>
      </c>
      <c r="Z26" s="529">
        <f>Z6/Z4*100</f>
        <v>14.022979888261494</v>
      </c>
      <c r="AA26" s="529">
        <f>AA6/AA4*100</f>
        <v>21.928758643586146</v>
      </c>
      <c r="AB26" s="529">
        <f>AB6/AB4*100</f>
        <v>19.683477881068466</v>
      </c>
      <c r="AC26" s="529">
        <f>AC6/AC4*100</f>
        <v>22.336238950942665</v>
      </c>
      <c r="AD26" s="529">
        <v>21.876822946807472</v>
      </c>
      <c r="AE26" s="529">
        <v>20.290350523715425</v>
      </c>
      <c r="AF26" s="529">
        <v>21.009605398712875</v>
      </c>
      <c r="AG26" s="529">
        <v>21.165397590492848</v>
      </c>
      <c r="AH26" s="529">
        <v>20.416334858632819</v>
      </c>
      <c r="AI26" s="529">
        <v>20.416334858632819</v>
      </c>
      <c r="AJ26" s="529">
        <v>17.865647737696953</v>
      </c>
      <c r="AK26" s="529">
        <v>17.627949674900908</v>
      </c>
      <c r="AL26" s="529">
        <v>19.35706727217708</v>
      </c>
      <c r="AM26" s="529">
        <v>28.774406984940725</v>
      </c>
      <c r="AN26" s="529">
        <v>15.526758081435771</v>
      </c>
      <c r="AO26" s="529">
        <v>20.457901883194886</v>
      </c>
      <c r="AP26" s="529">
        <v>21.624592115614846</v>
      </c>
      <c r="AQ26" s="529">
        <v>22.484583736898603</v>
      </c>
      <c r="AR26" s="529">
        <v>20.761130111194948</v>
      </c>
      <c r="AS26" s="529">
        <v>21.650969809155381</v>
      </c>
      <c r="AT26" s="529">
        <v>21.839065022373642</v>
      </c>
      <c r="AU26" s="529">
        <v>22.491487729779283</v>
      </c>
      <c r="AV26" s="529">
        <v>22.214869756859517</v>
      </c>
      <c r="AW26" s="529">
        <v>20.843947448467315</v>
      </c>
      <c r="AX26" s="529">
        <v>22.431181436006558</v>
      </c>
      <c r="AY26" s="529">
        <v>17.039663793178853</v>
      </c>
      <c r="AZ26" s="529">
        <v>9.8809262182786721</v>
      </c>
      <c r="BA26" s="529">
        <v>11.840941714695255</v>
      </c>
      <c r="BB26" s="529">
        <v>13.118595086276519</v>
      </c>
      <c r="BC26" s="529">
        <v>13.562448200368154</v>
      </c>
      <c r="BD26" s="529">
        <v>14.779276400296965</v>
      </c>
      <c r="BE26" s="529">
        <v>14.681396816761277</v>
      </c>
      <c r="BF26" s="529">
        <v>14.102740123841393</v>
      </c>
      <c r="BG26" s="529">
        <v>14.20332199221734</v>
      </c>
      <c r="BH26" s="529">
        <v>14.014651476291039</v>
      </c>
      <c r="BI26" s="529">
        <v>13.831720303245342</v>
      </c>
      <c r="BJ26" s="529">
        <v>16.336666440932714</v>
      </c>
      <c r="BK26" s="529">
        <v>15.455471847695899</v>
      </c>
      <c r="BL26" s="529">
        <v>9.4148120712259526</v>
      </c>
      <c r="BM26" s="529">
        <v>15.966950615562538</v>
      </c>
      <c r="BN26" s="529">
        <v>16.574938545485416</v>
      </c>
      <c r="BO26" s="529">
        <v>18.538252999747709</v>
      </c>
      <c r="BP26" s="529">
        <v>19.939772734576007</v>
      </c>
      <c r="BQ26" s="529">
        <v>19.516737123239906</v>
      </c>
      <c r="BR26" s="529">
        <v>19.321423294053091</v>
      </c>
      <c r="BS26" s="529">
        <v>18.815251233687359</v>
      </c>
      <c r="BT26" s="529">
        <v>18.103735827996804</v>
      </c>
      <c r="BU26" s="529">
        <v>18.229078816428558</v>
      </c>
      <c r="BV26" s="529">
        <v>18.194817649738741</v>
      </c>
      <c r="BW26" s="529">
        <f t="shared" ref="BW26:CA26" si="9">BW6/BW4*100</f>
        <v>7.6353772658138332</v>
      </c>
      <c r="BX26" s="529">
        <f t="shared" si="9"/>
        <v>4.7224533628685066</v>
      </c>
      <c r="BY26" s="529">
        <f t="shared" si="9"/>
        <v>8.8172504260806033</v>
      </c>
      <c r="BZ26" s="529">
        <f t="shared" si="9"/>
        <v>9.4221877796831404</v>
      </c>
      <c r="CA26" s="529">
        <f t="shared" si="9"/>
        <v>52.555882557428227</v>
      </c>
      <c r="CB26" s="529">
        <f>CB6/CB4*100</f>
        <v>11.057520710864665</v>
      </c>
      <c r="CC26" s="529">
        <f>CC6/CC4*100</f>
        <v>11.057520710864665</v>
      </c>
      <c r="CD26" s="529">
        <f>CD6/CD4*100</f>
        <v>11.057520710864665</v>
      </c>
      <c r="CE26" s="529"/>
      <c r="CF26" s="529"/>
      <c r="CG26" s="529"/>
      <c r="CH26" s="529"/>
      <c r="CI26" s="529"/>
    </row>
    <row r="27" spans="1:87" ht="17">
      <c r="A27" s="453" t="s">
        <v>1224</v>
      </c>
      <c r="B27" s="530">
        <v>16.403653616618659</v>
      </c>
      <c r="C27" s="530">
        <f>C7/C4*100</f>
        <v>15.095246065530016</v>
      </c>
      <c r="D27" s="530">
        <f>D7/D4*100</f>
        <v>19.515897964461235</v>
      </c>
      <c r="E27" s="530">
        <f>E7/E4*100</f>
        <v>20.627539167134834</v>
      </c>
      <c r="F27" s="530">
        <f>F7/F4*100</f>
        <v>19.947038068589553</v>
      </c>
      <c r="G27" s="530">
        <v>19.794079009210989</v>
      </c>
      <c r="H27" s="530">
        <f t="shared" ref="H27:M27" si="10">H7/H4*100</f>
        <v>18.285820972411607</v>
      </c>
      <c r="I27" s="530">
        <f t="shared" si="10"/>
        <v>17.04252574778863</v>
      </c>
      <c r="J27" s="530">
        <f t="shared" si="10"/>
        <v>17.093232222761682</v>
      </c>
      <c r="K27" s="530">
        <f t="shared" si="10"/>
        <v>16.330432628232472</v>
      </c>
      <c r="L27" s="530">
        <f t="shared" si="10"/>
        <v>16.41131603748666</v>
      </c>
      <c r="M27" s="530">
        <f t="shared" si="10"/>
        <v>16.579541402154124</v>
      </c>
      <c r="N27" s="530">
        <f t="shared" ref="N27:S27" si="11">N7/N4*100</f>
        <v>16.705505608014064</v>
      </c>
      <c r="O27" s="530">
        <f t="shared" si="11"/>
        <v>27.562712618032847</v>
      </c>
      <c r="P27" s="530">
        <f t="shared" si="11"/>
        <v>20.947973192710574</v>
      </c>
      <c r="Q27" s="530">
        <f t="shared" si="11"/>
        <v>20.532256003271996</v>
      </c>
      <c r="R27" s="530">
        <f t="shared" si="11"/>
        <v>21.257918399249352</v>
      </c>
      <c r="S27" s="530">
        <f t="shared" si="11"/>
        <v>20.967420827864476</v>
      </c>
      <c r="T27" s="530">
        <f t="shared" ref="T27:Y27" si="12">T7/T4*100</f>
        <v>21.645612213460659</v>
      </c>
      <c r="U27" s="530">
        <f t="shared" si="12"/>
        <v>21.264306041544884</v>
      </c>
      <c r="V27" s="530">
        <f t="shared" si="12"/>
        <v>21.649349211408474</v>
      </c>
      <c r="W27" s="530">
        <f t="shared" si="12"/>
        <v>22.23167581138657</v>
      </c>
      <c r="X27" s="530">
        <f t="shared" si="12"/>
        <v>22.466397473407881</v>
      </c>
      <c r="Y27" s="530">
        <f t="shared" si="12"/>
        <v>22.723855924323932</v>
      </c>
      <c r="Z27" s="530">
        <f>Z7/Z4*100</f>
        <v>22.408415781818704</v>
      </c>
      <c r="AA27" s="530">
        <f>AA7/AA4*100</f>
        <v>11.649473536203796</v>
      </c>
      <c r="AB27" s="530">
        <f>AB7/AB4*100</f>
        <v>15.671856632947415</v>
      </c>
      <c r="AC27" s="530">
        <f>AC7/AC4*100</f>
        <v>16.615148737291335</v>
      </c>
      <c r="AD27" s="530">
        <v>16.562517543647591</v>
      </c>
      <c r="AE27" s="530">
        <v>17.358346757796255</v>
      </c>
      <c r="AF27" s="530">
        <v>17.257523925205128</v>
      </c>
      <c r="AG27" s="530">
        <v>17.922396017050865</v>
      </c>
      <c r="AH27" s="530">
        <v>19.481244141072793</v>
      </c>
      <c r="AI27" s="530">
        <v>19.481244141072793</v>
      </c>
      <c r="AJ27" s="530">
        <v>20.718714453172801</v>
      </c>
      <c r="AK27" s="530">
        <v>20.745608641057032</v>
      </c>
      <c r="AL27" s="530">
        <v>20.458161909200903</v>
      </c>
      <c r="AM27" s="530">
        <v>31.88733494094657</v>
      </c>
      <c r="AN27" s="530">
        <v>33.756340220502032</v>
      </c>
      <c r="AO27" s="530">
        <v>30.559006277759842</v>
      </c>
      <c r="AP27" s="530">
        <v>34.885919838991178</v>
      </c>
      <c r="AQ27" s="530">
        <v>29.228793142000807</v>
      </c>
      <c r="AR27" s="530">
        <v>26.41423419700979</v>
      </c>
      <c r="AS27" s="530">
        <v>26.20274354171125</v>
      </c>
      <c r="AT27" s="530">
        <v>25.954609178359465</v>
      </c>
      <c r="AU27" s="530">
        <v>25.865750412425363</v>
      </c>
      <c r="AV27" s="530">
        <v>27.329709048085022</v>
      </c>
      <c r="AW27" s="530">
        <v>27.368073107153734</v>
      </c>
      <c r="AX27" s="530">
        <v>24.888739129190636</v>
      </c>
      <c r="AY27" s="530">
        <v>29.605951348174958</v>
      </c>
      <c r="AZ27" s="530">
        <v>27.526811065063008</v>
      </c>
      <c r="BA27" s="530">
        <v>18.620598186568984</v>
      </c>
      <c r="BB27" s="530">
        <v>17.637886464841994</v>
      </c>
      <c r="BC27" s="530">
        <v>18.300076729772211</v>
      </c>
      <c r="BD27" s="530">
        <v>19.426929404507533</v>
      </c>
      <c r="BE27" s="530">
        <v>26.614457589100127</v>
      </c>
      <c r="BF27" s="530">
        <v>26.564657906209959</v>
      </c>
      <c r="BG27" s="530">
        <v>26.15556750861494</v>
      </c>
      <c r="BH27" s="530">
        <v>26.612257191875287</v>
      </c>
      <c r="BI27" s="530">
        <v>26.849081621508109</v>
      </c>
      <c r="BJ27" s="530">
        <v>23.530322886523781</v>
      </c>
      <c r="BK27" s="530">
        <v>19.308536993930804</v>
      </c>
      <c r="BL27" s="530">
        <v>18.219510075311685</v>
      </c>
      <c r="BM27" s="530">
        <v>14.569445367516085</v>
      </c>
      <c r="BN27" s="530">
        <v>16.148432393495359</v>
      </c>
      <c r="BO27" s="530">
        <v>15.639019930551729</v>
      </c>
      <c r="BP27" s="530">
        <v>15.701117563234204</v>
      </c>
      <c r="BQ27" s="530">
        <v>15.981107004565356</v>
      </c>
      <c r="BR27" s="530">
        <v>15.066212284068254</v>
      </c>
      <c r="BS27" s="530">
        <v>14.571341470093477</v>
      </c>
      <c r="BT27" s="530">
        <v>14.596309088242098</v>
      </c>
      <c r="BU27" s="530">
        <v>14.273632746966062</v>
      </c>
      <c r="BV27" s="530">
        <v>12.851486801879833</v>
      </c>
      <c r="BW27" s="530">
        <f t="shared" ref="BW27:CD27" si="13">BW7/BW4*100</f>
        <v>12.24261456816296</v>
      </c>
      <c r="BX27" s="530">
        <f t="shared" si="13"/>
        <v>13.341602242692147</v>
      </c>
      <c r="BY27" s="530">
        <f t="shared" si="13"/>
        <v>12.580792451208008</v>
      </c>
      <c r="BZ27" s="530">
        <f t="shared" si="13"/>
        <v>12.373142716976734</v>
      </c>
      <c r="CA27" s="530">
        <f t="shared" si="13"/>
        <v>6.7203811795594826</v>
      </c>
      <c r="CB27" s="530">
        <f t="shared" si="13"/>
        <v>11.621257820044894</v>
      </c>
      <c r="CC27" s="530">
        <f t="shared" si="13"/>
        <v>11.621257820044894</v>
      </c>
      <c r="CD27" s="530">
        <f t="shared" si="13"/>
        <v>11.621257820044894</v>
      </c>
      <c r="CE27" s="530"/>
      <c r="CF27" s="530"/>
      <c r="CG27" s="530"/>
      <c r="CH27" s="530"/>
      <c r="CI27" s="530"/>
    </row>
    <row r="28" spans="1:87" ht="17">
      <c r="A28" s="396" t="s">
        <v>1163</v>
      </c>
      <c r="B28" s="529">
        <v>7.7165041064090083</v>
      </c>
      <c r="C28" s="529">
        <f>C4/(($B$13+C13+$B$14+C14)/2)*12/1</f>
        <v>6.3276589742228957</v>
      </c>
      <c r="D28" s="529">
        <f>D4/(($B$13+D13+$B$14+D14)/2)*12/2</f>
        <v>4.6277796022833888</v>
      </c>
      <c r="E28" s="529">
        <f>E4/(($B$13+E13+$B$14+E14)/2)*12/3</f>
        <v>4.5935362038950407</v>
      </c>
      <c r="F28" s="529">
        <f>F4/(($B$13+F13+$B$14+F14)/2)*12/4</f>
        <v>6.4433964342272549</v>
      </c>
      <c r="G28" s="531">
        <v>5.5848505131424453</v>
      </c>
      <c r="H28" s="531">
        <f>H4/(($B$13+H13+$B$14+H14)/2)*12/6</f>
        <v>5.3382965362304979</v>
      </c>
      <c r="I28" s="531">
        <f>I4/(($B$13+I13+$B$14+I14)/2)*12/7</f>
        <v>5.6873532242789588</v>
      </c>
      <c r="J28" s="531">
        <f>J4/(($B$13+J13+$B$14+J14)/2)*12/8</f>
        <v>5.7732976704813792</v>
      </c>
      <c r="K28" s="531">
        <f>K4/(($B$13+K13+$B$14+K14)/2)*12/9</f>
        <v>5.530884976646762</v>
      </c>
      <c r="L28" s="531">
        <f>L4/(($B$13+L13+$B$14+L14)/2)*12/10</f>
        <v>5.924824875602174</v>
      </c>
      <c r="M28" s="531">
        <f>M4/(($B$13+M13+$B$14+M14)/2)*12/11</f>
        <v>6.4784181242562706</v>
      </c>
      <c r="N28" s="531">
        <f>N4/(($B$13+N13+$B$14+N14)/2)*12/12</f>
        <v>6.514208484505235</v>
      </c>
      <c r="O28" s="531">
        <f>O4/(($N$13+O13+$N$14+O14)/2)*12/1</f>
        <v>6.2387662842416765</v>
      </c>
      <c r="P28" s="531">
        <f>P4/(($N$13+P13+$N$14+P14)/2)*12/2</f>
        <v>7.4731979203987766</v>
      </c>
      <c r="Q28" s="531">
        <f>Q4/(($N$13+Q13+$N$14+Q14)/2)*12/3</f>
        <v>8.2380037057450792</v>
      </c>
      <c r="R28" s="531">
        <f>R4/(($N$13+R13+$N$14+R14)/2)*12/4</f>
        <v>7.3796983094675142</v>
      </c>
      <c r="S28" s="531">
        <f>S4/(($N$13+S13+$N$14+S14)/2)*12/5</f>
        <v>8.2953237166739981</v>
      </c>
      <c r="T28" s="531">
        <f>T4/(($N$13+T13+$N$14+T14)/2)*12/6</f>
        <v>8.159184026602551</v>
      </c>
      <c r="U28" s="531">
        <f>U4/(($N$13+U13+$N$14+U14)/2)*12/7</f>
        <v>8.0198419077394068</v>
      </c>
      <c r="V28" s="531">
        <f>V4/(($N$13+V13+$N$14+V14)/2)*12/8</f>
        <v>7.603866204157514</v>
      </c>
      <c r="W28" s="531">
        <f>W4/(($N$13+W13+$N$14+W14)/2)*12/9</f>
        <v>8.2526100342995914</v>
      </c>
      <c r="X28" s="531">
        <f>X4/(($N$13+X13+$N$14+X14)/2)*12/10</f>
        <v>8.1018550176854998</v>
      </c>
      <c r="Y28" s="531">
        <f>Y4/(($N$13+Y13+$N$14+Y14)/2)*12/11</f>
        <v>8.2138533241603326</v>
      </c>
      <c r="Z28" s="531">
        <f>Z4/(($N$13+Z13+$N$14+Z14)/2)*12/12</f>
        <v>7.318450775409894</v>
      </c>
      <c r="AA28" s="531">
        <f>AA4/(($Z$13+AA13+$Z$14+AA14)/2)*12/1</f>
        <v>12.271231474799848</v>
      </c>
      <c r="AB28" s="531">
        <f>AB4/(($Z$13+AB13+$Z$14+AB14)/2)*12/2</f>
        <v>11.630463539330238</v>
      </c>
      <c r="AC28" s="531">
        <f>AC4/(($Z$13+AC13+$Z$14+AC14)/2)*12/3</f>
        <v>9.6082759039928245</v>
      </c>
      <c r="AD28" s="531">
        <v>10.449712188034265</v>
      </c>
      <c r="AE28" s="531">
        <v>11.014778421488586</v>
      </c>
      <c r="AF28" s="531">
        <v>8.2720658138201646</v>
      </c>
      <c r="AG28" s="531">
        <v>7.9921626874056502</v>
      </c>
      <c r="AH28" s="531">
        <v>12.262837799999332</v>
      </c>
      <c r="AI28" s="531">
        <v>11.081343445793696</v>
      </c>
      <c r="AJ28" s="531">
        <v>11.783994022522036</v>
      </c>
      <c r="AK28" s="531">
        <v>9.6304016399712182</v>
      </c>
      <c r="AL28" s="531">
        <v>8.5885959787179367</v>
      </c>
      <c r="AM28" s="531">
        <v>5.8603030950147978</v>
      </c>
      <c r="AN28" s="531">
        <v>5.8694794163548911</v>
      </c>
      <c r="AO28" s="531">
        <v>6.3281117496252088</v>
      </c>
      <c r="AP28" s="531">
        <v>6.1242779889071937</v>
      </c>
      <c r="AQ28" s="531">
        <v>7.3344732795249969</v>
      </c>
      <c r="AR28" s="531">
        <v>7.2270655067584144</v>
      </c>
      <c r="AS28" s="531">
        <v>8.0557677698687744</v>
      </c>
      <c r="AT28" s="531">
        <v>8.6507698301025098</v>
      </c>
      <c r="AU28" s="531">
        <v>7.9788571909516088</v>
      </c>
      <c r="AV28" s="531">
        <v>8.7490729388537964</v>
      </c>
      <c r="AW28" s="531">
        <v>8.2733786437967893</v>
      </c>
      <c r="AX28" s="531">
        <v>6.6838892676512254</v>
      </c>
      <c r="AY28" s="531">
        <v>4.6802515432749114</v>
      </c>
      <c r="AZ28" s="531">
        <v>5.4969548374178139</v>
      </c>
      <c r="BA28" s="531">
        <v>5.933269873440234</v>
      </c>
      <c r="BB28" s="531">
        <v>5.6765129352146761</v>
      </c>
      <c r="BC28" s="531">
        <v>5.9868819012712615</v>
      </c>
      <c r="BD28" s="531">
        <v>5.9208879681429094</v>
      </c>
      <c r="BE28" s="531">
        <v>6.2288041431137042</v>
      </c>
      <c r="BF28" s="531">
        <v>6.4986264902636925</v>
      </c>
      <c r="BG28" s="531">
        <v>7.0319301079637917</v>
      </c>
      <c r="BH28" s="531">
        <v>7.733789244359234</v>
      </c>
      <c r="BI28" s="531">
        <v>8.2341637626447515</v>
      </c>
      <c r="BJ28" s="531">
        <v>6.131656336817751</v>
      </c>
      <c r="BK28" s="531">
        <v>3.8840252669218192</v>
      </c>
      <c r="BL28" s="531">
        <v>4.3552068020141164</v>
      </c>
      <c r="BM28" s="531">
        <v>4.9864543947208517</v>
      </c>
      <c r="BN28" s="531">
        <v>4.951893140906086</v>
      </c>
      <c r="BO28" s="531">
        <v>5.0633148956666831</v>
      </c>
      <c r="BP28" s="531">
        <v>4.3067640573943873</v>
      </c>
      <c r="BQ28" s="531">
        <v>4.3013188258051844</v>
      </c>
      <c r="BR28" s="531">
        <v>5.2575864693298033</v>
      </c>
      <c r="BS28" s="531">
        <v>5.6168881006193567</v>
      </c>
      <c r="BT28" s="531">
        <v>5.0637583656140972</v>
      </c>
      <c r="BU28" s="531">
        <v>5.0795365894123279</v>
      </c>
      <c r="BV28" s="531">
        <v>4.8496044613940885</v>
      </c>
      <c r="BW28" s="531">
        <f>BW4/(($BV$13+BW13+$BV$14+BW14)/2)*12/1</f>
        <v>3.8015799497517646</v>
      </c>
      <c r="BX28" s="531">
        <f>BX4/(($BV$13+BX13+$BV$14+BX14)/2)*12/2</f>
        <v>4.1159019135167476</v>
      </c>
      <c r="BY28" s="531">
        <f>BY4/(($BV$13+BY13+$BV$14+BY14)/2)*12/3</f>
        <v>4.1226773616386101</v>
      </c>
      <c r="BZ28" s="531">
        <f>BZ4/(($BV$13+BZ13+$BV$14+BZ14)/2)*12/4</f>
        <v>4.2725676223588538</v>
      </c>
      <c r="CA28" s="531">
        <f>CA4/(($BV$13+CA13+$BV$14+CA14)/2)*12/5</f>
        <v>7.9455984406993831</v>
      </c>
      <c r="CB28" s="531">
        <f>CB4/(($BV$13+CB13+$BV$14+CB14)/2)*12/6</f>
        <v>6.7293916135539247</v>
      </c>
      <c r="CC28" s="531">
        <f>CC4/(($BV$13+CC13+$BV$14+CC14)/2)*12/7</f>
        <v>5.2855336538613482</v>
      </c>
      <c r="CD28" s="531">
        <f>CD4/(($BV$13+CD13+$BV$14+CD14)/2)*12/8</f>
        <v>4.2218938985734082</v>
      </c>
      <c r="CE28" s="531"/>
      <c r="CF28" s="531"/>
      <c r="CG28" s="531"/>
      <c r="CH28" s="531"/>
      <c r="CI28" s="531"/>
    </row>
    <row r="29" spans="1:87" ht="17">
      <c r="A29" s="453" t="s">
        <v>1164</v>
      </c>
      <c r="B29" s="530">
        <v>47.301212435932761</v>
      </c>
      <c r="C29" s="530">
        <f t="shared" ref="C29:AB29" si="14">365/C28</f>
        <v>57.683260347453526</v>
      </c>
      <c r="D29" s="530">
        <f t="shared" si="14"/>
        <v>78.871517524280037</v>
      </c>
      <c r="E29" s="530">
        <f t="shared" si="14"/>
        <v>79.459480408688648</v>
      </c>
      <c r="F29" s="530">
        <f t="shared" si="14"/>
        <v>56.647143121774064</v>
      </c>
      <c r="G29" s="532">
        <v>65.355375070661353</v>
      </c>
      <c r="H29" s="532">
        <f t="shared" si="14"/>
        <v>68.373871238283712</v>
      </c>
      <c r="I29" s="532">
        <f t="shared" si="14"/>
        <v>64.177480386102559</v>
      </c>
      <c r="J29" s="532">
        <f t="shared" si="14"/>
        <v>63.222099540480855</v>
      </c>
      <c r="K29" s="532">
        <f t="shared" si="14"/>
        <v>65.99305563958599</v>
      </c>
      <c r="L29" s="532">
        <f t="shared" si="14"/>
        <v>61.60519638361513</v>
      </c>
      <c r="M29" s="532">
        <f t="shared" si="14"/>
        <v>56.340914247782116</v>
      </c>
      <c r="N29" s="532">
        <f t="shared" si="14"/>
        <v>56.03136603137478</v>
      </c>
      <c r="O29" s="532">
        <f t="shared" si="14"/>
        <v>58.50515684838895</v>
      </c>
      <c r="P29" s="532">
        <f t="shared" si="14"/>
        <v>48.841206119230314</v>
      </c>
      <c r="Q29" s="532">
        <f t="shared" si="14"/>
        <v>44.306850668864548</v>
      </c>
      <c r="R29" s="532">
        <f t="shared" si="14"/>
        <v>49.460016479499792</v>
      </c>
      <c r="S29" s="532">
        <f t="shared" si="14"/>
        <v>44.000693941133669</v>
      </c>
      <c r="T29" s="532">
        <f t="shared" si="14"/>
        <v>44.734865497571626</v>
      </c>
      <c r="U29" s="532">
        <f t="shared" si="14"/>
        <v>45.512119091495208</v>
      </c>
      <c r="V29" s="532">
        <f t="shared" si="14"/>
        <v>48.001896693083772</v>
      </c>
      <c r="W29" s="532">
        <f t="shared" si="14"/>
        <v>44.228431791031305</v>
      </c>
      <c r="X29" s="532">
        <f t="shared" si="14"/>
        <v>45.051410967394908</v>
      </c>
      <c r="Y29" s="532">
        <f t="shared" si="14"/>
        <v>44.437121725364193</v>
      </c>
      <c r="Z29" s="532">
        <f t="shared" si="14"/>
        <v>49.873943434368044</v>
      </c>
      <c r="AA29" s="532">
        <f t="shared" si="14"/>
        <v>29.744365979043142</v>
      </c>
      <c r="AB29" s="532">
        <f t="shared" si="14"/>
        <v>31.383099974106379</v>
      </c>
      <c r="AC29" s="532">
        <f>365/AC28</f>
        <v>37.988084818455334</v>
      </c>
      <c r="AD29" s="532">
        <v>34.929191678403683</v>
      </c>
      <c r="AE29" s="532">
        <v>33.13729845785425</v>
      </c>
      <c r="AF29" s="532">
        <v>44.124407157181153</v>
      </c>
      <c r="AG29" s="532">
        <v>45.669741004544449</v>
      </c>
      <c r="AH29" s="532">
        <v>29.764725421061989</v>
      </c>
      <c r="AI29" s="532">
        <v>32.938244517504621</v>
      </c>
      <c r="AJ29" s="532">
        <v>30.97421802000218</v>
      </c>
      <c r="AK29" s="532">
        <v>37.900807634549587</v>
      </c>
      <c r="AL29" s="532">
        <v>42.498215180275068</v>
      </c>
      <c r="AM29" s="532">
        <v>62.283467950743997</v>
      </c>
      <c r="AN29" s="532">
        <v>62.186094218671798</v>
      </c>
      <c r="AO29" s="532">
        <v>57.679133119230649</v>
      </c>
      <c r="AP29" s="532">
        <v>59.598862210552596</v>
      </c>
      <c r="AQ29" s="532">
        <v>49.76499144375348</v>
      </c>
      <c r="AR29" s="532">
        <v>50.504592722823539</v>
      </c>
      <c r="AS29" s="532">
        <v>45.309151210294353</v>
      </c>
      <c r="AT29" s="532">
        <v>42.192776731833916</v>
      </c>
      <c r="AU29" s="532">
        <v>45.745899602505332</v>
      </c>
      <c r="AV29" s="532">
        <v>41.718705804711021</v>
      </c>
      <c r="AW29" s="532">
        <v>44.117405441568849</v>
      </c>
      <c r="AX29" s="532">
        <v>54.608923844165368</v>
      </c>
      <c r="AY29" s="532">
        <v>77.987261288225255</v>
      </c>
      <c r="AZ29" s="532">
        <v>66.400400002459946</v>
      </c>
      <c r="BA29" s="532">
        <v>61.51751189236996</v>
      </c>
      <c r="BB29" s="532">
        <v>64.300038450664843</v>
      </c>
      <c r="BC29" s="532">
        <v>60.966627706902898</v>
      </c>
      <c r="BD29" s="532">
        <v>61.64615881331774</v>
      </c>
      <c r="BE29" s="532">
        <v>58.598728040522545</v>
      </c>
      <c r="BF29" s="532">
        <v>56.165714485491151</v>
      </c>
      <c r="BG29" s="532">
        <v>51.906090418423062</v>
      </c>
      <c r="BH29" s="532">
        <v>47.195493498380337</v>
      </c>
      <c r="BI29" s="532">
        <v>44.327512850286666</v>
      </c>
      <c r="BJ29" s="532">
        <v>59.527145676502506</v>
      </c>
      <c r="BK29" s="532">
        <v>93.974671871604741</v>
      </c>
      <c r="BL29" s="532">
        <v>83.807730974152932</v>
      </c>
      <c r="BM29" s="532">
        <v>73.198303064081898</v>
      </c>
      <c r="BN29" s="532">
        <v>73.709183460532657</v>
      </c>
      <c r="BO29" s="532">
        <v>72.087161774665944</v>
      </c>
      <c r="BP29" s="532">
        <v>84.750405440326517</v>
      </c>
      <c r="BQ29" s="532">
        <v>84.85769476334363</v>
      </c>
      <c r="BR29" s="532">
        <v>69.423489680908162</v>
      </c>
      <c r="BS29" s="532">
        <v>64.982601301911743</v>
      </c>
      <c r="BT29" s="532">
        <v>72.08084858048619</v>
      </c>
      <c r="BU29" s="532">
        <v>71.856948675357074</v>
      </c>
      <c r="BV29" s="532">
        <v>75.263870054894227</v>
      </c>
      <c r="BW29" s="532">
        <f t="shared" ref="BW29:CD29" si="15">365/BW28</f>
        <v>96.012711773649201</v>
      </c>
      <c r="BX29" s="532">
        <f t="shared" si="15"/>
        <v>88.680441776644102</v>
      </c>
      <c r="BY29" s="532">
        <f t="shared" si="15"/>
        <v>88.534699172997165</v>
      </c>
      <c r="BZ29" s="532">
        <f t="shared" si="15"/>
        <v>85.428723957442273</v>
      </c>
      <c r="CA29" s="532">
        <f t="shared" si="15"/>
        <v>45.937383159256683</v>
      </c>
      <c r="CB29" s="532">
        <f t="shared" si="15"/>
        <v>54.239672909634145</v>
      </c>
      <c r="CC29" s="532">
        <f t="shared" si="15"/>
        <v>69.056413959893931</v>
      </c>
      <c r="CD29" s="532">
        <f t="shared" si="15"/>
        <v>86.454091165894695</v>
      </c>
      <c r="CE29" s="532"/>
      <c r="CF29" s="532"/>
      <c r="CG29" s="532"/>
      <c r="CH29" s="532"/>
      <c r="CI29" s="532"/>
    </row>
    <row r="30" spans="1:87" ht="17">
      <c r="A30" s="396" t="s">
        <v>1165</v>
      </c>
      <c r="B30" s="529">
        <v>4.3317906512465356</v>
      </c>
      <c r="C30" s="529">
        <f>C5/(($B$15+C15)/2)*12/1</f>
        <v>4.4459484814909356</v>
      </c>
      <c r="D30" s="529">
        <f>D5/(($B$15+D15)/2)*12/2</f>
        <v>3.2412506949962419</v>
      </c>
      <c r="E30" s="529">
        <f>E5/(($B$15+E15)/2)*12/3</f>
        <v>3.8002594826524949</v>
      </c>
      <c r="F30" s="529">
        <f>F5/(($B$15+F15)/2)*12/4</f>
        <v>3.9634357748418996</v>
      </c>
      <c r="G30" s="529">
        <v>3.7423060846596896</v>
      </c>
      <c r="H30" s="529">
        <f>H5/(($B$15+H15)/2)*12/6</f>
        <v>4.2459879479769675</v>
      </c>
      <c r="I30" s="529">
        <f>I5/(($B$15+I15)/2)*12/7</f>
        <v>4.2642579923765611</v>
      </c>
      <c r="J30" s="529">
        <f>J5/(($B$15+J15)/2)*12/8</f>
        <v>3.9441930631602613</v>
      </c>
      <c r="K30" s="529">
        <f>K5/(($B$15+K15)/2)*12/9</f>
        <v>4.1795527250839744</v>
      </c>
      <c r="L30" s="529">
        <f>L5/(($B$15+L15)/2)*12/10</f>
        <v>4.1099235590377443</v>
      </c>
      <c r="M30" s="529">
        <f>M5/(($B$15+M15)/2)*12/11</f>
        <v>4.0755813305549795</v>
      </c>
      <c r="N30" s="529">
        <f>N5/(($B$15+N15)/2)*12/12</f>
        <v>3.7559521850497912</v>
      </c>
      <c r="O30" s="529">
        <f>O5/(($N$15+O15)/2)*12/1</f>
        <v>2.4049588902626748</v>
      </c>
      <c r="P30" s="529">
        <f>P5/(($N$15+P15)/2)*12/2</f>
        <v>2.9312120874161254</v>
      </c>
      <c r="Q30" s="529">
        <f>Q5/(($N$15+Q15)/2)*12/3</f>
        <v>3.016975614419843</v>
      </c>
      <c r="R30" s="529">
        <f>R5/(($N$15+R15)/2)*12/4</f>
        <v>2.7839864744937777</v>
      </c>
      <c r="S30" s="529">
        <f>S5/(($N$15+S15)/2)*12/5</f>
        <v>2.9524462843217214</v>
      </c>
      <c r="T30" s="529">
        <f>T5/(($N$15+T15)/2)*12/6</f>
        <v>2.9082052105598746</v>
      </c>
      <c r="U30" s="529">
        <f>U5/(($N$15+U15)/2)*12/7</f>
        <v>2.8574744244185935</v>
      </c>
      <c r="V30" s="529">
        <f>V5/(($N$15+V15)/2)*12/8</f>
        <v>2.7780828754750102</v>
      </c>
      <c r="W30" s="529">
        <f>W5/(($N$15+W15)/2)*12/9</f>
        <v>2.8819282180071633</v>
      </c>
      <c r="X30" s="529">
        <f>X5/(($N$15+X15)/2)*12/10</f>
        <v>2.9847491827002068</v>
      </c>
      <c r="Y30" s="529">
        <f>Y5/(($N$15+Y15)/2)*12/11</f>
        <v>2.9273255059770249</v>
      </c>
      <c r="Z30" s="529">
        <f>Z5/(($N$15+Z15)/2)*12/12</f>
        <v>3.0802599667129624</v>
      </c>
      <c r="AA30" s="529">
        <f>AA5/(($Z$15+AA15)/2)*12/1</f>
        <v>5.8173301474225543</v>
      </c>
      <c r="AB30" s="529">
        <f>AB5/(($Z$15+AB15)/2)*12/2</f>
        <v>4.1106291346819344</v>
      </c>
      <c r="AC30" s="529">
        <f>AC5/(($Z$15+AC15)/2)*12/3</f>
        <v>3.679177967848601</v>
      </c>
      <c r="AD30" s="529">
        <v>3.7602390216069059</v>
      </c>
      <c r="AE30" s="529">
        <v>3.7649845779006057</v>
      </c>
      <c r="AF30" s="529">
        <v>3.9213913391291122</v>
      </c>
      <c r="AG30" s="529">
        <v>3.5124822875735213</v>
      </c>
      <c r="AH30" s="529">
        <v>4.1849343599429645</v>
      </c>
      <c r="AI30" s="529">
        <v>3.3816914135048144</v>
      </c>
      <c r="AJ30" s="529">
        <v>3.2314857243227686</v>
      </c>
      <c r="AK30" s="529">
        <v>3.3179437971907011</v>
      </c>
      <c r="AL30" s="529">
        <v>3.1874691822224883</v>
      </c>
      <c r="AM30" s="529">
        <v>1.51075686552651</v>
      </c>
      <c r="AN30" s="529">
        <v>1.6834095997783884</v>
      </c>
      <c r="AO30" s="529">
        <v>2.0107090850057707</v>
      </c>
      <c r="AP30" s="529">
        <v>1.7565615715166234</v>
      </c>
      <c r="AQ30" s="529">
        <v>2.1384471608906903</v>
      </c>
      <c r="AR30" s="529">
        <v>2.4795751621010029</v>
      </c>
      <c r="AS30" s="529">
        <v>2.5303866664998678</v>
      </c>
      <c r="AT30" s="529">
        <v>2.5230348894468633</v>
      </c>
      <c r="AU30" s="529">
        <v>2.5325412982146984</v>
      </c>
      <c r="AV30" s="529">
        <v>2.2680578042922228</v>
      </c>
      <c r="AW30" s="529">
        <v>2.1956952956509816</v>
      </c>
      <c r="AX30" s="529">
        <v>5.2679075195550498</v>
      </c>
      <c r="AY30" s="529">
        <v>2.3161881865797116</v>
      </c>
      <c r="AZ30" s="529">
        <v>2.8448126639558993</v>
      </c>
      <c r="BA30" s="529">
        <v>4.1595855677001143</v>
      </c>
      <c r="BB30" s="529">
        <v>4.4528703391035371</v>
      </c>
      <c r="BC30" s="529">
        <v>4.0007172128369417</v>
      </c>
      <c r="BD30" s="529">
        <v>4.0950645017882925</v>
      </c>
      <c r="BE30" s="529">
        <v>4.1475552637524551</v>
      </c>
      <c r="BF30" s="529">
        <v>4.0728896983419611</v>
      </c>
      <c r="BG30" s="529">
        <v>3.9572015469593884</v>
      </c>
      <c r="BH30" s="529">
        <v>3.8936541329020775</v>
      </c>
      <c r="BI30" s="529">
        <v>3.8528310876282448</v>
      </c>
      <c r="BJ30" s="529">
        <v>9.9004134529132717</v>
      </c>
      <c r="BK30" s="529">
        <v>4.2222548979921157</v>
      </c>
      <c r="BL30" s="529">
        <v>4.725389615488055</v>
      </c>
      <c r="BM30" s="529">
        <v>5.3511927853355212</v>
      </c>
      <c r="BN30" s="529">
        <v>4.7393951582432292</v>
      </c>
      <c r="BO30" s="529">
        <v>4.801746752587893</v>
      </c>
      <c r="BP30" s="529">
        <v>4.3655401710116246</v>
      </c>
      <c r="BQ30" s="529">
        <v>4.1077030444962066</v>
      </c>
      <c r="BR30" s="529">
        <v>4.5935974320358763</v>
      </c>
      <c r="BS30" s="529">
        <v>4.6760575690761623</v>
      </c>
      <c r="BT30" s="529">
        <v>4.6482755282625021</v>
      </c>
      <c r="BU30" s="529">
        <v>4.91777935237916</v>
      </c>
      <c r="BV30" s="529">
        <v>5.3576768707209075</v>
      </c>
      <c r="BW30" s="529">
        <f>BW5/(($BV$15+BW15)/2)*12/1</f>
        <v>4.6206603868237046</v>
      </c>
      <c r="BX30" s="529">
        <f>BX5/(($BV$15+BX15)/2)*12/2</f>
        <v>4.4699131014926916</v>
      </c>
      <c r="BY30" s="529">
        <f>BY5/(($BV$15+BY15)/2)*12/3</f>
        <v>4.4422570637090271</v>
      </c>
      <c r="BZ30" s="529">
        <f>BZ5/(($BV$15+BZ15)/2)*12/4</f>
        <v>4.4275461209720213</v>
      </c>
      <c r="CA30" s="529">
        <f>CA5/(($BV$15+CA15)/2)*12/5</f>
        <v>4.1180068453953975</v>
      </c>
      <c r="CB30" s="529">
        <f>CB5/(($BV$15+CB15)/2)*12/6</f>
        <v>6.9385276000612786</v>
      </c>
      <c r="CC30" s="529">
        <f>CC5/(($BV$15+CC15)/2)*12/7</f>
        <v>5.7443520307387477</v>
      </c>
      <c r="CD30" s="529">
        <f>CD5/(($BV$15+CD15)/2)*12/8</f>
        <v>4.988157250189678</v>
      </c>
      <c r="CE30" s="529"/>
      <c r="CF30" s="529"/>
      <c r="CG30" s="529"/>
      <c r="CH30" s="529"/>
      <c r="CI30" s="529"/>
    </row>
    <row r="31" spans="1:87" ht="17">
      <c r="A31" s="453" t="s">
        <v>1166</v>
      </c>
      <c r="B31" s="530">
        <v>84.260766363435863</v>
      </c>
      <c r="C31" s="530">
        <f t="shared" ref="C31:AC31" si="16">365/C30</f>
        <v>82.097217617240204</v>
      </c>
      <c r="D31" s="530">
        <f t="shared" si="16"/>
        <v>112.61085128758397</v>
      </c>
      <c r="E31" s="530">
        <f t="shared" si="16"/>
        <v>96.046073081630283</v>
      </c>
      <c r="F31" s="530">
        <f t="shared" si="16"/>
        <v>92.091816478232133</v>
      </c>
      <c r="G31" s="530">
        <v>97.533443749081158</v>
      </c>
      <c r="H31" s="530">
        <f t="shared" si="16"/>
        <v>85.963503540773587</v>
      </c>
      <c r="I31" s="530">
        <f t="shared" si="16"/>
        <v>85.595196316106993</v>
      </c>
      <c r="J31" s="530">
        <f t="shared" si="16"/>
        <v>92.541108955641718</v>
      </c>
      <c r="K31" s="530">
        <f t="shared" si="16"/>
        <v>87.329918775618879</v>
      </c>
      <c r="L31" s="530">
        <f t="shared" si="16"/>
        <v>88.809437634761608</v>
      </c>
      <c r="M31" s="530">
        <f t="shared" si="16"/>
        <v>89.557776031498619</v>
      </c>
      <c r="N31" s="530">
        <f t="shared" si="16"/>
        <v>97.179085892745817</v>
      </c>
      <c r="O31" s="530">
        <f t="shared" si="16"/>
        <v>151.7697460350908</v>
      </c>
      <c r="P31" s="530">
        <f t="shared" si="16"/>
        <v>124.52186642070956</v>
      </c>
      <c r="Q31" s="530">
        <f t="shared" si="16"/>
        <v>120.98208492486891</v>
      </c>
      <c r="R31" s="530">
        <f t="shared" si="16"/>
        <v>131.10695879597233</v>
      </c>
      <c r="S31" s="530">
        <f t="shared" si="16"/>
        <v>123.62629658607085</v>
      </c>
      <c r="T31" s="530">
        <f t="shared" si="16"/>
        <v>125.50696170774408</v>
      </c>
      <c r="U31" s="530">
        <f t="shared" si="16"/>
        <v>127.73517651842712</v>
      </c>
      <c r="V31" s="530">
        <f t="shared" si="16"/>
        <v>131.38556924353472</v>
      </c>
      <c r="W31" s="530">
        <f t="shared" si="16"/>
        <v>126.6513155044491</v>
      </c>
      <c r="X31" s="530">
        <f t="shared" si="16"/>
        <v>122.2883323381284</v>
      </c>
      <c r="Y31" s="530">
        <f t="shared" si="16"/>
        <v>124.68719288467973</v>
      </c>
      <c r="Z31" s="530">
        <f t="shared" si="16"/>
        <v>118.49649183653236</v>
      </c>
      <c r="AA31" s="530">
        <f t="shared" si="16"/>
        <v>62.743559459440021</v>
      </c>
      <c r="AB31" s="530">
        <f t="shared" si="16"/>
        <v>88.794193793948864</v>
      </c>
      <c r="AC31" s="530">
        <f t="shared" si="16"/>
        <v>99.206943287234822</v>
      </c>
      <c r="AD31" s="530">
        <v>97.068297494562032</v>
      </c>
      <c r="AE31" s="530">
        <v>96.945948236400952</v>
      </c>
      <c r="AF31" s="530">
        <v>93.079207973428524</v>
      </c>
      <c r="AG31" s="530">
        <v>103.91511475838581</v>
      </c>
      <c r="AH31" s="530">
        <v>87.21761648012432</v>
      </c>
      <c r="AI31" s="530">
        <v>107.93415346603457</v>
      </c>
      <c r="AJ31" s="530">
        <v>112.95114109671459</v>
      </c>
      <c r="AK31" s="530">
        <v>110.00789112493257</v>
      </c>
      <c r="AL31" s="530">
        <v>114.51091104997001</v>
      </c>
      <c r="AM31" s="530">
        <v>241.60075544173938</v>
      </c>
      <c r="AN31" s="530">
        <v>216.82185966389298</v>
      </c>
      <c r="AO31" s="530">
        <v>181.52800060529515</v>
      </c>
      <c r="AP31" s="530">
        <v>207.79231762702022</v>
      </c>
      <c r="AQ31" s="530">
        <v>170.68460080536798</v>
      </c>
      <c r="AR31" s="530">
        <v>147.20263599137152</v>
      </c>
      <c r="AS31" s="530">
        <v>144.24672909966074</v>
      </c>
      <c r="AT31" s="530">
        <v>144.66704425162374</v>
      </c>
      <c r="AU31" s="530">
        <v>144.12400708225562</v>
      </c>
      <c r="AV31" s="530">
        <v>160.9306426446671</v>
      </c>
      <c r="AW31" s="530">
        <v>166.23435898549141</v>
      </c>
      <c r="AX31" s="530">
        <v>69.287472994747915</v>
      </c>
      <c r="AY31" s="530">
        <v>157.58650446231283</v>
      </c>
      <c r="AZ31" s="530">
        <v>128.30370330693179</v>
      </c>
      <c r="BA31" s="530">
        <v>87.749126459685485</v>
      </c>
      <c r="BB31" s="530">
        <v>81.969599876892602</v>
      </c>
      <c r="BC31" s="530">
        <v>91.233641515286081</v>
      </c>
      <c r="BD31" s="530">
        <v>89.131685188501052</v>
      </c>
      <c r="BE31" s="530">
        <v>88.003649569160956</v>
      </c>
      <c r="BF31" s="530">
        <v>89.616961674309124</v>
      </c>
      <c r="BG31" s="530">
        <v>92.236899149212292</v>
      </c>
      <c r="BH31" s="530">
        <v>93.74227590367731</v>
      </c>
      <c r="BI31" s="530">
        <v>94.73553127518224</v>
      </c>
      <c r="BJ31" s="530">
        <v>36.867147188948557</v>
      </c>
      <c r="BK31" s="530">
        <v>86.446699410207316</v>
      </c>
      <c r="BL31" s="530">
        <v>77.242307978937205</v>
      </c>
      <c r="BM31" s="530">
        <v>68.209091812249923</v>
      </c>
      <c r="BN31" s="530">
        <v>77.014046690146856</v>
      </c>
      <c r="BO31" s="530">
        <v>76.014004654302909</v>
      </c>
      <c r="BP31" s="530">
        <v>83.609355475342866</v>
      </c>
      <c r="BQ31" s="530">
        <v>88.857445644483235</v>
      </c>
      <c r="BR31" s="530">
        <v>79.458421291878963</v>
      </c>
      <c r="BS31" s="530">
        <v>78.057208365831173</v>
      </c>
      <c r="BT31" s="530">
        <v>78.523744511426329</v>
      </c>
      <c r="BU31" s="530">
        <v>74.220491373493118</v>
      </c>
      <c r="BV31" s="530">
        <v>68.126542306924733</v>
      </c>
      <c r="BW31" s="530">
        <f t="shared" ref="BW31:CD31" si="17">365/BW30</f>
        <v>78.993037670726807</v>
      </c>
      <c r="BX31" s="530">
        <f t="shared" si="17"/>
        <v>81.65706842893907</v>
      </c>
      <c r="BY31" s="530">
        <f t="shared" si="17"/>
        <v>82.165438596938415</v>
      </c>
      <c r="BZ31" s="530">
        <f t="shared" si="17"/>
        <v>82.43844107486521</v>
      </c>
      <c r="CA31" s="530">
        <f t="shared" si="17"/>
        <v>88.635112495776795</v>
      </c>
      <c r="CB31" s="530">
        <f t="shared" si="17"/>
        <v>52.604820653415928</v>
      </c>
      <c r="CC31" s="530">
        <f t="shared" si="17"/>
        <v>63.540674047627867</v>
      </c>
      <c r="CD31" s="530">
        <f t="shared" si="17"/>
        <v>73.173314651642272</v>
      </c>
      <c r="CE31" s="530"/>
      <c r="CF31" s="530"/>
      <c r="CG31" s="530"/>
      <c r="CH31" s="530"/>
      <c r="CI31" s="530"/>
    </row>
    <row r="32" spans="1:87" ht="17">
      <c r="A32" s="396" t="s">
        <v>1167</v>
      </c>
      <c r="B32" s="529">
        <v>5.7356716560890888</v>
      </c>
      <c r="C32" s="529">
        <f>C19/(($B$17+C17+$B$18+C18)/2)*12/1</f>
        <v>3.5825353150428949</v>
      </c>
      <c r="D32" s="529">
        <f>D19/(($B$17+D17+$B$18+D18)/2)*12/2</f>
        <v>2.4835653600636616</v>
      </c>
      <c r="E32" s="529">
        <f>E19/(($B$17+E17+$B$18+E18)/2)*12/3</f>
        <v>3.0093107390791105</v>
      </c>
      <c r="F32" s="529">
        <f>F19/(($B$17+F17+$B$18+F18)/2)*12/4</f>
        <v>3.0639556781477983</v>
      </c>
      <c r="G32" s="529">
        <v>3.6355772093692069</v>
      </c>
      <c r="H32" s="529">
        <f>H19/(($B$17+H17+$B$18+H18)/2)*12/6</f>
        <v>3.7502671253224071</v>
      </c>
      <c r="I32" s="529">
        <f>I19/(($B$17+I17+$B$18+I18)/2)*12/7</f>
        <v>3.4197956302969885</v>
      </c>
      <c r="J32" s="529">
        <f>J19/(($B$17+J17+$B$18+J18)/2)*12/8</f>
        <v>3.9927375405418277</v>
      </c>
      <c r="K32" s="529">
        <f>K19/(($B$17+K17+$B$18+K18)/2)*12/9</f>
        <v>4.1554441042656238</v>
      </c>
      <c r="L32" s="529">
        <f>L19/(($B$17+L17+$B$18+L18)/2)*12/10</f>
        <v>4.4284440116024264</v>
      </c>
      <c r="M32" s="529">
        <f>M19/(($B$17+M17+$B$18+M18)/2)*12/11</f>
        <v>4.6402867153520138</v>
      </c>
      <c r="N32" s="529">
        <f>N19/(($B$17+N17+$B$18+N18)/2)*12/12</f>
        <v>3.7746245612023617</v>
      </c>
      <c r="O32" s="529">
        <f>O19/(($N$17+O17+$N$18+O18)/2)*12/1</f>
        <v>2.1063389381929323</v>
      </c>
      <c r="P32" s="529">
        <f>P19/(($N$17+P17+$N$18+P18)/2)*12/2</f>
        <v>3.2693916414745865</v>
      </c>
      <c r="Q32" s="529">
        <f>Q19/(($N$17+Q17+$N$18+Q18)/2)*12/3</f>
        <v>2.8637981894913782</v>
      </c>
      <c r="R32" s="529">
        <f>R19/(($N$17+R17+$N$18+R18)/2)*12/4</f>
        <v>3.50545316900988</v>
      </c>
      <c r="S32" s="529">
        <f>S19/(($N$17+S17+$N$18+S18)/2)*12/5</f>
        <v>3.4587557357171064</v>
      </c>
      <c r="T32" s="529">
        <f>T19/(($N$17+T17+$N$18+T18)/2)*12/6</f>
        <v>3.1251425367087577</v>
      </c>
      <c r="U32" s="529">
        <f>U19/(($N$17+U17+$N$18+U18)/2)*12/7</f>
        <v>3.5865901823257857</v>
      </c>
      <c r="V32" s="529">
        <f>V19/(($N$17+V17+$N$18+V18)/2)*12/8</f>
        <v>3.7006111335303777</v>
      </c>
      <c r="W32" s="529">
        <f>W19/(($N$17+W17+$N$18+W18)/2)*12/9</f>
        <v>3.140998675845045</v>
      </c>
      <c r="X32" s="529">
        <f>X19/(($N$17+X17+$N$18+X18)/2)*12/10</f>
        <v>3.7586263252164445</v>
      </c>
      <c r="Y32" s="529">
        <f>Y19/(($N$17+Y17+$N$18+Y18)/2)*12/11</f>
        <v>3.5463296428438542</v>
      </c>
      <c r="Z32" s="529">
        <f>Z19/(($N$17+Z17+$N$18+Z18)/2)*12/12</f>
        <v>3.0312398956110922</v>
      </c>
      <c r="AA32" s="529">
        <f>AA19/(($Z$17+AA17+$Z$18+AA18)/2)*12/1</f>
        <v>8.2956663516663305</v>
      </c>
      <c r="AB32" s="529">
        <f>AB19/(($Z$17+AB17+$Z$18+AB18)/2)*12/2</f>
        <v>5.5446447011222313</v>
      </c>
      <c r="AC32" s="529">
        <f>AC19/(($Z$17+AC17+$Z$18+AC18)/2)*12/3</f>
        <v>5.8045034467726255</v>
      </c>
      <c r="AD32" s="529">
        <v>7.4528142818947494</v>
      </c>
      <c r="AE32" s="529">
        <v>6.9068866499355455</v>
      </c>
      <c r="AF32" s="529">
        <v>5.2090289688589504</v>
      </c>
      <c r="AG32" s="529">
        <v>5.8093277654221867</v>
      </c>
      <c r="AH32" s="529">
        <v>5.6545705888558029</v>
      </c>
      <c r="AI32" s="529">
        <v>7.2997451042973518</v>
      </c>
      <c r="AJ32" s="529">
        <v>8.0987233388372033</v>
      </c>
      <c r="AK32" s="529">
        <v>6.3310394705605573</v>
      </c>
      <c r="AL32" s="529">
        <v>6.4408152528715403</v>
      </c>
      <c r="AM32" s="529">
        <v>7.2037583316730158</v>
      </c>
      <c r="AN32" s="529">
        <v>5.3832051587568435</v>
      </c>
      <c r="AO32" s="529">
        <v>7.2422605590135376</v>
      </c>
      <c r="AP32" s="529">
        <v>7.0151360346386324</v>
      </c>
      <c r="AQ32" s="529">
        <v>5.3391712462749457</v>
      </c>
      <c r="AR32" s="529">
        <v>5.7283829725089292</v>
      </c>
      <c r="AS32" s="529">
        <v>6.4105292495998736</v>
      </c>
      <c r="AT32" s="529">
        <v>4.8979552752930129</v>
      </c>
      <c r="AU32" s="529">
        <v>5.9287951853619854</v>
      </c>
      <c r="AV32" s="529">
        <v>5.681033895152737</v>
      </c>
      <c r="AW32" s="529">
        <v>4.1500569133169884</v>
      </c>
      <c r="AX32" s="529">
        <v>5.3883873321935498</v>
      </c>
      <c r="AY32" s="529">
        <v>3.9336627300244391</v>
      </c>
      <c r="AZ32" s="529">
        <v>6.5094830811502087</v>
      </c>
      <c r="BA32" s="529">
        <v>6.2881755143111109</v>
      </c>
      <c r="BB32" s="529">
        <v>7.6997526080117531</v>
      </c>
      <c r="BC32" s="529">
        <v>5.4619361862470397</v>
      </c>
      <c r="BD32" s="529">
        <v>7.2444042986274404</v>
      </c>
      <c r="BE32" s="529">
        <v>7.4027573447062922</v>
      </c>
      <c r="BF32" s="529">
        <v>9.991488449065983</v>
      </c>
      <c r="BG32" s="529">
        <v>10.580213505286013</v>
      </c>
      <c r="BH32" s="529">
        <v>8.3732213530811102</v>
      </c>
      <c r="BI32" s="529">
        <v>9.9960172683874315</v>
      </c>
      <c r="BJ32" s="529">
        <v>7.9047910493669962</v>
      </c>
      <c r="BK32" s="529">
        <v>6.8294918351870182</v>
      </c>
      <c r="BL32" s="529">
        <v>5.9811598292808652</v>
      </c>
      <c r="BM32" s="529">
        <v>7.3865194396711606</v>
      </c>
      <c r="BN32" s="529">
        <v>4.0272951454927899</v>
      </c>
      <c r="BO32" s="529">
        <v>6.9103985631433229</v>
      </c>
      <c r="BP32" s="529">
        <v>5.8360127409061375</v>
      </c>
      <c r="BQ32" s="529">
        <v>5.8150127913082938</v>
      </c>
      <c r="BR32" s="529">
        <v>7.6797164066787857</v>
      </c>
      <c r="BS32" s="529">
        <v>7.9502114049115526</v>
      </c>
      <c r="BT32" s="529">
        <v>7.9482126657805638</v>
      </c>
      <c r="BU32" s="529">
        <v>7.021135355540614</v>
      </c>
      <c r="BV32" s="529">
        <v>5.6000513218703771</v>
      </c>
      <c r="BW32" s="529">
        <f>BW19/(($BV$17+BW17+$BV$18+BW18)/2)*12/1</f>
        <v>5.1004219067135148</v>
      </c>
      <c r="BX32" s="529">
        <f>BX19/(($BV$17+BX17+$BV$18+BX18)/2)*12/2</f>
        <v>4.2592717938562572</v>
      </c>
      <c r="BY32" s="529">
        <f>BY19/(($BV$17+BY17+$BV$18+BY18)/2)*12/3</f>
        <v>5.3988763369528838</v>
      </c>
      <c r="BZ32" s="529">
        <f>BZ19/(($BV$17+BZ17+$BV$18+BZ18)/2)*12/4</f>
        <v>4.2336781559151229</v>
      </c>
      <c r="CA32" s="529">
        <f>CA19/(($BV$17+CA17+$BV$18+CA18)/2)*12/5</f>
        <v>5.612680884006191</v>
      </c>
      <c r="CB32" s="529">
        <f>CB19/(($BV$17+CB17+$BV$18+CB18)/2)*12/6</f>
        <v>5.6938867197328351</v>
      </c>
      <c r="CC32" s="529">
        <f>CC19/(($BV$17+CC17+$BV$18+CC18)/2)*12/7</f>
        <v>4.8758014911153982</v>
      </c>
      <c r="CD32" s="529">
        <f>CD19/(($BV$17+CD17+$BV$18+CD18)/2)*12/8</f>
        <v>5.1710523968685411</v>
      </c>
      <c r="CE32" s="529"/>
      <c r="CF32" s="529"/>
      <c r="CG32" s="529"/>
      <c r="CH32" s="529"/>
      <c r="CI32" s="529"/>
    </row>
    <row r="33" spans="1:87" ht="17">
      <c r="A33" s="453" t="s">
        <v>1168</v>
      </c>
      <c r="B33" s="530">
        <v>63.636836605266559</v>
      </c>
      <c r="C33" s="530">
        <f t="shared" ref="C33:AC33" si="18">365/C32</f>
        <v>101.88315477795359</v>
      </c>
      <c r="D33" s="530">
        <f t="shared" si="18"/>
        <v>146.96613419936082</v>
      </c>
      <c r="E33" s="530">
        <f t="shared" si="18"/>
        <v>121.29023276329877</v>
      </c>
      <c r="F33" s="530">
        <f t="shared" si="18"/>
        <v>119.12704958599379</v>
      </c>
      <c r="G33" s="530">
        <v>100.39671253834534</v>
      </c>
      <c r="H33" s="530">
        <f t="shared" si="18"/>
        <v>97.326400441040917</v>
      </c>
      <c r="I33" s="530">
        <f t="shared" si="18"/>
        <v>106.73152417833283</v>
      </c>
      <c r="J33" s="530">
        <f t="shared" si="18"/>
        <v>91.415976205254978</v>
      </c>
      <c r="K33" s="530">
        <f t="shared" si="18"/>
        <v>87.836580361006952</v>
      </c>
      <c r="L33" s="530">
        <f t="shared" si="18"/>
        <v>82.421726241476236</v>
      </c>
      <c r="M33" s="530">
        <f t="shared" si="18"/>
        <v>78.658932602683151</v>
      </c>
      <c r="N33" s="530">
        <f t="shared" si="18"/>
        <v>96.698358759085068</v>
      </c>
      <c r="O33" s="530">
        <f t="shared" si="18"/>
        <v>173.28645137858979</v>
      </c>
      <c r="P33" s="530">
        <f t="shared" si="18"/>
        <v>111.64156516757193</v>
      </c>
      <c r="Q33" s="530">
        <f t="shared" si="18"/>
        <v>127.45311500627264</v>
      </c>
      <c r="R33" s="530">
        <f t="shared" si="18"/>
        <v>104.12348486831868</v>
      </c>
      <c r="S33" s="530">
        <f t="shared" si="18"/>
        <v>105.5292792812165</v>
      </c>
      <c r="T33" s="530">
        <f t="shared" si="18"/>
        <v>116.79467279095678</v>
      </c>
      <c r="U33" s="530">
        <f t="shared" si="18"/>
        <v>101.76796942083567</v>
      </c>
      <c r="V33" s="530">
        <f t="shared" si="18"/>
        <v>98.632357421405288</v>
      </c>
      <c r="W33" s="530">
        <f t="shared" si="18"/>
        <v>116.20507923385274</v>
      </c>
      <c r="X33" s="530">
        <f t="shared" si="18"/>
        <v>97.10994613942664</v>
      </c>
      <c r="Y33" s="530">
        <f t="shared" si="18"/>
        <v>102.92331417541351</v>
      </c>
      <c r="Z33" s="530">
        <f t="shared" si="18"/>
        <v>120.41277251875728</v>
      </c>
      <c r="AA33" s="530">
        <f t="shared" si="18"/>
        <v>43.998876585324979</v>
      </c>
      <c r="AB33" s="530">
        <f t="shared" si="18"/>
        <v>65.82928567562216</v>
      </c>
      <c r="AC33" s="530">
        <f t="shared" si="18"/>
        <v>62.882209192750921</v>
      </c>
      <c r="AD33" s="530">
        <v>48.974788072567542</v>
      </c>
      <c r="AE33" s="530">
        <v>52.845807163116852</v>
      </c>
      <c r="AF33" s="530">
        <v>70.070641223551135</v>
      </c>
      <c r="AG33" s="530">
        <v>62.829989069049198</v>
      </c>
      <c r="AH33" s="530">
        <v>64.549552307181898</v>
      </c>
      <c r="AI33" s="530">
        <v>50.001745921939779</v>
      </c>
      <c r="AJ33" s="530">
        <v>45.068831805829518</v>
      </c>
      <c r="AK33" s="530">
        <v>57.652460026075701</v>
      </c>
      <c r="AL33" s="530">
        <v>56.669844681117077</v>
      </c>
      <c r="AM33" s="530">
        <v>50.667996231243869</v>
      </c>
      <c r="AN33" s="530">
        <v>67.803471953183063</v>
      </c>
      <c r="AO33" s="530">
        <v>50.398628580924232</v>
      </c>
      <c r="AP33" s="530">
        <v>52.03035239769261</v>
      </c>
      <c r="AQ33" s="530">
        <v>68.36266962867218</v>
      </c>
      <c r="AR33" s="530">
        <v>63.717806884014344</v>
      </c>
      <c r="AS33" s="530">
        <v>56.937576569482502</v>
      </c>
      <c r="AT33" s="530">
        <v>74.520892798100206</v>
      </c>
      <c r="AU33" s="530">
        <v>61.563941507234702</v>
      </c>
      <c r="AV33" s="530">
        <v>64.24886855743479</v>
      </c>
      <c r="AW33" s="530">
        <v>87.950601069773967</v>
      </c>
      <c r="AX33" s="530">
        <v>67.738263324031081</v>
      </c>
      <c r="AY33" s="530">
        <v>92.788839575408218</v>
      </c>
      <c r="AZ33" s="530">
        <v>56.072040659717864</v>
      </c>
      <c r="BA33" s="530">
        <v>58.045453592907052</v>
      </c>
      <c r="BB33" s="530">
        <v>47.404120441507416</v>
      </c>
      <c r="BC33" s="530">
        <v>66.826119448091859</v>
      </c>
      <c r="BD33" s="530">
        <v>50.383714789241488</v>
      </c>
      <c r="BE33" s="530">
        <v>49.30595222886933</v>
      </c>
      <c r="BF33" s="530">
        <v>36.531093626407653</v>
      </c>
      <c r="BG33" s="530">
        <v>34.498358640649478</v>
      </c>
      <c r="BH33" s="530">
        <v>43.591347297380388</v>
      </c>
      <c r="BI33" s="530">
        <v>36.514542762377822</v>
      </c>
      <c r="BJ33" s="530">
        <v>46.174528551166276</v>
      </c>
      <c r="BK33" s="530">
        <v>53.44467916623622</v>
      </c>
      <c r="BL33" s="530">
        <v>61.024953423437466</v>
      </c>
      <c r="BM33" s="530">
        <v>49.414342300336436</v>
      </c>
      <c r="BN33" s="530">
        <v>90.631549666404624</v>
      </c>
      <c r="BO33" s="530">
        <v>52.818950551814915</v>
      </c>
      <c r="BP33" s="530">
        <v>62.542701019416846</v>
      </c>
      <c r="BQ33" s="530">
        <v>62.768563561126797</v>
      </c>
      <c r="BR33" s="530">
        <v>47.527796688243853</v>
      </c>
      <c r="BS33" s="530">
        <v>45.910728836029072</v>
      </c>
      <c r="BT33" s="530">
        <v>45.92227401909291</v>
      </c>
      <c r="BU33" s="530">
        <v>51.985894234607827</v>
      </c>
      <c r="BV33" s="530">
        <v>65.177974097225345</v>
      </c>
      <c r="BW33" s="530">
        <f t="shared" ref="BW33:CD33" si="19">365/BW32</f>
        <v>71.562707296736122</v>
      </c>
      <c r="BX33" s="530">
        <f t="shared" si="19"/>
        <v>85.695399980459214</v>
      </c>
      <c r="BY33" s="530">
        <f t="shared" si="19"/>
        <v>67.606660575227281</v>
      </c>
      <c r="BZ33" s="530">
        <f t="shared" si="19"/>
        <v>86.213449997382739</v>
      </c>
      <c r="CA33" s="530">
        <f t="shared" si="19"/>
        <v>65.031311692795214</v>
      </c>
      <c r="CB33" s="530">
        <f t="shared" si="19"/>
        <v>64.103839427477453</v>
      </c>
      <c r="CC33" s="530">
        <f t="shared" si="19"/>
        <v>74.859487340716541</v>
      </c>
      <c r="CD33" s="530">
        <f t="shared" si="19"/>
        <v>70.585244934094035</v>
      </c>
      <c r="CE33" s="530"/>
      <c r="CF33" s="530"/>
      <c r="CG33" s="530"/>
      <c r="CH33" s="530"/>
      <c r="CI33" s="530"/>
    </row>
    <row r="34" spans="1:87" ht="17">
      <c r="A34" s="396" t="s">
        <v>1225</v>
      </c>
      <c r="B34" s="529">
        <v>265.043647423766</v>
      </c>
      <c r="C34" s="529">
        <f>C20/C21*100</f>
        <v>347.52866067217821</v>
      </c>
      <c r="D34" s="529">
        <f>D20/D21*100</f>
        <v>314.14375871484896</v>
      </c>
      <c r="E34" s="529">
        <f>E20/E21*100</f>
        <v>327.97113839441698</v>
      </c>
      <c r="F34" s="529">
        <f>F20/F21*100</f>
        <v>295.03929849954534</v>
      </c>
      <c r="G34" s="529">
        <v>329.59002413300402</v>
      </c>
      <c r="H34" s="529">
        <f t="shared" ref="H34:M34" si="20">H20/H21*100</f>
        <v>324.53980976599917</v>
      </c>
      <c r="I34" s="529">
        <f t="shared" si="20"/>
        <v>264.79121678041196</v>
      </c>
      <c r="J34" s="529">
        <f t="shared" si="20"/>
        <v>298.22438283634381</v>
      </c>
      <c r="K34" s="529">
        <f t="shared" si="20"/>
        <v>305.9376683683393</v>
      </c>
      <c r="L34" s="529">
        <f t="shared" si="20"/>
        <v>330.13140975438762</v>
      </c>
      <c r="M34" s="529">
        <f t="shared" si="20"/>
        <v>349.54312653102011</v>
      </c>
      <c r="N34" s="529">
        <f t="shared" ref="N34:S34" si="21">N20/N21*100</f>
        <v>281.59038261626586</v>
      </c>
      <c r="O34" s="529">
        <f t="shared" si="21"/>
        <v>433.93804851948892</v>
      </c>
      <c r="P34" s="529">
        <f t="shared" si="21"/>
        <v>422.63370194623462</v>
      </c>
      <c r="Q34" s="529">
        <f t="shared" si="21"/>
        <v>375.68465717240065</v>
      </c>
      <c r="R34" s="529">
        <f t="shared" si="21"/>
        <v>484.04858319847551</v>
      </c>
      <c r="S34" s="529">
        <f t="shared" si="21"/>
        <v>537.84261560305288</v>
      </c>
      <c r="T34" s="529">
        <f t="shared" ref="T34:Y34" si="22">T20/T21*100</f>
        <v>411.51026850080103</v>
      </c>
      <c r="U34" s="529">
        <f t="shared" si="22"/>
        <v>505.07709976214892</v>
      </c>
      <c r="V34" s="529">
        <f t="shared" si="22"/>
        <v>569.19606374229647</v>
      </c>
      <c r="W34" s="529">
        <f t="shared" si="22"/>
        <v>422.63878169782078</v>
      </c>
      <c r="X34" s="529">
        <f t="shared" si="22"/>
        <v>577.0233722465465</v>
      </c>
      <c r="Y34" s="529">
        <f t="shared" si="22"/>
        <v>565.52903834631172</v>
      </c>
      <c r="Z34" s="529">
        <f>Z20/Z21*100</f>
        <v>456.39049410308797</v>
      </c>
      <c r="AA34" s="529">
        <f>AA20/AA21*100</f>
        <v>513.35927635788948</v>
      </c>
      <c r="AB34" s="529">
        <f>AB20/AB21*100</f>
        <v>441.53729321258811</v>
      </c>
      <c r="AC34" s="529">
        <f>AC20/AC21*100</f>
        <v>437.76997421926148</v>
      </c>
      <c r="AD34" s="529">
        <v>587.1205860706757</v>
      </c>
      <c r="AE34" s="529">
        <v>524.90427423439985</v>
      </c>
      <c r="AF34" s="529">
        <v>391.67629197913402</v>
      </c>
      <c r="AG34" s="529">
        <v>413.48726451631029</v>
      </c>
      <c r="AH34" s="529">
        <v>367.77044618904398</v>
      </c>
      <c r="AI34" s="529">
        <v>518.07607978824183</v>
      </c>
      <c r="AJ34" s="529">
        <v>565.06514147346104</v>
      </c>
      <c r="AK34" s="529">
        <v>438.2051598372218</v>
      </c>
      <c r="AL34" s="529">
        <v>512.95025391790773</v>
      </c>
      <c r="AM34" s="529">
        <v>443.38879953774227</v>
      </c>
      <c r="AN34" s="529">
        <v>441.55339493251284</v>
      </c>
      <c r="AO34" s="529">
        <v>701.58520539048641</v>
      </c>
      <c r="AP34" s="529">
        <v>652.41665903191324</v>
      </c>
      <c r="AQ34" s="529">
        <v>488.8144982336035</v>
      </c>
      <c r="AR34" s="529">
        <v>475.06436873450764</v>
      </c>
      <c r="AS34" s="529">
        <v>563.38292584076623</v>
      </c>
      <c r="AT34" s="529">
        <v>450.34857512482267</v>
      </c>
      <c r="AU34" s="529">
        <v>528.00640248688205</v>
      </c>
      <c r="AV34" s="529">
        <v>487.0821824876864</v>
      </c>
      <c r="AW34" s="529">
        <v>349.34346815563975</v>
      </c>
      <c r="AX34" s="529">
        <v>456.26467640330748</v>
      </c>
      <c r="AY34" s="529">
        <v>302.24369031532723</v>
      </c>
      <c r="AZ34" s="529">
        <v>270.77326412432757</v>
      </c>
      <c r="BA34" s="529">
        <v>265.64741024147918</v>
      </c>
      <c r="BB34" s="529">
        <v>284.62576322045356</v>
      </c>
      <c r="BC34" s="529">
        <v>228.06793036725432</v>
      </c>
      <c r="BD34" s="529">
        <v>231.84104210757801</v>
      </c>
      <c r="BE34" s="529">
        <v>215.34044512724157</v>
      </c>
      <c r="BF34" s="529">
        <v>248.34185391086061</v>
      </c>
      <c r="BG34" s="529">
        <v>205.07456194403954</v>
      </c>
      <c r="BH34" s="529">
        <v>227.18666109728102</v>
      </c>
      <c r="BI34" s="529">
        <v>242.1022685900241</v>
      </c>
      <c r="BJ34" s="529">
        <v>268.59504708385947</v>
      </c>
      <c r="BK34" s="529">
        <v>234.4208582072192</v>
      </c>
      <c r="BL34" s="529">
        <v>222.21522601562341</v>
      </c>
      <c r="BM34" s="529">
        <v>242.06215143575082</v>
      </c>
      <c r="BN34" s="529">
        <v>188.33087478503057</v>
      </c>
      <c r="BO34" s="529">
        <v>205.93132898990856</v>
      </c>
      <c r="BP34" s="529">
        <v>222.65055643752686</v>
      </c>
      <c r="BQ34" s="529">
        <v>222.65055643752686</v>
      </c>
      <c r="BR34" s="529">
        <v>245.7680086528442</v>
      </c>
      <c r="BS34" s="529">
        <v>241.44422270491961</v>
      </c>
      <c r="BT34" s="529">
        <v>249.33698947930324</v>
      </c>
      <c r="BU34" s="529">
        <v>234.02472039306025</v>
      </c>
      <c r="BV34" s="529">
        <v>222.65055643752686</v>
      </c>
      <c r="BW34" s="529">
        <f t="shared" ref="BW34:CD34" si="23">BW20/BW21*100</f>
        <v>181.22346403001458</v>
      </c>
      <c r="BX34" s="529">
        <f t="shared" si="23"/>
        <v>179.6512100929389</v>
      </c>
      <c r="BY34" s="529">
        <f t="shared" si="23"/>
        <v>202.9870830469973</v>
      </c>
      <c r="BZ34" s="529">
        <f t="shared" si="23"/>
        <v>183.04158037876815</v>
      </c>
      <c r="CA34" s="529">
        <f t="shared" si="23"/>
        <v>194.9965090654868</v>
      </c>
      <c r="CB34" s="529">
        <f t="shared" si="23"/>
        <v>210.05050040381801</v>
      </c>
      <c r="CC34" s="529">
        <f t="shared" si="23"/>
        <v>180.77398636969073</v>
      </c>
      <c r="CD34" s="529">
        <f t="shared" si="23"/>
        <v>183.22092008209773</v>
      </c>
      <c r="CE34" s="529"/>
      <c r="CF34" s="529"/>
      <c r="CG34" s="529"/>
      <c r="CH34" s="529"/>
      <c r="CI34" s="529"/>
    </row>
    <row r="35" spans="1:87" ht="17">
      <c r="A35" s="453" t="s">
        <v>1226</v>
      </c>
      <c r="B35" s="530">
        <v>171.09628364759351</v>
      </c>
      <c r="C35" s="530">
        <f>(C20-C15-C16)/C21*100</f>
        <v>228.36660464991755</v>
      </c>
      <c r="D35" s="530">
        <f>(D20-D15-D16)/D21*100</f>
        <v>210.11571077325669</v>
      </c>
      <c r="E35" s="530">
        <f>(E20-E15-E16)/E21*100</f>
        <v>219.66163229318298</v>
      </c>
      <c r="F35" s="530">
        <f>(F20-F15-F16)/F21*100</f>
        <v>204.63412702199832</v>
      </c>
      <c r="G35" s="530">
        <v>219.4172489526791</v>
      </c>
      <c r="H35" s="530">
        <f t="shared" ref="H35:M35" si="24">(H20-H15-H16)/H21*100</f>
        <v>226.85286187169237</v>
      </c>
      <c r="I35" s="530">
        <f t="shared" si="24"/>
        <v>193.01811097027678</v>
      </c>
      <c r="J35" s="530">
        <f t="shared" si="24"/>
        <v>202.66201908274462</v>
      </c>
      <c r="K35" s="530">
        <f t="shared" si="24"/>
        <v>213.31720676114219</v>
      </c>
      <c r="L35" s="530">
        <f t="shared" si="24"/>
        <v>228.12368621353835</v>
      </c>
      <c r="M35" s="530">
        <f t="shared" si="24"/>
        <v>240.05393715953613</v>
      </c>
      <c r="N35" s="530">
        <f t="shared" ref="N35:S35" si="25">(N20-N15-N16)/N21*100</f>
        <v>190.95486377496093</v>
      </c>
      <c r="O35" s="530">
        <f t="shared" si="25"/>
        <v>272.77898007299308</v>
      </c>
      <c r="P35" s="530">
        <f t="shared" si="25"/>
        <v>261.9505813695427</v>
      </c>
      <c r="Q35" s="530">
        <f t="shared" si="25"/>
        <v>245.16395268913374</v>
      </c>
      <c r="R35" s="530">
        <f t="shared" si="25"/>
        <v>292.66592383494469</v>
      </c>
      <c r="S35" s="530">
        <f t="shared" si="25"/>
        <v>335.12412286386979</v>
      </c>
      <c r="T35" s="530">
        <f t="shared" ref="T35:Y35" si="26">(T20-T15-T16)/T21*100</f>
        <v>262.73777530706582</v>
      </c>
      <c r="U35" s="530">
        <f t="shared" si="26"/>
        <v>315.280226254002</v>
      </c>
      <c r="V35" s="530">
        <f t="shared" si="26"/>
        <v>353.9620713688517</v>
      </c>
      <c r="W35" s="530">
        <f t="shared" si="26"/>
        <v>276.68712826434449</v>
      </c>
      <c r="X35" s="530">
        <f t="shared" si="26"/>
        <v>384.96393945433908</v>
      </c>
      <c r="Y35" s="530">
        <f t="shared" si="26"/>
        <v>380.47711207640413</v>
      </c>
      <c r="Z35" s="530">
        <f>(Z20-Z15-Z16)/Z21*100</f>
        <v>322.85021687597231</v>
      </c>
      <c r="AA35" s="530">
        <f>(AA20-AA15-AA16)/AA21*100</f>
        <v>385.60333250978817</v>
      </c>
      <c r="AB35" s="530">
        <f>(AB20-AB15-AB16)/AB21*100</f>
        <v>331.53886601510163</v>
      </c>
      <c r="AC35" s="530">
        <f>(AC20-AC15-AC16)/AC21*100</f>
        <v>323.99611858876887</v>
      </c>
      <c r="AD35" s="530">
        <v>426.52693360591962</v>
      </c>
      <c r="AE35" s="530">
        <v>381.61071807648545</v>
      </c>
      <c r="AF35" s="530">
        <v>295.98204237925376</v>
      </c>
      <c r="AG35" s="530">
        <v>293.26687616934095</v>
      </c>
      <c r="AH35" s="530">
        <v>261.05645783819409</v>
      </c>
      <c r="AI35" s="530">
        <v>357.91883829405276</v>
      </c>
      <c r="AJ35" s="530">
        <v>369.35736636863305</v>
      </c>
      <c r="AK35" s="530">
        <v>299.70860769830244</v>
      </c>
      <c r="AL35" s="530">
        <v>346.61139722735686</v>
      </c>
      <c r="AM35" s="530">
        <v>295.60148755200515</v>
      </c>
      <c r="AN35" s="530">
        <v>286.90672742923539</v>
      </c>
      <c r="AO35" s="530">
        <v>444.41696766737192</v>
      </c>
      <c r="AP35" s="530">
        <v>397.25226106692458</v>
      </c>
      <c r="AQ35" s="530">
        <v>319.3534140835032</v>
      </c>
      <c r="AR35" s="530">
        <v>316.1228605283809</v>
      </c>
      <c r="AS35" s="530">
        <v>382.84478963068773</v>
      </c>
      <c r="AT35" s="530">
        <v>316.24450329815215</v>
      </c>
      <c r="AU35" s="530">
        <v>365.83378047427055</v>
      </c>
      <c r="AV35" s="530">
        <v>319.26564355836319</v>
      </c>
      <c r="AW35" s="530">
        <v>228.07122801396665</v>
      </c>
      <c r="AX35" s="530">
        <v>454.70886598631523</v>
      </c>
      <c r="AY35" s="530">
        <v>204.86500631449513</v>
      </c>
      <c r="AZ35" s="530">
        <v>175.34861168149618</v>
      </c>
      <c r="BA35" s="530">
        <v>171.25428992438654</v>
      </c>
      <c r="BB35" s="530">
        <v>177.84957642410916</v>
      </c>
      <c r="BC35" s="530">
        <v>143.12313876396558</v>
      </c>
      <c r="BD35" s="530">
        <v>135.65888442202331</v>
      </c>
      <c r="BE35" s="530">
        <v>126.47808977148685</v>
      </c>
      <c r="BF35" s="530">
        <v>137.30816474336538</v>
      </c>
      <c r="BG35" s="530">
        <v>124.25447201441632</v>
      </c>
      <c r="BH35" s="530">
        <v>125.71182682392119</v>
      </c>
      <c r="BI35" s="530">
        <v>126.62831084241186</v>
      </c>
      <c r="BJ35" s="530">
        <v>267.63851671778531</v>
      </c>
      <c r="BK35" s="530">
        <v>148.20451051396316</v>
      </c>
      <c r="BL35" s="530">
        <v>139.2576122919892</v>
      </c>
      <c r="BM35" s="530">
        <v>145.48422075277878</v>
      </c>
      <c r="BN35" s="530">
        <v>119.94217795976981</v>
      </c>
      <c r="BO35" s="530">
        <v>126.02181968328895</v>
      </c>
      <c r="BP35" s="530">
        <v>135.80519775391079</v>
      </c>
      <c r="BQ35" s="530">
        <v>126.95369652081024</v>
      </c>
      <c r="BR35" s="530">
        <v>127.33187647631914</v>
      </c>
      <c r="BS35" s="530">
        <v>129.81483172405092</v>
      </c>
      <c r="BT35" s="530">
        <v>130.79336349578722</v>
      </c>
      <c r="BU35" s="530">
        <v>136.93944204420373</v>
      </c>
      <c r="BV35" s="530">
        <v>144.05531786637673</v>
      </c>
      <c r="BW35" s="530">
        <f t="shared" ref="BW35:CD35" si="27">(BW20-BW15-BW16)/BW21*100</f>
        <v>117.56084094075709</v>
      </c>
      <c r="BX35" s="530">
        <f t="shared" si="27"/>
        <v>113.95877496519343</v>
      </c>
      <c r="BY35" s="530">
        <f t="shared" si="27"/>
        <v>119.00042924365985</v>
      </c>
      <c r="BZ35" s="530">
        <f t="shared" si="27"/>
        <v>110.91184142814707</v>
      </c>
      <c r="CA35" s="530">
        <f t="shared" si="27"/>
        <v>105.90720772796902</v>
      </c>
      <c r="CB35" s="530">
        <f t="shared" si="27"/>
        <v>122.09566252132188</v>
      </c>
      <c r="CC35" s="530">
        <f t="shared" si="27"/>
        <v>112.32944817464754</v>
      </c>
      <c r="CD35" s="530">
        <f t="shared" si="27"/>
        <v>112.72321000374805</v>
      </c>
      <c r="CE35" s="530"/>
      <c r="CF35" s="530"/>
      <c r="CG35" s="530"/>
      <c r="CH35" s="530"/>
      <c r="CI35" s="530"/>
    </row>
    <row r="36" spans="1:87" ht="17">
      <c r="A36" s="396" t="s">
        <v>1227</v>
      </c>
      <c r="B36" s="529">
        <v>31.676964059423092</v>
      </c>
      <c r="C36" s="529">
        <f>C23/C22*100</f>
        <v>23.710198203973736</v>
      </c>
      <c r="D36" s="529">
        <f>D23/D22*100</f>
        <v>26.7138563943764</v>
      </c>
      <c r="E36" s="529">
        <f>E23/E22*100</f>
        <v>25.194494021768989</v>
      </c>
      <c r="F36" s="529">
        <f>F23/F22*100</f>
        <v>28.169793456985374</v>
      </c>
      <c r="G36" s="529">
        <v>25.072527143639029</v>
      </c>
      <c r="H36" s="529">
        <f t="shared" ref="H36:M36" si="28">H23/H22*100</f>
        <v>25.66250134293805</v>
      </c>
      <c r="I36" s="529">
        <f t="shared" si="28"/>
        <v>32.153275122100112</v>
      </c>
      <c r="J36" s="529">
        <f t="shared" si="28"/>
        <v>28.259589313301547</v>
      </c>
      <c r="K36" s="529">
        <f t="shared" si="28"/>
        <v>27.655429158564388</v>
      </c>
      <c r="L36" s="529">
        <f t="shared" si="28"/>
        <v>25.466663184995365</v>
      </c>
      <c r="M36" s="529">
        <f t="shared" si="28"/>
        <v>23.964098538327711</v>
      </c>
      <c r="N36" s="529">
        <f t="shared" ref="N36:S36" si="29">N23/N22*100</f>
        <v>30.3279306042336</v>
      </c>
      <c r="O36" s="529">
        <f t="shared" si="29"/>
        <v>19.089029250219035</v>
      </c>
      <c r="P36" s="529">
        <f t="shared" si="29"/>
        <v>19.64878416619986</v>
      </c>
      <c r="Q36" s="529">
        <f t="shared" si="29"/>
        <v>22.319985928715791</v>
      </c>
      <c r="R36" s="529">
        <f t="shared" si="29"/>
        <v>17.165311418629457</v>
      </c>
      <c r="S36" s="529">
        <f t="shared" si="29"/>
        <v>15.4305880635301</v>
      </c>
      <c r="T36" s="529">
        <f t="shared" ref="T36:Y36" si="30">T23/T22*100</f>
        <v>20.350198012045592</v>
      </c>
      <c r="U36" s="529">
        <f t="shared" si="30"/>
        <v>16.528851801975577</v>
      </c>
      <c r="V36" s="529">
        <f t="shared" si="30"/>
        <v>14.62321210415749</v>
      </c>
      <c r="W36" s="529">
        <f t="shared" si="30"/>
        <v>19.877240259286463</v>
      </c>
      <c r="X36" s="529">
        <f t="shared" si="30"/>
        <v>14.390265808565312</v>
      </c>
      <c r="Y36" s="529">
        <f t="shared" si="30"/>
        <v>14.700170317748498</v>
      </c>
      <c r="Z36" s="529">
        <f>Z23/Z22*100</f>
        <v>18.458750996087343</v>
      </c>
      <c r="AA36" s="529">
        <f>AA23/AA22*100</f>
        <v>16.563412908440597</v>
      </c>
      <c r="AB36" s="529">
        <f>AB23/AB22*100</f>
        <v>19.391071776006594</v>
      </c>
      <c r="AC36" s="529">
        <f>AC23/AC22*100</f>
        <v>19.667422425076321</v>
      </c>
      <c r="AD36" s="529">
        <v>14.568564298893962</v>
      </c>
      <c r="AE36" s="529">
        <v>16.399181177928533</v>
      </c>
      <c r="AF36" s="529">
        <v>22.260572652542354</v>
      </c>
      <c r="AG36" s="529">
        <v>21.031377716116996</v>
      </c>
      <c r="AH36" s="529">
        <v>23.819447449964219</v>
      </c>
      <c r="AI36" s="529">
        <v>16.645989365557305</v>
      </c>
      <c r="AJ36" s="529">
        <v>15.130858768746776</v>
      </c>
      <c r="AK36" s="529">
        <v>19.584414371639735</v>
      </c>
      <c r="AL36" s="529">
        <v>16.707817264178086</v>
      </c>
      <c r="AM36" s="529">
        <v>19.34633826957003</v>
      </c>
      <c r="AN36" s="529">
        <v>19.410275572703075</v>
      </c>
      <c r="AO36" s="529">
        <v>12.070279686863179</v>
      </c>
      <c r="AP36" s="529">
        <v>12.946261893221141</v>
      </c>
      <c r="AQ36" s="529">
        <v>17.439453997506522</v>
      </c>
      <c r="AR36" s="529">
        <v>17.974041065035358</v>
      </c>
      <c r="AS36" s="529">
        <v>14.987904233254683</v>
      </c>
      <c r="AT36" s="529">
        <v>18.826765451810967</v>
      </c>
      <c r="AU36" s="529">
        <v>15.933822996310404</v>
      </c>
      <c r="AV36" s="529">
        <v>17.276122505739856</v>
      </c>
      <c r="AW36" s="529">
        <v>24.339047297006772</v>
      </c>
      <c r="AX36" s="529">
        <v>18.486922280741855</v>
      </c>
      <c r="AY36" s="529">
        <v>27.941710092614347</v>
      </c>
      <c r="AZ36" s="529">
        <v>31.245524604363261</v>
      </c>
      <c r="BA36" s="529">
        <v>31.784843662266933</v>
      </c>
      <c r="BB36" s="529">
        <v>29.188040787287029</v>
      </c>
      <c r="BC36" s="529">
        <v>36.923474856845253</v>
      </c>
      <c r="BD36" s="529">
        <v>36.038592628222617</v>
      </c>
      <c r="BE36" s="529">
        <v>37.838918491343115</v>
      </c>
      <c r="BF36" s="529">
        <v>31.963492965208328</v>
      </c>
      <c r="BG36" s="529">
        <v>39.622044717874374</v>
      </c>
      <c r="BH36" s="529">
        <v>34.502740298220758</v>
      </c>
      <c r="BI36" s="529">
        <v>31.484013781554506</v>
      </c>
      <c r="BJ36" s="529">
        <v>28.888875224775528</v>
      </c>
      <c r="BK36" s="529">
        <v>34.154101731185435</v>
      </c>
      <c r="BL36" s="529">
        <v>36.100607173311531</v>
      </c>
      <c r="BM36" s="529">
        <v>33.133126282536153</v>
      </c>
      <c r="BN36" s="529">
        <v>44.403432711803269</v>
      </c>
      <c r="BO36" s="529">
        <v>40.558635411500191</v>
      </c>
      <c r="BP36" s="529">
        <v>39.482657053096219</v>
      </c>
      <c r="BQ36" s="529">
        <v>39.482657053096219</v>
      </c>
      <c r="BR36" s="529">
        <v>34.068389176679027</v>
      </c>
      <c r="BS36" s="529">
        <v>35.003760351619434</v>
      </c>
      <c r="BT36" s="529">
        <v>33.978639127505154</v>
      </c>
      <c r="BU36" s="529">
        <v>36.835935322166861</v>
      </c>
      <c r="BV36" s="529">
        <v>39.482657053096219</v>
      </c>
      <c r="BW36" s="529">
        <f t="shared" ref="BW36:CD36" si="31">BW23/BW22*100</f>
        <v>49.676626094994347</v>
      </c>
      <c r="BX36" s="529">
        <f t="shared" si="31"/>
        <v>50.094881089070462</v>
      </c>
      <c r="BY36" s="529">
        <f t="shared" si="31"/>
        <v>43.905441455199878</v>
      </c>
      <c r="BZ36" s="529">
        <f t="shared" si="31"/>
        <v>49.212441040375211</v>
      </c>
      <c r="CA36" s="529">
        <f t="shared" si="31"/>
        <v>45.940858585118278</v>
      </c>
      <c r="CB36" s="529">
        <f t="shared" si="31"/>
        <v>42.477568419236881</v>
      </c>
      <c r="CC36" s="529">
        <f t="shared" si="31"/>
        <v>50.288552342096416</v>
      </c>
      <c r="CD36" s="529">
        <f t="shared" si="31"/>
        <v>49.659688882063449</v>
      </c>
      <c r="CE36" s="529"/>
      <c r="CF36" s="529"/>
      <c r="CG36" s="529"/>
      <c r="CH36" s="529"/>
      <c r="CI36" s="529"/>
    </row>
    <row r="37" spans="1:87" ht="17">
      <c r="A37" s="453" t="s">
        <v>1228</v>
      </c>
      <c r="B37" s="530">
        <v>1.4542632014087868</v>
      </c>
      <c r="C37" s="530">
        <f>C4/C24*12/1</f>
        <v>1.7418689111747852</v>
      </c>
      <c r="D37" s="530">
        <f>D4/D24*12/2</f>
        <v>1.2575264863896849</v>
      </c>
      <c r="E37" s="530">
        <f>E4/E24*12/3</f>
        <v>1.1778634431709647</v>
      </c>
      <c r="F37" s="530">
        <f>F4/F24*12/4</f>
        <v>1.2045096794412609</v>
      </c>
      <c r="G37" s="530">
        <v>1.1748525000000001</v>
      </c>
      <c r="H37" s="530">
        <f>H4/H24*12/6</f>
        <v>1.3023291189111748</v>
      </c>
      <c r="I37" s="530">
        <f>I4/I24*12/7</f>
        <v>1.3689567079410561</v>
      </c>
      <c r="J37" s="530">
        <f>J4/J24*12/8</f>
        <v>1.343475161174785</v>
      </c>
      <c r="K37" s="530">
        <f>K4/K24*12/9</f>
        <v>1.4046643823623051</v>
      </c>
      <c r="L37" s="530">
        <f>L4/L24*12/10</f>
        <v>1.3945366439828082</v>
      </c>
      <c r="M37" s="530">
        <f>M4/M24*12/11</f>
        <v>1.3695488538681948</v>
      </c>
      <c r="N37" s="530">
        <f>N4/N24*12/12</f>
        <v>1.3427640490687682</v>
      </c>
      <c r="O37" s="530">
        <f>O4/O24*12/1</f>
        <v>0.73028499283667625</v>
      </c>
      <c r="P37" s="530">
        <f>P4/P24*12/2</f>
        <v>0.95419455587392554</v>
      </c>
      <c r="Q37" s="530">
        <f>Q4/Q24*12/3</f>
        <v>0.98605342645654248</v>
      </c>
      <c r="R37" s="530">
        <f>R4/R24*12/4</f>
        <v>0.9414011013610315</v>
      </c>
      <c r="S37" s="530">
        <f>S4/S24*12/5</f>
        <v>0.94831316618911177</v>
      </c>
      <c r="T37" s="530">
        <f>T4/T24*12/6</f>
        <v>0.93196177769818533</v>
      </c>
      <c r="U37" s="530">
        <f>U4/U24*12/7</f>
        <v>0.94266789295947606</v>
      </c>
      <c r="V37" s="530">
        <f>V4/V24*12/8</f>
        <v>0.91335630372492838</v>
      </c>
      <c r="W37" s="530">
        <f>W4/W24*12/9</f>
        <v>0.8999891077682266</v>
      </c>
      <c r="X37" s="530">
        <f>X4/X24*12/10</f>
        <v>0.89565698782234959</v>
      </c>
      <c r="Y37" s="530">
        <f>Y4/Y24*12/11</f>
        <v>0.86817580750195367</v>
      </c>
      <c r="Z37" s="530">
        <f>Z4/Z24*12/12</f>
        <v>0.87433005312798473</v>
      </c>
      <c r="AA37" s="530">
        <f>AA4/AA24*12/1</f>
        <v>1.4323448782234958</v>
      </c>
      <c r="AB37" s="530">
        <f>AB4/AB24*12/2</f>
        <v>1.0061786353868194</v>
      </c>
      <c r="AC37" s="530">
        <f>AC4/AC24*12/3</f>
        <v>0.97116160458452727</v>
      </c>
      <c r="AD37" s="530">
        <v>0.98043303187679076</v>
      </c>
      <c r="AE37" s="530">
        <v>0.97104494985673351</v>
      </c>
      <c r="AF37" s="530">
        <v>1.0178750059694366</v>
      </c>
      <c r="AG37" s="530">
        <v>0.99457421715104388</v>
      </c>
      <c r="AH37" s="530">
        <v>1.2069144494474007</v>
      </c>
      <c r="AI37" s="530">
        <v>0.93871123845908933</v>
      </c>
      <c r="AJ37" s="530">
        <v>0.89213571275071646</v>
      </c>
      <c r="AK37" s="530">
        <v>0.89434129981766086</v>
      </c>
      <c r="AL37" s="530">
        <v>0.88807388371537732</v>
      </c>
      <c r="AM37" s="530">
        <v>0.54972131088825216</v>
      </c>
      <c r="AN37" s="530">
        <v>0.52447066618911176</v>
      </c>
      <c r="AO37" s="530">
        <v>0.64598658070678128</v>
      </c>
      <c r="AP37" s="530">
        <v>0.59007427471346707</v>
      </c>
      <c r="AQ37" s="530">
        <v>0.70968596704871056</v>
      </c>
      <c r="AR37" s="530">
        <v>0.79323511819484238</v>
      </c>
      <c r="AS37" s="530">
        <v>0.78279434609087184</v>
      </c>
      <c r="AT37" s="530">
        <v>0.77570693051575934</v>
      </c>
      <c r="AU37" s="530">
        <v>0.78117517510347023</v>
      </c>
      <c r="AV37" s="530">
        <v>0.73944231017191975</v>
      </c>
      <c r="AW37" s="530">
        <v>0.74004635972909616</v>
      </c>
      <c r="AX37" s="530">
        <v>0.85180791221672303</v>
      </c>
      <c r="AY37" s="530">
        <v>0.72068137535816623</v>
      </c>
      <c r="AZ37" s="530">
        <v>0.86923153653295127</v>
      </c>
      <c r="BA37" s="530">
        <v>1.3089334169054441</v>
      </c>
      <c r="BB37" s="530">
        <v>1.4212019967765044</v>
      </c>
      <c r="BC37" s="530">
        <v>1.3745070916905444</v>
      </c>
      <c r="BD37" s="530">
        <v>1.4986400191021965</v>
      </c>
      <c r="BE37" s="530">
        <v>1.434366577977896</v>
      </c>
      <c r="BF37" s="530">
        <v>1.3656891878581661</v>
      </c>
      <c r="BG37" s="530">
        <v>1.3379509153135942</v>
      </c>
      <c r="BH37" s="530">
        <v>1.293294573782235</v>
      </c>
      <c r="BI37" s="530">
        <v>1.2561481375358166</v>
      </c>
      <c r="BJ37" s="530">
        <v>1.3959645803486154</v>
      </c>
      <c r="BK37" s="530">
        <v>1.3236261819484241</v>
      </c>
      <c r="BL37" s="530">
        <v>1.3997012714899713</v>
      </c>
      <c r="BM37" s="530">
        <v>1.7545130969436482</v>
      </c>
      <c r="BN37" s="530">
        <v>1.6926152489255015</v>
      </c>
      <c r="BO37" s="530">
        <v>1.7888311891117479</v>
      </c>
      <c r="BP37" s="530">
        <v>1.8251367299426935</v>
      </c>
      <c r="BQ37" s="530">
        <v>1.8228291291444945</v>
      </c>
      <c r="BR37" s="530">
        <v>1.8994320872134669</v>
      </c>
      <c r="BS37" s="530">
        <v>1.9034674984081503</v>
      </c>
      <c r="BT37" s="530">
        <v>1.8874674068767909</v>
      </c>
      <c r="BU37" s="530">
        <v>1.9380076517322218</v>
      </c>
      <c r="BV37" s="530">
        <v>2.055183685530086</v>
      </c>
      <c r="BW37" s="530">
        <f>BW4/BW24*12/1</f>
        <v>2.1578420845272204</v>
      </c>
      <c r="BX37" s="530">
        <f>BX4/BX24*12/2</f>
        <v>2.0293418875358165</v>
      </c>
      <c r="BY37" s="530">
        <f>BY4/BY24*12/3</f>
        <v>2.1137824856733523</v>
      </c>
      <c r="BZ37" s="530">
        <f>BZ4/BZ24*12/4</f>
        <v>2.1885395863180515</v>
      </c>
      <c r="CA37" s="530">
        <f>CA4/CA24*12/5</f>
        <v>4.0513000787965616</v>
      </c>
      <c r="CB37" s="530">
        <f>CB4/CB24*12/6</f>
        <v>3.3760833989971348</v>
      </c>
      <c r="CC37" s="530">
        <f>CC4/CC24*12/7</f>
        <v>2.8937857705689725</v>
      </c>
      <c r="CD37" s="530">
        <f>CD4/CD24*12/7</f>
        <v>2.8937857705689725</v>
      </c>
      <c r="CE37" s="530"/>
      <c r="CF37" s="530"/>
      <c r="CG37" s="530"/>
      <c r="CH37" s="530"/>
      <c r="CI37" s="530"/>
    </row>
    <row r="38" spans="1:87" ht="17">
      <c r="A38" s="396"/>
      <c r="B38" s="396"/>
      <c r="C38" s="396"/>
      <c r="D38" s="396"/>
      <c r="E38" s="396"/>
      <c r="F38" s="396"/>
      <c r="G38" s="396"/>
      <c r="H38" s="396"/>
      <c r="I38" s="396"/>
      <c r="J38" s="396"/>
      <c r="K38" s="396"/>
      <c r="L38" s="396"/>
      <c r="M38" s="396"/>
      <c r="N38" s="396"/>
      <c r="O38" s="396"/>
      <c r="P38" s="396"/>
      <c r="Q38" s="396"/>
      <c r="R38" s="396"/>
      <c r="S38" s="396"/>
      <c r="T38" s="396"/>
      <c r="U38" s="396"/>
      <c r="V38" s="396"/>
      <c r="W38" s="396"/>
      <c r="X38" s="396"/>
    </row>
    <row r="39" spans="1:87" ht="16.5" customHeight="1">
      <c r="A39" s="396"/>
      <c r="B39" s="396"/>
      <c r="C39" s="396"/>
      <c r="D39" s="396"/>
      <c r="E39" s="396"/>
      <c r="F39" s="396"/>
      <c r="G39" s="396"/>
      <c r="H39" s="396"/>
      <c r="I39" s="396"/>
      <c r="J39" s="396"/>
      <c r="K39" s="396"/>
      <c r="L39" s="396"/>
      <c r="M39" s="396"/>
      <c r="N39" s="396"/>
      <c r="O39" s="396"/>
      <c r="P39" s="396"/>
      <c r="Q39" s="396"/>
      <c r="R39" s="396"/>
      <c r="S39" s="396"/>
      <c r="T39" s="396"/>
      <c r="U39" s="396"/>
      <c r="V39" s="396"/>
      <c r="W39" s="396"/>
      <c r="X39" s="396"/>
    </row>
    <row r="40" spans="1:87" ht="17">
      <c r="A40" s="453" t="s">
        <v>1229</v>
      </c>
      <c r="B40" s="530">
        <v>67.925142194102079</v>
      </c>
      <c r="C40" s="530">
        <f>C29+C31-C33</f>
        <v>37.897323186740124</v>
      </c>
      <c r="D40" s="530">
        <f>D29+D31-D33</f>
        <v>44.516234612503183</v>
      </c>
      <c r="E40" s="530">
        <f>E29+E31-E33</f>
        <v>54.215320727020156</v>
      </c>
      <c r="F40" s="530">
        <v>29.611910014012395</v>
      </c>
      <c r="G40" s="530">
        <v>62.49210628139717</v>
      </c>
      <c r="H40" s="530">
        <f t="shared" ref="H40:M40" si="32">H29+H31-H33</f>
        <v>57.010974338016396</v>
      </c>
      <c r="I40" s="530">
        <f t="shared" si="32"/>
        <v>43.041152523876704</v>
      </c>
      <c r="J40" s="530">
        <f t="shared" si="32"/>
        <v>64.347232290867581</v>
      </c>
      <c r="K40" s="530">
        <f t="shared" si="32"/>
        <v>65.486394054197916</v>
      </c>
      <c r="L40" s="530">
        <f t="shared" si="32"/>
        <v>67.992907776900509</v>
      </c>
      <c r="M40" s="530">
        <f t="shared" si="32"/>
        <v>67.239757676597591</v>
      </c>
      <c r="N40" s="530">
        <f t="shared" ref="N40:S40" si="33">N29+N31-N33</f>
        <v>56.512093165035537</v>
      </c>
      <c r="O40" s="530">
        <f t="shared" si="33"/>
        <v>36.988451504889952</v>
      </c>
      <c r="P40" s="530">
        <f t="shared" si="33"/>
        <v>61.721507372367952</v>
      </c>
      <c r="Q40" s="530">
        <f>Q29+Q31-Q33</f>
        <v>37.83582058746083</v>
      </c>
      <c r="R40" s="530">
        <f t="shared" si="33"/>
        <v>76.443490407153433</v>
      </c>
      <c r="S40" s="530">
        <f t="shared" si="33"/>
        <v>62.097711245988023</v>
      </c>
      <c r="T40" s="530">
        <f t="shared" ref="T40:Y40" si="34">T29+T31-T33</f>
        <v>53.44715441435892</v>
      </c>
      <c r="U40" s="530">
        <f t="shared" si="34"/>
        <v>71.479326189086663</v>
      </c>
      <c r="V40" s="530">
        <f t="shared" si="34"/>
        <v>80.755108515213209</v>
      </c>
      <c r="W40" s="530">
        <f t="shared" si="34"/>
        <v>54.674668061627656</v>
      </c>
      <c r="X40" s="530">
        <f t="shared" si="34"/>
        <v>70.229797166096674</v>
      </c>
      <c r="Y40" s="530">
        <f t="shared" si="34"/>
        <v>66.20100043463043</v>
      </c>
      <c r="Z40" s="530">
        <f>Z29+Z31-Z33</f>
        <v>47.957662752143122</v>
      </c>
      <c r="AA40" s="530">
        <f>AA29+AA31-AA33</f>
        <v>48.489048853158181</v>
      </c>
      <c r="AB40" s="530">
        <f>AB29+AB31-AB33</f>
        <v>54.348008092433091</v>
      </c>
      <c r="AC40" s="530">
        <f>AC29+AC31-AC33</f>
        <v>74.312818912939221</v>
      </c>
      <c r="AD40" s="530">
        <f>AD29+AD31-AD33</f>
        <v>83.022701100398166</v>
      </c>
      <c r="AE40" s="530">
        <v>77.237439531138335</v>
      </c>
      <c r="AF40" s="530">
        <v>67.132973907058542</v>
      </c>
      <c r="AG40" s="530">
        <v>86.75486669388107</v>
      </c>
      <c r="AH40" s="530">
        <v>52.432789594004419</v>
      </c>
      <c r="AI40" s="530">
        <v>90.870652061599429</v>
      </c>
      <c r="AJ40" s="530">
        <v>98.856527310887301</v>
      </c>
      <c r="AK40" s="530">
        <v>90.256238733406448</v>
      </c>
      <c r="AL40" s="530">
        <v>100.339281549128</v>
      </c>
      <c r="AM40" s="530">
        <v>253.21622716123949</v>
      </c>
      <c r="AN40" s="530">
        <v>211.2044819293817</v>
      </c>
      <c r="AO40" s="530">
        <v>188.80850514360156</v>
      </c>
      <c r="AP40" s="530">
        <v>215.36082743988024</v>
      </c>
      <c r="AQ40" s="530">
        <v>152.08692262044929</v>
      </c>
      <c r="AR40" s="530">
        <v>133.9894218301807</v>
      </c>
      <c r="AS40" s="530">
        <v>132.61830374047258</v>
      </c>
      <c r="AT40" s="530">
        <v>112.33892818535746</v>
      </c>
      <c r="AU40" s="530">
        <v>128.30596517752628</v>
      </c>
      <c r="AV40" s="530">
        <v>138.40047989194335</v>
      </c>
      <c r="AW40" s="530">
        <v>122.40116335728629</v>
      </c>
      <c r="AX40" s="530">
        <v>56.158133514882209</v>
      </c>
      <c r="AY40" s="530">
        <v>142.78492617512987</v>
      </c>
      <c r="AZ40" s="530">
        <v>138.63206264967388</v>
      </c>
      <c r="BA40" s="530">
        <v>91.2211847591484</v>
      </c>
      <c r="BB40" s="530">
        <v>98.865517886050043</v>
      </c>
      <c r="BC40" s="530">
        <v>85.37414977409712</v>
      </c>
      <c r="BD40" s="530">
        <v>100.3941292125773</v>
      </c>
      <c r="BE40" s="530">
        <v>97.296425380814185</v>
      </c>
      <c r="BF40" s="530">
        <v>109.25158253339262</v>
      </c>
      <c r="BG40" s="530">
        <v>109.64463092698588</v>
      </c>
      <c r="BH40" s="530">
        <v>97.346422104677259</v>
      </c>
      <c r="BI40" s="530">
        <v>102.54850136309108</v>
      </c>
      <c r="BJ40" s="530">
        <v>50.219764314284788</v>
      </c>
      <c r="BK40" s="530">
        <f>BK29+BK31-BK33</f>
        <v>126.97669211557584</v>
      </c>
      <c r="BL40" s="530">
        <f t="shared" ref="BL40:BU40" si="35">BL29+BL31-BL33</f>
        <v>100.02508552965267</v>
      </c>
      <c r="BM40" s="530">
        <f t="shared" si="35"/>
        <v>91.993052575995364</v>
      </c>
      <c r="BN40" s="530">
        <f t="shared" si="35"/>
        <v>60.091680484274889</v>
      </c>
      <c r="BO40" s="530">
        <f t="shared" si="35"/>
        <v>95.282215877153931</v>
      </c>
      <c r="BP40" s="530">
        <f t="shared" si="35"/>
        <v>105.81705989625252</v>
      </c>
      <c r="BQ40" s="530">
        <f t="shared" si="35"/>
        <v>110.94657684670008</v>
      </c>
      <c r="BR40" s="530">
        <f t="shared" si="35"/>
        <v>101.35411428454327</v>
      </c>
      <c r="BS40" s="530">
        <f t="shared" si="35"/>
        <v>97.12908083171385</v>
      </c>
      <c r="BT40" s="530">
        <f t="shared" si="35"/>
        <v>104.68231907281962</v>
      </c>
      <c r="BU40" s="530">
        <f t="shared" si="35"/>
        <v>94.091545814242352</v>
      </c>
      <c r="BV40" s="530">
        <f t="shared" ref="BV40:CD40" si="36">BV29+BV31-BV33</f>
        <v>78.212438264593615</v>
      </c>
      <c r="BW40" s="530">
        <f t="shared" si="36"/>
        <v>103.4430421476399</v>
      </c>
      <c r="BX40" s="530">
        <f t="shared" si="36"/>
        <v>84.642110225123943</v>
      </c>
      <c r="BY40" s="530">
        <f t="shared" si="36"/>
        <v>103.09347719470829</v>
      </c>
      <c r="BZ40" s="530">
        <f t="shared" si="36"/>
        <v>81.65371503492473</v>
      </c>
      <c r="CA40" s="530">
        <f t="shared" si="36"/>
        <v>69.541183962238279</v>
      </c>
      <c r="CB40" s="530">
        <f t="shared" si="36"/>
        <v>42.740654135572612</v>
      </c>
      <c r="CC40" s="530">
        <f t="shared" si="36"/>
        <v>57.73760066680525</v>
      </c>
      <c r="CD40" s="530">
        <f t="shared" si="36"/>
        <v>89.042160883442918</v>
      </c>
      <c r="CE40" s="530"/>
      <c r="CF40" s="530"/>
      <c r="CG40" s="530"/>
      <c r="CH40" s="530"/>
      <c r="CI40" s="530"/>
    </row>
    <row r="43" spans="1:87" hidden="1">
      <c r="AH43" s="533"/>
      <c r="AI43" s="533">
        <f>AI4*AI40/365</f>
        <v>58724688.359103434</v>
      </c>
      <c r="AJ43" s="533">
        <f>AJ4*AJ40/365</f>
        <v>67461939.769738346</v>
      </c>
      <c r="AK43" s="533">
        <v>67919698.954872936</v>
      </c>
      <c r="AL43" s="533">
        <v>81794458.424906</v>
      </c>
      <c r="AM43" s="533">
        <f>AM4*AM40/365</f>
        <v>10647720.846094389</v>
      </c>
    </row>
    <row r="47" spans="1:87" ht="12.75" customHeight="1"/>
  </sheetData>
  <phoneticPr fontId="39" type="noConversion"/>
  <pageMargins left="0.2" right="0.17" top="0.4" bottom="0.38" header="0.16" footer="0.23"/>
  <pageSetup paperSize="9" scale="95" orientation="landscape" r:id="rId1"/>
  <headerFooter alignWithMargins="0">
    <oddHeader>&amp;R&amp;F--&amp;A</oddHeader>
  </headerFooter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4">
    <tabColor indexed="15"/>
  </sheetPr>
  <dimension ref="A1:J1000"/>
  <sheetViews>
    <sheetView workbookViewId="0">
      <pane ySplit="8" topLeftCell="A150" activePane="bottomLeft" state="frozen"/>
      <selection pane="bottomLeft" activeCell="E162" sqref="E162"/>
    </sheetView>
  </sheetViews>
  <sheetFormatPr baseColWidth="10" defaultColWidth="9.19921875" defaultRowHeight="13"/>
  <cols>
    <col min="1" max="2" width="6.19921875" customWidth="1"/>
    <col min="3" max="3" width="36.19921875" bestFit="1" customWidth="1"/>
    <col min="4" max="4" width="13" style="1038" bestFit="1" customWidth="1"/>
    <col min="5" max="5" width="9.59765625" style="1039" bestFit="1" customWidth="1"/>
    <col min="6" max="7" width="4.3984375" customWidth="1"/>
    <col min="8" max="8" width="36.19921875" bestFit="1" customWidth="1"/>
    <col min="9" max="9" width="18.3984375" style="1038" bestFit="1" customWidth="1"/>
    <col min="10" max="10" width="9.59765625" style="1039" bestFit="1" customWidth="1"/>
  </cols>
  <sheetData>
    <row r="1" spans="1:10" ht="25">
      <c r="A1" s="1213" t="s">
        <v>444</v>
      </c>
      <c r="B1" s="1213"/>
      <c r="C1" s="1213"/>
      <c r="D1" s="1213"/>
      <c r="E1" s="1213"/>
      <c r="F1" s="1213"/>
      <c r="G1" s="1213"/>
      <c r="H1" s="1213"/>
      <c r="I1" s="1213"/>
      <c r="J1" s="1213"/>
    </row>
    <row r="2" spans="1:10" ht="20">
      <c r="A2" s="1214" t="s">
        <v>564</v>
      </c>
      <c r="B2" s="1214"/>
      <c r="C2" s="1214"/>
      <c r="D2" s="1214"/>
      <c r="E2" s="1214"/>
      <c r="F2" s="1214"/>
      <c r="G2" s="1214"/>
      <c r="H2" s="1214"/>
      <c r="I2" s="1214"/>
      <c r="J2" s="1214"/>
    </row>
    <row r="3" spans="1:10">
      <c r="A3" s="1030"/>
      <c r="B3" s="1030"/>
      <c r="C3" s="1030"/>
      <c r="D3" s="1031"/>
      <c r="E3" s="1032"/>
      <c r="F3" s="1030"/>
      <c r="G3" s="1030"/>
      <c r="H3" s="1030"/>
      <c r="I3" s="1031"/>
      <c r="J3" s="1032"/>
    </row>
    <row r="4" spans="1:10">
      <c r="A4" s="1033" t="s">
        <v>366</v>
      </c>
      <c r="B4" s="1030"/>
      <c r="C4" s="1030"/>
      <c r="D4" s="1031"/>
      <c r="E4" s="1032"/>
      <c r="F4" s="1030"/>
      <c r="G4" s="1030"/>
      <c r="H4" s="1030"/>
      <c r="I4" s="1034" t="s">
        <v>879</v>
      </c>
      <c r="J4" s="1032"/>
    </row>
    <row r="5" spans="1:10">
      <c r="A5" s="1033" t="s">
        <v>367</v>
      </c>
      <c r="B5" s="1030"/>
      <c r="C5" s="1030"/>
      <c r="D5" s="1031"/>
      <c r="E5" s="1032"/>
      <c r="F5" s="1030"/>
      <c r="G5" s="1030"/>
      <c r="H5" s="1030"/>
      <c r="I5" s="1034" t="s">
        <v>2086</v>
      </c>
      <c r="J5" s="1032"/>
    </row>
    <row r="6" spans="1:10">
      <c r="A6" s="1033" t="s">
        <v>2087</v>
      </c>
      <c r="B6" s="1030"/>
      <c r="C6" s="1030"/>
      <c r="D6" s="1031"/>
      <c r="E6" s="1032"/>
      <c r="F6" s="1030"/>
      <c r="G6" s="1030"/>
      <c r="H6" s="1030"/>
      <c r="I6" s="1031"/>
      <c r="J6" s="1032"/>
    </row>
    <row r="7" spans="1:10">
      <c r="A7" s="1035" t="s">
        <v>445</v>
      </c>
      <c r="B7" s="1126"/>
      <c r="C7" s="1126"/>
      <c r="D7" s="1036" t="s">
        <v>416</v>
      </c>
      <c r="E7" s="1037" t="s">
        <v>490</v>
      </c>
      <c r="F7" s="1035" t="s">
        <v>445</v>
      </c>
      <c r="G7" s="1035"/>
      <c r="H7" s="1035"/>
      <c r="I7" s="1036" t="s">
        <v>416</v>
      </c>
      <c r="J7" s="1037" t="s">
        <v>490</v>
      </c>
    </row>
    <row r="8" spans="1:10">
      <c r="A8" s="1127" t="s">
        <v>371</v>
      </c>
      <c r="B8" s="1030"/>
      <c r="C8" s="1030"/>
      <c r="D8" s="1031"/>
      <c r="E8" s="1032"/>
      <c r="F8" s="1127" t="s">
        <v>373</v>
      </c>
      <c r="G8" s="1030"/>
      <c r="H8" s="1030"/>
      <c r="I8" s="1031"/>
      <c r="J8" s="1032"/>
    </row>
    <row r="9" spans="1:10">
      <c r="A9" s="1030"/>
      <c r="B9" s="1127" t="s">
        <v>372</v>
      </c>
      <c r="C9" s="1030"/>
      <c r="D9" s="1031"/>
      <c r="E9" s="1032"/>
      <c r="F9" s="1030"/>
      <c r="G9" s="1127" t="s">
        <v>374</v>
      </c>
      <c r="H9" s="1030"/>
      <c r="I9" s="1031"/>
      <c r="J9" s="1032"/>
    </row>
    <row r="10" spans="1:10">
      <c r="A10" s="1030"/>
      <c r="B10" s="1030"/>
      <c r="C10" s="1030" t="s">
        <v>18</v>
      </c>
      <c r="D10" s="1031">
        <v>58535503.670000002</v>
      </c>
      <c r="E10" s="1032">
        <v>12</v>
      </c>
      <c r="F10" s="1030"/>
      <c r="G10" s="1030"/>
      <c r="H10" s="1030" t="s">
        <v>19</v>
      </c>
      <c r="I10" s="1031">
        <v>81147909</v>
      </c>
      <c r="J10" s="1032">
        <v>16.64</v>
      </c>
    </row>
    <row r="11" spans="1:10">
      <c r="A11" s="1030"/>
      <c r="B11" s="1030"/>
      <c r="C11" s="1030" t="s">
        <v>20</v>
      </c>
      <c r="D11" s="1031">
        <v>73926</v>
      </c>
      <c r="E11" s="1032">
        <v>0.02</v>
      </c>
      <c r="F11" s="1030"/>
      <c r="G11" s="1030"/>
      <c r="H11" s="1030" t="s">
        <v>21</v>
      </c>
      <c r="I11" s="1031">
        <v>0</v>
      </c>
      <c r="J11" s="1032">
        <v>0</v>
      </c>
    </row>
    <row r="12" spans="1:10">
      <c r="A12" s="1030"/>
      <c r="B12" s="1030"/>
      <c r="C12" s="1030" t="s">
        <v>22</v>
      </c>
      <c r="D12" s="1031">
        <v>0</v>
      </c>
      <c r="E12" s="1032">
        <v>0</v>
      </c>
      <c r="F12" s="1030"/>
      <c r="G12" s="1030"/>
      <c r="H12" s="1030" t="s">
        <v>23</v>
      </c>
      <c r="I12" s="1031">
        <v>81147909</v>
      </c>
      <c r="J12" s="1032">
        <v>16.64</v>
      </c>
    </row>
    <row r="13" spans="1:10">
      <c r="A13" s="1030"/>
      <c r="B13" s="1030"/>
      <c r="C13" s="1030" t="s">
        <v>24</v>
      </c>
      <c r="D13" s="1031">
        <v>0</v>
      </c>
      <c r="E13" s="1032">
        <v>0</v>
      </c>
      <c r="F13" s="1030"/>
      <c r="G13" s="1030"/>
      <c r="H13" s="1030" t="s">
        <v>25</v>
      </c>
      <c r="I13" s="1031">
        <v>0</v>
      </c>
      <c r="J13" s="1032">
        <v>0</v>
      </c>
    </row>
    <row r="14" spans="1:10">
      <c r="A14" s="1030"/>
      <c r="B14" s="1030"/>
      <c r="C14" s="1030" t="s">
        <v>26</v>
      </c>
      <c r="D14" s="1031">
        <v>171</v>
      </c>
      <c r="E14" s="1032">
        <v>0</v>
      </c>
      <c r="F14" s="1030"/>
      <c r="G14" s="1030"/>
      <c r="H14" s="1030" t="s">
        <v>27</v>
      </c>
      <c r="I14" s="1031">
        <v>0</v>
      </c>
      <c r="J14" s="1032">
        <v>0</v>
      </c>
    </row>
    <row r="15" spans="1:10">
      <c r="A15" s="1030"/>
      <c r="B15" s="1030"/>
      <c r="C15" s="1030" t="s">
        <v>28</v>
      </c>
      <c r="D15" s="1031">
        <v>26092</v>
      </c>
      <c r="E15" s="1032">
        <v>0.01</v>
      </c>
      <c r="F15" s="1030"/>
      <c r="G15" s="1030"/>
      <c r="H15" s="1030" t="s">
        <v>29</v>
      </c>
      <c r="I15" s="1031">
        <v>0</v>
      </c>
      <c r="J15" s="1032">
        <v>0</v>
      </c>
    </row>
    <row r="16" spans="1:10">
      <c r="A16" s="1030"/>
      <c r="B16" s="1030"/>
      <c r="C16" s="1030" t="s">
        <v>30</v>
      </c>
      <c r="D16" s="1031">
        <v>1933</v>
      </c>
      <c r="E16" s="1032">
        <v>0</v>
      </c>
      <c r="F16" s="1030"/>
      <c r="G16" s="1030"/>
      <c r="H16" s="1030" t="s">
        <v>31</v>
      </c>
      <c r="I16" s="1031">
        <v>0</v>
      </c>
      <c r="J16" s="1032">
        <v>0</v>
      </c>
    </row>
    <row r="17" spans="1:10">
      <c r="A17" s="1030"/>
      <c r="B17" s="1030"/>
      <c r="C17" s="1030" t="s">
        <v>32</v>
      </c>
      <c r="D17" s="1031">
        <v>13</v>
      </c>
      <c r="E17" s="1032">
        <v>0</v>
      </c>
      <c r="F17" s="1030"/>
      <c r="G17" s="1030"/>
      <c r="H17" s="1030" t="s">
        <v>33</v>
      </c>
      <c r="I17" s="1031">
        <v>0</v>
      </c>
      <c r="J17" s="1032">
        <v>0</v>
      </c>
    </row>
    <row r="18" spans="1:10">
      <c r="A18" s="1030"/>
      <c r="B18" s="1030"/>
      <c r="C18" s="1030" t="s">
        <v>34</v>
      </c>
      <c r="D18" s="1031">
        <v>5771</v>
      </c>
      <c r="E18" s="1032">
        <v>0</v>
      </c>
      <c r="F18" s="1030"/>
      <c r="G18" s="1030"/>
      <c r="H18" s="1030" t="s">
        <v>35</v>
      </c>
      <c r="I18" s="1031">
        <v>0</v>
      </c>
      <c r="J18" s="1032">
        <v>0</v>
      </c>
    </row>
    <row r="19" spans="1:10">
      <c r="A19" s="1030"/>
      <c r="B19" s="1030"/>
      <c r="C19" s="1030" t="s">
        <v>36</v>
      </c>
      <c r="D19" s="1031">
        <v>51</v>
      </c>
      <c r="E19" s="1032">
        <v>0</v>
      </c>
      <c r="F19" s="1030"/>
      <c r="G19" s="1030"/>
      <c r="H19" s="1030" t="s">
        <v>37</v>
      </c>
      <c r="I19" s="1031">
        <v>70000</v>
      </c>
      <c r="J19" s="1032">
        <v>0.01</v>
      </c>
    </row>
    <row r="20" spans="1:10">
      <c r="A20" s="1030"/>
      <c r="B20" s="1030"/>
      <c r="C20" s="1030" t="s">
        <v>38</v>
      </c>
      <c r="D20" s="1031">
        <v>0</v>
      </c>
      <c r="E20" s="1032">
        <v>0</v>
      </c>
      <c r="F20" s="1030"/>
      <c r="G20" s="1030"/>
      <c r="H20" s="1030" t="s">
        <v>39</v>
      </c>
      <c r="I20" s="1031">
        <v>70000</v>
      </c>
      <c r="J20" s="1032">
        <v>0.01</v>
      </c>
    </row>
    <row r="21" spans="1:10">
      <c r="A21" s="1030"/>
      <c r="B21" s="1030"/>
      <c r="C21" s="1030" t="s">
        <v>40</v>
      </c>
      <c r="D21" s="1031">
        <v>1102</v>
      </c>
      <c r="E21" s="1032">
        <v>0</v>
      </c>
      <c r="F21" s="1030"/>
      <c r="G21" s="1030"/>
      <c r="H21" s="1030" t="s">
        <v>41</v>
      </c>
      <c r="I21" s="1031">
        <v>0</v>
      </c>
      <c r="J21" s="1032">
        <v>0</v>
      </c>
    </row>
    <row r="22" spans="1:10">
      <c r="A22" s="1030"/>
      <c r="B22" s="1030"/>
      <c r="C22" s="1030" t="s">
        <v>42</v>
      </c>
      <c r="D22" s="1031">
        <v>876</v>
      </c>
      <c r="E22" s="1032">
        <v>0</v>
      </c>
      <c r="F22" s="1030"/>
      <c r="G22" s="1030"/>
      <c r="H22" s="1030" t="s">
        <v>43</v>
      </c>
      <c r="I22" s="1031">
        <v>0</v>
      </c>
      <c r="J22" s="1032">
        <v>0</v>
      </c>
    </row>
    <row r="23" spans="1:10">
      <c r="A23" s="1030"/>
      <c r="B23" s="1030"/>
      <c r="C23" s="1030" t="s">
        <v>546</v>
      </c>
      <c r="D23" s="1031">
        <v>37917</v>
      </c>
      <c r="E23" s="1032">
        <v>0.01</v>
      </c>
      <c r="F23" s="1030"/>
      <c r="G23" s="1030"/>
      <c r="H23" s="1030" t="s">
        <v>45</v>
      </c>
      <c r="I23" s="1031">
        <v>0</v>
      </c>
      <c r="J23" s="1032">
        <v>0</v>
      </c>
    </row>
    <row r="24" spans="1:10">
      <c r="A24" s="1030"/>
      <c r="B24" s="1030"/>
      <c r="C24" s="1030" t="s">
        <v>44</v>
      </c>
      <c r="D24" s="1031">
        <v>50000</v>
      </c>
      <c r="E24" s="1032">
        <v>0.01</v>
      </c>
      <c r="F24" s="1030"/>
      <c r="G24" s="1030"/>
      <c r="H24" s="1030" t="s">
        <v>47</v>
      </c>
      <c r="I24" s="1031">
        <v>0</v>
      </c>
      <c r="J24" s="1032">
        <v>0</v>
      </c>
    </row>
    <row r="25" spans="1:10">
      <c r="A25" s="1030"/>
      <c r="B25" s="1030"/>
      <c r="C25" s="1030" t="s">
        <v>46</v>
      </c>
      <c r="D25" s="1031">
        <v>58411577.670000002</v>
      </c>
      <c r="E25" s="1032">
        <v>11.98</v>
      </c>
      <c r="F25" s="1030"/>
      <c r="G25" s="1030"/>
      <c r="H25" s="1030" t="s">
        <v>49</v>
      </c>
      <c r="I25" s="1031">
        <v>123723496</v>
      </c>
      <c r="J25" s="1032">
        <v>25.37</v>
      </c>
    </row>
    <row r="26" spans="1:10">
      <c r="A26" s="1030"/>
      <c r="B26" s="1030"/>
      <c r="C26" s="1030" t="s">
        <v>48</v>
      </c>
      <c r="D26" s="1031">
        <v>0</v>
      </c>
      <c r="E26" s="1032">
        <v>0</v>
      </c>
      <c r="F26" s="1030"/>
      <c r="G26" s="1030"/>
      <c r="H26" s="1030" t="s">
        <v>51</v>
      </c>
      <c r="I26" s="1031">
        <v>85074734</v>
      </c>
      <c r="J26" s="1032">
        <v>17.45</v>
      </c>
    </row>
    <row r="27" spans="1:10">
      <c r="A27" s="1030"/>
      <c r="B27" s="1030"/>
      <c r="C27" s="1030" t="s">
        <v>50</v>
      </c>
      <c r="D27" s="1031">
        <v>0</v>
      </c>
      <c r="E27" s="1032">
        <v>0</v>
      </c>
      <c r="F27" s="1030"/>
      <c r="G27" s="1030"/>
      <c r="H27" s="1030" t="s">
        <v>53</v>
      </c>
      <c r="I27" s="1031">
        <v>19009</v>
      </c>
      <c r="J27" s="1032">
        <v>0</v>
      </c>
    </row>
    <row r="28" spans="1:10">
      <c r="A28" s="1030"/>
      <c r="B28" s="1030"/>
      <c r="C28" s="1030" t="s">
        <v>52</v>
      </c>
      <c r="D28" s="1031">
        <v>680942</v>
      </c>
      <c r="E28" s="1032">
        <v>0.14000000000000001</v>
      </c>
      <c r="F28" s="1030"/>
      <c r="G28" s="1030"/>
      <c r="H28" s="1030" t="s">
        <v>55</v>
      </c>
      <c r="I28" s="1031">
        <v>0</v>
      </c>
      <c r="J28" s="1032">
        <v>0</v>
      </c>
    </row>
    <row r="29" spans="1:10">
      <c r="A29" s="1030"/>
      <c r="B29" s="1030"/>
      <c r="C29" s="1030" t="s">
        <v>54</v>
      </c>
      <c r="D29" s="1031">
        <v>0</v>
      </c>
      <c r="E29" s="1032">
        <v>0</v>
      </c>
      <c r="F29" s="1030"/>
      <c r="G29" s="1030"/>
      <c r="H29" s="1030" t="s">
        <v>57</v>
      </c>
      <c r="I29" s="1031">
        <v>38629753</v>
      </c>
      <c r="J29" s="1032">
        <v>7.92</v>
      </c>
    </row>
    <row r="30" spans="1:10">
      <c r="A30" s="1030"/>
      <c r="B30" s="1030"/>
      <c r="C30" s="1030" t="s">
        <v>56</v>
      </c>
      <c r="D30" s="1031">
        <v>6846059.5099999998</v>
      </c>
      <c r="E30" s="1032">
        <v>1.4</v>
      </c>
      <c r="F30" s="1030"/>
      <c r="G30" s="1030"/>
      <c r="H30" s="1030" t="s">
        <v>59</v>
      </c>
      <c r="I30" s="1031">
        <v>0</v>
      </c>
      <c r="J30" s="1032">
        <v>0</v>
      </c>
    </row>
    <row r="31" spans="1:10">
      <c r="A31" s="1030"/>
      <c r="B31" s="1030"/>
      <c r="C31" s="1030" t="s">
        <v>58</v>
      </c>
      <c r="D31" s="1031">
        <v>0</v>
      </c>
      <c r="E31" s="1032">
        <v>0</v>
      </c>
      <c r="F31" s="1030"/>
      <c r="G31" s="1030"/>
      <c r="H31" s="1030" t="s">
        <v>61</v>
      </c>
      <c r="I31" s="1031">
        <v>0</v>
      </c>
      <c r="J31" s="1032">
        <v>0</v>
      </c>
    </row>
    <row r="32" spans="1:10">
      <c r="A32" s="1030"/>
      <c r="B32" s="1030"/>
      <c r="C32" s="1030" t="s">
        <v>60</v>
      </c>
      <c r="D32" s="1031">
        <v>0</v>
      </c>
      <c r="E32" s="1032">
        <v>0</v>
      </c>
      <c r="F32" s="1030"/>
      <c r="G32" s="1030"/>
      <c r="H32" s="1030" t="s">
        <v>63</v>
      </c>
      <c r="I32" s="1031">
        <v>0</v>
      </c>
      <c r="J32" s="1032">
        <v>0</v>
      </c>
    </row>
    <row r="33" spans="1:10">
      <c r="A33" s="1030"/>
      <c r="B33" s="1030"/>
      <c r="C33" s="1030" t="s">
        <v>62</v>
      </c>
      <c r="D33" s="1031">
        <v>0</v>
      </c>
      <c r="E33" s="1032">
        <v>0</v>
      </c>
      <c r="F33" s="1030"/>
      <c r="G33" s="1030"/>
      <c r="H33" s="1030" t="s">
        <v>65</v>
      </c>
      <c r="I33" s="1031">
        <v>0</v>
      </c>
      <c r="J33" s="1032">
        <v>0</v>
      </c>
    </row>
    <row r="34" spans="1:10">
      <c r="A34" s="1030"/>
      <c r="B34" s="1030"/>
      <c r="C34" s="1030" t="s">
        <v>64</v>
      </c>
      <c r="D34" s="1031">
        <v>0</v>
      </c>
      <c r="E34" s="1032">
        <v>0</v>
      </c>
      <c r="F34" s="1030"/>
      <c r="G34" s="1030"/>
      <c r="H34" s="1030" t="s">
        <v>67</v>
      </c>
      <c r="I34" s="1031">
        <v>19855600</v>
      </c>
      <c r="J34" s="1032">
        <v>4.07</v>
      </c>
    </row>
    <row r="35" spans="1:10">
      <c r="A35" s="1030"/>
      <c r="B35" s="1030"/>
      <c r="C35" s="1030" t="s">
        <v>66</v>
      </c>
      <c r="D35" s="1031">
        <v>0</v>
      </c>
      <c r="E35" s="1032">
        <v>0</v>
      </c>
      <c r="F35" s="1030"/>
      <c r="G35" s="1030"/>
      <c r="H35" s="1030" t="s">
        <v>69</v>
      </c>
      <c r="I35" s="1031">
        <v>4416199</v>
      </c>
      <c r="J35" s="1032">
        <v>0.91</v>
      </c>
    </row>
    <row r="36" spans="1:10">
      <c r="A36" s="1030"/>
      <c r="B36" s="1030"/>
      <c r="C36" s="1030" t="s">
        <v>68</v>
      </c>
      <c r="D36" s="1031">
        <v>0</v>
      </c>
      <c r="E36" s="1032">
        <v>0</v>
      </c>
      <c r="F36" s="1030"/>
      <c r="G36" s="1030"/>
      <c r="H36" s="1030" t="s">
        <v>71</v>
      </c>
      <c r="I36" s="1031">
        <v>0</v>
      </c>
      <c r="J36" s="1032">
        <v>0</v>
      </c>
    </row>
    <row r="37" spans="1:10">
      <c r="A37" s="1030"/>
      <c r="B37" s="1030"/>
      <c r="C37" s="1030" t="s">
        <v>70</v>
      </c>
      <c r="D37" s="1031">
        <v>0</v>
      </c>
      <c r="E37" s="1032">
        <v>0</v>
      </c>
      <c r="F37" s="1030"/>
      <c r="G37" s="1030"/>
      <c r="H37" s="1030" t="s">
        <v>73</v>
      </c>
      <c r="I37" s="1031">
        <v>0</v>
      </c>
      <c r="J37" s="1032">
        <v>0</v>
      </c>
    </row>
    <row r="38" spans="1:10">
      <c r="A38" s="1030"/>
      <c r="B38" s="1030"/>
      <c r="C38" s="1030" t="s">
        <v>72</v>
      </c>
      <c r="D38" s="1031">
        <v>0</v>
      </c>
      <c r="E38" s="1032">
        <v>0</v>
      </c>
      <c r="F38" s="1030"/>
      <c r="G38" s="1030"/>
      <c r="H38" s="1030" t="s">
        <v>75</v>
      </c>
      <c r="I38" s="1031">
        <v>400000</v>
      </c>
      <c r="J38" s="1032">
        <v>0.08</v>
      </c>
    </row>
    <row r="39" spans="1:10">
      <c r="A39" s="1030"/>
      <c r="B39" s="1030"/>
      <c r="C39" s="1030" t="s">
        <v>74</v>
      </c>
      <c r="D39" s="1031">
        <v>6057168</v>
      </c>
      <c r="E39" s="1032">
        <v>1.24</v>
      </c>
      <c r="F39" s="1030"/>
      <c r="G39" s="1030"/>
      <c r="H39" s="1030" t="s">
        <v>77</v>
      </c>
      <c r="I39" s="1031">
        <v>10264000</v>
      </c>
      <c r="J39" s="1032">
        <v>2.1</v>
      </c>
    </row>
    <row r="40" spans="1:10">
      <c r="A40" s="1030"/>
      <c r="B40" s="1030"/>
      <c r="C40" s="1030" t="s">
        <v>76</v>
      </c>
      <c r="D40" s="1031">
        <v>0</v>
      </c>
      <c r="E40" s="1032">
        <v>0</v>
      </c>
      <c r="F40" s="1030"/>
      <c r="G40" s="1030"/>
      <c r="H40" s="1030" t="s">
        <v>79</v>
      </c>
      <c r="I40" s="1031">
        <v>862996</v>
      </c>
      <c r="J40" s="1032">
        <v>0.18</v>
      </c>
    </row>
    <row r="41" spans="1:10">
      <c r="A41" s="1030"/>
      <c r="B41" s="1030"/>
      <c r="C41" s="1030" t="s">
        <v>78</v>
      </c>
      <c r="D41" s="1031">
        <v>0</v>
      </c>
      <c r="E41" s="1032">
        <v>0</v>
      </c>
      <c r="F41" s="1030"/>
      <c r="G41" s="1030"/>
      <c r="H41" s="1030" t="s">
        <v>81</v>
      </c>
      <c r="I41" s="1031">
        <v>109171</v>
      </c>
      <c r="J41" s="1032">
        <v>0.02</v>
      </c>
    </row>
    <row r="42" spans="1:10">
      <c r="A42" s="1030"/>
      <c r="B42" s="1030"/>
      <c r="C42" s="1030" t="s">
        <v>80</v>
      </c>
      <c r="D42" s="1031">
        <v>0</v>
      </c>
      <c r="E42" s="1032">
        <v>0</v>
      </c>
      <c r="F42" s="1030"/>
      <c r="G42" s="1030"/>
      <c r="H42" s="1030" t="s">
        <v>83</v>
      </c>
      <c r="I42" s="1031">
        <v>3803234</v>
      </c>
      <c r="J42" s="1032">
        <v>0.78</v>
      </c>
    </row>
    <row r="43" spans="1:10">
      <c r="A43" s="1030"/>
      <c r="B43" s="1030"/>
      <c r="C43" s="1030" t="s">
        <v>82</v>
      </c>
      <c r="D43" s="1031">
        <v>0</v>
      </c>
      <c r="E43" s="1032">
        <v>0</v>
      </c>
      <c r="F43" s="1030"/>
      <c r="G43" s="1030"/>
      <c r="H43" s="1030" t="s">
        <v>85</v>
      </c>
      <c r="I43" s="1031">
        <v>0</v>
      </c>
      <c r="J43" s="1032">
        <v>0</v>
      </c>
    </row>
    <row r="44" spans="1:10">
      <c r="A44" s="1030"/>
      <c r="B44" s="1030"/>
      <c r="C44" s="1030" t="s">
        <v>84</v>
      </c>
      <c r="D44" s="1031">
        <v>0</v>
      </c>
      <c r="E44" s="1032">
        <v>0</v>
      </c>
      <c r="F44" s="1030"/>
      <c r="G44" s="1030"/>
      <c r="H44" s="1030" t="s">
        <v>87</v>
      </c>
      <c r="I44" s="1031">
        <v>0</v>
      </c>
      <c r="J44" s="1032">
        <v>0</v>
      </c>
    </row>
    <row r="45" spans="1:10">
      <c r="A45" s="1030"/>
      <c r="B45" s="1030"/>
      <c r="C45" s="1030" t="s">
        <v>86</v>
      </c>
      <c r="D45" s="1031">
        <v>0</v>
      </c>
      <c r="E45" s="1032">
        <v>0</v>
      </c>
      <c r="F45" s="1030"/>
      <c r="G45" s="1030"/>
      <c r="H45" s="1030" t="s">
        <v>89</v>
      </c>
      <c r="I45" s="1031">
        <v>0</v>
      </c>
      <c r="J45" s="1032">
        <v>0</v>
      </c>
    </row>
    <row r="46" spans="1:10">
      <c r="A46" s="1030"/>
      <c r="B46" s="1030"/>
      <c r="C46" s="1030" t="s">
        <v>88</v>
      </c>
      <c r="D46" s="1031">
        <v>0</v>
      </c>
      <c r="E46" s="1032">
        <v>0</v>
      </c>
      <c r="F46" s="1030"/>
      <c r="G46" s="1030"/>
      <c r="H46" s="1030" t="s">
        <v>90</v>
      </c>
      <c r="I46" s="1031">
        <v>0</v>
      </c>
      <c r="J46" s="1032">
        <v>0</v>
      </c>
    </row>
    <row r="47" spans="1:10">
      <c r="A47" s="1030"/>
      <c r="B47" s="1030"/>
      <c r="C47" s="1030" t="s">
        <v>883</v>
      </c>
      <c r="D47" s="1031">
        <v>0</v>
      </c>
      <c r="E47" s="1032">
        <v>0</v>
      </c>
      <c r="F47" s="1030"/>
      <c r="G47" s="1030"/>
      <c r="H47" s="1030" t="s">
        <v>92</v>
      </c>
      <c r="I47" s="1031">
        <v>0</v>
      </c>
      <c r="J47" s="1032">
        <v>0</v>
      </c>
    </row>
    <row r="48" spans="1:10">
      <c r="A48" s="1030"/>
      <c r="B48" s="1030"/>
      <c r="C48" s="1030" t="s">
        <v>91</v>
      </c>
      <c r="D48" s="1031">
        <v>0</v>
      </c>
      <c r="E48" s="1032">
        <v>0</v>
      </c>
      <c r="F48" s="1030"/>
      <c r="G48" s="1030"/>
      <c r="H48" s="1030" t="s">
        <v>94</v>
      </c>
      <c r="I48" s="1031">
        <v>0</v>
      </c>
      <c r="J48" s="1032">
        <v>0</v>
      </c>
    </row>
    <row r="49" spans="1:10">
      <c r="A49" s="1030"/>
      <c r="B49" s="1030"/>
      <c r="C49" s="1030" t="s">
        <v>93</v>
      </c>
      <c r="D49" s="1031">
        <v>0</v>
      </c>
      <c r="E49" s="1032">
        <v>0</v>
      </c>
      <c r="F49" s="1030"/>
      <c r="G49" s="1030"/>
      <c r="H49" s="1030" t="s">
        <v>96</v>
      </c>
      <c r="I49" s="1031">
        <v>826232.88</v>
      </c>
      <c r="J49" s="1032">
        <v>0.17</v>
      </c>
    </row>
    <row r="50" spans="1:10">
      <c r="A50" s="1030"/>
      <c r="B50" s="1030"/>
      <c r="C50" s="1030" t="s">
        <v>95</v>
      </c>
      <c r="D50" s="1031">
        <v>0</v>
      </c>
      <c r="E50" s="1032">
        <v>0</v>
      </c>
      <c r="F50" s="1030"/>
      <c r="G50" s="1030"/>
      <c r="H50" s="1030" t="s">
        <v>98</v>
      </c>
      <c r="I50" s="1031">
        <v>826232.88</v>
      </c>
      <c r="J50" s="1032">
        <v>0.17</v>
      </c>
    </row>
    <row r="51" spans="1:10">
      <c r="A51" s="1030"/>
      <c r="B51" s="1030"/>
      <c r="C51" s="1030" t="s">
        <v>97</v>
      </c>
      <c r="D51" s="1031">
        <v>0</v>
      </c>
      <c r="E51" s="1032">
        <v>0</v>
      </c>
      <c r="F51" s="1030"/>
      <c r="G51" s="1030"/>
      <c r="H51" s="1030" t="s">
        <v>100</v>
      </c>
      <c r="I51" s="1031">
        <v>0</v>
      </c>
      <c r="J51" s="1032">
        <v>0</v>
      </c>
    </row>
    <row r="52" spans="1:10">
      <c r="A52" s="1030"/>
      <c r="B52" s="1030"/>
      <c r="C52" s="1030" t="s">
        <v>99</v>
      </c>
      <c r="D52" s="1031">
        <v>0</v>
      </c>
      <c r="E52" s="1032">
        <v>0</v>
      </c>
      <c r="F52" s="1030"/>
      <c r="G52" s="1030"/>
      <c r="H52" s="1030" t="s">
        <v>102</v>
      </c>
      <c r="I52" s="1031">
        <v>0</v>
      </c>
      <c r="J52" s="1032">
        <v>0</v>
      </c>
    </row>
    <row r="53" spans="1:10">
      <c r="A53" s="1030"/>
      <c r="B53" s="1030"/>
      <c r="C53" s="1030" t="s">
        <v>101</v>
      </c>
      <c r="D53" s="1031">
        <v>1081791</v>
      </c>
      <c r="E53" s="1032">
        <v>0.22</v>
      </c>
      <c r="F53" s="1030"/>
      <c r="G53" s="1030"/>
      <c r="H53" s="1030" t="s">
        <v>104</v>
      </c>
      <c r="I53" s="1031">
        <v>0</v>
      </c>
      <c r="J53" s="1032">
        <v>0</v>
      </c>
    </row>
    <row r="54" spans="1:10">
      <c r="A54" s="1030"/>
      <c r="B54" s="1030"/>
      <c r="C54" s="1030" t="s">
        <v>103</v>
      </c>
      <c r="D54" s="1031">
        <v>0</v>
      </c>
      <c r="E54" s="1032">
        <v>0</v>
      </c>
      <c r="F54" s="1030"/>
      <c r="G54" s="1030"/>
      <c r="H54" s="1030" t="s">
        <v>106</v>
      </c>
      <c r="I54" s="1031">
        <v>0</v>
      </c>
      <c r="J54" s="1032">
        <v>0</v>
      </c>
    </row>
    <row r="55" spans="1:10">
      <c r="A55" s="1030"/>
      <c r="B55" s="1030"/>
      <c r="C55" s="1030" t="s">
        <v>105</v>
      </c>
      <c r="D55" s="1031">
        <v>3520890.16</v>
      </c>
      <c r="E55" s="1032">
        <v>0.72</v>
      </c>
      <c r="F55" s="1030"/>
      <c r="G55" s="1030"/>
      <c r="H55" s="1030" t="s">
        <v>108</v>
      </c>
      <c r="I55" s="1031">
        <v>0</v>
      </c>
      <c r="J55" s="1032">
        <v>0</v>
      </c>
    </row>
    <row r="56" spans="1:10">
      <c r="A56" s="1030"/>
      <c r="B56" s="1030"/>
      <c r="C56" s="1030" t="s">
        <v>107</v>
      </c>
      <c r="D56" s="1031">
        <v>0</v>
      </c>
      <c r="E56" s="1032">
        <v>0</v>
      </c>
      <c r="F56" s="1030"/>
      <c r="G56" s="1030"/>
      <c r="H56" s="1030" t="s">
        <v>110</v>
      </c>
      <c r="I56" s="1031">
        <v>94500</v>
      </c>
      <c r="J56" s="1032">
        <v>0.02</v>
      </c>
    </row>
    <row r="57" spans="1:10">
      <c r="A57" s="1030"/>
      <c r="B57" s="1030"/>
      <c r="C57" s="1030" t="s">
        <v>109</v>
      </c>
      <c r="D57" s="1031">
        <v>0</v>
      </c>
      <c r="E57" s="1032">
        <v>0</v>
      </c>
      <c r="F57" s="1030"/>
      <c r="G57" s="1030"/>
      <c r="H57" s="1030" t="s">
        <v>112</v>
      </c>
      <c r="I57" s="1031">
        <v>964763</v>
      </c>
      <c r="J57" s="1032">
        <v>0.2</v>
      </c>
    </row>
    <row r="58" spans="1:10">
      <c r="A58" s="1030"/>
      <c r="B58" s="1030"/>
      <c r="C58" s="1030" t="s">
        <v>111</v>
      </c>
      <c r="D58" s="1031">
        <v>0</v>
      </c>
      <c r="E58" s="1032">
        <v>0</v>
      </c>
      <c r="F58" s="1030"/>
      <c r="G58" s="1030"/>
      <c r="H58" s="1030" t="s">
        <v>114</v>
      </c>
      <c r="I58" s="1031">
        <v>961223</v>
      </c>
      <c r="J58" s="1032">
        <v>0.2</v>
      </c>
    </row>
    <row r="59" spans="1:10">
      <c r="A59" s="1030"/>
      <c r="B59" s="1030"/>
      <c r="C59" s="1030" t="s">
        <v>113</v>
      </c>
      <c r="D59" s="1031">
        <v>0</v>
      </c>
      <c r="E59" s="1032">
        <v>0</v>
      </c>
      <c r="F59" s="1030"/>
      <c r="G59" s="1030"/>
      <c r="H59" s="1030" t="s">
        <v>116</v>
      </c>
      <c r="I59" s="1031">
        <v>3540</v>
      </c>
      <c r="J59" s="1032">
        <v>0</v>
      </c>
    </row>
    <row r="60" spans="1:10">
      <c r="A60" s="1030"/>
      <c r="B60" s="1030"/>
      <c r="C60" s="1030" t="s">
        <v>115</v>
      </c>
      <c r="D60" s="1031">
        <v>12022571</v>
      </c>
      <c r="E60" s="1032">
        <v>2.4700000000000002</v>
      </c>
      <c r="F60" s="1030"/>
      <c r="G60" s="1030"/>
      <c r="H60" s="1030" t="s">
        <v>118</v>
      </c>
      <c r="I60" s="1031">
        <v>0</v>
      </c>
      <c r="J60" s="1032">
        <v>0</v>
      </c>
    </row>
    <row r="61" spans="1:10">
      <c r="A61" s="1030"/>
      <c r="B61" s="1030"/>
      <c r="C61" s="1030" t="s">
        <v>117</v>
      </c>
      <c r="D61" s="1031">
        <v>0</v>
      </c>
      <c r="E61" s="1032">
        <v>0</v>
      </c>
      <c r="F61" s="1030"/>
      <c r="G61" s="1030"/>
      <c r="H61" s="1030" t="s">
        <v>120</v>
      </c>
      <c r="I61" s="1031">
        <v>0</v>
      </c>
      <c r="J61" s="1032">
        <v>0</v>
      </c>
    </row>
    <row r="62" spans="1:10">
      <c r="A62" s="1030"/>
      <c r="B62" s="1030"/>
      <c r="C62" s="1030" t="s">
        <v>119</v>
      </c>
      <c r="D62" s="1031">
        <v>0</v>
      </c>
      <c r="E62" s="1032">
        <v>0</v>
      </c>
      <c r="F62" s="1030"/>
      <c r="G62" s="1030"/>
      <c r="H62" s="1030" t="s">
        <v>122</v>
      </c>
      <c r="I62" s="1031">
        <v>0</v>
      </c>
      <c r="J62" s="1032">
        <v>0</v>
      </c>
    </row>
    <row r="63" spans="1:10">
      <c r="A63" s="1030"/>
      <c r="B63" s="1030"/>
      <c r="C63" s="1030" t="s">
        <v>121</v>
      </c>
      <c r="D63" s="1031">
        <v>0</v>
      </c>
      <c r="E63" s="1032">
        <v>0</v>
      </c>
      <c r="F63" s="1030"/>
      <c r="G63" s="1030"/>
      <c r="H63" s="1030" t="s">
        <v>124</v>
      </c>
      <c r="I63" s="1031">
        <v>15020546</v>
      </c>
      <c r="J63" s="1032">
        <v>3.08</v>
      </c>
    </row>
    <row r="64" spans="1:10">
      <c r="A64" s="1030"/>
      <c r="B64" s="1030"/>
      <c r="C64" s="1030" t="s">
        <v>123</v>
      </c>
      <c r="D64" s="1031">
        <v>0</v>
      </c>
      <c r="E64" s="1032">
        <v>0</v>
      </c>
      <c r="F64" s="1030"/>
      <c r="G64" s="1030"/>
      <c r="H64" s="1030" t="s">
        <v>126</v>
      </c>
      <c r="I64" s="1031">
        <v>0</v>
      </c>
      <c r="J64" s="1032">
        <v>0</v>
      </c>
    </row>
    <row r="65" spans="1:10">
      <c r="A65" s="1030"/>
      <c r="B65" s="1030"/>
      <c r="C65" s="1030" t="s">
        <v>125</v>
      </c>
      <c r="D65" s="1031">
        <v>0</v>
      </c>
      <c r="E65" s="1032">
        <v>0</v>
      </c>
      <c r="F65" s="1030"/>
      <c r="G65" s="1030"/>
      <c r="H65" s="1030" t="s">
        <v>128</v>
      </c>
      <c r="I65" s="1031">
        <v>1152763</v>
      </c>
      <c r="J65" s="1032">
        <v>0.24</v>
      </c>
    </row>
    <row r="66" spans="1:10">
      <c r="A66" s="1030"/>
      <c r="B66" s="1030"/>
      <c r="C66" s="1030" t="s">
        <v>127</v>
      </c>
      <c r="D66" s="1031">
        <v>0</v>
      </c>
      <c r="E66" s="1032">
        <v>0</v>
      </c>
      <c r="F66" s="1030"/>
      <c r="G66" s="1030"/>
      <c r="H66" s="1030" t="s">
        <v>130</v>
      </c>
      <c r="I66" s="1031">
        <v>118950</v>
      </c>
      <c r="J66" s="1032">
        <v>0.02</v>
      </c>
    </row>
    <row r="67" spans="1:10">
      <c r="A67" s="1030"/>
      <c r="B67" s="1030"/>
      <c r="C67" s="1030" t="s">
        <v>129</v>
      </c>
      <c r="D67" s="1031">
        <v>0</v>
      </c>
      <c r="E67" s="1032">
        <v>0</v>
      </c>
      <c r="F67" s="1030"/>
      <c r="G67" s="1030"/>
      <c r="H67" s="1030" t="s">
        <v>132</v>
      </c>
      <c r="I67" s="1031">
        <v>124419</v>
      </c>
      <c r="J67" s="1032">
        <v>0.03</v>
      </c>
    </row>
    <row r="68" spans="1:10">
      <c r="A68" s="1030"/>
      <c r="B68" s="1030"/>
      <c r="C68" s="1030" t="s">
        <v>131</v>
      </c>
      <c r="D68" s="1031">
        <v>0</v>
      </c>
      <c r="E68" s="1032">
        <v>0</v>
      </c>
      <c r="F68" s="1030"/>
      <c r="G68" s="1030"/>
      <c r="H68" s="1030" t="s">
        <v>134</v>
      </c>
      <c r="I68" s="1031">
        <v>256623</v>
      </c>
      <c r="J68" s="1032">
        <v>0.05</v>
      </c>
    </row>
    <row r="69" spans="1:10">
      <c r="A69" s="1030"/>
      <c r="B69" s="1030"/>
      <c r="C69" s="1030" t="s">
        <v>133</v>
      </c>
      <c r="D69" s="1031">
        <v>0</v>
      </c>
      <c r="E69" s="1032">
        <v>0</v>
      </c>
      <c r="F69" s="1030"/>
      <c r="G69" s="1030"/>
      <c r="H69" s="1030" t="s">
        <v>136</v>
      </c>
      <c r="I69" s="1031">
        <v>223886</v>
      </c>
      <c r="J69" s="1032">
        <v>0.05</v>
      </c>
    </row>
    <row r="70" spans="1:10">
      <c r="A70" s="1030"/>
      <c r="B70" s="1030"/>
      <c r="C70" s="1030" t="s">
        <v>135</v>
      </c>
      <c r="D70" s="1031">
        <v>0</v>
      </c>
      <c r="E70" s="1032">
        <v>0</v>
      </c>
      <c r="F70" s="1030"/>
      <c r="G70" s="1030"/>
      <c r="H70" s="1030" t="s">
        <v>138</v>
      </c>
      <c r="I70" s="1031">
        <v>85278</v>
      </c>
      <c r="J70" s="1032">
        <v>0.02</v>
      </c>
    </row>
    <row r="71" spans="1:10">
      <c r="A71" s="1030"/>
      <c r="B71" s="1030"/>
      <c r="C71" s="1030" t="s">
        <v>137</v>
      </c>
      <c r="D71" s="1031">
        <v>7246</v>
      </c>
      <c r="E71" s="1032">
        <v>0</v>
      </c>
      <c r="F71" s="1030"/>
      <c r="G71" s="1030"/>
      <c r="H71" s="1030" t="s">
        <v>140</v>
      </c>
      <c r="I71" s="1031">
        <v>485</v>
      </c>
      <c r="J71" s="1032">
        <v>0</v>
      </c>
    </row>
    <row r="72" spans="1:10">
      <c r="A72" s="1030"/>
      <c r="B72" s="1030"/>
      <c r="C72" s="1030" t="s">
        <v>139</v>
      </c>
      <c r="D72" s="1031">
        <v>0</v>
      </c>
      <c r="E72" s="1032">
        <v>0</v>
      </c>
      <c r="F72" s="1030"/>
      <c r="G72" s="1030"/>
      <c r="H72" s="1030" t="s">
        <v>142</v>
      </c>
      <c r="I72" s="1031">
        <v>343122</v>
      </c>
      <c r="J72" s="1032">
        <v>7.0000000000000007E-2</v>
      </c>
    </row>
    <row r="73" spans="1:10">
      <c r="A73" s="1030"/>
      <c r="B73" s="1030"/>
      <c r="C73" s="1030" t="s">
        <v>141</v>
      </c>
      <c r="D73" s="1031">
        <v>0</v>
      </c>
      <c r="E73" s="1032">
        <v>0</v>
      </c>
      <c r="F73" s="1030"/>
      <c r="G73" s="1030"/>
      <c r="H73" s="1030" t="s">
        <v>144</v>
      </c>
      <c r="I73" s="1031">
        <v>13867783</v>
      </c>
      <c r="J73" s="1032">
        <v>2.84</v>
      </c>
    </row>
    <row r="74" spans="1:10">
      <c r="A74" s="1030"/>
      <c r="B74" s="1030"/>
      <c r="C74" s="1030" t="s">
        <v>143</v>
      </c>
      <c r="D74" s="1031">
        <v>0</v>
      </c>
      <c r="E74" s="1032">
        <v>0</v>
      </c>
      <c r="F74" s="1030"/>
      <c r="G74" s="1030"/>
      <c r="H74" s="1030" t="s">
        <v>146</v>
      </c>
      <c r="I74" s="1031">
        <v>0</v>
      </c>
      <c r="J74" s="1032">
        <v>0</v>
      </c>
    </row>
    <row r="75" spans="1:10">
      <c r="A75" s="1030"/>
      <c r="B75" s="1030"/>
      <c r="C75" s="1030" t="s">
        <v>145</v>
      </c>
      <c r="D75" s="1031">
        <v>3458228</v>
      </c>
      <c r="E75" s="1032">
        <v>0.71</v>
      </c>
      <c r="F75" s="1030"/>
      <c r="G75" s="1030"/>
      <c r="H75" s="1030" t="s">
        <v>148</v>
      </c>
      <c r="I75" s="1031">
        <v>0</v>
      </c>
      <c r="J75" s="1032">
        <v>0</v>
      </c>
    </row>
    <row r="76" spans="1:10">
      <c r="A76" s="1030"/>
      <c r="B76" s="1030"/>
      <c r="C76" s="1030" t="s">
        <v>147</v>
      </c>
      <c r="D76" s="1031">
        <v>516931</v>
      </c>
      <c r="E76" s="1032">
        <v>0.11</v>
      </c>
      <c r="F76" s="1030"/>
      <c r="G76" s="1127" t="s">
        <v>375</v>
      </c>
      <c r="H76" s="1030"/>
      <c r="I76" s="1128">
        <v>241703046.88</v>
      </c>
      <c r="J76" s="1129">
        <v>49.57</v>
      </c>
    </row>
    <row r="77" spans="1:10">
      <c r="A77" s="1030"/>
      <c r="B77" s="1030"/>
      <c r="C77" s="1030" t="s">
        <v>149</v>
      </c>
      <c r="D77" s="1031">
        <v>0</v>
      </c>
      <c r="E77" s="1032">
        <v>0</v>
      </c>
      <c r="F77" s="1030"/>
      <c r="G77" s="1127" t="s">
        <v>376</v>
      </c>
      <c r="H77" s="1030"/>
      <c r="I77" s="1031"/>
      <c r="J77" s="1032"/>
    </row>
    <row r="78" spans="1:10">
      <c r="A78" s="1030"/>
      <c r="B78" s="1030"/>
      <c r="C78" s="1030" t="s">
        <v>150</v>
      </c>
      <c r="D78" s="1031">
        <v>29570</v>
      </c>
      <c r="E78" s="1032">
        <v>0.01</v>
      </c>
      <c r="F78" s="1030"/>
      <c r="G78" s="1030"/>
      <c r="H78" s="1030" t="s">
        <v>152</v>
      </c>
      <c r="I78" s="1031">
        <v>0</v>
      </c>
      <c r="J78" s="1032">
        <v>0</v>
      </c>
    </row>
    <row r="79" spans="1:10">
      <c r="A79" s="1030"/>
      <c r="B79" s="1030"/>
      <c r="C79" s="1030" t="s">
        <v>151</v>
      </c>
      <c r="D79" s="1031">
        <v>0</v>
      </c>
      <c r="E79" s="1032">
        <v>0</v>
      </c>
      <c r="F79" s="1030"/>
      <c r="G79" s="1030"/>
      <c r="H79" s="1030" t="s">
        <v>154</v>
      </c>
      <c r="I79" s="1031">
        <v>0</v>
      </c>
      <c r="J79" s="1032">
        <v>0</v>
      </c>
    </row>
    <row r="80" spans="1:10">
      <c r="A80" s="1030"/>
      <c r="B80" s="1030"/>
      <c r="C80" s="1030" t="s">
        <v>153</v>
      </c>
      <c r="D80" s="1031">
        <v>21554129</v>
      </c>
      <c r="E80" s="1032">
        <v>4.42</v>
      </c>
      <c r="F80" s="1030"/>
      <c r="G80" s="1030"/>
      <c r="H80" s="1030" t="s">
        <v>156</v>
      </c>
      <c r="I80" s="1031">
        <v>0</v>
      </c>
      <c r="J80" s="1032">
        <v>0</v>
      </c>
    </row>
    <row r="81" spans="1:10">
      <c r="A81" s="1030"/>
      <c r="B81" s="1030"/>
      <c r="C81" s="1030" t="s">
        <v>155</v>
      </c>
      <c r="D81" s="1031">
        <v>0</v>
      </c>
      <c r="E81" s="1032">
        <v>0</v>
      </c>
      <c r="F81" s="1030"/>
      <c r="G81" s="1030"/>
      <c r="H81" s="1030" t="s">
        <v>158</v>
      </c>
      <c r="I81" s="1031">
        <v>0</v>
      </c>
      <c r="J81" s="1032">
        <v>0</v>
      </c>
    </row>
    <row r="82" spans="1:10">
      <c r="A82" s="1030"/>
      <c r="B82" s="1030"/>
      <c r="C82" s="1030" t="s">
        <v>157</v>
      </c>
      <c r="D82" s="1031">
        <v>0</v>
      </c>
      <c r="E82" s="1032">
        <v>0</v>
      </c>
      <c r="F82" s="1030"/>
      <c r="G82" s="1030"/>
      <c r="H82" s="1030" t="s">
        <v>159</v>
      </c>
      <c r="I82" s="1031">
        <v>0</v>
      </c>
      <c r="J82" s="1032">
        <v>0</v>
      </c>
    </row>
    <row r="83" spans="1:10">
      <c r="A83" s="1030"/>
      <c r="B83" s="1030"/>
      <c r="C83" s="1030" t="s">
        <v>884</v>
      </c>
      <c r="D83" s="1031">
        <v>0</v>
      </c>
      <c r="E83" s="1032">
        <v>0</v>
      </c>
      <c r="F83" s="1030"/>
      <c r="G83" s="1030"/>
      <c r="H83" s="1030" t="s">
        <v>161</v>
      </c>
      <c r="I83" s="1031">
        <v>0</v>
      </c>
      <c r="J83" s="1032">
        <v>0</v>
      </c>
    </row>
    <row r="84" spans="1:10">
      <c r="A84" s="1030"/>
      <c r="B84" s="1030"/>
      <c r="C84" s="1030" t="s">
        <v>160</v>
      </c>
      <c r="D84" s="1031">
        <v>0</v>
      </c>
      <c r="E84" s="1032">
        <v>0</v>
      </c>
      <c r="F84" s="1030"/>
      <c r="G84" s="1030"/>
      <c r="H84" s="1030" t="s">
        <v>163</v>
      </c>
      <c r="I84" s="1031">
        <v>0</v>
      </c>
      <c r="J84" s="1032">
        <v>0</v>
      </c>
    </row>
    <row r="85" spans="1:10">
      <c r="A85" s="1030"/>
      <c r="B85" s="1030"/>
      <c r="C85" s="1030" t="s">
        <v>162</v>
      </c>
      <c r="D85" s="1031">
        <v>0</v>
      </c>
      <c r="E85" s="1032">
        <v>0</v>
      </c>
      <c r="F85" s="1030"/>
      <c r="G85" s="1030"/>
      <c r="H85" s="1030" t="s">
        <v>165</v>
      </c>
      <c r="I85" s="1031">
        <v>0</v>
      </c>
      <c r="J85" s="1032">
        <v>0</v>
      </c>
    </row>
    <row r="86" spans="1:10">
      <c r="A86" s="1030"/>
      <c r="B86" s="1030"/>
      <c r="C86" s="1030" t="s">
        <v>164</v>
      </c>
      <c r="D86" s="1031">
        <v>0</v>
      </c>
      <c r="E86" s="1032">
        <v>0</v>
      </c>
      <c r="F86" s="1030"/>
      <c r="G86" s="1030"/>
      <c r="H86" s="1030" t="s">
        <v>167</v>
      </c>
      <c r="I86" s="1031">
        <v>0</v>
      </c>
      <c r="J86" s="1032">
        <v>0</v>
      </c>
    </row>
    <row r="87" spans="1:10">
      <c r="A87" s="1030"/>
      <c r="B87" s="1030"/>
      <c r="C87" s="1030" t="s">
        <v>166</v>
      </c>
      <c r="D87" s="1031">
        <v>0</v>
      </c>
      <c r="E87" s="1032">
        <v>0</v>
      </c>
      <c r="F87" s="1030"/>
      <c r="G87" s="1030"/>
      <c r="H87" s="1030" t="s">
        <v>169</v>
      </c>
      <c r="I87" s="1031">
        <v>0</v>
      </c>
      <c r="J87" s="1032">
        <v>0</v>
      </c>
    </row>
    <row r="88" spans="1:10">
      <c r="A88" s="1030"/>
      <c r="B88" s="1030"/>
      <c r="C88" s="1030" t="s">
        <v>168</v>
      </c>
      <c r="D88" s="1031">
        <v>0</v>
      </c>
      <c r="E88" s="1032">
        <v>0</v>
      </c>
      <c r="F88" s="1030"/>
      <c r="G88" s="1127" t="s">
        <v>377</v>
      </c>
      <c r="H88" s="1030"/>
      <c r="I88" s="1128">
        <v>0</v>
      </c>
      <c r="J88" s="1129">
        <v>0</v>
      </c>
    </row>
    <row r="89" spans="1:10">
      <c r="A89" s="1030"/>
      <c r="B89" s="1030"/>
      <c r="C89" s="1030" t="s">
        <v>170</v>
      </c>
      <c r="D89" s="1031">
        <v>0</v>
      </c>
      <c r="E89" s="1032">
        <v>0</v>
      </c>
      <c r="F89" s="1030"/>
      <c r="G89" s="1127" t="s">
        <v>378</v>
      </c>
      <c r="H89" s="1030"/>
      <c r="I89" s="1031"/>
      <c r="J89" s="1032"/>
    </row>
    <row r="90" spans="1:10">
      <c r="A90" s="1030"/>
      <c r="B90" s="1030"/>
      <c r="C90" s="1030" t="s">
        <v>171</v>
      </c>
      <c r="D90" s="1031">
        <v>136052</v>
      </c>
      <c r="E90" s="1032">
        <v>0.03</v>
      </c>
      <c r="F90" s="1030"/>
      <c r="G90" s="1030"/>
      <c r="H90" s="1030" t="s">
        <v>173</v>
      </c>
      <c r="I90" s="1031">
        <v>445883</v>
      </c>
      <c r="J90" s="1032">
        <v>0.09</v>
      </c>
    </row>
    <row r="91" spans="1:10">
      <c r="A91" s="1030"/>
      <c r="B91" s="1030"/>
      <c r="C91" s="1030" t="s">
        <v>172</v>
      </c>
      <c r="D91" s="1031">
        <v>2500000</v>
      </c>
      <c r="E91" s="1032">
        <v>0.51</v>
      </c>
      <c r="F91" s="1030"/>
      <c r="G91" s="1030"/>
      <c r="H91" s="1030" t="s">
        <v>175</v>
      </c>
      <c r="I91" s="1031">
        <v>0</v>
      </c>
      <c r="J91" s="1032">
        <v>0</v>
      </c>
    </row>
    <row r="92" spans="1:10">
      <c r="A92" s="1030"/>
      <c r="B92" s="1030"/>
      <c r="C92" s="1030" t="s">
        <v>2088</v>
      </c>
      <c r="D92" s="1031">
        <v>0</v>
      </c>
      <c r="E92" s="1032">
        <v>0</v>
      </c>
      <c r="F92" s="1030"/>
      <c r="G92" s="1030"/>
      <c r="H92" s="1030" t="s">
        <v>177</v>
      </c>
      <c r="I92" s="1031">
        <v>0</v>
      </c>
      <c r="J92" s="1032">
        <v>0</v>
      </c>
    </row>
    <row r="93" spans="1:10">
      <c r="A93" s="1030"/>
      <c r="B93" s="1030"/>
      <c r="C93" s="1030" t="s">
        <v>2089</v>
      </c>
      <c r="D93" s="1031">
        <v>0</v>
      </c>
      <c r="E93" s="1032">
        <v>0</v>
      </c>
      <c r="F93" s="1030"/>
      <c r="G93" s="1030"/>
      <c r="H93" s="1030" t="s">
        <v>179</v>
      </c>
      <c r="I93" s="1031">
        <v>0</v>
      </c>
      <c r="J93" s="1032">
        <v>0</v>
      </c>
    </row>
    <row r="94" spans="1:10">
      <c r="A94" s="1030"/>
      <c r="B94" s="1030"/>
      <c r="C94" s="1030" t="s">
        <v>2090</v>
      </c>
      <c r="D94" s="1031">
        <v>0</v>
      </c>
      <c r="E94" s="1032">
        <v>0</v>
      </c>
      <c r="F94" s="1030"/>
      <c r="G94" s="1030"/>
      <c r="H94" s="1030" t="s">
        <v>181</v>
      </c>
      <c r="I94" s="1031">
        <v>0</v>
      </c>
      <c r="J94" s="1032">
        <v>0</v>
      </c>
    </row>
    <row r="95" spans="1:10">
      <c r="A95" s="1030"/>
      <c r="B95" s="1030"/>
      <c r="C95" s="1030" t="s">
        <v>174</v>
      </c>
      <c r="D95" s="1031">
        <v>0</v>
      </c>
      <c r="E95" s="1032">
        <v>0</v>
      </c>
      <c r="F95" s="1030"/>
      <c r="G95" s="1030"/>
      <c r="H95" s="1030" t="s">
        <v>183</v>
      </c>
      <c r="I95" s="1031">
        <v>0</v>
      </c>
      <c r="J95" s="1032">
        <v>0</v>
      </c>
    </row>
    <row r="96" spans="1:10">
      <c r="A96" s="1030"/>
      <c r="B96" s="1030"/>
      <c r="C96" s="1030" t="s">
        <v>176</v>
      </c>
      <c r="D96" s="1031">
        <v>0</v>
      </c>
      <c r="E96" s="1032">
        <v>0</v>
      </c>
      <c r="F96" s="1030"/>
      <c r="G96" s="1030"/>
      <c r="H96" s="1030" t="s">
        <v>185</v>
      </c>
      <c r="I96" s="1031">
        <v>0</v>
      </c>
      <c r="J96" s="1032">
        <v>0</v>
      </c>
    </row>
    <row r="97" spans="1:10">
      <c r="A97" s="1030"/>
      <c r="B97" s="1030"/>
      <c r="C97" s="1030" t="s">
        <v>178</v>
      </c>
      <c r="D97" s="1031">
        <v>0</v>
      </c>
      <c r="E97" s="1032">
        <v>0</v>
      </c>
      <c r="F97" s="1030"/>
      <c r="G97" s="1030"/>
      <c r="H97" s="1030" t="s">
        <v>187</v>
      </c>
      <c r="I97" s="1031">
        <v>0</v>
      </c>
      <c r="J97" s="1032">
        <v>0</v>
      </c>
    </row>
    <row r="98" spans="1:10">
      <c r="A98" s="1030"/>
      <c r="B98" s="1030"/>
      <c r="C98" s="1030" t="s">
        <v>180</v>
      </c>
      <c r="D98" s="1031">
        <v>0</v>
      </c>
      <c r="E98" s="1032">
        <v>0</v>
      </c>
      <c r="F98" s="1030"/>
      <c r="G98" s="1030"/>
      <c r="H98" s="1030" t="s">
        <v>189</v>
      </c>
      <c r="I98" s="1031">
        <v>0</v>
      </c>
      <c r="J98" s="1032">
        <v>0</v>
      </c>
    </row>
    <row r="99" spans="1:10">
      <c r="A99" s="1030"/>
      <c r="B99" s="1030"/>
      <c r="C99" s="1030" t="s">
        <v>182</v>
      </c>
      <c r="D99" s="1031">
        <v>0</v>
      </c>
      <c r="E99" s="1032">
        <v>0</v>
      </c>
      <c r="F99" s="1030"/>
      <c r="G99" s="1127" t="s">
        <v>418</v>
      </c>
      <c r="H99" s="1030"/>
      <c r="I99" s="1128">
        <v>445883</v>
      </c>
      <c r="J99" s="1129">
        <v>0.09</v>
      </c>
    </row>
    <row r="100" spans="1:10">
      <c r="A100" s="1030"/>
      <c r="B100" s="1030"/>
      <c r="C100" s="1030" t="s">
        <v>184</v>
      </c>
      <c r="D100" s="1031">
        <v>0</v>
      </c>
      <c r="E100" s="1032">
        <v>0</v>
      </c>
      <c r="F100" s="1030"/>
      <c r="G100" s="1127" t="s">
        <v>192</v>
      </c>
      <c r="H100" s="1030"/>
      <c r="I100" s="1031"/>
      <c r="J100" s="1032"/>
    </row>
    <row r="101" spans="1:10">
      <c r="A101" s="1030"/>
      <c r="B101" s="1030"/>
      <c r="C101" s="1030" t="s">
        <v>186</v>
      </c>
      <c r="D101" s="1031">
        <v>0</v>
      </c>
      <c r="E101" s="1032">
        <v>0</v>
      </c>
      <c r="F101" s="1030"/>
      <c r="G101" s="1030"/>
      <c r="H101" s="1030" t="s">
        <v>194</v>
      </c>
      <c r="I101" s="1031">
        <v>0</v>
      </c>
      <c r="J101" s="1032">
        <v>0</v>
      </c>
    </row>
    <row r="102" spans="1:10">
      <c r="A102" s="1030"/>
      <c r="B102" s="1030"/>
      <c r="C102" s="1030" t="s">
        <v>188</v>
      </c>
      <c r="D102" s="1031">
        <v>0</v>
      </c>
      <c r="E102" s="1032">
        <v>0</v>
      </c>
      <c r="F102" s="1030"/>
      <c r="G102" s="1030"/>
      <c r="H102" s="1030" t="s">
        <v>196</v>
      </c>
      <c r="I102" s="1031">
        <v>0</v>
      </c>
      <c r="J102" s="1032">
        <v>0</v>
      </c>
    </row>
    <row r="103" spans="1:10">
      <c r="A103" s="1030"/>
      <c r="B103" s="1030"/>
      <c r="C103" s="1030" t="s">
        <v>190</v>
      </c>
      <c r="D103" s="1031">
        <v>0</v>
      </c>
      <c r="E103" s="1032">
        <v>0</v>
      </c>
      <c r="F103" s="1030"/>
      <c r="G103" s="1127" t="s">
        <v>192</v>
      </c>
      <c r="H103" s="1030"/>
      <c r="I103" s="1128">
        <v>0</v>
      </c>
      <c r="J103" s="1129">
        <v>0</v>
      </c>
    </row>
    <row r="104" spans="1:10">
      <c r="A104" s="1030"/>
      <c r="B104" s="1030"/>
      <c r="C104" s="1030" t="s">
        <v>191</v>
      </c>
      <c r="D104" s="1031">
        <v>221634549.44999999</v>
      </c>
      <c r="E104" s="1032">
        <v>45.45</v>
      </c>
      <c r="F104" s="1127" t="s">
        <v>419</v>
      </c>
      <c r="G104" s="1030"/>
      <c r="H104" s="1030"/>
      <c r="I104" s="1128">
        <v>242148929.88</v>
      </c>
      <c r="J104" s="1129">
        <v>49.66</v>
      </c>
    </row>
    <row r="105" spans="1:10">
      <c r="A105" s="1030"/>
      <c r="B105" s="1030"/>
      <c r="C105" s="1030" t="s">
        <v>193</v>
      </c>
      <c r="D105" s="1031">
        <v>221634549.44999999</v>
      </c>
      <c r="E105" s="1032">
        <v>45.45</v>
      </c>
      <c r="F105" s="1127" t="s">
        <v>420</v>
      </c>
      <c r="G105" s="1030"/>
      <c r="H105" s="1030"/>
      <c r="I105" s="1031"/>
      <c r="J105" s="1032"/>
    </row>
    <row r="106" spans="1:10">
      <c r="A106" s="1030"/>
      <c r="B106" s="1030"/>
      <c r="C106" s="1030" t="s">
        <v>195</v>
      </c>
      <c r="D106" s="1031">
        <v>19286262</v>
      </c>
      <c r="E106" s="1032">
        <v>3.96</v>
      </c>
      <c r="F106" s="1030"/>
      <c r="G106" s="1127" t="s">
        <v>421</v>
      </c>
      <c r="H106" s="1030"/>
      <c r="I106" s="1031"/>
      <c r="J106" s="1032"/>
    </row>
    <row r="107" spans="1:10">
      <c r="A107" s="1030"/>
      <c r="B107" s="1030"/>
      <c r="C107" s="1030" t="s">
        <v>197</v>
      </c>
      <c r="D107" s="1031">
        <v>202348287.44999999</v>
      </c>
      <c r="E107" s="1032">
        <v>41.5</v>
      </c>
      <c r="F107" s="1030"/>
      <c r="G107" s="1030"/>
      <c r="H107" s="1030" t="s">
        <v>202</v>
      </c>
      <c r="I107" s="1031">
        <v>335040000</v>
      </c>
      <c r="J107" s="1032">
        <v>68.709999999999994</v>
      </c>
    </row>
    <row r="108" spans="1:10">
      <c r="A108" s="1030"/>
      <c r="B108" s="1030"/>
      <c r="C108" s="1030" t="s">
        <v>198</v>
      </c>
      <c r="D108" s="1031">
        <v>0</v>
      </c>
      <c r="E108" s="1032">
        <v>0</v>
      </c>
      <c r="F108" s="1030"/>
      <c r="G108" s="1030"/>
      <c r="H108" s="1030" t="s">
        <v>204</v>
      </c>
      <c r="I108" s="1031">
        <v>0</v>
      </c>
      <c r="J108" s="1032">
        <v>0</v>
      </c>
    </row>
    <row r="109" spans="1:10">
      <c r="A109" s="1030"/>
      <c r="B109" s="1030"/>
      <c r="C109" s="1030" t="s">
        <v>199</v>
      </c>
      <c r="D109" s="1031">
        <v>0</v>
      </c>
      <c r="E109" s="1032">
        <v>0</v>
      </c>
      <c r="F109" s="1030"/>
      <c r="G109" s="1030"/>
      <c r="H109" s="1030" t="s">
        <v>206</v>
      </c>
      <c r="I109" s="1031">
        <v>0</v>
      </c>
      <c r="J109" s="1032">
        <v>0</v>
      </c>
    </row>
    <row r="110" spans="1:10">
      <c r="A110" s="1030"/>
      <c r="B110" s="1030"/>
      <c r="C110" s="1030" t="s">
        <v>200</v>
      </c>
      <c r="D110" s="1031">
        <v>0</v>
      </c>
      <c r="E110" s="1032">
        <v>0</v>
      </c>
      <c r="F110" s="1030"/>
      <c r="G110" s="1030"/>
      <c r="H110" s="1030" t="s">
        <v>208</v>
      </c>
      <c r="I110" s="1031">
        <v>0</v>
      </c>
      <c r="J110" s="1032">
        <v>0</v>
      </c>
    </row>
    <row r="111" spans="1:10">
      <c r="A111" s="1030"/>
      <c r="B111" s="1030"/>
      <c r="C111" s="1030" t="s">
        <v>201</v>
      </c>
      <c r="D111" s="1031">
        <v>0</v>
      </c>
      <c r="E111" s="1032">
        <v>0</v>
      </c>
      <c r="F111" s="1030"/>
      <c r="G111" s="1127" t="s">
        <v>399</v>
      </c>
      <c r="H111" s="1030"/>
      <c r="I111" s="1128">
        <v>335040000</v>
      </c>
      <c r="J111" s="1129">
        <v>68.709999999999994</v>
      </c>
    </row>
    <row r="112" spans="1:10">
      <c r="A112" s="1030"/>
      <c r="B112" s="1030"/>
      <c r="C112" s="1030" t="s">
        <v>203</v>
      </c>
      <c r="D112" s="1031">
        <v>0</v>
      </c>
      <c r="E112" s="1032">
        <v>0</v>
      </c>
      <c r="F112" s="1030"/>
      <c r="G112" s="1127" t="s">
        <v>400</v>
      </c>
      <c r="H112" s="1030"/>
      <c r="I112" s="1031"/>
      <c r="J112" s="1032"/>
    </row>
    <row r="113" spans="1:10">
      <c r="A113" s="1030"/>
      <c r="B113" s="1030"/>
      <c r="C113" s="1030" t="s">
        <v>205</v>
      </c>
      <c r="D113" s="1031">
        <v>0</v>
      </c>
      <c r="E113" s="1032">
        <v>0</v>
      </c>
      <c r="F113" s="1030"/>
      <c r="G113" s="1030"/>
      <c r="H113" s="1030" t="s">
        <v>212</v>
      </c>
      <c r="I113" s="1031">
        <v>20000</v>
      </c>
      <c r="J113" s="1032">
        <v>0</v>
      </c>
    </row>
    <row r="114" spans="1:10">
      <c r="A114" s="1030"/>
      <c r="B114" s="1030"/>
      <c r="C114" s="1030" t="s">
        <v>207</v>
      </c>
      <c r="D114" s="1031">
        <v>159</v>
      </c>
      <c r="E114" s="1032">
        <v>0</v>
      </c>
      <c r="F114" s="1030"/>
      <c r="G114" s="1030"/>
      <c r="H114" s="1030" t="s">
        <v>214</v>
      </c>
      <c r="I114" s="1031">
        <v>20000</v>
      </c>
      <c r="J114" s="1032">
        <v>0</v>
      </c>
    </row>
    <row r="115" spans="1:10">
      <c r="A115" s="1030"/>
      <c r="B115" s="1030"/>
      <c r="C115" s="1030" t="s">
        <v>209</v>
      </c>
      <c r="D115" s="1031">
        <v>159</v>
      </c>
      <c r="E115" s="1032">
        <v>0</v>
      </c>
      <c r="F115" s="1030"/>
      <c r="G115" s="1030"/>
      <c r="H115" s="1030" t="s">
        <v>216</v>
      </c>
      <c r="I115" s="1031">
        <v>0</v>
      </c>
      <c r="J115" s="1032">
        <v>0</v>
      </c>
    </row>
    <row r="116" spans="1:10">
      <c r="A116" s="1030"/>
      <c r="B116" s="1030"/>
      <c r="C116" s="1030" t="s">
        <v>210</v>
      </c>
      <c r="D116" s="1031">
        <v>0</v>
      </c>
      <c r="E116" s="1032">
        <v>0</v>
      </c>
      <c r="F116" s="1030"/>
      <c r="G116" s="1030"/>
      <c r="H116" s="1030" t="s">
        <v>218</v>
      </c>
      <c r="I116" s="1031">
        <v>0</v>
      </c>
      <c r="J116" s="1032">
        <v>0</v>
      </c>
    </row>
    <row r="117" spans="1:10">
      <c r="A117" s="1030"/>
      <c r="B117" s="1030"/>
      <c r="C117" s="1030" t="s">
        <v>211</v>
      </c>
      <c r="D117" s="1031">
        <v>0</v>
      </c>
      <c r="E117" s="1032">
        <v>0</v>
      </c>
      <c r="F117" s="1030"/>
      <c r="G117" s="1030"/>
      <c r="H117" s="1030" t="s">
        <v>220</v>
      </c>
      <c r="I117" s="1031">
        <v>0</v>
      </c>
      <c r="J117" s="1032">
        <v>0</v>
      </c>
    </row>
    <row r="118" spans="1:10">
      <c r="A118" s="1030"/>
      <c r="B118" s="1030"/>
      <c r="C118" s="1030" t="s">
        <v>213</v>
      </c>
      <c r="D118" s="1031">
        <v>0</v>
      </c>
      <c r="E118" s="1032">
        <v>0</v>
      </c>
      <c r="F118" s="1030"/>
      <c r="G118" s="1030"/>
      <c r="H118" s="1030" t="s">
        <v>222</v>
      </c>
      <c r="I118" s="1031">
        <v>0</v>
      </c>
      <c r="J118" s="1032">
        <v>0</v>
      </c>
    </row>
    <row r="119" spans="1:10">
      <c r="A119" s="1030"/>
      <c r="B119" s="1030"/>
      <c r="C119" s="1030" t="s">
        <v>215</v>
      </c>
      <c r="D119" s="1031">
        <v>0</v>
      </c>
      <c r="E119" s="1032">
        <v>0</v>
      </c>
      <c r="F119" s="1030"/>
      <c r="G119" s="1030"/>
      <c r="H119" s="1030" t="s">
        <v>224</v>
      </c>
      <c r="I119" s="1031">
        <v>0</v>
      </c>
      <c r="J119" s="1032">
        <v>0</v>
      </c>
    </row>
    <row r="120" spans="1:10">
      <c r="A120" s="1030"/>
      <c r="B120" s="1030"/>
      <c r="C120" s="1030" t="s">
        <v>217</v>
      </c>
      <c r="D120" s="1031">
        <v>0</v>
      </c>
      <c r="E120" s="1032">
        <v>0</v>
      </c>
      <c r="F120" s="1030"/>
      <c r="G120" s="1127" t="s">
        <v>401</v>
      </c>
      <c r="H120" s="1030"/>
      <c r="I120" s="1128">
        <v>20000</v>
      </c>
      <c r="J120" s="1129">
        <v>0</v>
      </c>
    </row>
    <row r="121" spans="1:10">
      <c r="A121" s="1030"/>
      <c r="B121" s="1030"/>
      <c r="C121" s="1030" t="s">
        <v>219</v>
      </c>
      <c r="D121" s="1031">
        <v>0</v>
      </c>
      <c r="E121" s="1032">
        <v>0</v>
      </c>
      <c r="F121" s="1030"/>
      <c r="G121" s="1127" t="s">
        <v>402</v>
      </c>
      <c r="H121" s="1030"/>
      <c r="I121" s="1031"/>
      <c r="J121" s="1032"/>
    </row>
    <row r="122" spans="1:10">
      <c r="A122" s="1030"/>
      <c r="B122" s="1030"/>
      <c r="C122" s="1030" t="s">
        <v>221</v>
      </c>
      <c r="D122" s="1031">
        <v>0</v>
      </c>
      <c r="E122" s="1032">
        <v>0</v>
      </c>
      <c r="F122" s="1030"/>
      <c r="G122" s="1030"/>
      <c r="H122" s="1030" t="s">
        <v>228</v>
      </c>
      <c r="I122" s="1031">
        <v>0</v>
      </c>
      <c r="J122" s="1032">
        <v>0</v>
      </c>
    </row>
    <row r="123" spans="1:10">
      <c r="A123" s="1030"/>
      <c r="B123" s="1030"/>
      <c r="C123" s="1030" t="s">
        <v>223</v>
      </c>
      <c r="D123" s="1031">
        <v>0</v>
      </c>
      <c r="E123" s="1032">
        <v>0</v>
      </c>
      <c r="F123" s="1030"/>
      <c r="G123" s="1030"/>
      <c r="H123" s="1030" t="s">
        <v>230</v>
      </c>
      <c r="I123" s="1031">
        <v>0</v>
      </c>
      <c r="J123" s="1032">
        <v>0</v>
      </c>
    </row>
    <row r="124" spans="1:10">
      <c r="A124" s="1030"/>
      <c r="B124" s="1030"/>
      <c r="C124" s="1030" t="s">
        <v>225</v>
      </c>
      <c r="D124" s="1031">
        <v>150450770.24000001</v>
      </c>
      <c r="E124" s="1032">
        <v>30.85</v>
      </c>
      <c r="F124" s="1030"/>
      <c r="G124" s="1030"/>
      <c r="H124" s="1030" t="s">
        <v>232</v>
      </c>
      <c r="I124" s="1031">
        <v>-89592242.519999996</v>
      </c>
      <c r="J124" s="1032">
        <v>-18.37</v>
      </c>
    </row>
    <row r="125" spans="1:10">
      <c r="A125" s="1030"/>
      <c r="B125" s="1030"/>
      <c r="C125" s="1030" t="s">
        <v>226</v>
      </c>
      <c r="D125" s="1031">
        <v>199539</v>
      </c>
      <c r="E125" s="1032">
        <v>0.04</v>
      </c>
      <c r="F125" s="1030"/>
      <c r="G125" s="1030"/>
      <c r="H125" s="1030" t="s">
        <v>234</v>
      </c>
      <c r="I125" s="1031">
        <v>-75978390.519999996</v>
      </c>
      <c r="J125" s="1032">
        <v>-15.58</v>
      </c>
    </row>
    <row r="126" spans="1:10">
      <c r="A126" s="1030"/>
      <c r="B126" s="1030"/>
      <c r="C126" s="1030" t="s">
        <v>227</v>
      </c>
      <c r="D126" s="1031">
        <v>30532465</v>
      </c>
      <c r="E126" s="1032">
        <v>6.26</v>
      </c>
      <c r="F126" s="1030"/>
      <c r="G126" s="1030"/>
      <c r="H126" s="1030" t="s">
        <v>236</v>
      </c>
      <c r="I126" s="1031">
        <v>0</v>
      </c>
      <c r="J126" s="1032">
        <v>0</v>
      </c>
    </row>
    <row r="127" spans="1:10">
      <c r="A127" s="1030"/>
      <c r="B127" s="1030"/>
      <c r="C127" s="1030" t="s">
        <v>229</v>
      </c>
      <c r="D127" s="1031">
        <v>334245</v>
      </c>
      <c r="E127" s="1032">
        <v>7.0000000000000007E-2</v>
      </c>
      <c r="F127" s="1030"/>
      <c r="G127" s="1030"/>
      <c r="H127" s="1030" t="s">
        <v>238</v>
      </c>
      <c r="I127" s="1031">
        <v>-13613852</v>
      </c>
      <c r="J127" s="1032">
        <v>-2.79</v>
      </c>
    </row>
    <row r="128" spans="1:10">
      <c r="A128" s="1030"/>
      <c r="B128" s="1030"/>
      <c r="C128" s="1030" t="s">
        <v>231</v>
      </c>
      <c r="D128" s="1031">
        <v>34239687.240000002</v>
      </c>
      <c r="E128" s="1032">
        <v>7.02</v>
      </c>
      <c r="F128" s="1030"/>
      <c r="G128" s="1127" t="s">
        <v>403</v>
      </c>
      <c r="H128" s="1030"/>
      <c r="I128" s="1128">
        <v>-89592242.519999996</v>
      </c>
      <c r="J128" s="1129">
        <v>-18.37</v>
      </c>
    </row>
    <row r="129" spans="1:10">
      <c r="A129" s="1030"/>
      <c r="B129" s="1030"/>
      <c r="C129" s="1030" t="s">
        <v>233</v>
      </c>
      <c r="D129" s="1031">
        <v>104585105</v>
      </c>
      <c r="E129" s="1032">
        <v>21.45</v>
      </c>
      <c r="F129" s="1030"/>
      <c r="G129" s="1127" t="s">
        <v>404</v>
      </c>
      <c r="H129" s="1030"/>
      <c r="I129" s="1031"/>
      <c r="J129" s="1032"/>
    </row>
    <row r="130" spans="1:10">
      <c r="A130" s="1030"/>
      <c r="B130" s="1030"/>
      <c r="C130" s="1030" t="s">
        <v>235</v>
      </c>
      <c r="D130" s="1031">
        <v>104585105</v>
      </c>
      <c r="E130" s="1032">
        <v>21.45</v>
      </c>
      <c r="F130" s="1030"/>
      <c r="G130" s="1030"/>
      <c r="H130" s="1030" t="s">
        <v>242</v>
      </c>
      <c r="I130" s="1031">
        <v>0</v>
      </c>
      <c r="J130" s="1032">
        <v>0</v>
      </c>
    </row>
    <row r="131" spans="1:10">
      <c r="A131" s="1030"/>
      <c r="B131" s="1030"/>
      <c r="C131" s="1030" t="s">
        <v>237</v>
      </c>
      <c r="D131" s="1031">
        <v>0</v>
      </c>
      <c r="E131" s="1032">
        <v>0</v>
      </c>
      <c r="F131" s="1030"/>
      <c r="G131" s="1030"/>
      <c r="H131" s="1030" t="s">
        <v>244</v>
      </c>
      <c r="I131" s="1031">
        <v>0</v>
      </c>
      <c r="J131" s="1032">
        <v>0</v>
      </c>
    </row>
    <row r="132" spans="1:10">
      <c r="A132" s="1030"/>
      <c r="B132" s="1030"/>
      <c r="C132" s="1030" t="s">
        <v>239</v>
      </c>
      <c r="D132" s="1031">
        <v>0</v>
      </c>
      <c r="E132" s="1032">
        <v>0</v>
      </c>
      <c r="F132" s="1030"/>
      <c r="G132" s="1030"/>
      <c r="H132" s="1030" t="s">
        <v>246</v>
      </c>
      <c r="I132" s="1031">
        <v>0</v>
      </c>
      <c r="J132" s="1032">
        <v>0</v>
      </c>
    </row>
    <row r="133" spans="1:10">
      <c r="A133" s="1030"/>
      <c r="B133" s="1030"/>
      <c r="C133" s="1030" t="s">
        <v>2</v>
      </c>
      <c r="D133" s="1031">
        <v>19009</v>
      </c>
      <c r="E133" s="1032">
        <v>0</v>
      </c>
      <c r="F133" s="1030"/>
      <c r="G133" s="1030"/>
      <c r="H133" s="1030" t="s">
        <v>248</v>
      </c>
      <c r="I133" s="1031">
        <v>0</v>
      </c>
      <c r="J133" s="1032">
        <v>0</v>
      </c>
    </row>
    <row r="134" spans="1:10">
      <c r="A134" s="1030"/>
      <c r="B134" s="1030"/>
      <c r="C134" s="1030" t="s">
        <v>3</v>
      </c>
      <c r="D134" s="1031">
        <v>19009</v>
      </c>
      <c r="E134" s="1032">
        <v>0</v>
      </c>
      <c r="F134" s="1030"/>
      <c r="G134" s="1030"/>
      <c r="H134" s="1030" t="s">
        <v>250</v>
      </c>
      <c r="I134" s="1031">
        <v>0</v>
      </c>
      <c r="J134" s="1032">
        <v>0</v>
      </c>
    </row>
    <row r="135" spans="1:10">
      <c r="A135" s="1030"/>
      <c r="B135" s="1030"/>
      <c r="C135" s="1030" t="s">
        <v>240</v>
      </c>
      <c r="D135" s="1031">
        <v>-19459280</v>
      </c>
      <c r="E135" s="1032">
        <v>-3.99</v>
      </c>
      <c r="F135" s="1030"/>
      <c r="G135" s="1127" t="s">
        <v>404</v>
      </c>
      <c r="H135" s="1030"/>
      <c r="I135" s="1128">
        <v>0</v>
      </c>
      <c r="J135" s="1129">
        <v>0</v>
      </c>
    </row>
    <row r="136" spans="1:10">
      <c r="A136" s="1030"/>
      <c r="B136" s="1030"/>
      <c r="C136" s="1030" t="s">
        <v>241</v>
      </c>
      <c r="D136" s="1031">
        <v>485063</v>
      </c>
      <c r="E136" s="1032">
        <v>0.1</v>
      </c>
      <c r="F136" s="1030"/>
      <c r="G136" s="1127" t="s">
        <v>405</v>
      </c>
      <c r="H136" s="1030"/>
      <c r="I136" s="1031"/>
      <c r="J136" s="1032"/>
    </row>
    <row r="137" spans="1:10">
      <c r="A137" s="1030"/>
      <c r="B137" s="1030"/>
      <c r="C137" s="1030" t="s">
        <v>243</v>
      </c>
      <c r="D137" s="1031">
        <v>0</v>
      </c>
      <c r="E137" s="1032">
        <v>0</v>
      </c>
      <c r="F137" s="1030"/>
      <c r="G137" s="1030"/>
      <c r="H137" s="1030" t="s">
        <v>254</v>
      </c>
      <c r="I137" s="1031">
        <v>0</v>
      </c>
      <c r="J137" s="1032">
        <v>0</v>
      </c>
    </row>
    <row r="138" spans="1:10">
      <c r="A138" s="1030"/>
      <c r="B138" s="1030"/>
      <c r="C138" s="1030" t="s">
        <v>245</v>
      </c>
      <c r="D138" s="1031">
        <v>6834</v>
      </c>
      <c r="E138" s="1032">
        <v>0</v>
      </c>
      <c r="F138" s="1030"/>
      <c r="G138" s="1127" t="s">
        <v>406</v>
      </c>
      <c r="H138" s="1030"/>
      <c r="I138" s="1128">
        <v>0</v>
      </c>
      <c r="J138" s="1129">
        <v>0</v>
      </c>
    </row>
    <row r="139" spans="1:10">
      <c r="A139" s="1030"/>
      <c r="B139" s="1030"/>
      <c r="C139" s="1030" t="s">
        <v>247</v>
      </c>
      <c r="D139" s="1031">
        <v>171495</v>
      </c>
      <c r="E139" s="1032">
        <v>0.04</v>
      </c>
      <c r="F139" s="1127" t="s">
        <v>407</v>
      </c>
      <c r="G139" s="1030"/>
      <c r="H139" s="1030"/>
      <c r="I139" s="1128">
        <v>245467757.47999999</v>
      </c>
      <c r="J139" s="1129">
        <v>50.34</v>
      </c>
    </row>
    <row r="140" spans="1:10">
      <c r="A140" s="1030"/>
      <c r="B140" s="1030"/>
      <c r="C140" s="1030" t="s">
        <v>249</v>
      </c>
      <c r="D140" s="1031">
        <v>0</v>
      </c>
      <c r="E140" s="1032">
        <v>0</v>
      </c>
      <c r="F140" s="1030"/>
      <c r="G140" s="1030"/>
      <c r="H140" s="1030"/>
      <c r="I140" s="1031"/>
      <c r="J140" s="1032"/>
    </row>
    <row r="141" spans="1:10">
      <c r="A141" s="1030"/>
      <c r="B141" s="1030"/>
      <c r="C141" s="1030" t="s">
        <v>251</v>
      </c>
      <c r="D141" s="1031">
        <v>2399</v>
      </c>
      <c r="E141" s="1032">
        <v>0</v>
      </c>
      <c r="F141" s="1030"/>
      <c r="G141" s="1030"/>
      <c r="H141" s="1030"/>
      <c r="I141" s="1031"/>
      <c r="J141" s="1032"/>
    </row>
    <row r="142" spans="1:10">
      <c r="A142" s="1030"/>
      <c r="B142" s="1030"/>
      <c r="C142" s="1030" t="s">
        <v>252</v>
      </c>
      <c r="D142" s="1031">
        <v>15000</v>
      </c>
      <c r="E142" s="1032">
        <v>0</v>
      </c>
      <c r="F142" s="1030"/>
      <c r="G142" s="1030"/>
      <c r="H142" s="1030"/>
      <c r="I142" s="1031"/>
      <c r="J142" s="1032"/>
    </row>
    <row r="143" spans="1:10">
      <c r="A143" s="1030"/>
      <c r="B143" s="1030"/>
      <c r="C143" s="1030" t="s">
        <v>253</v>
      </c>
      <c r="D143" s="1031">
        <v>289335</v>
      </c>
      <c r="E143" s="1032">
        <v>0.06</v>
      </c>
      <c r="F143" s="1030"/>
      <c r="G143" s="1030"/>
      <c r="H143" s="1030"/>
      <c r="I143" s="1031"/>
      <c r="J143" s="1032"/>
    </row>
    <row r="144" spans="1:10">
      <c r="A144" s="1030"/>
      <c r="B144" s="1030"/>
      <c r="C144" s="1030" t="s">
        <v>255</v>
      </c>
      <c r="D144" s="1031">
        <v>0</v>
      </c>
      <c r="E144" s="1032">
        <v>0</v>
      </c>
      <c r="F144" s="1030"/>
      <c r="G144" s="1030"/>
      <c r="H144" s="1030"/>
      <c r="I144" s="1031"/>
      <c r="J144" s="1032"/>
    </row>
    <row r="145" spans="1:10">
      <c r="A145" s="1030"/>
      <c r="B145" s="1030"/>
      <c r="C145" s="1030" t="s">
        <v>256</v>
      </c>
      <c r="D145" s="1031">
        <v>0</v>
      </c>
      <c r="E145" s="1032">
        <v>0</v>
      </c>
      <c r="F145" s="1030"/>
      <c r="G145" s="1030"/>
      <c r="H145" s="1030"/>
      <c r="I145" s="1031"/>
      <c r="J145" s="1032"/>
    </row>
    <row r="146" spans="1:10">
      <c r="A146" s="1030"/>
      <c r="B146" s="1030"/>
      <c r="C146" s="1030" t="s">
        <v>257</v>
      </c>
      <c r="D146" s="1031">
        <v>0</v>
      </c>
      <c r="E146" s="1032">
        <v>0</v>
      </c>
      <c r="F146" s="1030"/>
      <c r="G146" s="1030"/>
      <c r="H146" s="1030"/>
      <c r="I146" s="1031"/>
      <c r="J146" s="1032"/>
    </row>
    <row r="147" spans="1:10">
      <c r="A147" s="1030"/>
      <c r="B147" s="1030"/>
      <c r="C147" s="1030" t="s">
        <v>258</v>
      </c>
      <c r="D147" s="1031">
        <v>0</v>
      </c>
      <c r="E147" s="1032">
        <v>0</v>
      </c>
      <c r="F147" s="1030"/>
      <c r="G147" s="1030"/>
      <c r="H147" s="1030"/>
      <c r="I147" s="1031"/>
      <c r="J147" s="1032"/>
    </row>
    <row r="148" spans="1:10">
      <c r="A148" s="1030"/>
      <c r="B148" s="1030"/>
      <c r="C148" s="1030" t="s">
        <v>259</v>
      </c>
      <c r="D148" s="1031">
        <v>7636640</v>
      </c>
      <c r="E148" s="1032">
        <v>1.57</v>
      </c>
      <c r="F148" s="1030"/>
      <c r="G148" s="1030"/>
      <c r="H148" s="1030"/>
      <c r="I148" s="1031"/>
      <c r="J148" s="1032"/>
    </row>
    <row r="149" spans="1:10">
      <c r="A149" s="1030"/>
      <c r="B149" s="1030"/>
      <c r="C149" s="1030" t="s">
        <v>260</v>
      </c>
      <c r="D149" s="1031">
        <v>0</v>
      </c>
      <c r="E149" s="1032">
        <v>0</v>
      </c>
      <c r="F149" s="1030"/>
      <c r="G149" s="1030"/>
      <c r="H149" s="1030"/>
      <c r="I149" s="1031"/>
      <c r="J149" s="1032"/>
    </row>
    <row r="150" spans="1:10">
      <c r="A150" s="1030"/>
      <c r="B150" s="1030"/>
      <c r="C150" s="1030" t="s">
        <v>261</v>
      </c>
      <c r="D150" s="1031">
        <v>0</v>
      </c>
      <c r="E150" s="1032">
        <v>0</v>
      </c>
      <c r="F150" s="1030"/>
      <c r="G150" s="1030"/>
      <c r="H150" s="1030"/>
      <c r="I150" s="1031"/>
      <c r="J150" s="1032"/>
    </row>
    <row r="151" spans="1:10">
      <c r="A151" s="1030"/>
      <c r="B151" s="1030"/>
      <c r="C151" s="1030" t="s">
        <v>262</v>
      </c>
      <c r="D151" s="1031">
        <v>4107861</v>
      </c>
      <c r="E151" s="1032">
        <v>0.84</v>
      </c>
      <c r="F151" s="1030"/>
      <c r="G151" s="1030"/>
      <c r="H151" s="1030"/>
      <c r="I151" s="1031"/>
      <c r="J151" s="1032"/>
    </row>
    <row r="152" spans="1:10">
      <c r="A152" s="1030"/>
      <c r="B152" s="1030"/>
      <c r="C152" s="1030" t="s">
        <v>263</v>
      </c>
      <c r="D152" s="1031">
        <v>3600</v>
      </c>
      <c r="E152" s="1032">
        <v>0</v>
      </c>
      <c r="F152" s="1030"/>
      <c r="G152" s="1030"/>
      <c r="H152" s="1030"/>
      <c r="I152" s="1031"/>
      <c r="J152" s="1032"/>
    </row>
    <row r="153" spans="1:10">
      <c r="A153" s="1030"/>
      <c r="B153" s="1030"/>
      <c r="C153" s="1030" t="s">
        <v>264</v>
      </c>
      <c r="D153" s="1031">
        <v>1934</v>
      </c>
      <c r="E153" s="1032">
        <v>0</v>
      </c>
      <c r="F153" s="1030"/>
      <c r="G153" s="1030"/>
      <c r="H153" s="1030"/>
      <c r="I153" s="1031"/>
      <c r="J153" s="1032"/>
    </row>
    <row r="154" spans="1:10">
      <c r="A154" s="1030"/>
      <c r="B154" s="1030"/>
      <c r="C154" s="1030" t="s">
        <v>265</v>
      </c>
      <c r="D154" s="1031">
        <v>0</v>
      </c>
      <c r="E154" s="1032">
        <v>0</v>
      </c>
      <c r="F154" s="1030"/>
      <c r="G154" s="1030"/>
      <c r="H154" s="1030"/>
      <c r="I154" s="1031"/>
      <c r="J154" s="1032"/>
    </row>
    <row r="155" spans="1:10">
      <c r="A155" s="1030"/>
      <c r="B155" s="1030"/>
      <c r="C155" s="1030" t="s">
        <v>266</v>
      </c>
      <c r="D155" s="1031">
        <v>4102327</v>
      </c>
      <c r="E155" s="1032">
        <v>0.84</v>
      </c>
      <c r="F155" s="1030"/>
      <c r="G155" s="1030"/>
      <c r="H155" s="1030"/>
      <c r="I155" s="1031"/>
      <c r="J155" s="1032"/>
    </row>
    <row r="156" spans="1:10">
      <c r="A156" s="1030"/>
      <c r="B156" s="1030"/>
      <c r="C156" s="1030" t="s">
        <v>267</v>
      </c>
      <c r="D156" s="1031">
        <v>0</v>
      </c>
      <c r="E156" s="1032">
        <v>0</v>
      </c>
      <c r="F156" s="1030"/>
      <c r="G156" s="1030"/>
      <c r="H156" s="1030"/>
      <c r="I156" s="1031"/>
      <c r="J156" s="1032"/>
    </row>
    <row r="157" spans="1:10">
      <c r="A157" s="1030"/>
      <c r="B157" s="1030"/>
      <c r="C157" s="1030" t="s">
        <v>268</v>
      </c>
      <c r="D157" s="1031">
        <v>0</v>
      </c>
      <c r="E157" s="1032">
        <v>0</v>
      </c>
      <c r="F157" s="1030"/>
      <c r="G157" s="1030"/>
      <c r="H157" s="1030"/>
      <c r="I157" s="1031"/>
      <c r="J157" s="1032"/>
    </row>
    <row r="158" spans="1:10">
      <c r="A158" s="1030"/>
      <c r="B158" s="1030"/>
      <c r="C158" s="1030" t="s">
        <v>269</v>
      </c>
      <c r="D158" s="1031">
        <v>0</v>
      </c>
      <c r="E158" s="1032">
        <v>0</v>
      </c>
      <c r="F158" s="1030"/>
      <c r="G158" s="1030"/>
      <c r="H158" s="1030"/>
      <c r="I158" s="1031"/>
      <c r="J158" s="1032"/>
    </row>
    <row r="159" spans="1:10">
      <c r="A159" s="1030"/>
      <c r="B159" s="1030"/>
      <c r="C159" s="1030" t="s">
        <v>270</v>
      </c>
      <c r="D159" s="1031">
        <v>0</v>
      </c>
      <c r="E159" s="1032">
        <v>0</v>
      </c>
      <c r="F159" s="1030"/>
      <c r="G159" s="1030"/>
      <c r="H159" s="1030"/>
      <c r="I159" s="1031"/>
      <c r="J159" s="1032"/>
    </row>
    <row r="160" spans="1:10">
      <c r="A160" s="1030"/>
      <c r="B160" s="1030"/>
      <c r="C160" s="1030" t="s">
        <v>271</v>
      </c>
      <c r="D160" s="1031">
        <v>0</v>
      </c>
      <c r="E160" s="1032">
        <v>0</v>
      </c>
      <c r="F160" s="1030"/>
      <c r="G160" s="1030"/>
      <c r="H160" s="1030"/>
      <c r="I160" s="1031"/>
      <c r="J160" s="1032"/>
    </row>
    <row r="161" spans="1:10">
      <c r="A161" s="1030"/>
      <c r="B161" s="1030"/>
      <c r="C161" s="1030" t="s">
        <v>272</v>
      </c>
      <c r="D161" s="1031">
        <v>0</v>
      </c>
      <c r="E161" s="1032">
        <v>0</v>
      </c>
      <c r="F161" s="1030"/>
      <c r="G161" s="1030"/>
      <c r="H161" s="1030"/>
      <c r="I161" s="1031"/>
      <c r="J161" s="1032"/>
    </row>
    <row r="162" spans="1:10">
      <c r="A162" s="1030"/>
      <c r="B162" s="1030"/>
      <c r="C162" s="1030" t="s">
        <v>273</v>
      </c>
      <c r="D162" s="1031">
        <v>0</v>
      </c>
      <c r="E162" s="1032">
        <v>0</v>
      </c>
      <c r="F162" s="1030"/>
      <c r="G162" s="1030"/>
      <c r="H162" s="1030"/>
      <c r="I162" s="1031"/>
      <c r="J162" s="1032"/>
    </row>
    <row r="163" spans="1:10">
      <c r="A163" s="1030"/>
      <c r="B163" s="1030"/>
      <c r="C163" s="1030" t="s">
        <v>274</v>
      </c>
      <c r="D163" s="1031">
        <v>0</v>
      </c>
      <c r="E163" s="1032">
        <v>0</v>
      </c>
      <c r="F163" s="1030"/>
      <c r="G163" s="1030"/>
      <c r="H163" s="1030"/>
      <c r="I163" s="1031"/>
      <c r="J163" s="1032"/>
    </row>
    <row r="164" spans="1:10">
      <c r="A164" s="1030"/>
      <c r="B164" s="1030"/>
      <c r="C164" s="1030" t="s">
        <v>275</v>
      </c>
      <c r="D164" s="1031">
        <v>0</v>
      </c>
      <c r="E164" s="1032">
        <v>0</v>
      </c>
      <c r="F164" s="1030"/>
      <c r="G164" s="1030"/>
      <c r="H164" s="1030"/>
      <c r="I164" s="1031"/>
      <c r="J164" s="1032"/>
    </row>
    <row r="165" spans="1:10">
      <c r="A165" s="1030"/>
      <c r="B165" s="1030"/>
      <c r="C165" s="1030" t="s">
        <v>276</v>
      </c>
      <c r="D165" s="1031">
        <v>0</v>
      </c>
      <c r="E165" s="1032">
        <v>0</v>
      </c>
      <c r="F165" s="1030"/>
      <c r="G165" s="1030"/>
      <c r="H165" s="1030"/>
      <c r="I165" s="1031"/>
      <c r="J165" s="1032"/>
    </row>
    <row r="166" spans="1:10">
      <c r="A166" s="1030"/>
      <c r="B166" s="1030"/>
      <c r="C166" s="1030" t="s">
        <v>277</v>
      </c>
      <c r="D166" s="1031">
        <v>0</v>
      </c>
      <c r="E166" s="1032">
        <v>0</v>
      </c>
      <c r="F166" s="1030"/>
      <c r="G166" s="1030"/>
      <c r="H166" s="1030"/>
      <c r="I166" s="1031"/>
      <c r="J166" s="1032"/>
    </row>
    <row r="167" spans="1:10">
      <c r="A167" s="1030"/>
      <c r="B167" s="1030"/>
      <c r="C167" s="1030" t="s">
        <v>278</v>
      </c>
      <c r="D167" s="1031">
        <v>0</v>
      </c>
      <c r="E167" s="1032">
        <v>0</v>
      </c>
      <c r="F167" s="1030"/>
      <c r="G167" s="1030"/>
      <c r="H167" s="1030"/>
      <c r="I167" s="1031"/>
      <c r="J167" s="1032"/>
    </row>
    <row r="168" spans="1:10">
      <c r="A168" s="1030"/>
      <c r="B168" s="1030"/>
      <c r="C168" s="1030" t="s">
        <v>279</v>
      </c>
      <c r="D168" s="1031">
        <v>0</v>
      </c>
      <c r="E168" s="1032">
        <v>0</v>
      </c>
      <c r="F168" s="1030"/>
      <c r="G168" s="1030"/>
      <c r="H168" s="1030"/>
      <c r="I168" s="1031"/>
      <c r="J168" s="1032"/>
    </row>
    <row r="169" spans="1:10">
      <c r="A169" s="1030"/>
      <c r="B169" s="1030"/>
      <c r="C169" s="1030" t="s">
        <v>280</v>
      </c>
      <c r="D169" s="1031">
        <v>0</v>
      </c>
      <c r="E169" s="1032">
        <v>0</v>
      </c>
      <c r="F169" s="1030"/>
      <c r="G169" s="1030"/>
      <c r="H169" s="1030"/>
      <c r="I169" s="1031"/>
      <c r="J169" s="1032"/>
    </row>
    <row r="170" spans="1:10">
      <c r="A170" s="1030"/>
      <c r="B170" s="1127" t="s">
        <v>408</v>
      </c>
      <c r="C170" s="1030"/>
      <c r="D170" s="1128">
        <v>442850546.36000001</v>
      </c>
      <c r="E170" s="1129">
        <v>90.82</v>
      </c>
      <c r="F170" s="1030"/>
      <c r="G170" s="1030"/>
      <c r="H170" s="1030"/>
      <c r="I170" s="1031"/>
      <c r="J170" s="1032"/>
    </row>
    <row r="171" spans="1:10">
      <c r="A171" s="1030"/>
      <c r="B171" s="1127" t="s">
        <v>409</v>
      </c>
      <c r="C171" s="1030"/>
      <c r="D171" s="1031"/>
      <c r="E171" s="1032"/>
      <c r="F171" s="1030"/>
      <c r="G171" s="1030"/>
      <c r="H171" s="1030"/>
      <c r="I171" s="1031"/>
      <c r="J171" s="1032"/>
    </row>
    <row r="172" spans="1:10">
      <c r="A172" s="1030"/>
      <c r="B172" s="1030"/>
      <c r="C172" s="1030" t="s">
        <v>281</v>
      </c>
      <c r="D172" s="1031">
        <v>0</v>
      </c>
      <c r="E172" s="1032">
        <v>0</v>
      </c>
      <c r="F172" s="1030"/>
      <c r="G172" s="1030"/>
      <c r="H172" s="1030"/>
      <c r="I172" s="1031"/>
      <c r="J172" s="1032"/>
    </row>
    <row r="173" spans="1:10">
      <c r="A173" s="1030"/>
      <c r="B173" s="1030"/>
      <c r="C173" s="1030" t="s">
        <v>282</v>
      </c>
      <c r="D173" s="1031">
        <v>0</v>
      </c>
      <c r="E173" s="1032">
        <v>0</v>
      </c>
      <c r="F173" s="1030"/>
      <c r="G173" s="1030"/>
      <c r="H173" s="1030"/>
      <c r="I173" s="1031"/>
      <c r="J173" s="1032"/>
    </row>
    <row r="174" spans="1:10">
      <c r="A174" s="1030"/>
      <c r="B174" s="1030"/>
      <c r="C174" s="1030" t="s">
        <v>283</v>
      </c>
      <c r="D174" s="1031">
        <v>0</v>
      </c>
      <c r="E174" s="1032">
        <v>0</v>
      </c>
      <c r="F174" s="1030"/>
      <c r="G174" s="1030"/>
      <c r="H174" s="1030"/>
      <c r="I174" s="1031"/>
      <c r="J174" s="1032"/>
    </row>
    <row r="175" spans="1:10">
      <c r="A175" s="1030"/>
      <c r="B175" s="1030"/>
      <c r="C175" s="1030" t="s">
        <v>284</v>
      </c>
      <c r="D175" s="1031">
        <v>0</v>
      </c>
      <c r="E175" s="1032">
        <v>0</v>
      </c>
      <c r="F175" s="1030"/>
      <c r="G175" s="1030"/>
      <c r="H175" s="1030"/>
      <c r="I175" s="1031"/>
      <c r="J175" s="1032"/>
    </row>
    <row r="176" spans="1:10">
      <c r="A176" s="1030"/>
      <c r="B176" s="1030"/>
      <c r="C176" s="1030" t="s">
        <v>285</v>
      </c>
      <c r="D176" s="1031">
        <v>0</v>
      </c>
      <c r="E176" s="1032">
        <v>0</v>
      </c>
      <c r="F176" s="1030"/>
      <c r="G176" s="1030"/>
      <c r="H176" s="1030"/>
      <c r="I176" s="1031"/>
      <c r="J176" s="1032"/>
    </row>
    <row r="177" spans="1:10">
      <c r="A177" s="1030"/>
      <c r="B177" s="1030"/>
      <c r="C177" s="1030" t="s">
        <v>286</v>
      </c>
      <c r="D177" s="1031">
        <v>0</v>
      </c>
      <c r="E177" s="1032">
        <v>0</v>
      </c>
      <c r="F177" s="1030"/>
      <c r="G177" s="1030"/>
      <c r="H177" s="1030"/>
      <c r="I177" s="1031"/>
      <c r="J177" s="1032"/>
    </row>
    <row r="178" spans="1:10">
      <c r="A178" s="1030"/>
      <c r="B178" s="1030"/>
      <c r="C178" s="1030" t="s">
        <v>287</v>
      </c>
      <c r="D178" s="1031">
        <v>0</v>
      </c>
      <c r="E178" s="1032">
        <v>0</v>
      </c>
      <c r="F178" s="1030"/>
      <c r="G178" s="1030"/>
      <c r="H178" s="1030"/>
      <c r="I178" s="1031"/>
      <c r="J178" s="1032"/>
    </row>
    <row r="179" spans="1:10">
      <c r="A179" s="1030"/>
      <c r="B179" s="1030"/>
      <c r="C179" s="1030" t="s">
        <v>288</v>
      </c>
      <c r="D179" s="1031">
        <v>0</v>
      </c>
      <c r="E179" s="1032">
        <v>0</v>
      </c>
      <c r="F179" s="1030"/>
      <c r="G179" s="1030"/>
      <c r="H179" s="1030"/>
      <c r="I179" s="1031"/>
      <c r="J179" s="1032"/>
    </row>
    <row r="180" spans="1:10">
      <c r="A180" s="1030"/>
      <c r="B180" s="1030"/>
      <c r="C180" s="1030" t="s">
        <v>289</v>
      </c>
      <c r="D180" s="1031">
        <v>0</v>
      </c>
      <c r="E180" s="1032">
        <v>0</v>
      </c>
      <c r="F180" s="1030"/>
      <c r="G180" s="1030"/>
      <c r="H180" s="1030"/>
      <c r="I180" s="1031"/>
      <c r="J180" s="1032"/>
    </row>
    <row r="181" spans="1:10">
      <c r="A181" s="1030"/>
      <c r="B181" s="1030"/>
      <c r="C181" s="1030" t="s">
        <v>290</v>
      </c>
      <c r="D181" s="1031">
        <v>0</v>
      </c>
      <c r="E181" s="1032">
        <v>0</v>
      </c>
      <c r="F181" s="1030"/>
      <c r="G181" s="1030"/>
      <c r="H181" s="1030"/>
      <c r="I181" s="1031"/>
      <c r="J181" s="1032"/>
    </row>
    <row r="182" spans="1:10">
      <c r="A182" s="1030"/>
      <c r="B182" s="1030"/>
      <c r="C182" s="1030" t="s">
        <v>291</v>
      </c>
      <c r="D182" s="1031">
        <v>0</v>
      </c>
      <c r="E182" s="1032">
        <v>0</v>
      </c>
      <c r="F182" s="1030"/>
      <c r="G182" s="1030"/>
      <c r="H182" s="1030"/>
      <c r="I182" s="1031"/>
      <c r="J182" s="1032"/>
    </row>
    <row r="183" spans="1:10">
      <c r="A183" s="1030"/>
      <c r="B183" s="1030"/>
      <c r="C183" s="1030" t="s">
        <v>292</v>
      </c>
      <c r="D183" s="1031">
        <v>0</v>
      </c>
      <c r="E183" s="1032">
        <v>0</v>
      </c>
      <c r="F183" s="1030"/>
      <c r="G183" s="1030"/>
      <c r="H183" s="1030"/>
      <c r="I183" s="1031"/>
      <c r="J183" s="1032"/>
    </row>
    <row r="184" spans="1:10">
      <c r="A184" s="1030"/>
      <c r="B184" s="1030"/>
      <c r="C184" s="1030" t="s">
        <v>293</v>
      </c>
      <c r="D184" s="1031">
        <v>0</v>
      </c>
      <c r="E184" s="1032">
        <v>0</v>
      </c>
      <c r="F184" s="1030"/>
      <c r="G184" s="1030"/>
      <c r="H184" s="1030"/>
      <c r="I184" s="1031"/>
      <c r="J184" s="1032"/>
    </row>
    <row r="185" spans="1:10">
      <c r="A185" s="1030"/>
      <c r="B185" s="1030"/>
      <c r="C185" s="1030" t="s">
        <v>294</v>
      </c>
      <c r="D185" s="1031">
        <v>0</v>
      </c>
      <c r="E185" s="1032">
        <v>0</v>
      </c>
      <c r="F185" s="1030"/>
      <c r="G185" s="1030"/>
      <c r="H185" s="1030"/>
      <c r="I185" s="1031"/>
      <c r="J185" s="1032"/>
    </row>
    <row r="186" spans="1:10">
      <c r="A186" s="1030"/>
      <c r="B186" s="1030"/>
      <c r="C186" s="1030" t="s">
        <v>295</v>
      </c>
      <c r="D186" s="1031">
        <v>0</v>
      </c>
      <c r="E186" s="1032">
        <v>0</v>
      </c>
      <c r="F186" s="1030"/>
      <c r="G186" s="1030"/>
      <c r="H186" s="1030"/>
      <c r="I186" s="1031"/>
      <c r="J186" s="1032"/>
    </row>
    <row r="187" spans="1:10">
      <c r="A187" s="1030"/>
      <c r="B187" s="1127" t="s">
        <v>410</v>
      </c>
      <c r="C187" s="1030"/>
      <c r="D187" s="1128">
        <v>0</v>
      </c>
      <c r="E187" s="1129">
        <v>0</v>
      </c>
      <c r="F187" s="1030"/>
      <c r="G187" s="1030"/>
      <c r="H187" s="1030"/>
      <c r="I187" s="1031"/>
      <c r="J187" s="1032"/>
    </row>
    <row r="188" spans="1:10">
      <c r="A188" s="1030"/>
      <c r="B188" s="1127" t="s">
        <v>411</v>
      </c>
      <c r="C188" s="1030"/>
      <c r="D188" s="1031"/>
      <c r="E188" s="1032"/>
      <c r="F188" s="1030"/>
      <c r="G188" s="1030"/>
      <c r="H188" s="1030"/>
      <c r="I188" s="1031"/>
      <c r="J188" s="1032"/>
    </row>
    <row r="189" spans="1:10">
      <c r="A189" s="1030"/>
      <c r="B189" s="1030"/>
      <c r="C189" s="1030" t="s">
        <v>296</v>
      </c>
      <c r="D189" s="1031">
        <v>21000000</v>
      </c>
      <c r="E189" s="1032">
        <v>4.3099999999999996</v>
      </c>
      <c r="F189" s="1030"/>
      <c r="G189" s="1030"/>
      <c r="H189" s="1030"/>
      <c r="I189" s="1031"/>
      <c r="J189" s="1032"/>
    </row>
    <row r="190" spans="1:10">
      <c r="A190" s="1030"/>
      <c r="B190" s="1030"/>
      <c r="C190" s="1030" t="s">
        <v>297</v>
      </c>
      <c r="D190" s="1031">
        <v>13333333</v>
      </c>
      <c r="E190" s="1032">
        <v>2.73</v>
      </c>
      <c r="F190" s="1030"/>
      <c r="G190" s="1030"/>
      <c r="H190" s="1030"/>
      <c r="I190" s="1031"/>
      <c r="J190" s="1032"/>
    </row>
    <row r="191" spans="1:10">
      <c r="A191" s="1030"/>
      <c r="B191" s="1030"/>
      <c r="C191" s="1030" t="s">
        <v>298</v>
      </c>
      <c r="D191" s="1031">
        <v>-2832475</v>
      </c>
      <c r="E191" s="1032">
        <v>-0.57999999999999996</v>
      </c>
      <c r="F191" s="1030"/>
      <c r="G191" s="1030"/>
      <c r="H191" s="1030"/>
      <c r="I191" s="1031"/>
      <c r="J191" s="1032"/>
    </row>
    <row r="192" spans="1:10">
      <c r="A192" s="1030"/>
      <c r="B192" s="1030"/>
      <c r="C192" s="1030" t="s">
        <v>299</v>
      </c>
      <c r="D192" s="1031">
        <v>5211496</v>
      </c>
      <c r="E192" s="1032">
        <v>1.07</v>
      </c>
      <c r="F192" s="1030"/>
      <c r="G192" s="1030"/>
      <c r="H192" s="1030"/>
      <c r="I192" s="1031"/>
      <c r="J192" s="1032"/>
    </row>
    <row r="193" spans="1:10">
      <c r="A193" s="1030"/>
      <c r="B193" s="1030"/>
      <c r="C193" s="1030" t="s">
        <v>300</v>
      </c>
      <c r="D193" s="1031">
        <v>-4262732</v>
      </c>
      <c r="E193" s="1032">
        <v>-0.87</v>
      </c>
      <c r="F193" s="1030"/>
      <c r="G193" s="1030"/>
      <c r="H193" s="1030"/>
      <c r="I193" s="1031"/>
      <c r="J193" s="1032"/>
    </row>
    <row r="194" spans="1:10">
      <c r="A194" s="1030"/>
      <c r="B194" s="1030"/>
      <c r="C194" s="1030" t="s">
        <v>301</v>
      </c>
      <c r="D194" s="1031">
        <v>72214363</v>
      </c>
      <c r="E194" s="1032">
        <v>14.81</v>
      </c>
      <c r="F194" s="1030"/>
      <c r="G194" s="1030"/>
      <c r="H194" s="1030"/>
      <c r="I194" s="1031"/>
      <c r="J194" s="1032"/>
    </row>
    <row r="195" spans="1:10">
      <c r="A195" s="1030"/>
      <c r="B195" s="1030"/>
      <c r="C195" s="1030" t="s">
        <v>302</v>
      </c>
      <c r="D195" s="1031">
        <v>-67589782</v>
      </c>
      <c r="E195" s="1032">
        <v>-13.86</v>
      </c>
      <c r="F195" s="1030"/>
      <c r="G195" s="1030"/>
      <c r="H195" s="1030"/>
      <c r="I195" s="1031"/>
      <c r="J195" s="1032"/>
    </row>
    <row r="196" spans="1:10">
      <c r="A196" s="1030"/>
      <c r="B196" s="1030"/>
      <c r="C196" s="1030" t="s">
        <v>303</v>
      </c>
      <c r="D196" s="1031">
        <v>0</v>
      </c>
      <c r="E196" s="1032">
        <v>0</v>
      </c>
      <c r="F196" s="1030"/>
      <c r="G196" s="1030"/>
      <c r="H196" s="1030"/>
      <c r="I196" s="1031"/>
      <c r="J196" s="1032"/>
    </row>
    <row r="197" spans="1:10">
      <c r="A197" s="1030"/>
      <c r="B197" s="1030"/>
      <c r="C197" s="1030" t="s">
        <v>304</v>
      </c>
      <c r="D197" s="1031">
        <v>0</v>
      </c>
      <c r="E197" s="1032">
        <v>0</v>
      </c>
      <c r="F197" s="1030"/>
      <c r="G197" s="1030"/>
      <c r="H197" s="1030"/>
      <c r="I197" s="1031"/>
      <c r="J197" s="1032"/>
    </row>
    <row r="198" spans="1:10">
      <c r="A198" s="1030"/>
      <c r="B198" s="1030"/>
      <c r="C198" s="1030" t="s">
        <v>305</v>
      </c>
      <c r="D198" s="1031">
        <v>1921174</v>
      </c>
      <c r="E198" s="1032">
        <v>0.39</v>
      </c>
      <c r="F198" s="1030"/>
      <c r="G198" s="1030"/>
      <c r="H198" s="1030"/>
      <c r="I198" s="1031"/>
      <c r="J198" s="1032"/>
    </row>
    <row r="199" spans="1:10">
      <c r="A199" s="1030"/>
      <c r="B199" s="1030"/>
      <c r="C199" s="1030" t="s">
        <v>306</v>
      </c>
      <c r="D199" s="1031">
        <v>-1708933</v>
      </c>
      <c r="E199" s="1032">
        <v>-0.35</v>
      </c>
      <c r="F199" s="1030"/>
      <c r="G199" s="1030"/>
      <c r="H199" s="1030"/>
      <c r="I199" s="1031"/>
      <c r="J199" s="1032"/>
    </row>
    <row r="200" spans="1:10">
      <c r="A200" s="1030"/>
      <c r="B200" s="1030"/>
      <c r="C200" s="1030" t="s">
        <v>307</v>
      </c>
      <c r="D200" s="1031">
        <v>23141</v>
      </c>
      <c r="E200" s="1032">
        <v>0</v>
      </c>
      <c r="F200" s="1030"/>
      <c r="G200" s="1030"/>
      <c r="H200" s="1030"/>
      <c r="I200" s="1031"/>
      <c r="J200" s="1032"/>
    </row>
    <row r="201" spans="1:10">
      <c r="A201" s="1030"/>
      <c r="B201" s="1030"/>
      <c r="C201" s="1030" t="s">
        <v>308</v>
      </c>
      <c r="D201" s="1031">
        <v>-23141</v>
      </c>
      <c r="E201" s="1032">
        <v>0</v>
      </c>
      <c r="F201" s="1030"/>
      <c r="G201" s="1030"/>
      <c r="H201" s="1030"/>
      <c r="I201" s="1031"/>
      <c r="J201" s="1032"/>
    </row>
    <row r="202" spans="1:10">
      <c r="A202" s="1030"/>
      <c r="B202" s="1030"/>
      <c r="C202" s="1030" t="s">
        <v>309</v>
      </c>
      <c r="D202" s="1031">
        <v>737608</v>
      </c>
      <c r="E202" s="1032">
        <v>0.15</v>
      </c>
      <c r="F202" s="1030"/>
      <c r="G202" s="1030"/>
      <c r="H202" s="1030"/>
      <c r="I202" s="1031"/>
      <c r="J202" s="1032"/>
    </row>
    <row r="203" spans="1:10">
      <c r="A203" s="1030"/>
      <c r="B203" s="1030"/>
      <c r="C203" s="1030" t="s">
        <v>310</v>
      </c>
      <c r="D203" s="1031">
        <v>-672826</v>
      </c>
      <c r="E203" s="1032">
        <v>-0.14000000000000001</v>
      </c>
      <c r="F203" s="1030"/>
      <c r="G203" s="1030"/>
      <c r="H203" s="1030"/>
      <c r="I203" s="1031"/>
      <c r="J203" s="1032"/>
    </row>
    <row r="204" spans="1:10">
      <c r="A204" s="1030"/>
      <c r="B204" s="1030"/>
      <c r="C204" s="1030" t="s">
        <v>311</v>
      </c>
      <c r="D204" s="1031">
        <v>1211484</v>
      </c>
      <c r="E204" s="1032">
        <v>0.25</v>
      </c>
      <c r="F204" s="1030"/>
      <c r="G204" s="1030"/>
      <c r="H204" s="1030"/>
      <c r="I204" s="1031"/>
      <c r="J204" s="1032"/>
    </row>
    <row r="205" spans="1:10">
      <c r="A205" s="1030"/>
      <c r="B205" s="1030"/>
      <c r="C205" s="1030" t="s">
        <v>312</v>
      </c>
      <c r="D205" s="1031">
        <v>0</v>
      </c>
      <c r="E205" s="1032">
        <v>0</v>
      </c>
      <c r="F205" s="1030"/>
      <c r="G205" s="1030"/>
      <c r="H205" s="1030"/>
      <c r="I205" s="1031"/>
      <c r="J205" s="1032"/>
    </row>
    <row r="206" spans="1:10">
      <c r="A206" s="1030"/>
      <c r="B206" s="1127" t="s">
        <v>412</v>
      </c>
      <c r="C206" s="1030"/>
      <c r="D206" s="1128">
        <v>38562710</v>
      </c>
      <c r="E206" s="1129">
        <v>7.91</v>
      </c>
      <c r="F206" s="1030"/>
      <c r="G206" s="1030"/>
      <c r="H206" s="1030"/>
      <c r="I206" s="1031"/>
      <c r="J206" s="1032"/>
    </row>
    <row r="207" spans="1:10">
      <c r="A207" s="1030"/>
      <c r="B207" s="1030"/>
      <c r="C207" s="1030" t="s">
        <v>313</v>
      </c>
      <c r="D207" s="1031">
        <v>0</v>
      </c>
      <c r="E207" s="1032">
        <v>0</v>
      </c>
      <c r="F207" s="1030"/>
      <c r="G207" s="1030"/>
      <c r="H207" s="1030"/>
      <c r="I207" s="1031"/>
      <c r="J207" s="1032"/>
    </row>
    <row r="208" spans="1:10">
      <c r="A208" s="1030"/>
      <c r="B208" s="1127" t="s">
        <v>396</v>
      </c>
      <c r="C208" s="1030"/>
      <c r="D208" s="1031"/>
      <c r="E208" s="1032"/>
      <c r="F208" s="1030"/>
      <c r="G208" s="1030"/>
      <c r="H208" s="1030"/>
      <c r="I208" s="1031"/>
      <c r="J208" s="1032"/>
    </row>
    <row r="209" spans="1:10">
      <c r="A209" s="1030"/>
      <c r="B209" s="1030"/>
      <c r="C209" s="1030" t="s">
        <v>539</v>
      </c>
      <c r="D209" s="1031">
        <v>0</v>
      </c>
      <c r="E209" s="1032">
        <v>0</v>
      </c>
      <c r="F209" s="1030"/>
      <c r="G209" s="1030"/>
      <c r="H209" s="1030"/>
      <c r="I209" s="1031"/>
      <c r="J209" s="1032"/>
    </row>
    <row r="210" spans="1:10">
      <c r="A210" s="1030"/>
      <c r="B210" s="1030"/>
      <c r="C210" s="1030" t="s">
        <v>314</v>
      </c>
      <c r="D210" s="1031">
        <v>0</v>
      </c>
      <c r="E210" s="1032">
        <v>0</v>
      </c>
      <c r="F210" s="1030"/>
      <c r="G210" s="1030"/>
      <c r="H210" s="1030"/>
      <c r="I210" s="1031"/>
      <c r="J210" s="1032"/>
    </row>
    <row r="211" spans="1:10">
      <c r="A211" s="1030"/>
      <c r="B211" s="1127" t="s">
        <v>397</v>
      </c>
      <c r="C211" s="1030"/>
      <c r="D211" s="1128">
        <v>0</v>
      </c>
      <c r="E211" s="1129">
        <v>0</v>
      </c>
      <c r="F211" s="1030"/>
      <c r="G211" s="1030"/>
      <c r="H211" s="1030"/>
      <c r="I211" s="1031"/>
      <c r="J211" s="1032"/>
    </row>
    <row r="212" spans="1:10">
      <c r="A212" s="1030"/>
      <c r="B212" s="1127" t="s">
        <v>413</v>
      </c>
      <c r="C212" s="1030"/>
      <c r="D212" s="1031"/>
      <c r="E212" s="1032"/>
      <c r="F212" s="1030"/>
      <c r="G212" s="1030"/>
      <c r="H212" s="1030"/>
      <c r="I212" s="1031"/>
      <c r="J212" s="1032"/>
    </row>
    <row r="213" spans="1:10">
      <c r="A213" s="1030"/>
      <c r="B213" s="1030"/>
      <c r="C213" s="1030" t="s">
        <v>315</v>
      </c>
      <c r="D213" s="1031">
        <v>82500</v>
      </c>
      <c r="E213" s="1032">
        <v>0.02</v>
      </c>
      <c r="F213" s="1030"/>
      <c r="G213" s="1030"/>
      <c r="H213" s="1030"/>
      <c r="I213" s="1031"/>
      <c r="J213" s="1032"/>
    </row>
    <row r="214" spans="1:10">
      <c r="A214" s="1030"/>
      <c r="B214" s="1030"/>
      <c r="C214" s="1030" t="s">
        <v>316</v>
      </c>
      <c r="D214" s="1031">
        <v>1376465</v>
      </c>
      <c r="E214" s="1032">
        <v>0.28000000000000003</v>
      </c>
      <c r="F214" s="1030"/>
      <c r="G214" s="1030"/>
      <c r="H214" s="1030"/>
      <c r="I214" s="1031"/>
      <c r="J214" s="1032"/>
    </row>
    <row r="215" spans="1:10">
      <c r="A215" s="1030"/>
      <c r="B215" s="1030"/>
      <c r="C215" s="1030" t="s">
        <v>317</v>
      </c>
      <c r="D215" s="1031">
        <v>0</v>
      </c>
      <c r="E215" s="1032">
        <v>0</v>
      </c>
      <c r="F215" s="1030"/>
      <c r="G215" s="1030"/>
      <c r="H215" s="1030"/>
      <c r="I215" s="1031"/>
      <c r="J215" s="1032"/>
    </row>
    <row r="216" spans="1:10">
      <c r="A216" s="1030"/>
      <c r="B216" s="1030"/>
      <c r="C216" s="1030" t="s">
        <v>318</v>
      </c>
      <c r="D216" s="1031">
        <v>0</v>
      </c>
      <c r="E216" s="1032">
        <v>0</v>
      </c>
      <c r="F216" s="1030"/>
      <c r="G216" s="1030"/>
      <c r="H216" s="1030"/>
      <c r="I216" s="1031"/>
      <c r="J216" s="1032"/>
    </row>
    <row r="217" spans="1:10">
      <c r="A217" s="1030"/>
      <c r="B217" s="1030"/>
      <c r="C217" s="1030" t="s">
        <v>319</v>
      </c>
      <c r="D217" s="1031">
        <v>1376465</v>
      </c>
      <c r="E217" s="1032">
        <v>0.28000000000000003</v>
      </c>
      <c r="F217" s="1030"/>
      <c r="G217" s="1030"/>
      <c r="H217" s="1030"/>
      <c r="I217" s="1031"/>
      <c r="J217" s="1032"/>
    </row>
    <row r="218" spans="1:10">
      <c r="A218" s="1030"/>
      <c r="B218" s="1030"/>
      <c r="C218" s="1030" t="s">
        <v>320</v>
      </c>
      <c r="D218" s="1031">
        <v>0</v>
      </c>
      <c r="E218" s="1032">
        <v>0</v>
      </c>
      <c r="F218" s="1030"/>
      <c r="G218" s="1030"/>
      <c r="H218" s="1030"/>
      <c r="I218" s="1031"/>
      <c r="J218" s="1032"/>
    </row>
    <row r="219" spans="1:10">
      <c r="A219" s="1030"/>
      <c r="B219" s="1030"/>
      <c r="C219" s="1030" t="s">
        <v>321</v>
      </c>
      <c r="D219" s="1031">
        <v>0</v>
      </c>
      <c r="E219" s="1032">
        <v>0</v>
      </c>
      <c r="F219" s="1030"/>
      <c r="G219" s="1030"/>
      <c r="H219" s="1030"/>
      <c r="I219" s="1031"/>
      <c r="J219" s="1032"/>
    </row>
    <row r="220" spans="1:10">
      <c r="A220" s="1030"/>
      <c r="B220" s="1030"/>
      <c r="C220" s="1030" t="s">
        <v>322</v>
      </c>
      <c r="D220" s="1031">
        <v>0</v>
      </c>
      <c r="E220" s="1032">
        <v>0</v>
      </c>
      <c r="F220" s="1030"/>
      <c r="G220" s="1030"/>
      <c r="H220" s="1030"/>
      <c r="I220" s="1031"/>
      <c r="J220" s="1032"/>
    </row>
    <row r="221" spans="1:10">
      <c r="A221" s="1030"/>
      <c r="B221" s="1030"/>
      <c r="C221" s="1030" t="s">
        <v>323</v>
      </c>
      <c r="D221" s="1031">
        <v>0</v>
      </c>
      <c r="E221" s="1032">
        <v>0</v>
      </c>
      <c r="F221" s="1030"/>
      <c r="G221" s="1030"/>
      <c r="H221" s="1030"/>
      <c r="I221" s="1031"/>
      <c r="J221" s="1032"/>
    </row>
    <row r="222" spans="1:10">
      <c r="A222" s="1030"/>
      <c r="B222" s="1030"/>
      <c r="C222" s="1030" t="s">
        <v>324</v>
      </c>
      <c r="D222" s="1031">
        <v>4744466</v>
      </c>
      <c r="E222" s="1032">
        <v>0.97</v>
      </c>
      <c r="F222" s="1030"/>
      <c r="G222" s="1030"/>
      <c r="H222" s="1030"/>
      <c r="I222" s="1031"/>
      <c r="J222" s="1032"/>
    </row>
    <row r="223" spans="1:10">
      <c r="A223" s="1030"/>
      <c r="B223" s="1030"/>
      <c r="C223" s="1030" t="s">
        <v>325</v>
      </c>
      <c r="D223" s="1031">
        <v>0</v>
      </c>
      <c r="E223" s="1032">
        <v>0</v>
      </c>
      <c r="F223" s="1030"/>
      <c r="G223" s="1030"/>
      <c r="H223" s="1030"/>
      <c r="I223" s="1031"/>
      <c r="J223" s="1032"/>
    </row>
    <row r="224" spans="1:10">
      <c r="A224" s="1030"/>
      <c r="B224" s="1030"/>
      <c r="C224" s="1030" t="s">
        <v>326</v>
      </c>
      <c r="D224" s="1031">
        <v>0</v>
      </c>
      <c r="E224" s="1032">
        <v>0</v>
      </c>
      <c r="F224" s="1030"/>
      <c r="G224" s="1030"/>
      <c r="H224" s="1030"/>
      <c r="I224" s="1031"/>
      <c r="J224" s="1032"/>
    </row>
    <row r="225" spans="1:10">
      <c r="A225" s="1030"/>
      <c r="B225" s="1030"/>
      <c r="C225" s="1030" t="s">
        <v>327</v>
      </c>
      <c r="D225" s="1031">
        <v>0</v>
      </c>
      <c r="E225" s="1032">
        <v>0</v>
      </c>
      <c r="F225" s="1030"/>
      <c r="G225" s="1030"/>
      <c r="H225" s="1030"/>
      <c r="I225" s="1031"/>
      <c r="J225" s="1032"/>
    </row>
    <row r="226" spans="1:10">
      <c r="A226" s="1030"/>
      <c r="B226" s="1030"/>
      <c r="C226" s="1030" t="s">
        <v>328</v>
      </c>
      <c r="D226" s="1031">
        <v>0</v>
      </c>
      <c r="E226" s="1032">
        <v>0</v>
      </c>
      <c r="F226" s="1030"/>
      <c r="G226" s="1030"/>
      <c r="H226" s="1030"/>
      <c r="I226" s="1031"/>
      <c r="J226" s="1032"/>
    </row>
    <row r="227" spans="1:10">
      <c r="A227" s="1030"/>
      <c r="B227" s="1030"/>
      <c r="C227" s="1030" t="s">
        <v>329</v>
      </c>
      <c r="D227" s="1031">
        <v>0</v>
      </c>
      <c r="E227" s="1032">
        <v>0</v>
      </c>
      <c r="F227" s="1030"/>
      <c r="G227" s="1030"/>
      <c r="H227" s="1030"/>
      <c r="I227" s="1031"/>
      <c r="J227" s="1032"/>
    </row>
    <row r="228" spans="1:10">
      <c r="A228" s="1030"/>
      <c r="B228" s="1127" t="s">
        <v>414</v>
      </c>
      <c r="C228" s="1030"/>
      <c r="D228" s="1128">
        <v>6203431</v>
      </c>
      <c r="E228" s="1129">
        <v>1.27</v>
      </c>
      <c r="F228" s="1030"/>
      <c r="G228" s="1030"/>
      <c r="H228" s="1030"/>
      <c r="I228" s="1031"/>
      <c r="J228" s="1032"/>
    </row>
    <row r="229" spans="1:10">
      <c r="A229" s="1030"/>
      <c r="B229" s="1127" t="s">
        <v>330</v>
      </c>
      <c r="C229" s="1030"/>
      <c r="D229" s="1031"/>
      <c r="E229" s="1032"/>
      <c r="F229" s="1030"/>
      <c r="G229" s="1030"/>
      <c r="H229" s="1030"/>
      <c r="I229" s="1031"/>
      <c r="J229" s="1032"/>
    </row>
    <row r="230" spans="1:10">
      <c r="A230" s="1030"/>
      <c r="B230" s="1030"/>
      <c r="C230" s="1030" t="s">
        <v>331</v>
      </c>
      <c r="D230" s="1031">
        <v>0</v>
      </c>
      <c r="E230" s="1032">
        <v>0</v>
      </c>
      <c r="F230" s="1030"/>
      <c r="G230" s="1030"/>
      <c r="H230" s="1030"/>
      <c r="I230" s="1031"/>
      <c r="J230" s="1032"/>
    </row>
    <row r="231" spans="1:10">
      <c r="A231" s="1030"/>
      <c r="B231" s="1030"/>
      <c r="C231" s="1030" t="s">
        <v>332</v>
      </c>
      <c r="D231" s="1031">
        <v>0</v>
      </c>
      <c r="E231" s="1032">
        <v>0</v>
      </c>
      <c r="F231" s="1030"/>
      <c r="G231" s="1030"/>
      <c r="H231" s="1030"/>
      <c r="I231" s="1031"/>
      <c r="J231" s="1032"/>
    </row>
    <row r="232" spans="1:10">
      <c r="A232" s="1030"/>
      <c r="B232" s="1127" t="s">
        <v>330</v>
      </c>
      <c r="C232" s="1030"/>
      <c r="D232" s="1128">
        <v>0</v>
      </c>
      <c r="E232" s="1129">
        <v>0</v>
      </c>
      <c r="F232" s="1030"/>
      <c r="G232" s="1030"/>
      <c r="H232" s="1030"/>
      <c r="I232" s="1031"/>
      <c r="J232" s="1032"/>
    </row>
    <row r="233" spans="1:10">
      <c r="A233" s="1030"/>
      <c r="B233" s="1030"/>
      <c r="C233" s="1030"/>
      <c r="D233" s="1031"/>
      <c r="E233" s="1032"/>
      <c r="F233" s="1030"/>
      <c r="G233" s="1030"/>
      <c r="H233" s="1030"/>
      <c r="I233" s="1031"/>
      <c r="J233" s="1032"/>
    </row>
    <row r="234" spans="1:10">
      <c r="A234" s="1030"/>
      <c r="B234" s="1030"/>
      <c r="C234" s="1030"/>
      <c r="D234" s="1031"/>
      <c r="E234" s="1032"/>
      <c r="F234" s="1030"/>
      <c r="G234" s="1030"/>
      <c r="H234" s="1030"/>
      <c r="I234" s="1031"/>
      <c r="J234" s="1032"/>
    </row>
    <row r="235" spans="1:10">
      <c r="A235" s="1030"/>
      <c r="B235" s="1030"/>
      <c r="C235" s="1030"/>
      <c r="D235" s="1031"/>
      <c r="E235" s="1032"/>
      <c r="F235" s="1030"/>
      <c r="G235" s="1030"/>
      <c r="H235" s="1030"/>
      <c r="I235" s="1031"/>
      <c r="J235" s="1032"/>
    </row>
    <row r="236" spans="1:10">
      <c r="A236" s="1127" t="s">
        <v>415</v>
      </c>
      <c r="B236" s="1030"/>
      <c r="C236" s="1030"/>
      <c r="D236" s="1128">
        <v>487616687.36000001</v>
      </c>
      <c r="E236" s="1129">
        <v>100</v>
      </c>
      <c r="F236" s="1127" t="s">
        <v>333</v>
      </c>
      <c r="G236" s="1030"/>
      <c r="H236" s="1030"/>
      <c r="I236" s="1128">
        <v>487616687.36000001</v>
      </c>
      <c r="J236" s="1129">
        <v>100</v>
      </c>
    </row>
    <row r="237" spans="1:10">
      <c r="A237" s="1030"/>
      <c r="B237" s="1030"/>
      <c r="C237" s="1030"/>
      <c r="D237" s="1031"/>
      <c r="E237" s="1032"/>
      <c r="F237" s="1030"/>
      <c r="G237" s="1030"/>
      <c r="H237" s="1030"/>
      <c r="I237" s="1031"/>
      <c r="J237" s="1032"/>
    </row>
    <row r="238" spans="1:10">
      <c r="A238" s="1030"/>
      <c r="B238" s="1030"/>
      <c r="C238" s="1030"/>
      <c r="D238" s="1031"/>
      <c r="E238" s="1032"/>
      <c r="F238" s="1030"/>
      <c r="G238" s="1030"/>
      <c r="H238" s="1030"/>
      <c r="I238" s="1031"/>
      <c r="J238" s="1032"/>
    </row>
    <row r="239" spans="1:10">
      <c r="A239" s="1030"/>
      <c r="B239" s="1030"/>
      <c r="C239" s="1030"/>
      <c r="D239" s="1031"/>
      <c r="E239" s="1032"/>
      <c r="F239" s="1030"/>
      <c r="G239" s="1030"/>
      <c r="H239" s="1030"/>
      <c r="I239" s="1031"/>
      <c r="J239" s="1032"/>
    </row>
    <row r="240" spans="1:10">
      <c r="A240" s="1030"/>
      <c r="B240" s="1030"/>
      <c r="C240" s="1030"/>
      <c r="D240" s="1031"/>
      <c r="E240" s="1032"/>
      <c r="F240" s="1030"/>
      <c r="G240" s="1030"/>
      <c r="H240" s="1030"/>
      <c r="I240" s="1031"/>
      <c r="J240" s="1032"/>
    </row>
    <row r="241" spans="1:10">
      <c r="A241" s="1030"/>
      <c r="B241" s="1030"/>
      <c r="C241" s="1030"/>
      <c r="D241" s="1031"/>
      <c r="E241" s="1032"/>
      <c r="F241" s="1030"/>
      <c r="G241" s="1030"/>
      <c r="H241" s="1030"/>
      <c r="I241" s="1031"/>
      <c r="J241" s="1032"/>
    </row>
    <row r="242" spans="1:10">
      <c r="A242" s="1030"/>
      <c r="B242" s="1030"/>
      <c r="C242" s="1030"/>
      <c r="D242" s="1031"/>
      <c r="E242" s="1032"/>
      <c r="F242" s="1030"/>
      <c r="G242" s="1030"/>
      <c r="H242" s="1030"/>
      <c r="I242" s="1031"/>
      <c r="J242" s="1032"/>
    </row>
    <row r="243" spans="1:10">
      <c r="A243" s="1030"/>
      <c r="B243" s="1030"/>
      <c r="C243" s="1030"/>
      <c r="D243" s="1031"/>
      <c r="E243" s="1032"/>
      <c r="F243" s="1030"/>
      <c r="G243" s="1030"/>
      <c r="H243" s="1030"/>
      <c r="I243" s="1031"/>
      <c r="J243" s="1032"/>
    </row>
    <row r="244" spans="1:10">
      <c r="A244" s="1030"/>
      <c r="B244" s="1030"/>
      <c r="C244" s="1030"/>
      <c r="D244" s="1031"/>
      <c r="E244" s="1032"/>
      <c r="F244" s="1030"/>
      <c r="G244" s="1030"/>
      <c r="H244" s="1030"/>
      <c r="I244" s="1031"/>
      <c r="J244" s="1032"/>
    </row>
    <row r="245" spans="1:10">
      <c r="A245" s="1030"/>
      <c r="B245" s="1030"/>
      <c r="C245" s="1030"/>
      <c r="D245" s="1031"/>
      <c r="E245" s="1032"/>
      <c r="F245" s="1030"/>
      <c r="G245" s="1030"/>
      <c r="H245" s="1030"/>
      <c r="I245" s="1031"/>
      <c r="J245" s="1032"/>
    </row>
    <row r="246" spans="1:10">
      <c r="A246" s="1030"/>
      <c r="B246" s="1030"/>
      <c r="C246" s="1030"/>
      <c r="D246" s="1031"/>
      <c r="E246" s="1032"/>
      <c r="F246" s="1030"/>
      <c r="G246" s="1030"/>
      <c r="H246" s="1030"/>
      <c r="I246" s="1031"/>
      <c r="J246" s="1032"/>
    </row>
    <row r="247" spans="1:10">
      <c r="A247" s="1030"/>
      <c r="B247" s="1030"/>
      <c r="C247" s="1030"/>
      <c r="D247" s="1031"/>
      <c r="E247" s="1032"/>
      <c r="F247" s="1030"/>
      <c r="G247" s="1030"/>
      <c r="H247" s="1030"/>
      <c r="I247" s="1031"/>
      <c r="J247" s="1032"/>
    </row>
    <row r="248" spans="1:10">
      <c r="A248" s="1030"/>
      <c r="B248" s="1030"/>
      <c r="C248" s="1030"/>
      <c r="D248" s="1031"/>
      <c r="E248" s="1032"/>
      <c r="F248" s="1030"/>
      <c r="G248" s="1030"/>
      <c r="H248" s="1030"/>
      <c r="I248" s="1031"/>
      <c r="J248" s="1032"/>
    </row>
    <row r="249" spans="1:10">
      <c r="A249" s="1030"/>
      <c r="B249" s="1030"/>
      <c r="C249" s="1030"/>
      <c r="D249" s="1031"/>
      <c r="E249" s="1032"/>
      <c r="F249" s="1030"/>
      <c r="G249" s="1030"/>
      <c r="H249" s="1030"/>
      <c r="I249" s="1031"/>
      <c r="J249" s="1032"/>
    </row>
    <row r="250" spans="1:10">
      <c r="A250" s="1030"/>
      <c r="B250" s="1030"/>
      <c r="C250" s="1030"/>
      <c r="D250" s="1031"/>
      <c r="E250" s="1032"/>
      <c r="F250" s="1030"/>
      <c r="G250" s="1030"/>
      <c r="H250" s="1030"/>
      <c r="I250" s="1031"/>
      <c r="J250" s="1032"/>
    </row>
    <row r="251" spans="1:10">
      <c r="A251" s="1030"/>
      <c r="B251" s="1030"/>
      <c r="C251" s="1030"/>
      <c r="D251" s="1031"/>
      <c r="E251" s="1032"/>
      <c r="F251" s="1030"/>
      <c r="G251" s="1030"/>
      <c r="H251" s="1030"/>
      <c r="I251" s="1031"/>
      <c r="J251" s="1032"/>
    </row>
    <row r="252" spans="1:10">
      <c r="A252" s="1030"/>
      <c r="B252" s="1030"/>
      <c r="C252" s="1030"/>
      <c r="D252" s="1031"/>
      <c r="E252" s="1032"/>
      <c r="F252" s="1030"/>
      <c r="G252" s="1030"/>
      <c r="H252" s="1030"/>
      <c r="I252" s="1031"/>
      <c r="J252" s="1032"/>
    </row>
    <row r="253" spans="1:10">
      <c r="A253" s="1030"/>
      <c r="B253" s="1030"/>
      <c r="C253" s="1030"/>
      <c r="D253" s="1031"/>
      <c r="E253" s="1032"/>
      <c r="F253" s="1030"/>
      <c r="G253" s="1030"/>
      <c r="H253" s="1030"/>
      <c r="I253" s="1031"/>
      <c r="J253" s="1032"/>
    </row>
    <row r="254" spans="1:10">
      <c r="A254" s="1030"/>
      <c r="B254" s="1030"/>
      <c r="C254" s="1030"/>
      <c r="D254" s="1031"/>
      <c r="E254" s="1032"/>
      <c r="F254" s="1030"/>
      <c r="G254" s="1030"/>
      <c r="H254" s="1030"/>
      <c r="I254" s="1031"/>
      <c r="J254" s="1032"/>
    </row>
    <row r="255" spans="1:10">
      <c r="A255" s="1030"/>
      <c r="B255" s="1030"/>
      <c r="C255" s="1030"/>
      <c r="D255" s="1031"/>
      <c r="E255" s="1032"/>
      <c r="F255" s="1030"/>
      <c r="G255" s="1030"/>
      <c r="H255" s="1030"/>
      <c r="I255" s="1031"/>
      <c r="J255" s="1032"/>
    </row>
    <row r="256" spans="1:10">
      <c r="A256" s="1030"/>
      <c r="B256" s="1030"/>
      <c r="C256" s="1030"/>
      <c r="D256" s="1031"/>
      <c r="E256" s="1032"/>
      <c r="F256" s="1030"/>
      <c r="G256" s="1030"/>
      <c r="H256" s="1030"/>
      <c r="I256" s="1031"/>
      <c r="J256" s="1032"/>
    </row>
    <row r="257" spans="1:10">
      <c r="A257" s="1030"/>
      <c r="B257" s="1030"/>
      <c r="C257" s="1030"/>
      <c r="D257" s="1031"/>
      <c r="E257" s="1032"/>
      <c r="F257" s="1030"/>
      <c r="G257" s="1030"/>
      <c r="H257" s="1030"/>
      <c r="I257" s="1031"/>
      <c r="J257" s="1032"/>
    </row>
    <row r="258" spans="1:10">
      <c r="A258" s="1030"/>
      <c r="B258" s="1030"/>
      <c r="C258" s="1030"/>
      <c r="D258" s="1031"/>
      <c r="E258" s="1032"/>
      <c r="F258" s="1030"/>
      <c r="G258" s="1030"/>
      <c r="H258" s="1030"/>
      <c r="I258" s="1031"/>
      <c r="J258" s="1032"/>
    </row>
    <row r="259" spans="1:10">
      <c r="A259" s="1030"/>
      <c r="B259" s="1030"/>
      <c r="C259" s="1030"/>
      <c r="D259" s="1031"/>
      <c r="E259" s="1032"/>
      <c r="F259" s="1030"/>
      <c r="G259" s="1030"/>
      <c r="H259" s="1030"/>
      <c r="I259" s="1031"/>
      <c r="J259" s="1032"/>
    </row>
    <row r="260" spans="1:10">
      <c r="A260" s="1030"/>
      <c r="B260" s="1030"/>
      <c r="C260" s="1030"/>
      <c r="D260" s="1031"/>
      <c r="E260" s="1032"/>
      <c r="F260" s="1030"/>
      <c r="G260" s="1030"/>
      <c r="H260" s="1030"/>
      <c r="I260" s="1031"/>
      <c r="J260" s="1032"/>
    </row>
    <row r="261" spans="1:10">
      <c r="A261" s="1030"/>
      <c r="B261" s="1030"/>
      <c r="C261" s="1030"/>
      <c r="D261" s="1031"/>
      <c r="E261" s="1032"/>
      <c r="F261" s="1030"/>
      <c r="G261" s="1030"/>
      <c r="H261" s="1030"/>
      <c r="I261" s="1031"/>
      <c r="J261" s="1032"/>
    </row>
    <row r="262" spans="1:10">
      <c r="A262" s="1030"/>
      <c r="B262" s="1030"/>
      <c r="C262" s="1030"/>
      <c r="D262" s="1031"/>
      <c r="E262" s="1032"/>
      <c r="F262" s="1030"/>
      <c r="G262" s="1030"/>
      <c r="H262" s="1030"/>
      <c r="I262" s="1031"/>
      <c r="J262" s="1032"/>
    </row>
    <row r="263" spans="1:10">
      <c r="A263" s="1030"/>
      <c r="B263" s="1030"/>
      <c r="C263" s="1030"/>
      <c r="D263" s="1031"/>
      <c r="E263" s="1032"/>
      <c r="F263" s="1030"/>
      <c r="G263" s="1030"/>
      <c r="H263" s="1030"/>
      <c r="I263" s="1031"/>
      <c r="J263" s="1032"/>
    </row>
    <row r="264" spans="1:10">
      <c r="A264" s="1030"/>
      <c r="B264" s="1030"/>
      <c r="C264" s="1030"/>
      <c r="D264" s="1031"/>
      <c r="E264" s="1032"/>
      <c r="F264" s="1030"/>
      <c r="G264" s="1030"/>
      <c r="H264" s="1030"/>
      <c r="I264" s="1031"/>
      <c r="J264" s="1032"/>
    </row>
    <row r="265" spans="1:10">
      <c r="A265" s="1030"/>
      <c r="B265" s="1030"/>
      <c r="C265" s="1030"/>
      <c r="D265" s="1031"/>
      <c r="E265" s="1032"/>
      <c r="F265" s="1030"/>
      <c r="G265" s="1030"/>
      <c r="H265" s="1030"/>
      <c r="I265" s="1031"/>
      <c r="J265" s="1032"/>
    </row>
    <row r="266" spans="1:10">
      <c r="A266" s="1030"/>
      <c r="B266" s="1030"/>
      <c r="C266" s="1030"/>
      <c r="D266" s="1031"/>
      <c r="E266" s="1032"/>
      <c r="F266" s="1030"/>
      <c r="G266" s="1030"/>
      <c r="H266" s="1030"/>
      <c r="I266" s="1031"/>
      <c r="J266" s="1032"/>
    </row>
    <row r="267" spans="1:10">
      <c r="A267" s="1030"/>
      <c r="B267" s="1030"/>
      <c r="C267" s="1030"/>
      <c r="D267" s="1031"/>
      <c r="E267" s="1032"/>
      <c r="F267" s="1030"/>
      <c r="G267" s="1030"/>
      <c r="H267" s="1030"/>
      <c r="I267" s="1031"/>
      <c r="J267" s="1032"/>
    </row>
    <row r="268" spans="1:10">
      <c r="A268" s="1030"/>
      <c r="B268" s="1030"/>
      <c r="C268" s="1030"/>
      <c r="D268" s="1031"/>
      <c r="E268" s="1032"/>
      <c r="F268" s="1030"/>
      <c r="G268" s="1030"/>
      <c r="H268" s="1030"/>
      <c r="I268" s="1031"/>
      <c r="J268" s="1032"/>
    </row>
    <row r="269" spans="1:10">
      <c r="A269" s="1030"/>
      <c r="B269" s="1030"/>
      <c r="C269" s="1030"/>
      <c r="D269" s="1031"/>
      <c r="E269" s="1032"/>
      <c r="F269" s="1030"/>
      <c r="G269" s="1030"/>
      <c r="H269" s="1030"/>
      <c r="I269" s="1031"/>
      <c r="J269" s="1032"/>
    </row>
    <row r="270" spans="1:10">
      <c r="A270" s="1030"/>
      <c r="B270" s="1030"/>
      <c r="C270" s="1030"/>
      <c r="D270" s="1031"/>
      <c r="E270" s="1032"/>
      <c r="F270" s="1030"/>
      <c r="G270" s="1030"/>
      <c r="H270" s="1030"/>
      <c r="I270" s="1031"/>
      <c r="J270" s="1032"/>
    </row>
    <row r="271" spans="1:10">
      <c r="A271" s="1030"/>
      <c r="B271" s="1030"/>
      <c r="C271" s="1030"/>
      <c r="D271" s="1031"/>
      <c r="E271" s="1032"/>
      <c r="F271" s="1030"/>
      <c r="G271" s="1030"/>
      <c r="H271" s="1030"/>
      <c r="I271" s="1031"/>
      <c r="J271" s="1032"/>
    </row>
    <row r="272" spans="1:10">
      <c r="A272" s="1030"/>
      <c r="B272" s="1030"/>
      <c r="C272" s="1030"/>
      <c r="D272" s="1031"/>
      <c r="E272" s="1032"/>
      <c r="F272" s="1030"/>
      <c r="G272" s="1030"/>
      <c r="H272" s="1030"/>
      <c r="I272" s="1031"/>
      <c r="J272" s="1032"/>
    </row>
    <row r="273" spans="1:10">
      <c r="A273" s="1030"/>
      <c r="B273" s="1030"/>
      <c r="C273" s="1030"/>
      <c r="D273" s="1031"/>
      <c r="E273" s="1032"/>
      <c r="F273" s="1030"/>
      <c r="G273" s="1030"/>
      <c r="H273" s="1030"/>
      <c r="I273" s="1031"/>
      <c r="J273" s="1032"/>
    </row>
    <row r="274" spans="1:10">
      <c r="A274" s="1030"/>
      <c r="B274" s="1030"/>
      <c r="C274" s="1030"/>
      <c r="D274" s="1031"/>
      <c r="E274" s="1032"/>
      <c r="F274" s="1030"/>
      <c r="G274" s="1030"/>
      <c r="H274" s="1030"/>
      <c r="I274" s="1031"/>
      <c r="J274" s="1032"/>
    </row>
    <row r="275" spans="1:10">
      <c r="A275" s="1030"/>
      <c r="B275" s="1030"/>
      <c r="C275" s="1030"/>
      <c r="D275" s="1031"/>
      <c r="E275" s="1032"/>
      <c r="F275" s="1030"/>
      <c r="G275" s="1030"/>
      <c r="H275" s="1030"/>
      <c r="I275" s="1031"/>
      <c r="J275" s="1032"/>
    </row>
    <row r="276" spans="1:10">
      <c r="A276" s="1030"/>
      <c r="B276" s="1030"/>
      <c r="C276" s="1030"/>
      <c r="D276" s="1031"/>
      <c r="E276" s="1032"/>
      <c r="F276" s="1030"/>
      <c r="G276" s="1030"/>
      <c r="H276" s="1030"/>
      <c r="I276" s="1031"/>
      <c r="J276" s="1032"/>
    </row>
    <row r="277" spans="1:10">
      <c r="A277" s="1030"/>
      <c r="B277" s="1030"/>
      <c r="C277" s="1030"/>
      <c r="D277" s="1031"/>
      <c r="E277" s="1032"/>
      <c r="F277" s="1030"/>
      <c r="G277" s="1030"/>
      <c r="H277" s="1030"/>
      <c r="I277" s="1031"/>
      <c r="J277" s="1032"/>
    </row>
    <row r="278" spans="1:10">
      <c r="A278" s="1030"/>
      <c r="B278" s="1030"/>
      <c r="C278" s="1030"/>
      <c r="D278" s="1031"/>
      <c r="E278" s="1032"/>
      <c r="F278" s="1030"/>
      <c r="G278" s="1030"/>
      <c r="H278" s="1030"/>
      <c r="I278" s="1031"/>
      <c r="J278" s="1032"/>
    </row>
    <row r="279" spans="1:10">
      <c r="A279" s="1030"/>
      <c r="B279" s="1030"/>
      <c r="C279" s="1030"/>
      <c r="D279" s="1031"/>
      <c r="E279" s="1032"/>
      <c r="F279" s="1030"/>
      <c r="G279" s="1030"/>
      <c r="H279" s="1030"/>
      <c r="I279" s="1031"/>
      <c r="J279" s="1032"/>
    </row>
    <row r="280" spans="1:10">
      <c r="A280" s="1030"/>
      <c r="B280" s="1030"/>
      <c r="C280" s="1030"/>
      <c r="D280" s="1031"/>
      <c r="E280" s="1032"/>
      <c r="F280" s="1030"/>
      <c r="G280" s="1030"/>
      <c r="H280" s="1030"/>
      <c r="I280" s="1031"/>
      <c r="J280" s="1032"/>
    </row>
    <row r="281" spans="1:10">
      <c r="A281" s="1030"/>
      <c r="B281" s="1030"/>
      <c r="C281" s="1030"/>
      <c r="D281" s="1031"/>
      <c r="E281" s="1032"/>
      <c r="F281" s="1030"/>
      <c r="G281" s="1030"/>
      <c r="H281" s="1030"/>
      <c r="I281" s="1031"/>
      <c r="J281" s="1032"/>
    </row>
    <row r="282" spans="1:10">
      <c r="A282" s="1030"/>
      <c r="B282" s="1030"/>
      <c r="C282" s="1030"/>
      <c r="D282" s="1031"/>
      <c r="E282" s="1032"/>
      <c r="F282" s="1030"/>
      <c r="G282" s="1030"/>
      <c r="H282" s="1030"/>
      <c r="I282" s="1031"/>
      <c r="J282" s="1032"/>
    </row>
    <row r="283" spans="1:10">
      <c r="A283" s="1030"/>
      <c r="B283" s="1030"/>
      <c r="C283" s="1030"/>
      <c r="D283" s="1031"/>
      <c r="E283" s="1032"/>
      <c r="F283" s="1030"/>
      <c r="G283" s="1030"/>
      <c r="H283" s="1030"/>
      <c r="I283" s="1031"/>
      <c r="J283" s="1032"/>
    </row>
    <row r="284" spans="1:10">
      <c r="A284" s="1030"/>
      <c r="B284" s="1030"/>
      <c r="C284" s="1030"/>
      <c r="D284" s="1031"/>
      <c r="E284" s="1032"/>
      <c r="F284" s="1030"/>
      <c r="G284" s="1030"/>
      <c r="H284" s="1030"/>
      <c r="I284" s="1031"/>
      <c r="J284" s="1032"/>
    </row>
    <row r="285" spans="1:10">
      <c r="A285" s="1030"/>
      <c r="B285" s="1030"/>
      <c r="C285" s="1030"/>
      <c r="D285" s="1031"/>
      <c r="E285" s="1032"/>
      <c r="F285" s="1030"/>
      <c r="G285" s="1030"/>
      <c r="H285" s="1030"/>
      <c r="I285" s="1031"/>
      <c r="J285" s="1032"/>
    </row>
    <row r="286" spans="1:10">
      <c r="A286" s="1030"/>
      <c r="B286" s="1030"/>
      <c r="C286" s="1030"/>
      <c r="D286" s="1031"/>
      <c r="E286" s="1032"/>
      <c r="F286" s="1030"/>
      <c r="G286" s="1030"/>
      <c r="H286" s="1030"/>
      <c r="I286" s="1031"/>
      <c r="J286" s="1032"/>
    </row>
    <row r="287" spans="1:10">
      <c r="A287" s="1030"/>
      <c r="B287" s="1030"/>
      <c r="C287" s="1030"/>
      <c r="D287" s="1031"/>
      <c r="E287" s="1032"/>
      <c r="F287" s="1030"/>
      <c r="G287" s="1030"/>
      <c r="H287" s="1030"/>
      <c r="I287" s="1031"/>
      <c r="J287" s="1032"/>
    </row>
    <row r="288" spans="1:10">
      <c r="A288" s="1030"/>
      <c r="B288" s="1030"/>
      <c r="C288" s="1030"/>
      <c r="D288" s="1031"/>
      <c r="E288" s="1032"/>
      <c r="F288" s="1030"/>
      <c r="G288" s="1030"/>
      <c r="H288" s="1030"/>
      <c r="I288" s="1031"/>
      <c r="J288" s="1032"/>
    </row>
    <row r="289" spans="1:10">
      <c r="A289" s="1030"/>
      <c r="B289" s="1030"/>
      <c r="C289" s="1030"/>
      <c r="D289" s="1031"/>
      <c r="E289" s="1032"/>
      <c r="F289" s="1030"/>
      <c r="G289" s="1030"/>
      <c r="H289" s="1030"/>
      <c r="I289" s="1031"/>
      <c r="J289" s="1032"/>
    </row>
    <row r="290" spans="1:10">
      <c r="A290" s="1030"/>
      <c r="B290" s="1030"/>
      <c r="C290" s="1030"/>
      <c r="D290" s="1031"/>
      <c r="E290" s="1032"/>
      <c r="F290" s="1030"/>
      <c r="G290" s="1030"/>
      <c r="H290" s="1030"/>
      <c r="I290" s="1031"/>
      <c r="J290" s="1032"/>
    </row>
    <row r="291" spans="1:10">
      <c r="A291" s="1030"/>
      <c r="B291" s="1030"/>
      <c r="C291" s="1030"/>
      <c r="D291" s="1031"/>
      <c r="E291" s="1032"/>
      <c r="F291" s="1030"/>
      <c r="G291" s="1030"/>
      <c r="H291" s="1030"/>
      <c r="I291" s="1031"/>
      <c r="J291" s="1032"/>
    </row>
    <row r="292" spans="1:10">
      <c r="A292" s="1030"/>
      <c r="B292" s="1030"/>
      <c r="C292" s="1030"/>
      <c r="D292" s="1031"/>
      <c r="E292" s="1032"/>
      <c r="F292" s="1030"/>
      <c r="G292" s="1030"/>
      <c r="H292" s="1030"/>
      <c r="I292" s="1031"/>
      <c r="J292" s="1032"/>
    </row>
    <row r="293" spans="1:10">
      <c r="A293" s="1030"/>
      <c r="B293" s="1030"/>
      <c r="C293" s="1030"/>
      <c r="D293" s="1031"/>
      <c r="E293" s="1032"/>
      <c r="F293" s="1030"/>
      <c r="G293" s="1030"/>
      <c r="H293" s="1030"/>
      <c r="I293" s="1031"/>
      <c r="J293" s="1032"/>
    </row>
    <row r="294" spans="1:10">
      <c r="A294" s="1030"/>
      <c r="B294" s="1030"/>
      <c r="C294" s="1030"/>
      <c r="D294" s="1031"/>
      <c r="E294" s="1032"/>
      <c r="F294" s="1030"/>
      <c r="G294" s="1030"/>
      <c r="H294" s="1030"/>
      <c r="I294" s="1031"/>
      <c r="J294" s="1032"/>
    </row>
    <row r="295" spans="1:10">
      <c r="A295" s="1030"/>
      <c r="B295" s="1030"/>
      <c r="C295" s="1030"/>
      <c r="D295" s="1031"/>
      <c r="E295" s="1032"/>
      <c r="F295" s="1030"/>
      <c r="G295" s="1030"/>
      <c r="H295" s="1030"/>
      <c r="I295" s="1031"/>
      <c r="J295" s="1032"/>
    </row>
    <row r="296" spans="1:10">
      <c r="A296" s="1030"/>
      <c r="B296" s="1030"/>
      <c r="C296" s="1030"/>
      <c r="D296" s="1031"/>
      <c r="E296" s="1032"/>
      <c r="F296" s="1030"/>
      <c r="G296" s="1030"/>
      <c r="H296" s="1030"/>
      <c r="I296" s="1031"/>
      <c r="J296" s="1032"/>
    </row>
    <row r="297" spans="1:10">
      <c r="A297" s="1030"/>
      <c r="B297" s="1030"/>
      <c r="C297" s="1030"/>
      <c r="D297" s="1031"/>
      <c r="E297" s="1032"/>
      <c r="F297" s="1030"/>
      <c r="G297" s="1030"/>
      <c r="H297" s="1030"/>
      <c r="I297" s="1031"/>
      <c r="J297" s="1032"/>
    </row>
    <row r="298" spans="1:10">
      <c r="A298" s="1030"/>
      <c r="B298" s="1030"/>
      <c r="C298" s="1030"/>
      <c r="D298" s="1031"/>
      <c r="E298" s="1032"/>
      <c r="F298" s="1030"/>
      <c r="G298" s="1030"/>
      <c r="H298" s="1030"/>
      <c r="I298" s="1031"/>
      <c r="J298" s="1032"/>
    </row>
    <row r="299" spans="1:10">
      <c r="A299" s="1030"/>
      <c r="B299" s="1030"/>
      <c r="C299" s="1030"/>
      <c r="D299" s="1031"/>
      <c r="E299" s="1032"/>
      <c r="F299" s="1030"/>
      <c r="G299" s="1030"/>
      <c r="H299" s="1030"/>
      <c r="I299" s="1031"/>
      <c r="J299" s="1032"/>
    </row>
    <row r="300" spans="1:10">
      <c r="A300" s="1030"/>
      <c r="B300" s="1030"/>
      <c r="C300" s="1030"/>
      <c r="D300" s="1031"/>
      <c r="E300" s="1032"/>
      <c r="F300" s="1030"/>
      <c r="G300" s="1030"/>
      <c r="H300" s="1030"/>
      <c r="I300" s="1031"/>
      <c r="J300" s="1032"/>
    </row>
    <row r="301" spans="1:10">
      <c r="A301" s="1030"/>
      <c r="B301" s="1030"/>
      <c r="C301" s="1030"/>
      <c r="D301" s="1031"/>
      <c r="E301" s="1032"/>
      <c r="F301" s="1030"/>
      <c r="G301" s="1030"/>
      <c r="H301" s="1030"/>
      <c r="I301" s="1031"/>
      <c r="J301" s="1032"/>
    </row>
    <row r="302" spans="1:10">
      <c r="A302" s="1030"/>
      <c r="B302" s="1030"/>
      <c r="C302" s="1030"/>
      <c r="D302" s="1031"/>
      <c r="E302" s="1032"/>
      <c r="F302" s="1030"/>
      <c r="G302" s="1030"/>
      <c r="H302" s="1030"/>
      <c r="I302" s="1031"/>
      <c r="J302" s="1032"/>
    </row>
    <row r="303" spans="1:10">
      <c r="A303" s="1030"/>
      <c r="B303" s="1030"/>
      <c r="C303" s="1030"/>
      <c r="D303" s="1031"/>
      <c r="E303" s="1032"/>
      <c r="F303" s="1030"/>
      <c r="G303" s="1030"/>
      <c r="H303" s="1030"/>
      <c r="I303" s="1031"/>
      <c r="J303" s="1032"/>
    </row>
    <row r="304" spans="1:10">
      <c r="A304" s="1030"/>
      <c r="B304" s="1030"/>
      <c r="C304" s="1030"/>
      <c r="D304" s="1031"/>
      <c r="E304" s="1032"/>
      <c r="F304" s="1030"/>
      <c r="G304" s="1030"/>
      <c r="H304" s="1030"/>
      <c r="I304" s="1031"/>
      <c r="J304" s="1032"/>
    </row>
    <row r="305" spans="1:10">
      <c r="A305" s="1030"/>
      <c r="B305" s="1030"/>
      <c r="C305" s="1030"/>
      <c r="D305" s="1031"/>
      <c r="E305" s="1032"/>
      <c r="F305" s="1030"/>
      <c r="G305" s="1030"/>
      <c r="H305" s="1030"/>
      <c r="I305" s="1031"/>
      <c r="J305" s="1032"/>
    </row>
    <row r="306" spans="1:10">
      <c r="A306" s="1030"/>
      <c r="B306" s="1030"/>
      <c r="C306" s="1030"/>
      <c r="D306" s="1031"/>
      <c r="E306" s="1032"/>
      <c r="F306" s="1030"/>
      <c r="G306" s="1030"/>
      <c r="H306" s="1030"/>
      <c r="I306" s="1031"/>
      <c r="J306" s="1032"/>
    </row>
    <row r="307" spans="1:10">
      <c r="A307" s="1030"/>
      <c r="B307" s="1030"/>
      <c r="C307" s="1030"/>
      <c r="D307" s="1031"/>
      <c r="E307" s="1032"/>
      <c r="F307" s="1030"/>
      <c r="G307" s="1030"/>
      <c r="H307" s="1030"/>
      <c r="I307" s="1031"/>
      <c r="J307" s="1032"/>
    </row>
    <row r="308" spans="1:10">
      <c r="A308" s="1030"/>
      <c r="B308" s="1030"/>
      <c r="C308" s="1030"/>
      <c r="D308" s="1031"/>
      <c r="E308" s="1032"/>
      <c r="F308" s="1030"/>
      <c r="G308" s="1030"/>
      <c r="H308" s="1030"/>
      <c r="I308" s="1031"/>
      <c r="J308" s="1032"/>
    </row>
    <row r="309" spans="1:10">
      <c r="A309" s="1030"/>
      <c r="B309" s="1030"/>
      <c r="C309" s="1030"/>
      <c r="D309" s="1031"/>
      <c r="E309" s="1032"/>
      <c r="F309" s="1030"/>
      <c r="G309" s="1030"/>
      <c r="H309" s="1030"/>
      <c r="I309" s="1031"/>
      <c r="J309" s="1032"/>
    </row>
    <row r="310" spans="1:10">
      <c r="A310" s="1030"/>
      <c r="B310" s="1030"/>
      <c r="C310" s="1030"/>
      <c r="D310" s="1031"/>
      <c r="E310" s="1032"/>
      <c r="F310" s="1030"/>
      <c r="G310" s="1030"/>
      <c r="H310" s="1030"/>
      <c r="I310" s="1031"/>
      <c r="J310" s="1032"/>
    </row>
    <row r="311" spans="1:10">
      <c r="A311" s="1030"/>
      <c r="B311" s="1030"/>
      <c r="C311" s="1030"/>
      <c r="D311" s="1031"/>
      <c r="E311" s="1032"/>
      <c r="F311" s="1030"/>
      <c r="G311" s="1030"/>
      <c r="H311" s="1030"/>
      <c r="I311" s="1031"/>
      <c r="J311" s="1032"/>
    </row>
    <row r="312" spans="1:10">
      <c r="A312" s="1030"/>
      <c r="B312" s="1030"/>
      <c r="C312" s="1030"/>
      <c r="D312" s="1031"/>
      <c r="E312" s="1032"/>
      <c r="F312" s="1030"/>
      <c r="G312" s="1030"/>
      <c r="H312" s="1030"/>
      <c r="I312" s="1031"/>
      <c r="J312" s="1032"/>
    </row>
    <row r="313" spans="1:10">
      <c r="A313" s="1030"/>
      <c r="B313" s="1030"/>
      <c r="C313" s="1030"/>
      <c r="D313" s="1031"/>
      <c r="E313" s="1032"/>
      <c r="F313" s="1030"/>
      <c r="G313" s="1030"/>
      <c r="H313" s="1030"/>
      <c r="I313" s="1031"/>
      <c r="J313" s="1032"/>
    </row>
    <row r="314" spans="1:10">
      <c r="A314" s="1030"/>
      <c r="B314" s="1030"/>
      <c r="C314" s="1030"/>
      <c r="D314" s="1031"/>
      <c r="E314" s="1032"/>
      <c r="F314" s="1030"/>
      <c r="G314" s="1030"/>
      <c r="H314" s="1030"/>
      <c r="I314" s="1031"/>
      <c r="J314" s="1032"/>
    </row>
    <row r="315" spans="1:10">
      <c r="A315" s="1030"/>
      <c r="B315" s="1030"/>
      <c r="C315" s="1030"/>
      <c r="D315" s="1031"/>
      <c r="E315" s="1032"/>
      <c r="F315" s="1030"/>
      <c r="G315" s="1030"/>
      <c r="H315" s="1030"/>
      <c r="I315" s="1031"/>
      <c r="J315" s="1032"/>
    </row>
    <row r="316" spans="1:10">
      <c r="A316" s="1030"/>
      <c r="B316" s="1030"/>
      <c r="C316" s="1030"/>
      <c r="D316" s="1031"/>
      <c r="E316" s="1032"/>
      <c r="F316" s="1030"/>
      <c r="G316" s="1030"/>
      <c r="H316" s="1030"/>
      <c r="I316" s="1031"/>
      <c r="J316" s="1032"/>
    </row>
    <row r="317" spans="1:10">
      <c r="A317" s="1030"/>
      <c r="B317" s="1030"/>
      <c r="C317" s="1030"/>
      <c r="D317" s="1031"/>
      <c r="E317" s="1032"/>
      <c r="F317" s="1030"/>
      <c r="G317" s="1030"/>
      <c r="H317" s="1030"/>
      <c r="I317" s="1031"/>
      <c r="J317" s="1032"/>
    </row>
    <row r="318" spans="1:10">
      <c r="A318" s="1030"/>
      <c r="B318" s="1030"/>
      <c r="C318" s="1030"/>
      <c r="D318" s="1031"/>
      <c r="E318" s="1032"/>
      <c r="F318" s="1030"/>
      <c r="G318" s="1030"/>
      <c r="H318" s="1030"/>
      <c r="I318" s="1031"/>
      <c r="J318" s="1032"/>
    </row>
    <row r="319" spans="1:10">
      <c r="A319" s="1030"/>
      <c r="B319" s="1030"/>
      <c r="C319" s="1030"/>
      <c r="D319" s="1031"/>
      <c r="E319" s="1032"/>
      <c r="F319" s="1030"/>
      <c r="G319" s="1030"/>
      <c r="H319" s="1030"/>
      <c r="I319" s="1031"/>
      <c r="J319" s="1032"/>
    </row>
    <row r="320" spans="1:10">
      <c r="A320" s="1030"/>
      <c r="B320" s="1030"/>
      <c r="C320" s="1030"/>
      <c r="D320" s="1031"/>
      <c r="E320" s="1032"/>
      <c r="F320" s="1030"/>
      <c r="G320" s="1030"/>
      <c r="H320" s="1030"/>
      <c r="I320" s="1031"/>
      <c r="J320" s="1032"/>
    </row>
    <row r="321" spans="1:10">
      <c r="A321" s="1030"/>
      <c r="B321" s="1030"/>
      <c r="C321" s="1030"/>
      <c r="D321" s="1031"/>
      <c r="E321" s="1032"/>
      <c r="F321" s="1030"/>
      <c r="G321" s="1030"/>
      <c r="H321" s="1030"/>
      <c r="I321" s="1031"/>
      <c r="J321" s="1032"/>
    </row>
    <row r="322" spans="1:10">
      <c r="A322" s="1030"/>
      <c r="B322" s="1030"/>
      <c r="C322" s="1030"/>
      <c r="D322" s="1031"/>
      <c r="E322" s="1032"/>
      <c r="F322" s="1030"/>
      <c r="G322" s="1030"/>
      <c r="H322" s="1030"/>
      <c r="I322" s="1031"/>
      <c r="J322" s="1032"/>
    </row>
    <row r="323" spans="1:10">
      <c r="A323" s="1030"/>
      <c r="B323" s="1030"/>
      <c r="C323" s="1030"/>
      <c r="D323" s="1031"/>
      <c r="E323" s="1032"/>
      <c r="F323" s="1030"/>
      <c r="G323" s="1030"/>
      <c r="H323" s="1030"/>
      <c r="I323" s="1031"/>
      <c r="J323" s="1032"/>
    </row>
    <row r="324" spans="1:10">
      <c r="A324" s="1030"/>
      <c r="B324" s="1030"/>
      <c r="C324" s="1030"/>
      <c r="D324" s="1031"/>
      <c r="E324" s="1032"/>
      <c r="F324" s="1030"/>
      <c r="G324" s="1030"/>
      <c r="H324" s="1030"/>
      <c r="I324" s="1031"/>
      <c r="J324" s="1032"/>
    </row>
    <row r="325" spans="1:10">
      <c r="A325" s="1030"/>
      <c r="B325" s="1030"/>
      <c r="C325" s="1030"/>
      <c r="D325" s="1031"/>
      <c r="E325" s="1032"/>
      <c r="F325" s="1030"/>
      <c r="G325" s="1030"/>
      <c r="H325" s="1030"/>
      <c r="I325" s="1031"/>
      <c r="J325" s="1032"/>
    </row>
    <row r="326" spans="1:10">
      <c r="A326" s="1030"/>
      <c r="B326" s="1030"/>
      <c r="C326" s="1030"/>
      <c r="D326" s="1031"/>
      <c r="E326" s="1032"/>
      <c r="F326" s="1030"/>
      <c r="G326" s="1030"/>
      <c r="H326" s="1030"/>
      <c r="I326" s="1031"/>
      <c r="J326" s="1032"/>
    </row>
    <row r="327" spans="1:10">
      <c r="A327" s="1030"/>
      <c r="B327" s="1030"/>
      <c r="C327" s="1030"/>
      <c r="D327" s="1031"/>
      <c r="E327" s="1032"/>
      <c r="F327" s="1030"/>
      <c r="G327" s="1030"/>
      <c r="H327" s="1030"/>
      <c r="I327" s="1031"/>
      <c r="J327" s="1032"/>
    </row>
    <row r="328" spans="1:10">
      <c r="A328" s="1030"/>
      <c r="B328" s="1030"/>
      <c r="C328" s="1030"/>
      <c r="D328" s="1031"/>
      <c r="E328" s="1032"/>
      <c r="F328" s="1030"/>
      <c r="G328" s="1030"/>
      <c r="H328" s="1030"/>
      <c r="I328" s="1031"/>
      <c r="J328" s="1032"/>
    </row>
    <row r="329" spans="1:10">
      <c r="A329" s="1030"/>
      <c r="B329" s="1030"/>
      <c r="C329" s="1030"/>
      <c r="D329" s="1031"/>
      <c r="E329" s="1032"/>
      <c r="F329" s="1030"/>
      <c r="G329" s="1030"/>
      <c r="H329" s="1030"/>
      <c r="I329" s="1031"/>
      <c r="J329" s="1032"/>
    </row>
    <row r="330" spans="1:10">
      <c r="A330" s="1030"/>
      <c r="B330" s="1030"/>
      <c r="C330" s="1030"/>
      <c r="D330" s="1031"/>
      <c r="E330" s="1032"/>
      <c r="F330" s="1030"/>
      <c r="G330" s="1030"/>
      <c r="H330" s="1030"/>
      <c r="I330" s="1031"/>
      <c r="J330" s="1032"/>
    </row>
    <row r="331" spans="1:10">
      <c r="A331" s="1030"/>
      <c r="B331" s="1030"/>
      <c r="C331" s="1030"/>
      <c r="D331" s="1031"/>
      <c r="E331" s="1032"/>
      <c r="F331" s="1030"/>
      <c r="G331" s="1030"/>
      <c r="H331" s="1030"/>
      <c r="I331" s="1031"/>
      <c r="J331" s="1032"/>
    </row>
    <row r="332" spans="1:10">
      <c r="A332" s="1030"/>
      <c r="B332" s="1030"/>
      <c r="C332" s="1030"/>
      <c r="D332" s="1031"/>
      <c r="E332" s="1032"/>
      <c r="F332" s="1030"/>
      <c r="G332" s="1030"/>
      <c r="H332" s="1030"/>
      <c r="I332" s="1031"/>
      <c r="J332" s="1032"/>
    </row>
    <row r="333" spans="1:10">
      <c r="A333" s="1030"/>
      <c r="B333" s="1030"/>
      <c r="C333" s="1030"/>
      <c r="D333" s="1031"/>
      <c r="E333" s="1032"/>
      <c r="F333" s="1030"/>
      <c r="G333" s="1030"/>
      <c r="H333" s="1030"/>
      <c r="I333" s="1031"/>
      <c r="J333" s="1032"/>
    </row>
    <row r="334" spans="1:10">
      <c r="A334" s="1030"/>
      <c r="B334" s="1030"/>
      <c r="C334" s="1030"/>
      <c r="D334" s="1031"/>
      <c r="E334" s="1032"/>
      <c r="F334" s="1030"/>
      <c r="G334" s="1030"/>
      <c r="H334" s="1030"/>
      <c r="I334" s="1031"/>
      <c r="J334" s="1032"/>
    </row>
    <row r="335" spans="1:10">
      <c r="A335" s="1030"/>
      <c r="B335" s="1030"/>
      <c r="C335" s="1030"/>
      <c r="D335" s="1031"/>
      <c r="E335" s="1032"/>
      <c r="F335" s="1030"/>
      <c r="G335" s="1030"/>
      <c r="H335" s="1030"/>
      <c r="I335" s="1031"/>
      <c r="J335" s="1032"/>
    </row>
    <row r="336" spans="1:10">
      <c r="A336" s="1030"/>
      <c r="B336" s="1030"/>
      <c r="C336" s="1030"/>
      <c r="D336" s="1031"/>
      <c r="E336" s="1032"/>
      <c r="F336" s="1030"/>
      <c r="G336" s="1030"/>
      <c r="H336" s="1030"/>
      <c r="I336" s="1031"/>
      <c r="J336" s="1032"/>
    </row>
    <row r="337" spans="1:10">
      <c r="A337" s="1030"/>
      <c r="B337" s="1030"/>
      <c r="C337" s="1030"/>
      <c r="D337" s="1031"/>
      <c r="E337" s="1032"/>
      <c r="F337" s="1030"/>
      <c r="G337" s="1030"/>
      <c r="H337" s="1030"/>
      <c r="I337" s="1031"/>
      <c r="J337" s="1032"/>
    </row>
    <row r="338" spans="1:10">
      <c r="A338" s="1030"/>
      <c r="B338" s="1030"/>
      <c r="C338" s="1030"/>
      <c r="D338" s="1031"/>
      <c r="E338" s="1032"/>
      <c r="F338" s="1030"/>
      <c r="G338" s="1030"/>
      <c r="H338" s="1030"/>
      <c r="I338" s="1031"/>
      <c r="J338" s="1032"/>
    </row>
    <row r="339" spans="1:10">
      <c r="A339" s="1030"/>
      <c r="B339" s="1030"/>
      <c r="C339" s="1030"/>
      <c r="D339" s="1031"/>
      <c r="E339" s="1032"/>
      <c r="F339" s="1030"/>
      <c r="G339" s="1030"/>
      <c r="H339" s="1030"/>
      <c r="I339" s="1031"/>
      <c r="J339" s="1032"/>
    </row>
    <row r="340" spans="1:10">
      <c r="A340" s="1030"/>
      <c r="B340" s="1030"/>
      <c r="C340" s="1030"/>
      <c r="D340" s="1031"/>
      <c r="E340" s="1032"/>
      <c r="F340" s="1030"/>
      <c r="G340" s="1030"/>
      <c r="H340" s="1030"/>
      <c r="I340" s="1031"/>
      <c r="J340" s="1032"/>
    </row>
    <row r="341" spans="1:10">
      <c r="A341" s="1030"/>
      <c r="B341" s="1030"/>
      <c r="C341" s="1030"/>
      <c r="D341" s="1031"/>
      <c r="E341" s="1032"/>
      <c r="F341" s="1030"/>
      <c r="G341" s="1030"/>
      <c r="H341" s="1030"/>
      <c r="I341" s="1031"/>
      <c r="J341" s="1032"/>
    </row>
    <row r="342" spans="1:10">
      <c r="A342" s="1030"/>
      <c r="B342" s="1030"/>
      <c r="C342" s="1030"/>
      <c r="D342" s="1031"/>
      <c r="E342" s="1032"/>
      <c r="F342" s="1030"/>
      <c r="G342" s="1030"/>
      <c r="H342" s="1030"/>
      <c r="I342" s="1031"/>
      <c r="J342" s="1032"/>
    </row>
    <row r="343" spans="1:10">
      <c r="A343" s="1030"/>
      <c r="B343" s="1030"/>
      <c r="C343" s="1030"/>
      <c r="D343" s="1031"/>
      <c r="E343" s="1032"/>
      <c r="F343" s="1030"/>
      <c r="G343" s="1030"/>
      <c r="H343" s="1030"/>
      <c r="I343" s="1031"/>
      <c r="J343" s="1032"/>
    </row>
    <row r="344" spans="1:10">
      <c r="A344" s="1030"/>
      <c r="B344" s="1030"/>
      <c r="C344" s="1030"/>
      <c r="D344" s="1031"/>
      <c r="E344" s="1032"/>
      <c r="F344" s="1030"/>
      <c r="G344" s="1030"/>
      <c r="H344" s="1030"/>
      <c r="I344" s="1031"/>
      <c r="J344" s="1032"/>
    </row>
    <row r="345" spans="1:10">
      <c r="A345" s="1030"/>
      <c r="B345" s="1030"/>
      <c r="C345" s="1030"/>
      <c r="D345" s="1031"/>
      <c r="E345" s="1032"/>
      <c r="F345" s="1030"/>
      <c r="G345" s="1030"/>
      <c r="H345" s="1030"/>
      <c r="I345" s="1031"/>
      <c r="J345" s="1032"/>
    </row>
    <row r="346" spans="1:10">
      <c r="A346" s="1030"/>
      <c r="B346" s="1030"/>
      <c r="C346" s="1030"/>
      <c r="D346" s="1031"/>
      <c r="E346" s="1032"/>
      <c r="F346" s="1030"/>
      <c r="G346" s="1030"/>
      <c r="H346" s="1030"/>
      <c r="I346" s="1031"/>
      <c r="J346" s="1032"/>
    </row>
    <row r="347" spans="1:10">
      <c r="A347" s="1030"/>
      <c r="B347" s="1030"/>
      <c r="C347" s="1030"/>
      <c r="D347" s="1031"/>
      <c r="E347" s="1032"/>
      <c r="F347" s="1030"/>
      <c r="G347" s="1030"/>
      <c r="H347" s="1030"/>
      <c r="I347" s="1031"/>
      <c r="J347" s="1032"/>
    </row>
    <row r="348" spans="1:10">
      <c r="A348" s="1030"/>
      <c r="B348" s="1030"/>
      <c r="C348" s="1030"/>
      <c r="D348" s="1031"/>
      <c r="E348" s="1032"/>
      <c r="F348" s="1030"/>
      <c r="G348" s="1030"/>
      <c r="H348" s="1030"/>
      <c r="I348" s="1031"/>
      <c r="J348" s="1032"/>
    </row>
    <row r="349" spans="1:10">
      <c r="A349" s="1030"/>
      <c r="B349" s="1030"/>
      <c r="C349" s="1030"/>
      <c r="D349" s="1031"/>
      <c r="E349" s="1032"/>
      <c r="F349" s="1030"/>
      <c r="G349" s="1030"/>
      <c r="H349" s="1030"/>
      <c r="I349" s="1031"/>
      <c r="J349" s="1032"/>
    </row>
    <row r="350" spans="1:10">
      <c r="A350" s="1030"/>
      <c r="B350" s="1030"/>
      <c r="C350" s="1030"/>
      <c r="D350" s="1031"/>
      <c r="E350" s="1032"/>
      <c r="F350" s="1030"/>
      <c r="G350" s="1030"/>
      <c r="H350" s="1030"/>
      <c r="I350" s="1031"/>
      <c r="J350" s="1032"/>
    </row>
    <row r="351" spans="1:10">
      <c r="A351" s="1030"/>
      <c r="B351" s="1030"/>
      <c r="C351" s="1030"/>
      <c r="D351" s="1031"/>
      <c r="E351" s="1032"/>
      <c r="F351" s="1030"/>
      <c r="G351" s="1030"/>
      <c r="H351" s="1030"/>
      <c r="I351" s="1031"/>
      <c r="J351" s="1032"/>
    </row>
    <row r="352" spans="1:10">
      <c r="A352" s="1030"/>
      <c r="B352" s="1030"/>
      <c r="C352" s="1030"/>
      <c r="D352" s="1031"/>
      <c r="E352" s="1032"/>
      <c r="F352" s="1030"/>
      <c r="G352" s="1030"/>
      <c r="H352" s="1030"/>
      <c r="I352" s="1031"/>
      <c r="J352" s="1032"/>
    </row>
    <row r="353" spans="1:10">
      <c r="A353" s="1030"/>
      <c r="B353" s="1030"/>
      <c r="C353" s="1030"/>
      <c r="D353" s="1031"/>
      <c r="E353" s="1032"/>
      <c r="F353" s="1030"/>
      <c r="G353" s="1030"/>
      <c r="H353" s="1030"/>
      <c r="I353" s="1031"/>
      <c r="J353" s="1032"/>
    </row>
    <row r="354" spans="1:10">
      <c r="A354" s="1030"/>
      <c r="B354" s="1030"/>
      <c r="C354" s="1030"/>
      <c r="D354" s="1031"/>
      <c r="E354" s="1032"/>
      <c r="F354" s="1030"/>
      <c r="G354" s="1030"/>
      <c r="H354" s="1030"/>
      <c r="I354" s="1031"/>
      <c r="J354" s="1032"/>
    </row>
    <row r="355" spans="1:10">
      <c r="A355" s="1030"/>
      <c r="B355" s="1030"/>
      <c r="C355" s="1030"/>
      <c r="D355" s="1031"/>
      <c r="E355" s="1032"/>
      <c r="F355" s="1030"/>
      <c r="G355" s="1030"/>
      <c r="H355" s="1030"/>
      <c r="I355" s="1031"/>
      <c r="J355" s="1032"/>
    </row>
    <row r="356" spans="1:10">
      <c r="A356" s="1030"/>
      <c r="B356" s="1030"/>
      <c r="C356" s="1030"/>
      <c r="D356" s="1031"/>
      <c r="E356" s="1032"/>
      <c r="F356" s="1030"/>
      <c r="G356" s="1030"/>
      <c r="H356" s="1030"/>
      <c r="I356" s="1031"/>
      <c r="J356" s="1032"/>
    </row>
    <row r="357" spans="1:10">
      <c r="A357" s="1030"/>
      <c r="B357" s="1030"/>
      <c r="C357" s="1030"/>
      <c r="D357" s="1031"/>
      <c r="E357" s="1032"/>
      <c r="F357" s="1030"/>
      <c r="G357" s="1030"/>
      <c r="H357" s="1030"/>
      <c r="I357" s="1031"/>
      <c r="J357" s="1032"/>
    </row>
    <row r="358" spans="1:10">
      <c r="A358" s="1030"/>
      <c r="B358" s="1030"/>
      <c r="C358" s="1030"/>
      <c r="D358" s="1031"/>
      <c r="E358" s="1032"/>
      <c r="F358" s="1030"/>
      <c r="G358" s="1030"/>
      <c r="H358" s="1030"/>
      <c r="I358" s="1031"/>
      <c r="J358" s="1032"/>
    </row>
    <row r="359" spans="1:10">
      <c r="A359" s="1030"/>
      <c r="B359" s="1030"/>
      <c r="C359" s="1030"/>
      <c r="D359" s="1031"/>
      <c r="E359" s="1032"/>
      <c r="F359" s="1030"/>
      <c r="G359" s="1030"/>
      <c r="H359" s="1030"/>
      <c r="I359" s="1031"/>
      <c r="J359" s="1032"/>
    </row>
    <row r="360" spans="1:10">
      <c r="A360" s="1030"/>
      <c r="B360" s="1030"/>
      <c r="C360" s="1030"/>
      <c r="D360" s="1031"/>
      <c r="E360" s="1032"/>
      <c r="F360" s="1030"/>
      <c r="G360" s="1030"/>
      <c r="H360" s="1030"/>
      <c r="I360" s="1031"/>
      <c r="J360" s="1032"/>
    </row>
    <row r="361" spans="1:10">
      <c r="A361" s="1030"/>
      <c r="B361" s="1030"/>
      <c r="C361" s="1030"/>
      <c r="D361" s="1031"/>
      <c r="E361" s="1032"/>
      <c r="F361" s="1030"/>
      <c r="G361" s="1030"/>
      <c r="H361" s="1030"/>
      <c r="I361" s="1031"/>
      <c r="J361" s="1032"/>
    </row>
    <row r="362" spans="1:10">
      <c r="A362" s="1030"/>
      <c r="B362" s="1030"/>
      <c r="C362" s="1030"/>
      <c r="D362" s="1031"/>
      <c r="E362" s="1032"/>
      <c r="F362" s="1030"/>
      <c r="G362" s="1030"/>
      <c r="H362" s="1030"/>
      <c r="I362" s="1031"/>
      <c r="J362" s="1032"/>
    </row>
    <row r="363" spans="1:10">
      <c r="A363" s="1030"/>
      <c r="B363" s="1030"/>
      <c r="C363" s="1030"/>
      <c r="D363" s="1031"/>
      <c r="E363" s="1032"/>
      <c r="F363" s="1030"/>
      <c r="G363" s="1030"/>
      <c r="H363" s="1030"/>
      <c r="I363" s="1031"/>
      <c r="J363" s="1032"/>
    </row>
    <row r="364" spans="1:10">
      <c r="A364" s="1030"/>
      <c r="B364" s="1030"/>
      <c r="C364" s="1030"/>
      <c r="D364" s="1031"/>
      <c r="E364" s="1032"/>
      <c r="F364" s="1030"/>
      <c r="G364" s="1030"/>
      <c r="H364" s="1030"/>
      <c r="I364" s="1031"/>
      <c r="J364" s="1032"/>
    </row>
    <row r="365" spans="1:10">
      <c r="A365" s="1030"/>
      <c r="B365" s="1030"/>
      <c r="C365" s="1030"/>
      <c r="D365" s="1031"/>
      <c r="E365" s="1032"/>
      <c r="F365" s="1030"/>
      <c r="G365" s="1030"/>
      <c r="H365" s="1030"/>
      <c r="I365" s="1031"/>
      <c r="J365" s="1032"/>
    </row>
    <row r="366" spans="1:10">
      <c r="A366" s="1030"/>
      <c r="B366" s="1030"/>
      <c r="C366" s="1030"/>
      <c r="D366" s="1031"/>
      <c r="E366" s="1032"/>
      <c r="F366" s="1030"/>
      <c r="G366" s="1030"/>
      <c r="H366" s="1030"/>
      <c r="I366" s="1031"/>
      <c r="J366" s="1032"/>
    </row>
    <row r="367" spans="1:10">
      <c r="A367" s="1030"/>
      <c r="B367" s="1030"/>
      <c r="C367" s="1030"/>
      <c r="D367" s="1031"/>
      <c r="E367" s="1032"/>
      <c r="F367" s="1030"/>
      <c r="G367" s="1030"/>
      <c r="H367" s="1030"/>
      <c r="I367" s="1031"/>
      <c r="J367" s="1032"/>
    </row>
    <row r="368" spans="1:10">
      <c r="A368" s="1030"/>
      <c r="B368" s="1030"/>
      <c r="C368" s="1030"/>
      <c r="D368" s="1031"/>
      <c r="E368" s="1032"/>
      <c r="F368" s="1030"/>
      <c r="G368" s="1030"/>
      <c r="H368" s="1030"/>
      <c r="I368" s="1031"/>
      <c r="J368" s="1032"/>
    </row>
    <row r="369" spans="1:10">
      <c r="A369" s="1030"/>
      <c r="B369" s="1030"/>
      <c r="C369" s="1030"/>
      <c r="D369" s="1031"/>
      <c r="E369" s="1032"/>
      <c r="F369" s="1030"/>
      <c r="G369" s="1030"/>
      <c r="H369" s="1030"/>
      <c r="I369" s="1031"/>
      <c r="J369" s="1032"/>
    </row>
    <row r="370" spans="1:10">
      <c r="A370" s="1030"/>
      <c r="B370" s="1030"/>
      <c r="C370" s="1030"/>
      <c r="D370" s="1031"/>
      <c r="E370" s="1032"/>
      <c r="F370" s="1030"/>
      <c r="G370" s="1030"/>
      <c r="H370" s="1030"/>
      <c r="I370" s="1031"/>
      <c r="J370" s="1032"/>
    </row>
    <row r="371" spans="1:10">
      <c r="A371" s="1030"/>
      <c r="B371" s="1030"/>
      <c r="C371" s="1030"/>
      <c r="D371" s="1031"/>
      <c r="E371" s="1032"/>
      <c r="F371" s="1030"/>
      <c r="G371" s="1030"/>
      <c r="H371" s="1030"/>
      <c r="I371" s="1031"/>
      <c r="J371" s="1032"/>
    </row>
    <row r="372" spans="1:10">
      <c r="A372" s="1030"/>
      <c r="B372" s="1030"/>
      <c r="C372" s="1030"/>
      <c r="D372" s="1031"/>
      <c r="E372" s="1032"/>
      <c r="F372" s="1030"/>
      <c r="G372" s="1030"/>
      <c r="H372" s="1030"/>
      <c r="I372" s="1031"/>
      <c r="J372" s="1032"/>
    </row>
    <row r="373" spans="1:10">
      <c r="A373" s="1030"/>
      <c r="B373" s="1030"/>
      <c r="C373" s="1030"/>
      <c r="D373" s="1031"/>
      <c r="E373" s="1032"/>
      <c r="F373" s="1030"/>
      <c r="G373" s="1030"/>
      <c r="H373" s="1030"/>
      <c r="I373" s="1031"/>
      <c r="J373" s="1032"/>
    </row>
    <row r="374" spans="1:10">
      <c r="A374" s="1030"/>
      <c r="B374" s="1030"/>
      <c r="C374" s="1030"/>
      <c r="D374" s="1031"/>
      <c r="E374" s="1032"/>
      <c r="F374" s="1030"/>
      <c r="G374" s="1030"/>
      <c r="H374" s="1030"/>
      <c r="I374" s="1031"/>
      <c r="J374" s="1032"/>
    </row>
    <row r="375" spans="1:10">
      <c r="A375" s="1030"/>
      <c r="B375" s="1030"/>
      <c r="C375" s="1030"/>
      <c r="D375" s="1031"/>
      <c r="E375" s="1032"/>
      <c r="F375" s="1030"/>
      <c r="G375" s="1030"/>
      <c r="H375" s="1030"/>
      <c r="I375" s="1031"/>
      <c r="J375" s="1032"/>
    </row>
    <row r="376" spans="1:10">
      <c r="A376" s="1030"/>
      <c r="B376" s="1030"/>
      <c r="C376" s="1030"/>
      <c r="D376" s="1031"/>
      <c r="E376" s="1032"/>
      <c r="F376" s="1030"/>
      <c r="G376" s="1030"/>
      <c r="H376" s="1030"/>
      <c r="I376" s="1031"/>
      <c r="J376" s="1032"/>
    </row>
    <row r="377" spans="1:10">
      <c r="A377" s="1030"/>
      <c r="B377" s="1030"/>
      <c r="C377" s="1030"/>
      <c r="D377" s="1031"/>
      <c r="E377" s="1032"/>
      <c r="F377" s="1030"/>
      <c r="G377" s="1030"/>
      <c r="H377" s="1030"/>
      <c r="I377" s="1031"/>
      <c r="J377" s="1032"/>
    </row>
    <row r="378" spans="1:10">
      <c r="A378" s="1030"/>
      <c r="B378" s="1030"/>
      <c r="C378" s="1030"/>
      <c r="D378" s="1031"/>
      <c r="E378" s="1032"/>
      <c r="F378" s="1030"/>
      <c r="G378" s="1030"/>
      <c r="H378" s="1030"/>
      <c r="I378" s="1031"/>
      <c r="J378" s="1032"/>
    </row>
    <row r="379" spans="1:10">
      <c r="A379" s="1030"/>
      <c r="B379" s="1030"/>
      <c r="C379" s="1030"/>
      <c r="D379" s="1031"/>
      <c r="E379" s="1032"/>
      <c r="F379" s="1030"/>
      <c r="G379" s="1030"/>
      <c r="H379" s="1030"/>
      <c r="I379" s="1031"/>
      <c r="J379" s="1032"/>
    </row>
    <row r="380" spans="1:10">
      <c r="A380" s="1030"/>
      <c r="B380" s="1030"/>
      <c r="C380" s="1030"/>
      <c r="D380" s="1031"/>
      <c r="E380" s="1032"/>
      <c r="F380" s="1030"/>
      <c r="G380" s="1030"/>
      <c r="H380" s="1030"/>
      <c r="I380" s="1031"/>
      <c r="J380" s="1032"/>
    </row>
    <row r="381" spans="1:10">
      <c r="A381" s="1030"/>
      <c r="B381" s="1030"/>
      <c r="C381" s="1030"/>
      <c r="D381" s="1031"/>
      <c r="E381" s="1032"/>
      <c r="F381" s="1030"/>
      <c r="G381" s="1030"/>
      <c r="H381" s="1030"/>
      <c r="I381" s="1031"/>
      <c r="J381" s="1032"/>
    </row>
    <row r="382" spans="1:10">
      <c r="A382" s="1030"/>
      <c r="B382" s="1030"/>
      <c r="C382" s="1030"/>
      <c r="D382" s="1031"/>
      <c r="E382" s="1032"/>
      <c r="F382" s="1030"/>
      <c r="G382" s="1030"/>
      <c r="H382" s="1030"/>
      <c r="I382" s="1031"/>
      <c r="J382" s="1032"/>
    </row>
    <row r="383" spans="1:10">
      <c r="A383" s="1030"/>
      <c r="B383" s="1030"/>
      <c r="C383" s="1030"/>
      <c r="D383" s="1031"/>
      <c r="E383" s="1032"/>
      <c r="F383" s="1030"/>
      <c r="G383" s="1030"/>
      <c r="H383" s="1030"/>
      <c r="I383" s="1031"/>
      <c r="J383" s="1032"/>
    </row>
    <row r="384" spans="1:10">
      <c r="A384" s="1030"/>
      <c r="B384" s="1030"/>
      <c r="C384" s="1030"/>
      <c r="D384" s="1031"/>
      <c r="E384" s="1032"/>
      <c r="F384" s="1030"/>
      <c r="G384" s="1030"/>
      <c r="H384" s="1030"/>
      <c r="I384" s="1031"/>
      <c r="J384" s="1032"/>
    </row>
    <row r="385" spans="1:10">
      <c r="A385" s="1030"/>
      <c r="B385" s="1030"/>
      <c r="C385" s="1030"/>
      <c r="D385" s="1031"/>
      <c r="E385" s="1032"/>
      <c r="F385" s="1030"/>
      <c r="G385" s="1030"/>
      <c r="H385" s="1030"/>
      <c r="I385" s="1031"/>
      <c r="J385" s="1032"/>
    </row>
    <row r="386" spans="1:10">
      <c r="A386" s="1030"/>
      <c r="B386" s="1030"/>
      <c r="C386" s="1030"/>
      <c r="D386" s="1031"/>
      <c r="E386" s="1032"/>
      <c r="F386" s="1030"/>
      <c r="G386" s="1030"/>
      <c r="H386" s="1030"/>
      <c r="I386" s="1031"/>
      <c r="J386" s="1032"/>
    </row>
    <row r="387" spans="1:10">
      <c r="A387" s="1030"/>
      <c r="B387" s="1030"/>
      <c r="C387" s="1030"/>
      <c r="D387" s="1031"/>
      <c r="E387" s="1032"/>
      <c r="F387" s="1030"/>
      <c r="G387" s="1030"/>
      <c r="H387" s="1030"/>
      <c r="I387" s="1031"/>
      <c r="J387" s="1032"/>
    </row>
    <row r="388" spans="1:10">
      <c r="A388" s="1030"/>
      <c r="B388" s="1030"/>
      <c r="C388" s="1030"/>
      <c r="D388" s="1031"/>
      <c r="E388" s="1032"/>
      <c r="F388" s="1030"/>
      <c r="G388" s="1030"/>
      <c r="H388" s="1030"/>
      <c r="I388" s="1031"/>
      <c r="J388" s="1032"/>
    </row>
    <row r="389" spans="1:10">
      <c r="A389" s="1030"/>
      <c r="B389" s="1030"/>
      <c r="C389" s="1030"/>
      <c r="D389" s="1031"/>
      <c r="E389" s="1032"/>
      <c r="F389" s="1030"/>
      <c r="G389" s="1030"/>
      <c r="H389" s="1030"/>
      <c r="I389" s="1031"/>
      <c r="J389" s="1032"/>
    </row>
    <row r="390" spans="1:10">
      <c r="A390" s="1030"/>
      <c r="B390" s="1030"/>
      <c r="C390" s="1030"/>
      <c r="D390" s="1031"/>
      <c r="E390" s="1032"/>
      <c r="F390" s="1030"/>
      <c r="G390" s="1030"/>
      <c r="H390" s="1030"/>
      <c r="I390" s="1031"/>
      <c r="J390" s="1032"/>
    </row>
    <row r="391" spans="1:10">
      <c r="A391" s="1030"/>
      <c r="B391" s="1030"/>
      <c r="C391" s="1030"/>
      <c r="D391" s="1031"/>
      <c r="E391" s="1032"/>
      <c r="F391" s="1030"/>
      <c r="G391" s="1030"/>
      <c r="H391" s="1030"/>
      <c r="I391" s="1031"/>
      <c r="J391" s="1032"/>
    </row>
    <row r="392" spans="1:10">
      <c r="A392" s="1030"/>
      <c r="B392" s="1030"/>
      <c r="C392" s="1030"/>
      <c r="D392" s="1031"/>
      <c r="E392" s="1032"/>
      <c r="F392" s="1030"/>
      <c r="G392" s="1030"/>
      <c r="H392" s="1030"/>
      <c r="I392" s="1031"/>
      <c r="J392" s="1032"/>
    </row>
    <row r="393" spans="1:10">
      <c r="A393" s="1030"/>
      <c r="B393" s="1030"/>
      <c r="C393" s="1030"/>
      <c r="D393" s="1031"/>
      <c r="E393" s="1032"/>
      <c r="F393" s="1030"/>
      <c r="G393" s="1030"/>
      <c r="H393" s="1030"/>
      <c r="I393" s="1031"/>
      <c r="J393" s="1032"/>
    </row>
    <row r="394" spans="1:10">
      <c r="A394" s="1030"/>
      <c r="B394" s="1030"/>
      <c r="C394" s="1030"/>
      <c r="D394" s="1031"/>
      <c r="E394" s="1032"/>
      <c r="F394" s="1030"/>
      <c r="G394" s="1030"/>
      <c r="H394" s="1030"/>
      <c r="I394" s="1031"/>
      <c r="J394" s="1032"/>
    </row>
    <row r="395" spans="1:10">
      <c r="A395" s="1030"/>
      <c r="B395" s="1030"/>
      <c r="C395" s="1030"/>
      <c r="D395" s="1031"/>
      <c r="E395" s="1032"/>
      <c r="F395" s="1030"/>
      <c r="G395" s="1030"/>
      <c r="H395" s="1030"/>
      <c r="I395" s="1031"/>
      <c r="J395" s="1032"/>
    </row>
    <row r="396" spans="1:10">
      <c r="A396" s="1030"/>
      <c r="B396" s="1030"/>
      <c r="C396" s="1030"/>
      <c r="D396" s="1031"/>
      <c r="E396" s="1032"/>
      <c r="F396" s="1030"/>
      <c r="G396" s="1030"/>
      <c r="H396" s="1030"/>
      <c r="I396" s="1031"/>
      <c r="J396" s="1032"/>
    </row>
    <row r="397" spans="1:10">
      <c r="A397" s="1030"/>
      <c r="B397" s="1030"/>
      <c r="C397" s="1030"/>
      <c r="D397" s="1031"/>
      <c r="E397" s="1032"/>
      <c r="F397" s="1030"/>
      <c r="G397" s="1030"/>
      <c r="H397" s="1030"/>
      <c r="I397" s="1031"/>
      <c r="J397" s="1032"/>
    </row>
    <row r="398" spans="1:10">
      <c r="A398" s="1030"/>
      <c r="B398" s="1030"/>
      <c r="C398" s="1030"/>
      <c r="D398" s="1031"/>
      <c r="E398" s="1032"/>
      <c r="F398" s="1030"/>
      <c r="G398" s="1030"/>
      <c r="H398" s="1030"/>
      <c r="I398" s="1031"/>
      <c r="J398" s="1032"/>
    </row>
    <row r="399" spans="1:10">
      <c r="A399" s="1030"/>
      <c r="B399" s="1030"/>
      <c r="C399" s="1030"/>
      <c r="D399" s="1031"/>
      <c r="E399" s="1032"/>
      <c r="F399" s="1030"/>
      <c r="G399" s="1030"/>
      <c r="H399" s="1030"/>
      <c r="I399" s="1031"/>
      <c r="J399" s="1032"/>
    </row>
    <row r="400" spans="1:10">
      <c r="A400" s="1030"/>
      <c r="B400" s="1030"/>
      <c r="C400" s="1030"/>
      <c r="D400" s="1031"/>
      <c r="E400" s="1032"/>
      <c r="F400" s="1030"/>
      <c r="G400" s="1030"/>
      <c r="H400" s="1030"/>
      <c r="I400" s="1031"/>
      <c r="J400" s="1032"/>
    </row>
    <row r="401" spans="1:10">
      <c r="A401" s="1030"/>
      <c r="B401" s="1030"/>
      <c r="C401" s="1030"/>
      <c r="D401" s="1031"/>
      <c r="E401" s="1032"/>
      <c r="F401" s="1030"/>
      <c r="G401" s="1030"/>
      <c r="H401" s="1030"/>
      <c r="I401" s="1031"/>
      <c r="J401" s="1032"/>
    </row>
    <row r="402" spans="1:10">
      <c r="A402" s="1030"/>
      <c r="B402" s="1030"/>
      <c r="C402" s="1030"/>
      <c r="D402" s="1031"/>
      <c r="E402" s="1032"/>
      <c r="F402" s="1030"/>
      <c r="G402" s="1030"/>
      <c r="H402" s="1030"/>
      <c r="I402" s="1031"/>
      <c r="J402" s="1032"/>
    </row>
    <row r="403" spans="1:10">
      <c r="A403" s="1030"/>
      <c r="B403" s="1030"/>
      <c r="C403" s="1030"/>
      <c r="D403" s="1031"/>
      <c r="E403" s="1032"/>
      <c r="F403" s="1030"/>
      <c r="G403" s="1030"/>
      <c r="H403" s="1030"/>
      <c r="I403" s="1031"/>
      <c r="J403" s="1032"/>
    </row>
    <row r="404" spans="1:10">
      <c r="A404" s="1030"/>
      <c r="B404" s="1030"/>
      <c r="C404" s="1030"/>
      <c r="D404" s="1031"/>
      <c r="E404" s="1032"/>
      <c r="F404" s="1030"/>
      <c r="G404" s="1030"/>
      <c r="H404" s="1030"/>
      <c r="I404" s="1031"/>
      <c r="J404" s="1032"/>
    </row>
    <row r="405" spans="1:10">
      <c r="A405" s="1030"/>
      <c r="B405" s="1030"/>
      <c r="C405" s="1030"/>
      <c r="D405" s="1031"/>
      <c r="E405" s="1032"/>
      <c r="F405" s="1030"/>
      <c r="G405" s="1030"/>
      <c r="H405" s="1030"/>
      <c r="I405" s="1031"/>
      <c r="J405" s="1032"/>
    </row>
    <row r="406" spans="1:10">
      <c r="A406" s="1030"/>
      <c r="B406" s="1030"/>
      <c r="C406" s="1030"/>
      <c r="D406" s="1031"/>
      <c r="E406" s="1032"/>
      <c r="F406" s="1030"/>
      <c r="G406" s="1030"/>
      <c r="H406" s="1030"/>
      <c r="I406" s="1031"/>
      <c r="J406" s="1032"/>
    </row>
    <row r="407" spans="1:10">
      <c r="A407" s="1030"/>
      <c r="B407" s="1030"/>
      <c r="C407" s="1030"/>
      <c r="D407" s="1031"/>
      <c r="E407" s="1032"/>
      <c r="F407" s="1030"/>
      <c r="G407" s="1030"/>
      <c r="H407" s="1030"/>
      <c r="I407" s="1031"/>
      <c r="J407" s="1032"/>
    </row>
    <row r="408" spans="1:10">
      <c r="A408" s="1030"/>
      <c r="B408" s="1030"/>
      <c r="C408" s="1030"/>
      <c r="D408" s="1031"/>
      <c r="E408" s="1032"/>
      <c r="F408" s="1030"/>
      <c r="G408" s="1030"/>
      <c r="H408" s="1030"/>
      <c r="I408" s="1031"/>
      <c r="J408" s="1032"/>
    </row>
    <row r="409" spans="1:10">
      <c r="A409" s="1030"/>
      <c r="B409" s="1030"/>
      <c r="C409" s="1030"/>
      <c r="D409" s="1031"/>
      <c r="E409" s="1032"/>
      <c r="F409" s="1030"/>
      <c r="G409" s="1030"/>
      <c r="H409" s="1030"/>
      <c r="I409" s="1031"/>
      <c r="J409" s="1032"/>
    </row>
    <row r="410" spans="1:10">
      <c r="A410" s="1030"/>
      <c r="B410" s="1030"/>
      <c r="C410" s="1030"/>
      <c r="D410" s="1031"/>
      <c r="E410" s="1032"/>
      <c r="F410" s="1030"/>
      <c r="G410" s="1030"/>
      <c r="H410" s="1030"/>
      <c r="I410" s="1031"/>
      <c r="J410" s="1032"/>
    </row>
    <row r="411" spans="1:10">
      <c r="A411" s="1030"/>
      <c r="B411" s="1030"/>
      <c r="C411" s="1030"/>
      <c r="D411" s="1031"/>
      <c r="E411" s="1032"/>
      <c r="F411" s="1030"/>
      <c r="G411" s="1030"/>
      <c r="H411" s="1030"/>
      <c r="I411" s="1031"/>
      <c r="J411" s="1032"/>
    </row>
    <row r="412" spans="1:10">
      <c r="A412" s="1030"/>
      <c r="B412" s="1030"/>
      <c r="C412" s="1030"/>
      <c r="D412" s="1031"/>
      <c r="E412" s="1032"/>
      <c r="F412" s="1030"/>
      <c r="G412" s="1030"/>
      <c r="H412" s="1030"/>
      <c r="I412" s="1031"/>
      <c r="J412" s="1032"/>
    </row>
    <row r="413" spans="1:10">
      <c r="A413" s="1030"/>
      <c r="B413" s="1030"/>
      <c r="C413" s="1030"/>
      <c r="D413" s="1031"/>
      <c r="E413" s="1032"/>
      <c r="F413" s="1030"/>
      <c r="G413" s="1030"/>
      <c r="H413" s="1030"/>
      <c r="I413" s="1031"/>
      <c r="J413" s="1032"/>
    </row>
    <row r="414" spans="1:10">
      <c r="A414" s="1030"/>
      <c r="B414" s="1030"/>
      <c r="C414" s="1030"/>
      <c r="D414" s="1031"/>
      <c r="E414" s="1032"/>
      <c r="F414" s="1030"/>
      <c r="G414" s="1030"/>
      <c r="H414" s="1030"/>
      <c r="I414" s="1031"/>
      <c r="J414" s="1032"/>
    </row>
    <row r="415" spans="1:10">
      <c r="A415" s="1030"/>
      <c r="B415" s="1030"/>
      <c r="C415" s="1030"/>
      <c r="D415" s="1031"/>
      <c r="E415" s="1032"/>
      <c r="F415" s="1030"/>
      <c r="G415" s="1030"/>
      <c r="H415" s="1030"/>
      <c r="I415" s="1031"/>
      <c r="J415" s="1032"/>
    </row>
    <row r="416" spans="1:10">
      <c r="A416" s="1030"/>
      <c r="B416" s="1030"/>
      <c r="C416" s="1030"/>
      <c r="D416" s="1031"/>
      <c r="E416" s="1032"/>
      <c r="F416" s="1030"/>
      <c r="G416" s="1030"/>
      <c r="H416" s="1030"/>
      <c r="I416" s="1031"/>
      <c r="J416" s="1032"/>
    </row>
    <row r="417" spans="1:10">
      <c r="A417" s="1030"/>
      <c r="B417" s="1030"/>
      <c r="C417" s="1030"/>
      <c r="D417" s="1031"/>
      <c r="E417" s="1032"/>
      <c r="F417" s="1030"/>
      <c r="G417" s="1030"/>
      <c r="H417" s="1030"/>
      <c r="I417" s="1031"/>
      <c r="J417" s="1032"/>
    </row>
    <row r="418" spans="1:10">
      <c r="A418" s="1030"/>
      <c r="B418" s="1030"/>
      <c r="C418" s="1030"/>
      <c r="D418" s="1031"/>
      <c r="E418" s="1032"/>
      <c r="F418" s="1030"/>
      <c r="G418" s="1030"/>
      <c r="H418" s="1030"/>
      <c r="I418" s="1031"/>
      <c r="J418" s="1032"/>
    </row>
    <row r="419" spans="1:10">
      <c r="A419" s="1030"/>
      <c r="B419" s="1030"/>
      <c r="C419" s="1030"/>
      <c r="D419" s="1031"/>
      <c r="E419" s="1032"/>
      <c r="F419" s="1030"/>
      <c r="G419" s="1030"/>
      <c r="H419" s="1030"/>
      <c r="I419" s="1031"/>
      <c r="J419" s="1032"/>
    </row>
    <row r="420" spans="1:10">
      <c r="A420" s="1030"/>
      <c r="B420" s="1030"/>
      <c r="C420" s="1030"/>
      <c r="D420" s="1031"/>
      <c r="E420" s="1032"/>
      <c r="F420" s="1030"/>
      <c r="G420" s="1030"/>
      <c r="H420" s="1030"/>
      <c r="I420" s="1031"/>
      <c r="J420" s="1032"/>
    </row>
    <row r="421" spans="1:10">
      <c r="A421" s="1030"/>
      <c r="B421" s="1030"/>
      <c r="C421" s="1030"/>
      <c r="D421" s="1031"/>
      <c r="E421" s="1032"/>
      <c r="F421" s="1030"/>
      <c r="G421" s="1030"/>
      <c r="H421" s="1030"/>
      <c r="I421" s="1031"/>
      <c r="J421" s="1032"/>
    </row>
    <row r="422" spans="1:10">
      <c r="A422" s="1030"/>
      <c r="B422" s="1030"/>
      <c r="C422" s="1030"/>
      <c r="D422" s="1031"/>
      <c r="E422" s="1032"/>
      <c r="F422" s="1030"/>
      <c r="G422" s="1030"/>
      <c r="H422" s="1030"/>
      <c r="I422" s="1031"/>
      <c r="J422" s="1032"/>
    </row>
    <row r="423" spans="1:10">
      <c r="A423" s="1030"/>
      <c r="B423" s="1030"/>
      <c r="C423" s="1030"/>
      <c r="D423" s="1031"/>
      <c r="E423" s="1032"/>
      <c r="F423" s="1030"/>
      <c r="G423" s="1030"/>
      <c r="H423" s="1030"/>
      <c r="I423" s="1031"/>
      <c r="J423" s="1032"/>
    </row>
    <row r="424" spans="1:10">
      <c r="A424" s="1030"/>
      <c r="B424" s="1030"/>
      <c r="C424" s="1030"/>
      <c r="D424" s="1031"/>
      <c r="E424" s="1032"/>
      <c r="F424" s="1030"/>
      <c r="G424" s="1030"/>
      <c r="H424" s="1030"/>
      <c r="I424" s="1031"/>
      <c r="J424" s="1032"/>
    </row>
    <row r="425" spans="1:10">
      <c r="A425" s="1030"/>
      <c r="B425" s="1030"/>
      <c r="C425" s="1030"/>
      <c r="D425" s="1031"/>
      <c r="E425" s="1032"/>
      <c r="F425" s="1030"/>
      <c r="G425" s="1030"/>
      <c r="H425" s="1030"/>
      <c r="I425" s="1031"/>
      <c r="J425" s="1032"/>
    </row>
    <row r="426" spans="1:10">
      <c r="A426" s="1030"/>
      <c r="B426" s="1030"/>
      <c r="C426" s="1030"/>
      <c r="D426" s="1031"/>
      <c r="E426" s="1032"/>
      <c r="F426" s="1030"/>
      <c r="G426" s="1030"/>
      <c r="H426" s="1030"/>
      <c r="I426" s="1031"/>
      <c r="J426" s="1032"/>
    </row>
    <row r="427" spans="1:10">
      <c r="A427" s="1030"/>
      <c r="B427" s="1030"/>
      <c r="C427" s="1030"/>
      <c r="D427" s="1031"/>
      <c r="E427" s="1032"/>
      <c r="F427" s="1030"/>
      <c r="G427" s="1030"/>
      <c r="H427" s="1030"/>
      <c r="I427" s="1031"/>
      <c r="J427" s="1032"/>
    </row>
    <row r="428" spans="1:10">
      <c r="A428" s="1030"/>
      <c r="B428" s="1030"/>
      <c r="C428" s="1030"/>
      <c r="D428" s="1031"/>
      <c r="E428" s="1032"/>
      <c r="F428" s="1030"/>
      <c r="G428" s="1030"/>
      <c r="H428" s="1030"/>
      <c r="I428" s="1031"/>
      <c r="J428" s="1032"/>
    </row>
    <row r="429" spans="1:10">
      <c r="A429" s="1030"/>
      <c r="B429" s="1030"/>
      <c r="C429" s="1030"/>
      <c r="D429" s="1031"/>
      <c r="E429" s="1032"/>
      <c r="F429" s="1030"/>
      <c r="G429" s="1030"/>
      <c r="H429" s="1030"/>
      <c r="I429" s="1031"/>
      <c r="J429" s="1032"/>
    </row>
    <row r="430" spans="1:10">
      <c r="A430" s="1030"/>
      <c r="B430" s="1030"/>
      <c r="C430" s="1030"/>
      <c r="D430" s="1031"/>
      <c r="E430" s="1032"/>
      <c r="F430" s="1030"/>
      <c r="G430" s="1030"/>
      <c r="H430" s="1030"/>
      <c r="I430" s="1031"/>
      <c r="J430" s="1032"/>
    </row>
    <row r="431" spans="1:10">
      <c r="A431" s="1030"/>
      <c r="B431" s="1030"/>
      <c r="C431" s="1030"/>
      <c r="D431" s="1031"/>
      <c r="E431" s="1032"/>
      <c r="F431" s="1030"/>
      <c r="G431" s="1030"/>
      <c r="H431" s="1030"/>
      <c r="I431" s="1031"/>
      <c r="J431" s="1032"/>
    </row>
    <row r="432" spans="1:10">
      <c r="A432" s="1030"/>
      <c r="B432" s="1030"/>
      <c r="C432" s="1030"/>
      <c r="D432" s="1031"/>
      <c r="E432" s="1032"/>
      <c r="F432" s="1030"/>
      <c r="G432" s="1030"/>
      <c r="H432" s="1030"/>
      <c r="I432" s="1031"/>
      <c r="J432" s="1032"/>
    </row>
    <row r="433" spans="1:10">
      <c r="A433" s="1030"/>
      <c r="B433" s="1030"/>
      <c r="C433" s="1030"/>
      <c r="D433" s="1031"/>
      <c r="E433" s="1032"/>
      <c r="F433" s="1030"/>
      <c r="G433" s="1030"/>
      <c r="H433" s="1030"/>
      <c r="I433" s="1031"/>
      <c r="J433" s="1032"/>
    </row>
    <row r="434" spans="1:10">
      <c r="A434" s="1030"/>
      <c r="B434" s="1030"/>
      <c r="C434" s="1030"/>
      <c r="D434" s="1031"/>
      <c r="E434" s="1032"/>
      <c r="F434" s="1030"/>
      <c r="G434" s="1030"/>
      <c r="H434" s="1030"/>
      <c r="I434" s="1031"/>
      <c r="J434" s="1032"/>
    </row>
    <row r="435" spans="1:10">
      <c r="A435" s="1030"/>
      <c r="B435" s="1030"/>
      <c r="C435" s="1030"/>
      <c r="D435" s="1031"/>
      <c r="E435" s="1032"/>
      <c r="F435" s="1030"/>
      <c r="G435" s="1030"/>
      <c r="H435" s="1030"/>
      <c r="I435" s="1031"/>
      <c r="J435" s="1032"/>
    </row>
    <row r="436" spans="1:10">
      <c r="A436" s="1030"/>
      <c r="B436" s="1030"/>
      <c r="C436" s="1030"/>
      <c r="D436" s="1031"/>
      <c r="E436" s="1032"/>
      <c r="F436" s="1030"/>
      <c r="G436" s="1030"/>
      <c r="H436" s="1030"/>
      <c r="I436" s="1031"/>
      <c r="J436" s="1032"/>
    </row>
    <row r="437" spans="1:10">
      <c r="A437" s="1030"/>
      <c r="B437" s="1030"/>
      <c r="C437" s="1030"/>
      <c r="D437" s="1031"/>
      <c r="E437" s="1032"/>
      <c r="F437" s="1030"/>
      <c r="G437" s="1030"/>
      <c r="H437" s="1030"/>
      <c r="I437" s="1031"/>
      <c r="J437" s="1032"/>
    </row>
    <row r="438" spans="1:10">
      <c r="A438" s="1030"/>
      <c r="B438" s="1030"/>
      <c r="C438" s="1030"/>
      <c r="D438" s="1031"/>
      <c r="E438" s="1032"/>
      <c r="F438" s="1030"/>
      <c r="G438" s="1030"/>
      <c r="H438" s="1030"/>
      <c r="I438" s="1031"/>
      <c r="J438" s="1032"/>
    </row>
    <row r="439" spans="1:10">
      <c r="A439" s="1030"/>
      <c r="B439" s="1030"/>
      <c r="C439" s="1030"/>
      <c r="D439" s="1031"/>
      <c r="E439" s="1032"/>
      <c r="F439" s="1030"/>
      <c r="G439" s="1030"/>
      <c r="H439" s="1030"/>
      <c r="I439" s="1031"/>
      <c r="J439" s="1032"/>
    </row>
    <row r="440" spans="1:10">
      <c r="A440" s="1030"/>
      <c r="B440" s="1030"/>
      <c r="C440" s="1030"/>
      <c r="D440" s="1031"/>
      <c r="E440" s="1032"/>
      <c r="F440" s="1030"/>
      <c r="G440" s="1030"/>
      <c r="H440" s="1030"/>
      <c r="I440" s="1031"/>
      <c r="J440" s="1032"/>
    </row>
    <row r="441" spans="1:10">
      <c r="A441" s="1030"/>
      <c r="B441" s="1030"/>
      <c r="C441" s="1030"/>
      <c r="D441" s="1031"/>
      <c r="E441" s="1032"/>
      <c r="F441" s="1030"/>
      <c r="G441" s="1030"/>
      <c r="H441" s="1030"/>
      <c r="I441" s="1031"/>
      <c r="J441" s="1032"/>
    </row>
    <row r="442" spans="1:10">
      <c r="A442" s="1030"/>
      <c r="B442" s="1030"/>
      <c r="C442" s="1030"/>
      <c r="D442" s="1031"/>
      <c r="E442" s="1032"/>
      <c r="F442" s="1030"/>
      <c r="G442" s="1030"/>
      <c r="H442" s="1030"/>
      <c r="I442" s="1031"/>
      <c r="J442" s="1032"/>
    </row>
    <row r="443" spans="1:10">
      <c r="A443" s="1030"/>
      <c r="B443" s="1030"/>
      <c r="C443" s="1030"/>
      <c r="D443" s="1031"/>
      <c r="E443" s="1032"/>
      <c r="F443" s="1030"/>
      <c r="G443" s="1030"/>
      <c r="H443" s="1030"/>
      <c r="I443" s="1031"/>
      <c r="J443" s="1032"/>
    </row>
    <row r="444" spans="1:10">
      <c r="A444" s="1030"/>
      <c r="B444" s="1030"/>
      <c r="C444" s="1030"/>
      <c r="D444" s="1031"/>
      <c r="E444" s="1032"/>
      <c r="F444" s="1030"/>
      <c r="G444" s="1030"/>
      <c r="H444" s="1030"/>
      <c r="I444" s="1031"/>
      <c r="J444" s="1032"/>
    </row>
    <row r="445" spans="1:10">
      <c r="A445" s="1030"/>
      <c r="B445" s="1030"/>
      <c r="C445" s="1030"/>
      <c r="D445" s="1031"/>
      <c r="E445" s="1032"/>
      <c r="F445" s="1030"/>
      <c r="G445" s="1030"/>
      <c r="H445" s="1030"/>
      <c r="I445" s="1031"/>
      <c r="J445" s="1032"/>
    </row>
    <row r="446" spans="1:10">
      <c r="A446" s="1030"/>
      <c r="B446" s="1030"/>
      <c r="C446" s="1030"/>
      <c r="D446" s="1031"/>
      <c r="E446" s="1032"/>
      <c r="F446" s="1030"/>
      <c r="G446" s="1030"/>
      <c r="H446" s="1030"/>
      <c r="I446" s="1031"/>
      <c r="J446" s="1032"/>
    </row>
    <row r="447" spans="1:10">
      <c r="A447" s="1030"/>
      <c r="B447" s="1030"/>
      <c r="C447" s="1030"/>
      <c r="D447" s="1031"/>
      <c r="E447" s="1032"/>
      <c r="F447" s="1030"/>
      <c r="G447" s="1030"/>
      <c r="H447" s="1030"/>
      <c r="I447" s="1031"/>
      <c r="J447" s="1032"/>
    </row>
    <row r="448" spans="1:10">
      <c r="A448" s="1030"/>
      <c r="B448" s="1030"/>
      <c r="C448" s="1030"/>
      <c r="D448" s="1031"/>
      <c r="E448" s="1032"/>
      <c r="F448" s="1030"/>
      <c r="G448" s="1030"/>
      <c r="H448" s="1030"/>
      <c r="I448" s="1031"/>
      <c r="J448" s="1032"/>
    </row>
    <row r="449" spans="1:10">
      <c r="A449" s="1030"/>
      <c r="B449" s="1030"/>
      <c r="C449" s="1030"/>
      <c r="D449" s="1031"/>
      <c r="E449" s="1032"/>
      <c r="F449" s="1030"/>
      <c r="G449" s="1030"/>
      <c r="H449" s="1030"/>
      <c r="I449" s="1031"/>
      <c r="J449" s="1032"/>
    </row>
    <row r="450" spans="1:10">
      <c r="A450" s="1030"/>
      <c r="B450" s="1030"/>
      <c r="C450" s="1030"/>
      <c r="D450" s="1031"/>
      <c r="E450" s="1032"/>
      <c r="F450" s="1030"/>
      <c r="G450" s="1030"/>
      <c r="H450" s="1030"/>
      <c r="I450" s="1031"/>
      <c r="J450" s="1032"/>
    </row>
    <row r="451" spans="1:10">
      <c r="A451" s="1030"/>
      <c r="B451" s="1030"/>
      <c r="C451" s="1030"/>
      <c r="D451" s="1031"/>
      <c r="E451" s="1032"/>
      <c r="F451" s="1030"/>
      <c r="G451" s="1030"/>
      <c r="H451" s="1030"/>
      <c r="I451" s="1031"/>
      <c r="J451" s="1032"/>
    </row>
    <row r="452" spans="1:10">
      <c r="A452" s="1030"/>
      <c r="B452" s="1030"/>
      <c r="C452" s="1030"/>
      <c r="D452" s="1031"/>
      <c r="E452" s="1032"/>
      <c r="F452" s="1030"/>
      <c r="G452" s="1030"/>
      <c r="H452" s="1030"/>
      <c r="I452" s="1031"/>
      <c r="J452" s="1032"/>
    </row>
    <row r="453" spans="1:10">
      <c r="A453" s="1030"/>
      <c r="B453" s="1030"/>
      <c r="C453" s="1030"/>
      <c r="D453" s="1031"/>
      <c r="E453" s="1032"/>
      <c r="F453" s="1030"/>
      <c r="G453" s="1030"/>
      <c r="H453" s="1030"/>
      <c r="I453" s="1031"/>
      <c r="J453" s="1032"/>
    </row>
    <row r="454" spans="1:10">
      <c r="A454" s="1030"/>
      <c r="B454" s="1030"/>
      <c r="C454" s="1030"/>
      <c r="D454" s="1031"/>
      <c r="E454" s="1032"/>
      <c r="F454" s="1030"/>
      <c r="G454" s="1030"/>
      <c r="H454" s="1030"/>
      <c r="I454" s="1031"/>
      <c r="J454" s="1032"/>
    </row>
    <row r="455" spans="1:10">
      <c r="A455" s="1030"/>
      <c r="B455" s="1030"/>
      <c r="C455" s="1030"/>
      <c r="D455" s="1031"/>
      <c r="E455" s="1032"/>
      <c r="F455" s="1030"/>
      <c r="G455" s="1030"/>
      <c r="H455" s="1030"/>
      <c r="I455" s="1031"/>
      <c r="J455" s="1032"/>
    </row>
    <row r="456" spans="1:10">
      <c r="A456" s="1030"/>
      <c r="B456" s="1030"/>
      <c r="C456" s="1030"/>
      <c r="D456" s="1031"/>
      <c r="E456" s="1032"/>
      <c r="F456" s="1030"/>
      <c r="G456" s="1030"/>
      <c r="H456" s="1030"/>
      <c r="I456" s="1031"/>
      <c r="J456" s="1032"/>
    </row>
    <row r="457" spans="1:10">
      <c r="A457" s="1030"/>
      <c r="B457" s="1030"/>
      <c r="C457" s="1030"/>
      <c r="D457" s="1031"/>
      <c r="E457" s="1032"/>
      <c r="F457" s="1030"/>
      <c r="G457" s="1030"/>
      <c r="H457" s="1030"/>
      <c r="I457" s="1031"/>
      <c r="J457" s="1032"/>
    </row>
    <row r="458" spans="1:10">
      <c r="A458" s="1030"/>
      <c r="B458" s="1030"/>
      <c r="C458" s="1030"/>
      <c r="D458" s="1031"/>
      <c r="E458" s="1032"/>
      <c r="F458" s="1030"/>
      <c r="G458" s="1030"/>
      <c r="H458" s="1030"/>
      <c r="I458" s="1031"/>
      <c r="J458" s="1032"/>
    </row>
    <row r="459" spans="1:10">
      <c r="A459" s="1030"/>
      <c r="B459" s="1030"/>
      <c r="C459" s="1030"/>
      <c r="D459" s="1031"/>
      <c r="E459" s="1032"/>
      <c r="F459" s="1030"/>
      <c r="G459" s="1030"/>
      <c r="H459" s="1030"/>
      <c r="I459" s="1031"/>
      <c r="J459" s="1032"/>
    </row>
    <row r="460" spans="1:10">
      <c r="A460" s="1030"/>
      <c r="B460" s="1030"/>
      <c r="C460" s="1030"/>
      <c r="D460" s="1031"/>
      <c r="E460" s="1032"/>
      <c r="F460" s="1030"/>
      <c r="G460" s="1030"/>
      <c r="H460" s="1030"/>
      <c r="I460" s="1031"/>
      <c r="J460" s="1032"/>
    </row>
    <row r="461" spans="1:10">
      <c r="A461" s="1030"/>
      <c r="B461" s="1030"/>
      <c r="C461" s="1030"/>
      <c r="D461" s="1031"/>
      <c r="E461" s="1032"/>
      <c r="F461" s="1030"/>
      <c r="G461" s="1030"/>
      <c r="H461" s="1030"/>
      <c r="I461" s="1031"/>
      <c r="J461" s="1032"/>
    </row>
    <row r="462" spans="1:10">
      <c r="A462" s="1030"/>
      <c r="B462" s="1030"/>
      <c r="C462" s="1030"/>
      <c r="D462" s="1031"/>
      <c r="E462" s="1032"/>
      <c r="F462" s="1030"/>
      <c r="G462" s="1030"/>
      <c r="H462" s="1030"/>
      <c r="I462" s="1031"/>
      <c r="J462" s="1032"/>
    </row>
    <row r="463" spans="1:10">
      <c r="A463" s="1030"/>
      <c r="B463" s="1030"/>
      <c r="C463" s="1030"/>
      <c r="D463" s="1031"/>
      <c r="E463" s="1032"/>
      <c r="F463" s="1030"/>
      <c r="G463" s="1030"/>
      <c r="H463" s="1030"/>
      <c r="I463" s="1031"/>
      <c r="J463" s="1032"/>
    </row>
    <row r="464" spans="1:10">
      <c r="A464" s="1030"/>
      <c r="B464" s="1030"/>
      <c r="C464" s="1030"/>
      <c r="D464" s="1031"/>
      <c r="E464" s="1032"/>
      <c r="F464" s="1030"/>
      <c r="G464" s="1030"/>
      <c r="H464" s="1030"/>
      <c r="I464" s="1031"/>
      <c r="J464" s="1032"/>
    </row>
    <row r="465" spans="1:10">
      <c r="A465" s="1030"/>
      <c r="B465" s="1030"/>
      <c r="C465" s="1030"/>
      <c r="D465" s="1031"/>
      <c r="E465" s="1032"/>
      <c r="F465" s="1030"/>
      <c r="G465" s="1030"/>
      <c r="H465" s="1030"/>
      <c r="I465" s="1031"/>
      <c r="J465" s="1032"/>
    </row>
    <row r="466" spans="1:10">
      <c r="A466" s="1030"/>
      <c r="B466" s="1030"/>
      <c r="C466" s="1030"/>
      <c r="D466" s="1031"/>
      <c r="E466" s="1032"/>
      <c r="F466" s="1030"/>
      <c r="G466" s="1030"/>
      <c r="H466" s="1030"/>
      <c r="I466" s="1031"/>
      <c r="J466" s="1032"/>
    </row>
    <row r="467" spans="1:10">
      <c r="A467" s="1030"/>
      <c r="B467" s="1030"/>
      <c r="C467" s="1030"/>
      <c r="D467" s="1031"/>
      <c r="E467" s="1032"/>
      <c r="F467" s="1030"/>
      <c r="G467" s="1030"/>
      <c r="H467" s="1030"/>
      <c r="I467" s="1031"/>
      <c r="J467" s="1032"/>
    </row>
    <row r="468" spans="1:10">
      <c r="A468" s="1030"/>
      <c r="B468" s="1030"/>
      <c r="C468" s="1030"/>
      <c r="D468" s="1031"/>
      <c r="E468" s="1032"/>
      <c r="F468" s="1030"/>
      <c r="G468" s="1030"/>
      <c r="H468" s="1030"/>
      <c r="I468" s="1031"/>
      <c r="J468" s="1032"/>
    </row>
    <row r="469" spans="1:10">
      <c r="A469" s="1030"/>
      <c r="B469" s="1030"/>
      <c r="C469" s="1030"/>
      <c r="D469" s="1031"/>
      <c r="E469" s="1032"/>
      <c r="F469" s="1030"/>
      <c r="G469" s="1030"/>
      <c r="H469" s="1030"/>
      <c r="I469" s="1031"/>
      <c r="J469" s="1032"/>
    </row>
    <row r="470" spans="1:10">
      <c r="A470" s="1030"/>
      <c r="B470" s="1030"/>
      <c r="C470" s="1030"/>
      <c r="D470" s="1031"/>
      <c r="E470" s="1032"/>
      <c r="F470" s="1030"/>
      <c r="G470" s="1030"/>
      <c r="H470" s="1030"/>
      <c r="I470" s="1031"/>
      <c r="J470" s="1032"/>
    </row>
    <row r="471" spans="1:10">
      <c r="A471" s="1030"/>
      <c r="B471" s="1030"/>
      <c r="C471" s="1030"/>
      <c r="D471" s="1031"/>
      <c r="E471" s="1032"/>
      <c r="F471" s="1030"/>
      <c r="G471" s="1030"/>
      <c r="H471" s="1030"/>
      <c r="I471" s="1031"/>
      <c r="J471" s="1032"/>
    </row>
    <row r="472" spans="1:10">
      <c r="A472" s="1030"/>
      <c r="B472" s="1030"/>
      <c r="C472" s="1030"/>
      <c r="D472" s="1031"/>
      <c r="E472" s="1032"/>
      <c r="F472" s="1030"/>
      <c r="G472" s="1030"/>
      <c r="H472" s="1030"/>
      <c r="I472" s="1031"/>
      <c r="J472" s="1032"/>
    </row>
    <row r="473" spans="1:10">
      <c r="A473" s="1030"/>
      <c r="B473" s="1030"/>
      <c r="C473" s="1030"/>
      <c r="D473" s="1031"/>
      <c r="E473" s="1032"/>
      <c r="F473" s="1030"/>
      <c r="G473" s="1030"/>
      <c r="H473" s="1030"/>
      <c r="I473" s="1031"/>
      <c r="J473" s="1032"/>
    </row>
    <row r="474" spans="1:10">
      <c r="A474" s="1030"/>
      <c r="B474" s="1030"/>
      <c r="C474" s="1030"/>
      <c r="D474" s="1031"/>
      <c r="E474" s="1032"/>
      <c r="F474" s="1030"/>
      <c r="G474" s="1030"/>
      <c r="H474" s="1030"/>
      <c r="I474" s="1031"/>
      <c r="J474" s="1032"/>
    </row>
    <row r="475" spans="1:10">
      <c r="A475" s="1030"/>
      <c r="B475" s="1030"/>
      <c r="C475" s="1030"/>
      <c r="D475" s="1031"/>
      <c r="E475" s="1032"/>
      <c r="F475" s="1030"/>
      <c r="G475" s="1030"/>
      <c r="H475" s="1030"/>
      <c r="I475" s="1031"/>
      <c r="J475" s="1032"/>
    </row>
    <row r="476" spans="1:10">
      <c r="A476" s="1030"/>
      <c r="B476" s="1030"/>
      <c r="C476" s="1030"/>
      <c r="D476" s="1031"/>
      <c r="E476" s="1032"/>
      <c r="F476" s="1030"/>
      <c r="G476" s="1030"/>
      <c r="H476" s="1030"/>
      <c r="I476" s="1031"/>
      <c r="J476" s="1032"/>
    </row>
    <row r="477" spans="1:10">
      <c r="A477" s="1030"/>
      <c r="B477" s="1030"/>
      <c r="C477" s="1030"/>
      <c r="D477" s="1031"/>
      <c r="E477" s="1032"/>
      <c r="F477" s="1030"/>
      <c r="G477" s="1030"/>
      <c r="H477" s="1030"/>
      <c r="I477" s="1031"/>
      <c r="J477" s="1032"/>
    </row>
    <row r="478" spans="1:10">
      <c r="A478" s="1030"/>
      <c r="B478" s="1030"/>
      <c r="C478" s="1030"/>
      <c r="D478" s="1031"/>
      <c r="E478" s="1032"/>
      <c r="F478" s="1030"/>
      <c r="G478" s="1030"/>
      <c r="H478" s="1030"/>
      <c r="I478" s="1031"/>
      <c r="J478" s="1032"/>
    </row>
    <row r="479" spans="1:10">
      <c r="A479" s="1030"/>
      <c r="B479" s="1030"/>
      <c r="C479" s="1030"/>
      <c r="D479" s="1031"/>
      <c r="E479" s="1032"/>
      <c r="F479" s="1030"/>
      <c r="G479" s="1030"/>
      <c r="H479" s="1030"/>
      <c r="I479" s="1031"/>
      <c r="J479" s="1032"/>
    </row>
    <row r="480" spans="1:10">
      <c r="A480" s="1030"/>
      <c r="B480" s="1030"/>
      <c r="C480" s="1030"/>
      <c r="D480" s="1031"/>
      <c r="E480" s="1032"/>
      <c r="F480" s="1030"/>
      <c r="G480" s="1030"/>
      <c r="H480" s="1030"/>
      <c r="I480" s="1031"/>
      <c r="J480" s="1032"/>
    </row>
    <row r="481" spans="1:10">
      <c r="A481" s="1030"/>
      <c r="B481" s="1030"/>
      <c r="C481" s="1030"/>
      <c r="D481" s="1031"/>
      <c r="E481" s="1032"/>
      <c r="F481" s="1030"/>
      <c r="G481" s="1030"/>
      <c r="H481" s="1030"/>
      <c r="I481" s="1031"/>
      <c r="J481" s="1032"/>
    </row>
    <row r="482" spans="1:10">
      <c r="A482" s="1030"/>
      <c r="B482" s="1030"/>
      <c r="C482" s="1030"/>
      <c r="D482" s="1031"/>
      <c r="E482" s="1032"/>
      <c r="F482" s="1030"/>
      <c r="G482" s="1030"/>
      <c r="H482" s="1030"/>
      <c r="I482" s="1031"/>
      <c r="J482" s="1032"/>
    </row>
    <row r="483" spans="1:10">
      <c r="A483" s="1030"/>
      <c r="B483" s="1030"/>
      <c r="C483" s="1030"/>
      <c r="D483" s="1031"/>
      <c r="E483" s="1032"/>
      <c r="F483" s="1030"/>
      <c r="G483" s="1030"/>
      <c r="H483" s="1030"/>
      <c r="I483" s="1031"/>
      <c r="J483" s="1032"/>
    </row>
    <row r="484" spans="1:10">
      <c r="A484" s="1030"/>
      <c r="B484" s="1030"/>
      <c r="C484" s="1030"/>
      <c r="D484" s="1031"/>
      <c r="E484" s="1032"/>
      <c r="F484" s="1030"/>
      <c r="G484" s="1030"/>
      <c r="H484" s="1030"/>
      <c r="I484" s="1031"/>
      <c r="J484" s="1032"/>
    </row>
    <row r="485" spans="1:10">
      <c r="A485" s="1030"/>
      <c r="B485" s="1030"/>
      <c r="C485" s="1030"/>
      <c r="D485" s="1031"/>
      <c r="E485" s="1032"/>
      <c r="F485" s="1030"/>
      <c r="G485" s="1030"/>
      <c r="H485" s="1030"/>
      <c r="I485" s="1031"/>
      <c r="J485" s="1032"/>
    </row>
    <row r="486" spans="1:10">
      <c r="A486" s="1030"/>
      <c r="B486" s="1030"/>
      <c r="C486" s="1030"/>
      <c r="D486" s="1031"/>
      <c r="E486" s="1032"/>
      <c r="F486" s="1030"/>
      <c r="G486" s="1030"/>
      <c r="H486" s="1030"/>
      <c r="I486" s="1031"/>
      <c r="J486" s="1032"/>
    </row>
    <row r="487" spans="1:10">
      <c r="A487" s="1030"/>
      <c r="B487" s="1030"/>
      <c r="C487" s="1030"/>
      <c r="D487" s="1031"/>
      <c r="E487" s="1032"/>
      <c r="F487" s="1030"/>
      <c r="G487" s="1030"/>
      <c r="H487" s="1030"/>
      <c r="I487" s="1031"/>
      <c r="J487" s="1032"/>
    </row>
    <row r="488" spans="1:10">
      <c r="A488" s="1030"/>
      <c r="B488" s="1030"/>
      <c r="C488" s="1030"/>
      <c r="D488" s="1031"/>
      <c r="E488" s="1032"/>
      <c r="F488" s="1030"/>
      <c r="G488" s="1030"/>
      <c r="H488" s="1030"/>
      <c r="I488" s="1031"/>
      <c r="J488" s="1032"/>
    </row>
    <row r="489" spans="1:10">
      <c r="A489" s="1030"/>
      <c r="B489" s="1030"/>
      <c r="C489" s="1030"/>
      <c r="D489" s="1031"/>
      <c r="E489" s="1032"/>
      <c r="F489" s="1030"/>
      <c r="G489" s="1030"/>
      <c r="H489" s="1030"/>
      <c r="I489" s="1031"/>
      <c r="J489" s="1032"/>
    </row>
    <row r="490" spans="1:10">
      <c r="A490" s="1030"/>
      <c r="B490" s="1030"/>
      <c r="C490" s="1030"/>
      <c r="D490" s="1031"/>
      <c r="E490" s="1032"/>
      <c r="F490" s="1030"/>
      <c r="G490" s="1030"/>
      <c r="H490" s="1030"/>
      <c r="I490" s="1031"/>
      <c r="J490" s="1032"/>
    </row>
    <row r="491" spans="1:10">
      <c r="A491" s="1030"/>
      <c r="B491" s="1030"/>
      <c r="C491" s="1030"/>
      <c r="D491" s="1031"/>
      <c r="E491" s="1032"/>
      <c r="F491" s="1030"/>
      <c r="G491" s="1030"/>
      <c r="H491" s="1030"/>
      <c r="I491" s="1031"/>
      <c r="J491" s="1032"/>
    </row>
    <row r="492" spans="1:10">
      <c r="A492" s="1030"/>
      <c r="B492" s="1030"/>
      <c r="C492" s="1030"/>
      <c r="D492" s="1031"/>
      <c r="E492" s="1032"/>
      <c r="F492" s="1030"/>
      <c r="G492" s="1030"/>
      <c r="H492" s="1030"/>
      <c r="I492" s="1031"/>
      <c r="J492" s="1032"/>
    </row>
    <row r="493" spans="1:10">
      <c r="A493" s="1030"/>
      <c r="B493" s="1030"/>
      <c r="C493" s="1030"/>
      <c r="D493" s="1031"/>
      <c r="E493" s="1032"/>
      <c r="F493" s="1030"/>
      <c r="G493" s="1030"/>
      <c r="H493" s="1030"/>
      <c r="I493" s="1031"/>
      <c r="J493" s="1032"/>
    </row>
    <row r="494" spans="1:10">
      <c r="A494" s="1030"/>
      <c r="B494" s="1030"/>
      <c r="C494" s="1030"/>
      <c r="D494" s="1031"/>
      <c r="E494" s="1032"/>
      <c r="F494" s="1030"/>
      <c r="G494" s="1030"/>
      <c r="H494" s="1030"/>
      <c r="I494" s="1031"/>
      <c r="J494" s="1032"/>
    </row>
    <row r="495" spans="1:10">
      <c r="A495" s="1030"/>
      <c r="B495" s="1030"/>
      <c r="C495" s="1030"/>
      <c r="D495" s="1031"/>
      <c r="E495" s="1032"/>
      <c r="F495" s="1030"/>
      <c r="G495" s="1030"/>
      <c r="H495" s="1030"/>
      <c r="I495" s="1031"/>
      <c r="J495" s="1032"/>
    </row>
    <row r="496" spans="1:10">
      <c r="A496" s="1030"/>
      <c r="B496" s="1030"/>
      <c r="C496" s="1030"/>
      <c r="D496" s="1031"/>
      <c r="E496" s="1032"/>
      <c r="F496" s="1030"/>
      <c r="G496" s="1030"/>
      <c r="H496" s="1030"/>
      <c r="I496" s="1031"/>
      <c r="J496" s="1032"/>
    </row>
    <row r="497" spans="1:10">
      <c r="A497" s="1030"/>
      <c r="B497" s="1030"/>
      <c r="C497" s="1030"/>
      <c r="D497" s="1031"/>
      <c r="E497" s="1032"/>
      <c r="F497" s="1030"/>
      <c r="G497" s="1030"/>
      <c r="H497" s="1030"/>
      <c r="I497" s="1031"/>
      <c r="J497" s="1032"/>
    </row>
    <row r="498" spans="1:10">
      <c r="A498" s="1030"/>
      <c r="B498" s="1030"/>
      <c r="C498" s="1030"/>
      <c r="D498" s="1031"/>
      <c r="E498" s="1032"/>
      <c r="F498" s="1030"/>
      <c r="G498" s="1030"/>
      <c r="H498" s="1030"/>
      <c r="I498" s="1031"/>
      <c r="J498" s="1032"/>
    </row>
    <row r="499" spans="1:10">
      <c r="A499" s="1030"/>
      <c r="B499" s="1030"/>
      <c r="C499" s="1030"/>
      <c r="D499" s="1031"/>
      <c r="E499" s="1032"/>
      <c r="F499" s="1030"/>
      <c r="G499" s="1030"/>
      <c r="H499" s="1030"/>
      <c r="I499" s="1031"/>
      <c r="J499" s="1032"/>
    </row>
    <row r="500" spans="1:10">
      <c r="A500" s="1030"/>
      <c r="B500" s="1030"/>
      <c r="C500" s="1030"/>
      <c r="D500" s="1031"/>
      <c r="E500" s="1032"/>
      <c r="F500" s="1030"/>
      <c r="G500" s="1030"/>
      <c r="H500" s="1030"/>
      <c r="I500" s="1031"/>
      <c r="J500" s="1032"/>
    </row>
    <row r="501" spans="1:10">
      <c r="A501" s="1030"/>
      <c r="B501" s="1030"/>
      <c r="C501" s="1030"/>
      <c r="D501" s="1031"/>
      <c r="E501" s="1032"/>
      <c r="F501" s="1030"/>
      <c r="G501" s="1030"/>
      <c r="H501" s="1030"/>
      <c r="I501" s="1031"/>
      <c r="J501" s="1032"/>
    </row>
    <row r="502" spans="1:10">
      <c r="A502" s="1030"/>
      <c r="B502" s="1030"/>
      <c r="C502" s="1030"/>
      <c r="D502" s="1031"/>
      <c r="E502" s="1032"/>
      <c r="F502" s="1030"/>
      <c r="G502" s="1030"/>
      <c r="H502" s="1030"/>
      <c r="I502" s="1031"/>
      <c r="J502" s="1032"/>
    </row>
    <row r="503" spans="1:10">
      <c r="A503" s="1030"/>
      <c r="B503" s="1030"/>
      <c r="C503" s="1030"/>
      <c r="D503" s="1031"/>
      <c r="E503" s="1032"/>
      <c r="F503" s="1030"/>
      <c r="G503" s="1030"/>
      <c r="H503" s="1030"/>
      <c r="I503" s="1031"/>
      <c r="J503" s="1032"/>
    </row>
    <row r="504" spans="1:10">
      <c r="A504" s="1030"/>
      <c r="B504" s="1030"/>
      <c r="C504" s="1030"/>
      <c r="D504" s="1031"/>
      <c r="E504" s="1032"/>
      <c r="F504" s="1030"/>
      <c r="G504" s="1030"/>
      <c r="H504" s="1030"/>
      <c r="I504" s="1031"/>
      <c r="J504" s="1032"/>
    </row>
    <row r="505" spans="1:10">
      <c r="A505" s="1030"/>
      <c r="B505" s="1030"/>
      <c r="C505" s="1030"/>
      <c r="D505" s="1031"/>
      <c r="E505" s="1032"/>
      <c r="F505" s="1030"/>
      <c r="G505" s="1030"/>
      <c r="H505" s="1030"/>
      <c r="I505" s="1031"/>
      <c r="J505" s="1032"/>
    </row>
    <row r="506" spans="1:10">
      <c r="A506" s="1030"/>
      <c r="B506" s="1030"/>
      <c r="C506" s="1030"/>
      <c r="D506" s="1031"/>
      <c r="E506" s="1032"/>
      <c r="F506" s="1030"/>
      <c r="G506" s="1030"/>
      <c r="H506" s="1030"/>
      <c r="I506" s="1031"/>
      <c r="J506" s="1032"/>
    </row>
    <row r="507" spans="1:10">
      <c r="A507" s="1030"/>
      <c r="B507" s="1030"/>
      <c r="C507" s="1030"/>
      <c r="D507" s="1031"/>
      <c r="E507" s="1032"/>
      <c r="F507" s="1030"/>
      <c r="G507" s="1030"/>
      <c r="H507" s="1030"/>
      <c r="I507" s="1031"/>
      <c r="J507" s="1032"/>
    </row>
    <row r="508" spans="1:10">
      <c r="A508" s="1030"/>
      <c r="B508" s="1030"/>
      <c r="C508" s="1030"/>
      <c r="D508" s="1031"/>
      <c r="E508" s="1032"/>
      <c r="F508" s="1030"/>
      <c r="G508" s="1030"/>
      <c r="H508" s="1030"/>
      <c r="I508" s="1031"/>
      <c r="J508" s="1032"/>
    </row>
    <row r="509" spans="1:10">
      <c r="A509" s="1030"/>
      <c r="B509" s="1030"/>
      <c r="C509" s="1030"/>
      <c r="D509" s="1031"/>
      <c r="E509" s="1032"/>
      <c r="F509" s="1030"/>
      <c r="G509" s="1030"/>
      <c r="H509" s="1030"/>
      <c r="I509" s="1031"/>
      <c r="J509" s="1032"/>
    </row>
    <row r="510" spans="1:10">
      <c r="A510" s="1030"/>
      <c r="B510" s="1030"/>
      <c r="C510" s="1030"/>
      <c r="D510" s="1031"/>
      <c r="E510" s="1032"/>
      <c r="F510" s="1030"/>
      <c r="G510" s="1030"/>
      <c r="H510" s="1030"/>
      <c r="I510" s="1031"/>
      <c r="J510" s="1032"/>
    </row>
    <row r="511" spans="1:10">
      <c r="A511" s="1030"/>
      <c r="B511" s="1030"/>
      <c r="C511" s="1030"/>
      <c r="D511" s="1031"/>
      <c r="E511" s="1032"/>
      <c r="F511" s="1030"/>
      <c r="G511" s="1030"/>
      <c r="H511" s="1030"/>
      <c r="I511" s="1031"/>
      <c r="J511" s="1032"/>
    </row>
    <row r="512" spans="1:10">
      <c r="A512" s="1030"/>
      <c r="B512" s="1030"/>
      <c r="C512" s="1030"/>
      <c r="D512" s="1031"/>
      <c r="E512" s="1032"/>
      <c r="F512" s="1030"/>
      <c r="G512" s="1030"/>
      <c r="H512" s="1030"/>
      <c r="I512" s="1031"/>
      <c r="J512" s="1032"/>
    </row>
    <row r="513" spans="1:10">
      <c r="A513" s="1030"/>
      <c r="B513" s="1030"/>
      <c r="C513" s="1030"/>
      <c r="D513" s="1031"/>
      <c r="E513" s="1032"/>
      <c r="F513" s="1030"/>
      <c r="G513" s="1030"/>
      <c r="H513" s="1030"/>
      <c r="I513" s="1031"/>
      <c r="J513" s="1032"/>
    </row>
    <row r="514" spans="1:10">
      <c r="A514" s="1030"/>
      <c r="B514" s="1030"/>
      <c r="C514" s="1030"/>
      <c r="D514" s="1031"/>
      <c r="E514" s="1032"/>
      <c r="F514" s="1030"/>
      <c r="G514" s="1030"/>
      <c r="H514" s="1030"/>
      <c r="I514" s="1031"/>
      <c r="J514" s="1032"/>
    </row>
    <row r="515" spans="1:10">
      <c r="A515" s="1030"/>
      <c r="B515" s="1030"/>
      <c r="C515" s="1030"/>
      <c r="D515" s="1031"/>
      <c r="E515" s="1032"/>
      <c r="F515" s="1030"/>
      <c r="G515" s="1030"/>
      <c r="H515" s="1030"/>
      <c r="I515" s="1031"/>
      <c r="J515" s="1032"/>
    </row>
    <row r="516" spans="1:10">
      <c r="A516" s="1030"/>
      <c r="B516" s="1030"/>
      <c r="C516" s="1030"/>
      <c r="D516" s="1031"/>
      <c r="E516" s="1032"/>
      <c r="F516" s="1030"/>
      <c r="G516" s="1030"/>
      <c r="H516" s="1030"/>
      <c r="I516" s="1031"/>
      <c r="J516" s="1032"/>
    </row>
    <row r="517" spans="1:10">
      <c r="A517" s="1030"/>
      <c r="B517" s="1030"/>
      <c r="C517" s="1030"/>
      <c r="D517" s="1031"/>
      <c r="E517" s="1032"/>
      <c r="F517" s="1030"/>
      <c r="G517" s="1030"/>
      <c r="H517" s="1030"/>
      <c r="I517" s="1031"/>
      <c r="J517" s="1032"/>
    </row>
    <row r="518" spans="1:10">
      <c r="A518" s="1030"/>
      <c r="B518" s="1030"/>
      <c r="C518" s="1030"/>
      <c r="D518" s="1031"/>
      <c r="E518" s="1032"/>
      <c r="F518" s="1030"/>
      <c r="G518" s="1030"/>
      <c r="H518" s="1030"/>
      <c r="I518" s="1031"/>
      <c r="J518" s="1032"/>
    </row>
    <row r="519" spans="1:10">
      <c r="A519" s="1030"/>
      <c r="B519" s="1030"/>
      <c r="C519" s="1030"/>
      <c r="D519" s="1031"/>
      <c r="E519" s="1032"/>
      <c r="F519" s="1030"/>
      <c r="G519" s="1030"/>
      <c r="H519" s="1030"/>
      <c r="I519" s="1031"/>
      <c r="J519" s="1032"/>
    </row>
    <row r="520" spans="1:10">
      <c r="A520" s="1030"/>
      <c r="B520" s="1030"/>
      <c r="C520" s="1030"/>
      <c r="D520" s="1031"/>
      <c r="E520" s="1032"/>
      <c r="F520" s="1030"/>
      <c r="G520" s="1030"/>
      <c r="H520" s="1030"/>
      <c r="I520" s="1031"/>
      <c r="J520" s="1032"/>
    </row>
    <row r="521" spans="1:10">
      <c r="A521" s="1030"/>
      <c r="B521" s="1030"/>
      <c r="C521" s="1030"/>
      <c r="D521" s="1031"/>
      <c r="E521" s="1032"/>
      <c r="F521" s="1030"/>
      <c r="G521" s="1030"/>
      <c r="H521" s="1030"/>
      <c r="I521" s="1031"/>
      <c r="J521" s="1032"/>
    </row>
    <row r="522" spans="1:10">
      <c r="A522" s="1030"/>
      <c r="B522" s="1030"/>
      <c r="C522" s="1030"/>
      <c r="D522" s="1031"/>
      <c r="E522" s="1032"/>
      <c r="F522" s="1030"/>
      <c r="G522" s="1030"/>
      <c r="H522" s="1030"/>
      <c r="I522" s="1031"/>
      <c r="J522" s="1032"/>
    </row>
    <row r="523" spans="1:10">
      <c r="A523" s="1030"/>
      <c r="B523" s="1030"/>
      <c r="C523" s="1030"/>
      <c r="D523" s="1031"/>
      <c r="E523" s="1032"/>
      <c r="F523" s="1030"/>
      <c r="G523" s="1030"/>
      <c r="H523" s="1030"/>
      <c r="I523" s="1031"/>
      <c r="J523" s="1032"/>
    </row>
    <row r="524" spans="1:10">
      <c r="A524" s="1030"/>
      <c r="B524" s="1030"/>
      <c r="C524" s="1030"/>
      <c r="D524" s="1031"/>
      <c r="E524" s="1032"/>
      <c r="F524" s="1030"/>
      <c r="G524" s="1030"/>
      <c r="H524" s="1030"/>
      <c r="I524" s="1031"/>
      <c r="J524" s="1032"/>
    </row>
    <row r="525" spans="1:10">
      <c r="A525" s="1030"/>
      <c r="B525" s="1030"/>
      <c r="C525" s="1030"/>
      <c r="D525" s="1031"/>
      <c r="E525" s="1032"/>
      <c r="F525" s="1030"/>
      <c r="G525" s="1030"/>
      <c r="H525" s="1030"/>
      <c r="I525" s="1031"/>
      <c r="J525" s="1032"/>
    </row>
    <row r="526" spans="1:10">
      <c r="A526" s="1030"/>
      <c r="B526" s="1030"/>
      <c r="C526" s="1030"/>
      <c r="D526" s="1031"/>
      <c r="E526" s="1032"/>
      <c r="F526" s="1030"/>
      <c r="G526" s="1030"/>
      <c r="H526" s="1030"/>
      <c r="I526" s="1031"/>
      <c r="J526" s="1032"/>
    </row>
    <row r="527" spans="1:10">
      <c r="A527" s="1030"/>
      <c r="B527" s="1030"/>
      <c r="C527" s="1030"/>
      <c r="D527" s="1031"/>
      <c r="E527" s="1032"/>
      <c r="F527" s="1030"/>
      <c r="G527" s="1030"/>
      <c r="H527" s="1030"/>
      <c r="I527" s="1031"/>
      <c r="J527" s="1032"/>
    </row>
    <row r="528" spans="1:10">
      <c r="A528" s="1030"/>
      <c r="B528" s="1030"/>
      <c r="C528" s="1030"/>
      <c r="D528" s="1031"/>
      <c r="E528" s="1032"/>
      <c r="F528" s="1030"/>
      <c r="G528" s="1030"/>
      <c r="H528" s="1030"/>
      <c r="I528" s="1031"/>
      <c r="J528" s="1032"/>
    </row>
    <row r="529" spans="1:10">
      <c r="A529" s="1030"/>
      <c r="B529" s="1030"/>
      <c r="C529" s="1030"/>
      <c r="D529" s="1031"/>
      <c r="E529" s="1032"/>
      <c r="F529" s="1030"/>
      <c r="G529" s="1030"/>
      <c r="H529" s="1030"/>
      <c r="I529" s="1031"/>
      <c r="J529" s="1032"/>
    </row>
    <row r="530" spans="1:10">
      <c r="A530" s="1030"/>
      <c r="B530" s="1030"/>
      <c r="C530" s="1030"/>
      <c r="D530" s="1031"/>
      <c r="E530" s="1032"/>
      <c r="F530" s="1030"/>
      <c r="G530" s="1030"/>
      <c r="H530" s="1030"/>
      <c r="I530" s="1031"/>
      <c r="J530" s="1032"/>
    </row>
    <row r="531" spans="1:10">
      <c r="A531" s="1030"/>
      <c r="B531" s="1030"/>
      <c r="C531" s="1030"/>
      <c r="D531" s="1031"/>
      <c r="E531" s="1032"/>
      <c r="F531" s="1030"/>
      <c r="G531" s="1030"/>
      <c r="H531" s="1030"/>
      <c r="I531" s="1031"/>
      <c r="J531" s="1032"/>
    </row>
    <row r="532" spans="1:10">
      <c r="A532" s="1030"/>
      <c r="B532" s="1030"/>
      <c r="C532" s="1030"/>
      <c r="D532" s="1031"/>
      <c r="E532" s="1032"/>
      <c r="F532" s="1030"/>
      <c r="G532" s="1030"/>
      <c r="H532" s="1030"/>
      <c r="I532" s="1031"/>
      <c r="J532" s="1032"/>
    </row>
    <row r="533" spans="1:10">
      <c r="A533" s="1030"/>
      <c r="B533" s="1030"/>
      <c r="C533" s="1030"/>
      <c r="D533" s="1031"/>
      <c r="E533" s="1032"/>
      <c r="F533" s="1030"/>
      <c r="G533" s="1030"/>
      <c r="H533" s="1030"/>
      <c r="I533" s="1031"/>
      <c r="J533" s="1032"/>
    </row>
    <row r="534" spans="1:10">
      <c r="A534" s="1030"/>
      <c r="B534" s="1030"/>
      <c r="C534" s="1030"/>
      <c r="D534" s="1031"/>
      <c r="E534" s="1032"/>
      <c r="F534" s="1030"/>
      <c r="G534" s="1030"/>
      <c r="H534" s="1030"/>
      <c r="I534" s="1031"/>
      <c r="J534" s="1032"/>
    </row>
    <row r="535" spans="1:10">
      <c r="A535" s="1030"/>
      <c r="B535" s="1030"/>
      <c r="C535" s="1030"/>
      <c r="D535" s="1031"/>
      <c r="E535" s="1032"/>
      <c r="F535" s="1030"/>
      <c r="G535" s="1030"/>
      <c r="H535" s="1030"/>
      <c r="I535" s="1031"/>
      <c r="J535" s="1032"/>
    </row>
    <row r="536" spans="1:10">
      <c r="A536" s="1030"/>
      <c r="B536" s="1030"/>
      <c r="C536" s="1030"/>
      <c r="D536" s="1031"/>
      <c r="E536" s="1032"/>
      <c r="F536" s="1030"/>
      <c r="G536" s="1030"/>
      <c r="H536" s="1030"/>
      <c r="I536" s="1031"/>
      <c r="J536" s="1032"/>
    </row>
    <row r="537" spans="1:10">
      <c r="A537" s="1030"/>
      <c r="B537" s="1030"/>
      <c r="C537" s="1030"/>
      <c r="D537" s="1031"/>
      <c r="E537" s="1032"/>
      <c r="F537" s="1030"/>
      <c r="G537" s="1030"/>
      <c r="H537" s="1030"/>
      <c r="I537" s="1031"/>
      <c r="J537" s="1032"/>
    </row>
    <row r="538" spans="1:10">
      <c r="A538" s="1030"/>
      <c r="B538" s="1030"/>
      <c r="C538" s="1030"/>
      <c r="D538" s="1031"/>
      <c r="E538" s="1032"/>
      <c r="F538" s="1030"/>
      <c r="G538" s="1030"/>
      <c r="H538" s="1030"/>
      <c r="I538" s="1031"/>
      <c r="J538" s="1032"/>
    </row>
    <row r="539" spans="1:10">
      <c r="A539" s="1030"/>
      <c r="B539" s="1030"/>
      <c r="C539" s="1030"/>
      <c r="D539" s="1031"/>
      <c r="E539" s="1032"/>
      <c r="F539" s="1030"/>
      <c r="G539" s="1030"/>
      <c r="H539" s="1030"/>
      <c r="I539" s="1031"/>
      <c r="J539" s="1032"/>
    </row>
    <row r="540" spans="1:10">
      <c r="A540" s="1030"/>
      <c r="B540" s="1030"/>
      <c r="C540" s="1030"/>
      <c r="D540" s="1031"/>
      <c r="E540" s="1032"/>
      <c r="F540" s="1030"/>
      <c r="G540" s="1030"/>
      <c r="H540" s="1030"/>
      <c r="I540" s="1031"/>
      <c r="J540" s="1032"/>
    </row>
    <row r="541" spans="1:10">
      <c r="A541" s="1030"/>
      <c r="B541" s="1030"/>
      <c r="C541" s="1030"/>
      <c r="D541" s="1031"/>
      <c r="E541" s="1032"/>
      <c r="F541" s="1030"/>
      <c r="G541" s="1030"/>
      <c r="H541" s="1030"/>
      <c r="I541" s="1031"/>
      <c r="J541" s="1032"/>
    </row>
    <row r="542" spans="1:10">
      <c r="A542" s="1030"/>
      <c r="B542" s="1030"/>
      <c r="C542" s="1030"/>
      <c r="D542" s="1031"/>
      <c r="E542" s="1032"/>
      <c r="F542" s="1030"/>
      <c r="G542" s="1030"/>
      <c r="H542" s="1030"/>
      <c r="I542" s="1031"/>
      <c r="J542" s="1032"/>
    </row>
    <row r="543" spans="1:10">
      <c r="A543" s="1030"/>
      <c r="B543" s="1030"/>
      <c r="C543" s="1030"/>
      <c r="D543" s="1031"/>
      <c r="E543" s="1032"/>
      <c r="F543" s="1030"/>
      <c r="G543" s="1030"/>
      <c r="H543" s="1030"/>
      <c r="I543" s="1031"/>
      <c r="J543" s="1032"/>
    </row>
    <row r="544" spans="1:10">
      <c r="A544" s="1030"/>
      <c r="B544" s="1030"/>
      <c r="C544" s="1030"/>
      <c r="D544" s="1031"/>
      <c r="E544" s="1032"/>
      <c r="F544" s="1030"/>
      <c r="G544" s="1030"/>
      <c r="H544" s="1030"/>
      <c r="I544" s="1031"/>
      <c r="J544" s="1032"/>
    </row>
    <row r="545" spans="1:10">
      <c r="A545" s="1030"/>
      <c r="B545" s="1030"/>
      <c r="C545" s="1030"/>
      <c r="D545" s="1031"/>
      <c r="E545" s="1032"/>
      <c r="F545" s="1030"/>
      <c r="G545" s="1030"/>
      <c r="H545" s="1030"/>
      <c r="I545" s="1031"/>
      <c r="J545" s="1032"/>
    </row>
    <row r="546" spans="1:10">
      <c r="A546" s="1030"/>
      <c r="B546" s="1030"/>
      <c r="C546" s="1030"/>
      <c r="D546" s="1031"/>
      <c r="E546" s="1032"/>
      <c r="F546" s="1030"/>
      <c r="G546" s="1030"/>
      <c r="H546" s="1030"/>
      <c r="I546" s="1031"/>
      <c r="J546" s="1032"/>
    </row>
    <row r="547" spans="1:10">
      <c r="A547" s="1030"/>
      <c r="B547" s="1030"/>
      <c r="C547" s="1030"/>
      <c r="D547" s="1031"/>
      <c r="E547" s="1032"/>
      <c r="F547" s="1030"/>
      <c r="G547" s="1030"/>
      <c r="H547" s="1030"/>
      <c r="I547" s="1031"/>
      <c r="J547" s="1032"/>
    </row>
    <row r="548" spans="1:10">
      <c r="A548" s="1030"/>
      <c r="B548" s="1030"/>
      <c r="C548" s="1030"/>
      <c r="D548" s="1031"/>
      <c r="E548" s="1032"/>
      <c r="F548" s="1030"/>
      <c r="G548" s="1030"/>
      <c r="H548" s="1030"/>
      <c r="I548" s="1031"/>
      <c r="J548" s="1032"/>
    </row>
    <row r="549" spans="1:10">
      <c r="A549" s="1030"/>
      <c r="B549" s="1030"/>
      <c r="C549" s="1030"/>
      <c r="D549" s="1031"/>
      <c r="E549" s="1032"/>
      <c r="F549" s="1030"/>
      <c r="G549" s="1030"/>
      <c r="H549" s="1030"/>
      <c r="I549" s="1031"/>
      <c r="J549" s="1032"/>
    </row>
    <row r="550" spans="1:10">
      <c r="A550" s="1030"/>
      <c r="B550" s="1030"/>
      <c r="C550" s="1030"/>
      <c r="D550" s="1031"/>
      <c r="E550" s="1032"/>
      <c r="F550" s="1030"/>
      <c r="G550" s="1030"/>
      <c r="H550" s="1030"/>
      <c r="I550" s="1031"/>
      <c r="J550" s="1032"/>
    </row>
    <row r="551" spans="1:10">
      <c r="A551" s="1030"/>
      <c r="B551" s="1030"/>
      <c r="C551" s="1030"/>
      <c r="D551" s="1031"/>
      <c r="E551" s="1032"/>
      <c r="F551" s="1030"/>
      <c r="G551" s="1030"/>
      <c r="H551" s="1030"/>
      <c r="I551" s="1031"/>
      <c r="J551" s="1032"/>
    </row>
    <row r="552" spans="1:10">
      <c r="A552" s="1030"/>
      <c r="B552" s="1030"/>
      <c r="C552" s="1030"/>
      <c r="D552" s="1031"/>
      <c r="E552" s="1032"/>
      <c r="F552" s="1030"/>
      <c r="G552" s="1030"/>
      <c r="H552" s="1030"/>
      <c r="I552" s="1031"/>
      <c r="J552" s="1032"/>
    </row>
    <row r="553" spans="1:10">
      <c r="A553" s="1030"/>
      <c r="B553" s="1030"/>
      <c r="C553" s="1030"/>
      <c r="D553" s="1031"/>
      <c r="E553" s="1032"/>
      <c r="F553" s="1030"/>
      <c r="G553" s="1030"/>
      <c r="H553" s="1030"/>
      <c r="I553" s="1031"/>
      <c r="J553" s="1032"/>
    </row>
    <row r="554" spans="1:10">
      <c r="A554" s="1030"/>
      <c r="B554" s="1030"/>
      <c r="C554" s="1030"/>
      <c r="D554" s="1031"/>
      <c r="E554" s="1032"/>
      <c r="F554" s="1030"/>
      <c r="G554" s="1030"/>
      <c r="H554" s="1030"/>
      <c r="I554" s="1031"/>
      <c r="J554" s="1032"/>
    </row>
    <row r="555" spans="1:10">
      <c r="A555" s="1030"/>
      <c r="B555" s="1030"/>
      <c r="C555" s="1030"/>
      <c r="D555" s="1031"/>
      <c r="E555" s="1032"/>
      <c r="F555" s="1030"/>
      <c r="G555" s="1030"/>
      <c r="H555" s="1030"/>
      <c r="I555" s="1031"/>
      <c r="J555" s="1032"/>
    </row>
    <row r="556" spans="1:10">
      <c r="A556" s="1030"/>
      <c r="B556" s="1030"/>
      <c r="C556" s="1030"/>
      <c r="D556" s="1031"/>
      <c r="E556" s="1032"/>
      <c r="F556" s="1030"/>
      <c r="G556" s="1030"/>
      <c r="H556" s="1030"/>
      <c r="I556" s="1031"/>
      <c r="J556" s="1032"/>
    </row>
    <row r="557" spans="1:10">
      <c r="A557" s="1030"/>
      <c r="B557" s="1030"/>
      <c r="C557" s="1030"/>
      <c r="D557" s="1031"/>
      <c r="E557" s="1032"/>
      <c r="F557" s="1030"/>
      <c r="G557" s="1030"/>
      <c r="H557" s="1030"/>
      <c r="I557" s="1031"/>
      <c r="J557" s="1032"/>
    </row>
    <row r="558" spans="1:10">
      <c r="A558" s="1030"/>
      <c r="B558" s="1030"/>
      <c r="C558" s="1030"/>
      <c r="D558" s="1031"/>
      <c r="E558" s="1032"/>
      <c r="F558" s="1030"/>
      <c r="G558" s="1030"/>
      <c r="H558" s="1030"/>
      <c r="I558" s="1031"/>
      <c r="J558" s="1032"/>
    </row>
    <row r="559" spans="1:10">
      <c r="A559" s="1030"/>
      <c r="B559" s="1030"/>
      <c r="C559" s="1030"/>
      <c r="D559" s="1031"/>
      <c r="E559" s="1032"/>
      <c r="F559" s="1030"/>
      <c r="G559" s="1030"/>
      <c r="H559" s="1030"/>
      <c r="I559" s="1031"/>
      <c r="J559" s="1032"/>
    </row>
    <row r="560" spans="1:10">
      <c r="A560" s="1030"/>
      <c r="B560" s="1030"/>
      <c r="C560" s="1030"/>
      <c r="D560" s="1031"/>
      <c r="E560" s="1032"/>
      <c r="F560" s="1030"/>
      <c r="G560" s="1030"/>
      <c r="H560" s="1030"/>
      <c r="I560" s="1031"/>
      <c r="J560" s="1032"/>
    </row>
    <row r="561" spans="1:10">
      <c r="A561" s="1030"/>
      <c r="B561" s="1030"/>
      <c r="C561" s="1030"/>
      <c r="D561" s="1031"/>
      <c r="E561" s="1032"/>
      <c r="F561" s="1030"/>
      <c r="G561" s="1030"/>
      <c r="H561" s="1030"/>
      <c r="I561" s="1031"/>
      <c r="J561" s="1032"/>
    </row>
    <row r="562" spans="1:10">
      <c r="A562" s="1030"/>
      <c r="B562" s="1030"/>
      <c r="C562" s="1030"/>
      <c r="D562" s="1031"/>
      <c r="E562" s="1032"/>
      <c r="F562" s="1030"/>
      <c r="G562" s="1030"/>
      <c r="H562" s="1030"/>
      <c r="I562" s="1031"/>
      <c r="J562" s="1032"/>
    </row>
    <row r="563" spans="1:10">
      <c r="A563" s="1030"/>
      <c r="B563" s="1030"/>
      <c r="C563" s="1030"/>
      <c r="D563" s="1031"/>
      <c r="E563" s="1032"/>
      <c r="F563" s="1030"/>
      <c r="G563" s="1030"/>
      <c r="H563" s="1030"/>
      <c r="I563" s="1031"/>
      <c r="J563" s="1032"/>
    </row>
    <row r="564" spans="1:10">
      <c r="A564" s="1030"/>
      <c r="B564" s="1030"/>
      <c r="C564" s="1030"/>
      <c r="D564" s="1031"/>
      <c r="E564" s="1032"/>
      <c r="F564" s="1030"/>
      <c r="G564" s="1030"/>
      <c r="H564" s="1030"/>
      <c r="I564" s="1031"/>
      <c r="J564" s="1032"/>
    </row>
    <row r="565" spans="1:10">
      <c r="A565" s="1030"/>
      <c r="B565" s="1030"/>
      <c r="C565" s="1030"/>
      <c r="D565" s="1031"/>
      <c r="E565" s="1032"/>
      <c r="F565" s="1030"/>
      <c r="G565" s="1030"/>
      <c r="H565" s="1030"/>
      <c r="I565" s="1031"/>
      <c r="J565" s="1032"/>
    </row>
    <row r="566" spans="1:10">
      <c r="A566" s="1030"/>
      <c r="B566" s="1030"/>
      <c r="C566" s="1030"/>
      <c r="D566" s="1031"/>
      <c r="E566" s="1032"/>
      <c r="F566" s="1030"/>
      <c r="G566" s="1030"/>
      <c r="H566" s="1030"/>
      <c r="I566" s="1031"/>
      <c r="J566" s="1032"/>
    </row>
    <row r="567" spans="1:10">
      <c r="A567" s="1030"/>
      <c r="B567" s="1030"/>
      <c r="C567" s="1030"/>
      <c r="D567" s="1031"/>
      <c r="E567" s="1032"/>
      <c r="F567" s="1030"/>
      <c r="G567" s="1030"/>
      <c r="H567" s="1030"/>
      <c r="I567" s="1031"/>
      <c r="J567" s="1032"/>
    </row>
    <row r="568" spans="1:10">
      <c r="A568" s="1030"/>
      <c r="B568" s="1030"/>
      <c r="C568" s="1030"/>
      <c r="D568" s="1031"/>
      <c r="E568" s="1032"/>
      <c r="F568" s="1030"/>
      <c r="G568" s="1030"/>
      <c r="H568" s="1030"/>
      <c r="I568" s="1031"/>
      <c r="J568" s="1032"/>
    </row>
    <row r="569" spans="1:10">
      <c r="A569" s="1030"/>
      <c r="B569" s="1030"/>
      <c r="C569" s="1030"/>
      <c r="D569" s="1031"/>
      <c r="E569" s="1032"/>
      <c r="F569" s="1030"/>
      <c r="G569" s="1030"/>
      <c r="H569" s="1030"/>
      <c r="I569" s="1031"/>
      <c r="J569" s="1032"/>
    </row>
    <row r="570" spans="1:10">
      <c r="A570" s="1030"/>
      <c r="B570" s="1030"/>
      <c r="C570" s="1030"/>
      <c r="D570" s="1031"/>
      <c r="E570" s="1032"/>
      <c r="F570" s="1030"/>
      <c r="G570" s="1030"/>
      <c r="H570" s="1030"/>
      <c r="I570" s="1031"/>
      <c r="J570" s="1032"/>
    </row>
    <row r="571" spans="1:10">
      <c r="A571" s="1030"/>
      <c r="B571" s="1030"/>
      <c r="C571" s="1030"/>
      <c r="D571" s="1031"/>
      <c r="E571" s="1032"/>
      <c r="F571" s="1030"/>
      <c r="G571" s="1030"/>
      <c r="H571" s="1030"/>
      <c r="I571" s="1031"/>
      <c r="J571" s="1032"/>
    </row>
    <row r="572" spans="1:10">
      <c r="A572" s="1030"/>
      <c r="B572" s="1030"/>
      <c r="C572" s="1030"/>
      <c r="D572" s="1031"/>
      <c r="E572" s="1032"/>
      <c r="F572" s="1030"/>
      <c r="G572" s="1030"/>
      <c r="H572" s="1030"/>
      <c r="I572" s="1031"/>
      <c r="J572" s="1032"/>
    </row>
    <row r="573" spans="1:10">
      <c r="A573" s="1030"/>
      <c r="B573" s="1030"/>
      <c r="C573" s="1030"/>
      <c r="D573" s="1031"/>
      <c r="E573" s="1032"/>
      <c r="F573" s="1030"/>
      <c r="G573" s="1030"/>
      <c r="H573" s="1030"/>
      <c r="I573" s="1031"/>
      <c r="J573" s="1032"/>
    </row>
    <row r="574" spans="1:10">
      <c r="A574" s="1030"/>
      <c r="B574" s="1030"/>
      <c r="C574" s="1030"/>
      <c r="D574" s="1031"/>
      <c r="E574" s="1032"/>
      <c r="F574" s="1030"/>
      <c r="G574" s="1030"/>
      <c r="H574" s="1030"/>
      <c r="I574" s="1031"/>
      <c r="J574" s="1032"/>
    </row>
    <row r="575" spans="1:10">
      <c r="A575" s="1030"/>
      <c r="B575" s="1030"/>
      <c r="C575" s="1030"/>
      <c r="D575" s="1031"/>
      <c r="E575" s="1032"/>
      <c r="F575" s="1030"/>
      <c r="G575" s="1030"/>
      <c r="H575" s="1030"/>
      <c r="I575" s="1031"/>
      <c r="J575" s="1032"/>
    </row>
    <row r="576" spans="1:10">
      <c r="A576" s="1030"/>
      <c r="B576" s="1030"/>
      <c r="C576" s="1030"/>
      <c r="D576" s="1031"/>
      <c r="E576" s="1032"/>
      <c r="F576" s="1030"/>
      <c r="G576" s="1030"/>
      <c r="H576" s="1030"/>
      <c r="I576" s="1031"/>
      <c r="J576" s="1032"/>
    </row>
    <row r="577" spans="1:10">
      <c r="A577" s="1030"/>
      <c r="B577" s="1030"/>
      <c r="C577" s="1030"/>
      <c r="D577" s="1031"/>
      <c r="E577" s="1032"/>
      <c r="F577" s="1030"/>
      <c r="G577" s="1030"/>
      <c r="H577" s="1030"/>
      <c r="I577" s="1031"/>
      <c r="J577" s="1032"/>
    </row>
    <row r="578" spans="1:10">
      <c r="A578" s="1030"/>
      <c r="B578" s="1030"/>
      <c r="C578" s="1030"/>
      <c r="D578" s="1031"/>
      <c r="E578" s="1032"/>
      <c r="F578" s="1030"/>
      <c r="G578" s="1030"/>
      <c r="H578" s="1030"/>
      <c r="I578" s="1031"/>
      <c r="J578" s="1032"/>
    </row>
    <row r="579" spans="1:10">
      <c r="A579" s="1030"/>
      <c r="B579" s="1030"/>
      <c r="C579" s="1030"/>
      <c r="D579" s="1031"/>
      <c r="E579" s="1032"/>
      <c r="F579" s="1030"/>
      <c r="G579" s="1030"/>
      <c r="H579" s="1030"/>
      <c r="I579" s="1031"/>
      <c r="J579" s="1032"/>
    </row>
    <row r="580" spans="1:10">
      <c r="A580" s="1030"/>
      <c r="B580" s="1030"/>
      <c r="C580" s="1030"/>
      <c r="D580" s="1031"/>
      <c r="E580" s="1032"/>
      <c r="F580" s="1030"/>
      <c r="G580" s="1030"/>
      <c r="H580" s="1030"/>
      <c r="I580" s="1031"/>
      <c r="J580" s="1032"/>
    </row>
    <row r="581" spans="1:10">
      <c r="A581" s="1030"/>
      <c r="B581" s="1030"/>
      <c r="C581" s="1030"/>
      <c r="D581" s="1031"/>
      <c r="E581" s="1032"/>
      <c r="F581" s="1030"/>
      <c r="G581" s="1030"/>
      <c r="H581" s="1030"/>
      <c r="I581" s="1031"/>
      <c r="J581" s="1032"/>
    </row>
    <row r="582" spans="1:10">
      <c r="A582" s="1030"/>
      <c r="B582" s="1030"/>
      <c r="C582" s="1030"/>
      <c r="D582" s="1031"/>
      <c r="E582" s="1032"/>
      <c r="F582" s="1030"/>
      <c r="G582" s="1030"/>
      <c r="H582" s="1030"/>
      <c r="I582" s="1031"/>
      <c r="J582" s="1032"/>
    </row>
    <row r="583" spans="1:10">
      <c r="A583" s="1030"/>
      <c r="B583" s="1030"/>
      <c r="C583" s="1030"/>
      <c r="D583" s="1031"/>
      <c r="E583" s="1032"/>
      <c r="F583" s="1030"/>
      <c r="G583" s="1030"/>
      <c r="H583" s="1030"/>
      <c r="I583" s="1031"/>
      <c r="J583" s="1032"/>
    </row>
    <row r="584" spans="1:10">
      <c r="A584" s="1030"/>
      <c r="B584" s="1030"/>
      <c r="C584" s="1030"/>
      <c r="D584" s="1031"/>
      <c r="E584" s="1032"/>
      <c r="F584" s="1030"/>
      <c r="G584" s="1030"/>
      <c r="H584" s="1030"/>
      <c r="I584" s="1031"/>
      <c r="J584" s="1032"/>
    </row>
    <row r="585" spans="1:10">
      <c r="A585" s="1030"/>
      <c r="B585" s="1030"/>
      <c r="C585" s="1030"/>
      <c r="D585" s="1031"/>
      <c r="E585" s="1032"/>
      <c r="F585" s="1030"/>
      <c r="G585" s="1030"/>
      <c r="H585" s="1030"/>
      <c r="I585" s="1031"/>
      <c r="J585" s="1032"/>
    </row>
    <row r="586" spans="1:10">
      <c r="A586" s="1030"/>
      <c r="B586" s="1030"/>
      <c r="C586" s="1030"/>
      <c r="D586" s="1031"/>
      <c r="E586" s="1032"/>
      <c r="F586" s="1030"/>
      <c r="G586" s="1030"/>
      <c r="H586" s="1030"/>
      <c r="I586" s="1031"/>
      <c r="J586" s="1032"/>
    </row>
    <row r="587" spans="1:10">
      <c r="A587" s="1030"/>
      <c r="B587" s="1030"/>
      <c r="C587" s="1030"/>
      <c r="D587" s="1031"/>
      <c r="E587" s="1032"/>
      <c r="F587" s="1030"/>
      <c r="G587" s="1030"/>
      <c r="H587" s="1030"/>
      <c r="I587" s="1031"/>
      <c r="J587" s="1032"/>
    </row>
    <row r="588" spans="1:10">
      <c r="A588" s="1030"/>
      <c r="B588" s="1030"/>
      <c r="C588" s="1030"/>
      <c r="D588" s="1031"/>
      <c r="E588" s="1032"/>
      <c r="F588" s="1030"/>
      <c r="G588" s="1030"/>
      <c r="H588" s="1030"/>
      <c r="I588" s="1031"/>
      <c r="J588" s="1032"/>
    </row>
    <row r="589" spans="1:10">
      <c r="A589" s="1030"/>
      <c r="B589" s="1030"/>
      <c r="C589" s="1030"/>
      <c r="D589" s="1031"/>
      <c r="E589" s="1032"/>
      <c r="F589" s="1030"/>
      <c r="G589" s="1030"/>
      <c r="H589" s="1030"/>
      <c r="I589" s="1031"/>
      <c r="J589" s="1032"/>
    </row>
    <row r="590" spans="1:10">
      <c r="A590" s="1030"/>
      <c r="B590" s="1030"/>
      <c r="C590" s="1030"/>
      <c r="D590" s="1031"/>
      <c r="E590" s="1032"/>
      <c r="F590" s="1030"/>
      <c r="G590" s="1030"/>
      <c r="H590" s="1030"/>
      <c r="I590" s="1031"/>
      <c r="J590" s="1032"/>
    </row>
    <row r="591" spans="1:10">
      <c r="A591" s="1030"/>
      <c r="B591" s="1030"/>
      <c r="C591" s="1030"/>
      <c r="D591" s="1031"/>
      <c r="E591" s="1032"/>
      <c r="F591" s="1030"/>
      <c r="G591" s="1030"/>
      <c r="H591" s="1030"/>
      <c r="I591" s="1031"/>
      <c r="J591" s="1032"/>
    </row>
    <row r="592" spans="1:10">
      <c r="A592" s="1030"/>
      <c r="B592" s="1030"/>
      <c r="C592" s="1030"/>
      <c r="D592" s="1031"/>
      <c r="E592" s="1032"/>
      <c r="F592" s="1030"/>
      <c r="G592" s="1030"/>
      <c r="H592" s="1030"/>
      <c r="I592" s="1031"/>
      <c r="J592" s="1032"/>
    </row>
    <row r="593" spans="1:10">
      <c r="A593" s="1030"/>
      <c r="B593" s="1030"/>
      <c r="C593" s="1030"/>
      <c r="D593" s="1031"/>
      <c r="E593" s="1032"/>
      <c r="F593" s="1030"/>
      <c r="G593" s="1030"/>
      <c r="H593" s="1030"/>
      <c r="I593" s="1031"/>
      <c r="J593" s="1032"/>
    </row>
    <row r="594" spans="1:10">
      <c r="A594" s="1030"/>
      <c r="B594" s="1030"/>
      <c r="C594" s="1030"/>
      <c r="D594" s="1031"/>
      <c r="E594" s="1032"/>
      <c r="F594" s="1030"/>
      <c r="G594" s="1030"/>
      <c r="H594" s="1030"/>
      <c r="I594" s="1031"/>
      <c r="J594" s="1032"/>
    </row>
    <row r="595" spans="1:10">
      <c r="A595" s="1030"/>
      <c r="B595" s="1030"/>
      <c r="C595" s="1030"/>
      <c r="D595" s="1031"/>
      <c r="E595" s="1032"/>
      <c r="F595" s="1030"/>
      <c r="G595" s="1030"/>
      <c r="H595" s="1030"/>
      <c r="I595" s="1031"/>
      <c r="J595" s="1032"/>
    </row>
    <row r="596" spans="1:10">
      <c r="A596" s="1030"/>
      <c r="B596" s="1030"/>
      <c r="C596" s="1030"/>
      <c r="D596" s="1031"/>
      <c r="E596" s="1032"/>
      <c r="F596" s="1030"/>
      <c r="G596" s="1030"/>
      <c r="H596" s="1030"/>
      <c r="I596" s="1031"/>
      <c r="J596" s="1032"/>
    </row>
    <row r="597" spans="1:10">
      <c r="A597" s="1030"/>
      <c r="B597" s="1030"/>
      <c r="C597" s="1030"/>
      <c r="D597" s="1031"/>
      <c r="E597" s="1032"/>
      <c r="F597" s="1030"/>
      <c r="G597" s="1030"/>
      <c r="H597" s="1030"/>
      <c r="I597" s="1031"/>
      <c r="J597" s="1032"/>
    </row>
    <row r="598" spans="1:10">
      <c r="A598" s="1030"/>
      <c r="B598" s="1030"/>
      <c r="C598" s="1030"/>
      <c r="D598" s="1031"/>
      <c r="E598" s="1032"/>
      <c r="F598" s="1030"/>
      <c r="G598" s="1030"/>
      <c r="H598" s="1030"/>
      <c r="I598" s="1031"/>
      <c r="J598" s="1032"/>
    </row>
    <row r="599" spans="1:10">
      <c r="A599" s="1030"/>
      <c r="B599" s="1030"/>
      <c r="C599" s="1030"/>
      <c r="D599" s="1031"/>
      <c r="E599" s="1032"/>
      <c r="F599" s="1030"/>
      <c r="G599" s="1030"/>
      <c r="H599" s="1030"/>
      <c r="I599" s="1031"/>
      <c r="J599" s="1032"/>
    </row>
    <row r="600" spans="1:10">
      <c r="A600" s="1030"/>
      <c r="B600" s="1030"/>
      <c r="C600" s="1030"/>
      <c r="D600" s="1031"/>
      <c r="E600" s="1032"/>
      <c r="F600" s="1030"/>
      <c r="G600" s="1030"/>
      <c r="H600" s="1030"/>
      <c r="I600" s="1031"/>
      <c r="J600" s="1032"/>
    </row>
    <row r="601" spans="1:10">
      <c r="A601" s="1030"/>
      <c r="B601" s="1030"/>
      <c r="C601" s="1030"/>
      <c r="D601" s="1031"/>
      <c r="E601" s="1032"/>
      <c r="F601" s="1030"/>
      <c r="G601" s="1030"/>
      <c r="H601" s="1030"/>
      <c r="I601" s="1031"/>
      <c r="J601" s="1032"/>
    </row>
    <row r="602" spans="1:10">
      <c r="A602" s="1030"/>
      <c r="B602" s="1030"/>
      <c r="C602" s="1030"/>
      <c r="D602" s="1031"/>
      <c r="E602" s="1032"/>
      <c r="F602" s="1030"/>
      <c r="G602" s="1030"/>
      <c r="H602" s="1030"/>
      <c r="I602" s="1031"/>
      <c r="J602" s="1032"/>
    </row>
    <row r="603" spans="1:10">
      <c r="A603" s="1030"/>
      <c r="B603" s="1030"/>
      <c r="C603" s="1030"/>
      <c r="D603" s="1031"/>
      <c r="E603" s="1032"/>
      <c r="F603" s="1030"/>
      <c r="G603" s="1030"/>
      <c r="H603" s="1030"/>
      <c r="I603" s="1031"/>
      <c r="J603" s="1032"/>
    </row>
    <row r="604" spans="1:10">
      <c r="A604" s="1030"/>
      <c r="B604" s="1030"/>
      <c r="C604" s="1030"/>
      <c r="D604" s="1031"/>
      <c r="E604" s="1032"/>
      <c r="F604" s="1030"/>
      <c r="G604" s="1030"/>
      <c r="H604" s="1030"/>
      <c r="I604" s="1031"/>
      <c r="J604" s="1032"/>
    </row>
    <row r="605" spans="1:10">
      <c r="A605" s="1030"/>
      <c r="B605" s="1030"/>
      <c r="C605" s="1030"/>
      <c r="D605" s="1031"/>
      <c r="E605" s="1032"/>
      <c r="F605" s="1030"/>
      <c r="G605" s="1030"/>
      <c r="H605" s="1030"/>
      <c r="I605" s="1031"/>
      <c r="J605" s="1032"/>
    </row>
    <row r="606" spans="1:10">
      <c r="A606" s="1030"/>
      <c r="B606" s="1030"/>
      <c r="C606" s="1030"/>
      <c r="D606" s="1031"/>
      <c r="E606" s="1032"/>
      <c r="F606" s="1030"/>
      <c r="G606" s="1030"/>
      <c r="H606" s="1030"/>
      <c r="I606" s="1031"/>
      <c r="J606" s="1032"/>
    </row>
    <row r="607" spans="1:10">
      <c r="A607" s="1030"/>
      <c r="B607" s="1030"/>
      <c r="C607" s="1030"/>
      <c r="D607" s="1031"/>
      <c r="E607" s="1032"/>
      <c r="F607" s="1030"/>
      <c r="G607" s="1030"/>
      <c r="H607" s="1030"/>
      <c r="I607" s="1031"/>
      <c r="J607" s="1032"/>
    </row>
    <row r="608" spans="1:10">
      <c r="A608" s="1030"/>
      <c r="B608" s="1030"/>
      <c r="C608" s="1030"/>
      <c r="D608" s="1031"/>
      <c r="E608" s="1032"/>
      <c r="F608" s="1030"/>
      <c r="G608" s="1030"/>
      <c r="H608" s="1030"/>
      <c r="I608" s="1031"/>
      <c r="J608" s="1032"/>
    </row>
    <row r="609" spans="1:10">
      <c r="A609" s="1030"/>
      <c r="B609" s="1030"/>
      <c r="C609" s="1030"/>
      <c r="D609" s="1031"/>
      <c r="E609" s="1032"/>
      <c r="F609" s="1030"/>
      <c r="G609" s="1030"/>
      <c r="H609" s="1030"/>
      <c r="I609" s="1031"/>
      <c r="J609" s="1032"/>
    </row>
    <row r="610" spans="1:10">
      <c r="A610" s="1030"/>
      <c r="B610" s="1030"/>
      <c r="C610" s="1030"/>
      <c r="D610" s="1031"/>
      <c r="E610" s="1032"/>
      <c r="F610" s="1030"/>
      <c r="G610" s="1030"/>
      <c r="H610" s="1030"/>
      <c r="I610" s="1031"/>
      <c r="J610" s="1032"/>
    </row>
    <row r="611" spans="1:10">
      <c r="A611" s="1030"/>
      <c r="B611" s="1030"/>
      <c r="C611" s="1030"/>
      <c r="D611" s="1031"/>
      <c r="E611" s="1032"/>
      <c r="F611" s="1030"/>
      <c r="G611" s="1030"/>
      <c r="H611" s="1030"/>
      <c r="I611" s="1031"/>
      <c r="J611" s="1032"/>
    </row>
    <row r="612" spans="1:10">
      <c r="A612" s="1030"/>
      <c r="B612" s="1030"/>
      <c r="C612" s="1030"/>
      <c r="D612" s="1031"/>
      <c r="E612" s="1032"/>
      <c r="F612" s="1030"/>
      <c r="G612" s="1030"/>
      <c r="H612" s="1030"/>
      <c r="I612" s="1031"/>
      <c r="J612" s="1032"/>
    </row>
    <row r="613" spans="1:10">
      <c r="A613" s="1030"/>
      <c r="B613" s="1030"/>
      <c r="C613" s="1030"/>
      <c r="D613" s="1031"/>
      <c r="E613" s="1032"/>
      <c r="F613" s="1030"/>
      <c r="G613" s="1030"/>
      <c r="H613" s="1030"/>
      <c r="I613" s="1031"/>
      <c r="J613" s="1032"/>
    </row>
    <row r="614" spans="1:10">
      <c r="A614" s="1030"/>
      <c r="B614" s="1030"/>
      <c r="C614" s="1030"/>
      <c r="D614" s="1031"/>
      <c r="E614" s="1032"/>
      <c r="F614" s="1030"/>
      <c r="G614" s="1030"/>
      <c r="H614" s="1030"/>
      <c r="I614" s="1031"/>
      <c r="J614" s="1032"/>
    </row>
    <row r="615" spans="1:10">
      <c r="A615" s="1030"/>
      <c r="B615" s="1030"/>
      <c r="C615" s="1030"/>
      <c r="D615" s="1031"/>
      <c r="E615" s="1032"/>
      <c r="F615" s="1030"/>
      <c r="G615" s="1030"/>
      <c r="H615" s="1030"/>
      <c r="I615" s="1031"/>
      <c r="J615" s="1032"/>
    </row>
    <row r="616" spans="1:10">
      <c r="A616" s="1030"/>
      <c r="B616" s="1030"/>
      <c r="C616" s="1030"/>
      <c r="D616" s="1031"/>
      <c r="E616" s="1032"/>
      <c r="F616" s="1030"/>
      <c r="G616" s="1030"/>
      <c r="H616" s="1030"/>
      <c r="I616" s="1031"/>
      <c r="J616" s="1032"/>
    </row>
    <row r="617" spans="1:10">
      <c r="A617" s="1030"/>
      <c r="B617" s="1030"/>
      <c r="C617" s="1030"/>
      <c r="D617" s="1031"/>
      <c r="E617" s="1032"/>
      <c r="F617" s="1030"/>
      <c r="G617" s="1030"/>
      <c r="H617" s="1030"/>
      <c r="I617" s="1031"/>
      <c r="J617" s="1032"/>
    </row>
    <row r="618" spans="1:10">
      <c r="A618" s="1030"/>
      <c r="B618" s="1030"/>
      <c r="C618" s="1030"/>
      <c r="D618" s="1031"/>
      <c r="E618" s="1032"/>
      <c r="F618" s="1030"/>
      <c r="G618" s="1030"/>
      <c r="H618" s="1030"/>
      <c r="I618" s="1031"/>
      <c r="J618" s="1032"/>
    </row>
    <row r="619" spans="1:10">
      <c r="A619" s="1030"/>
      <c r="B619" s="1030"/>
      <c r="C619" s="1030"/>
      <c r="D619" s="1031"/>
      <c r="E619" s="1032"/>
      <c r="F619" s="1030"/>
      <c r="G619" s="1030"/>
      <c r="H619" s="1030"/>
      <c r="I619" s="1031"/>
      <c r="J619" s="1032"/>
    </row>
    <row r="620" spans="1:10">
      <c r="A620" s="1030"/>
      <c r="B620" s="1030"/>
      <c r="C620" s="1030"/>
      <c r="D620" s="1031"/>
      <c r="E620" s="1032"/>
      <c r="F620" s="1030"/>
      <c r="G620" s="1030"/>
      <c r="H620" s="1030"/>
      <c r="I620" s="1031"/>
      <c r="J620" s="1032"/>
    </row>
    <row r="621" spans="1:10">
      <c r="A621" s="1030"/>
      <c r="B621" s="1030"/>
      <c r="C621" s="1030"/>
      <c r="D621" s="1031"/>
      <c r="E621" s="1032"/>
      <c r="F621" s="1030"/>
      <c r="G621" s="1030"/>
      <c r="H621" s="1030"/>
      <c r="I621" s="1031"/>
      <c r="J621" s="1032"/>
    </row>
    <row r="622" spans="1:10">
      <c r="A622" s="1030"/>
      <c r="B622" s="1030"/>
      <c r="C622" s="1030"/>
      <c r="D622" s="1031"/>
      <c r="E622" s="1032"/>
      <c r="F622" s="1030"/>
      <c r="G622" s="1030"/>
      <c r="H622" s="1030"/>
      <c r="I622" s="1031"/>
      <c r="J622" s="1032"/>
    </row>
    <row r="623" spans="1:10">
      <c r="A623" s="1030"/>
      <c r="B623" s="1030"/>
      <c r="C623" s="1030"/>
      <c r="D623" s="1031"/>
      <c r="E623" s="1032"/>
      <c r="F623" s="1030"/>
      <c r="G623" s="1030"/>
      <c r="H623" s="1030"/>
      <c r="I623" s="1031"/>
      <c r="J623" s="1032"/>
    </row>
    <row r="624" spans="1:10">
      <c r="A624" s="1030"/>
      <c r="B624" s="1030"/>
      <c r="C624" s="1030"/>
      <c r="D624" s="1031"/>
      <c r="E624" s="1032"/>
      <c r="F624" s="1030"/>
      <c r="G624" s="1030"/>
      <c r="H624" s="1030"/>
      <c r="I624" s="1031"/>
      <c r="J624" s="1032"/>
    </row>
    <row r="625" spans="1:10">
      <c r="A625" s="1030"/>
      <c r="B625" s="1030"/>
      <c r="C625" s="1030"/>
      <c r="D625" s="1031"/>
      <c r="E625" s="1032"/>
      <c r="F625" s="1030"/>
      <c r="G625" s="1030"/>
      <c r="H625" s="1030"/>
      <c r="I625" s="1031"/>
      <c r="J625" s="1032"/>
    </row>
    <row r="626" spans="1:10">
      <c r="A626" s="1030"/>
      <c r="B626" s="1030"/>
      <c r="C626" s="1030"/>
      <c r="D626" s="1031"/>
      <c r="E626" s="1032"/>
      <c r="F626" s="1030"/>
      <c r="G626" s="1030"/>
      <c r="H626" s="1030"/>
      <c r="I626" s="1031"/>
      <c r="J626" s="1032"/>
    </row>
    <row r="627" spans="1:10">
      <c r="A627" s="1030"/>
      <c r="B627" s="1030"/>
      <c r="C627" s="1030"/>
      <c r="D627" s="1031"/>
      <c r="E627" s="1032"/>
      <c r="F627" s="1030"/>
      <c r="G627" s="1030"/>
      <c r="H627" s="1030"/>
      <c r="I627" s="1031"/>
      <c r="J627" s="1032"/>
    </row>
    <row r="628" spans="1:10">
      <c r="A628" s="1030"/>
      <c r="B628" s="1030"/>
      <c r="C628" s="1030"/>
      <c r="D628" s="1031"/>
      <c r="E628" s="1032"/>
      <c r="F628" s="1030"/>
      <c r="G628" s="1030"/>
      <c r="H628" s="1030"/>
      <c r="I628" s="1031"/>
      <c r="J628" s="1032"/>
    </row>
    <row r="629" spans="1:10">
      <c r="A629" s="1030"/>
      <c r="B629" s="1030"/>
      <c r="C629" s="1030"/>
      <c r="D629" s="1031"/>
      <c r="E629" s="1032"/>
      <c r="F629" s="1030"/>
      <c r="G629" s="1030"/>
      <c r="H629" s="1030"/>
      <c r="I629" s="1031"/>
      <c r="J629" s="1032"/>
    </row>
    <row r="630" spans="1:10">
      <c r="A630" s="1030"/>
      <c r="B630" s="1030"/>
      <c r="C630" s="1030"/>
      <c r="D630" s="1031"/>
      <c r="E630" s="1032"/>
      <c r="F630" s="1030"/>
      <c r="G630" s="1030"/>
      <c r="H630" s="1030"/>
      <c r="I630" s="1031"/>
      <c r="J630" s="1032"/>
    </row>
    <row r="631" spans="1:10">
      <c r="A631" s="1030"/>
      <c r="B631" s="1030"/>
      <c r="C631" s="1030"/>
      <c r="D631" s="1031"/>
      <c r="E631" s="1032"/>
      <c r="F631" s="1030"/>
      <c r="G631" s="1030"/>
      <c r="H631" s="1030"/>
      <c r="I631" s="1031"/>
      <c r="J631" s="1032"/>
    </row>
    <row r="632" spans="1:10">
      <c r="A632" s="1030"/>
      <c r="B632" s="1030"/>
      <c r="C632" s="1030"/>
      <c r="D632" s="1031"/>
      <c r="E632" s="1032"/>
      <c r="F632" s="1030"/>
      <c r="G632" s="1030"/>
      <c r="H632" s="1030"/>
      <c r="I632" s="1031"/>
      <c r="J632" s="1032"/>
    </row>
    <row r="633" spans="1:10">
      <c r="A633" s="1030"/>
      <c r="B633" s="1030"/>
      <c r="C633" s="1030"/>
      <c r="D633" s="1031"/>
      <c r="E633" s="1032"/>
      <c r="F633" s="1030"/>
      <c r="G633" s="1030"/>
      <c r="H633" s="1030"/>
      <c r="I633" s="1031"/>
      <c r="J633" s="1032"/>
    </row>
    <row r="634" spans="1:10">
      <c r="A634" s="1030"/>
      <c r="B634" s="1030"/>
      <c r="C634" s="1030"/>
      <c r="D634" s="1031"/>
      <c r="E634" s="1032"/>
      <c r="F634" s="1030"/>
      <c r="G634" s="1030"/>
      <c r="H634" s="1030"/>
      <c r="I634" s="1031"/>
      <c r="J634" s="1032"/>
    </row>
    <row r="635" spans="1:10">
      <c r="A635" s="1030"/>
      <c r="B635" s="1030"/>
      <c r="C635" s="1030"/>
      <c r="D635" s="1031"/>
      <c r="E635" s="1032"/>
      <c r="F635" s="1030"/>
      <c r="G635" s="1030"/>
      <c r="H635" s="1030"/>
      <c r="I635" s="1031"/>
      <c r="J635" s="1032"/>
    </row>
    <row r="636" spans="1:10">
      <c r="A636" s="1030"/>
      <c r="B636" s="1030"/>
      <c r="C636" s="1030"/>
      <c r="D636" s="1031"/>
      <c r="E636" s="1032"/>
      <c r="F636" s="1030"/>
      <c r="G636" s="1030"/>
      <c r="H636" s="1030"/>
      <c r="I636" s="1031"/>
      <c r="J636" s="1032"/>
    </row>
    <row r="637" spans="1:10">
      <c r="A637" s="1030"/>
      <c r="B637" s="1030"/>
      <c r="C637" s="1030"/>
      <c r="D637" s="1031"/>
      <c r="E637" s="1032"/>
      <c r="F637" s="1030"/>
      <c r="G637" s="1030"/>
      <c r="H637" s="1030"/>
      <c r="I637" s="1031"/>
      <c r="J637" s="1032"/>
    </row>
    <row r="638" spans="1:10">
      <c r="A638" s="1030"/>
      <c r="B638" s="1030"/>
      <c r="C638" s="1030"/>
      <c r="D638" s="1031"/>
      <c r="E638" s="1032"/>
      <c r="F638" s="1030"/>
      <c r="G638" s="1030"/>
      <c r="H638" s="1030"/>
      <c r="I638" s="1031"/>
      <c r="J638" s="1032"/>
    </row>
    <row r="639" spans="1:10">
      <c r="A639" s="1030"/>
      <c r="B639" s="1030"/>
      <c r="C639" s="1030"/>
      <c r="D639" s="1031"/>
      <c r="E639" s="1032"/>
      <c r="F639" s="1030"/>
      <c r="G639" s="1030"/>
      <c r="H639" s="1030"/>
      <c r="I639" s="1031"/>
      <c r="J639" s="1032"/>
    </row>
    <row r="640" spans="1:10">
      <c r="A640" s="1030"/>
      <c r="B640" s="1030"/>
      <c r="C640" s="1030"/>
      <c r="D640" s="1031"/>
      <c r="E640" s="1032"/>
      <c r="F640" s="1030"/>
      <c r="G640" s="1030"/>
      <c r="H640" s="1030"/>
      <c r="I640" s="1031"/>
      <c r="J640" s="1032"/>
    </row>
    <row r="641" spans="1:10">
      <c r="A641" s="1030"/>
      <c r="B641" s="1030"/>
      <c r="C641" s="1030"/>
      <c r="D641" s="1031"/>
      <c r="E641" s="1032"/>
      <c r="F641" s="1030"/>
      <c r="G641" s="1030"/>
      <c r="H641" s="1030"/>
      <c r="I641" s="1031"/>
      <c r="J641" s="1032"/>
    </row>
    <row r="642" spans="1:10">
      <c r="A642" s="1030"/>
      <c r="B642" s="1030"/>
      <c r="C642" s="1030"/>
      <c r="D642" s="1031"/>
      <c r="E642" s="1032"/>
      <c r="F642" s="1030"/>
      <c r="G642" s="1030"/>
      <c r="H642" s="1030"/>
      <c r="I642" s="1031"/>
      <c r="J642" s="1032"/>
    </row>
    <row r="643" spans="1:10">
      <c r="A643" s="1030"/>
      <c r="B643" s="1030"/>
      <c r="C643" s="1030"/>
      <c r="D643" s="1031"/>
      <c r="E643" s="1032"/>
      <c r="F643" s="1030"/>
      <c r="G643" s="1030"/>
      <c r="H643" s="1030"/>
      <c r="I643" s="1031"/>
      <c r="J643" s="1032"/>
    </row>
    <row r="644" spans="1:10">
      <c r="A644" s="1030"/>
      <c r="B644" s="1030"/>
      <c r="C644" s="1030"/>
      <c r="D644" s="1031"/>
      <c r="E644" s="1032"/>
      <c r="F644" s="1030"/>
      <c r="G644" s="1030"/>
      <c r="H644" s="1030"/>
      <c r="I644" s="1031"/>
      <c r="J644" s="1032"/>
    </row>
    <row r="645" spans="1:10">
      <c r="A645" s="1030"/>
      <c r="B645" s="1030"/>
      <c r="C645" s="1030"/>
      <c r="D645" s="1031"/>
      <c r="E645" s="1032"/>
      <c r="F645" s="1030"/>
      <c r="G645" s="1030"/>
      <c r="H645" s="1030"/>
      <c r="I645" s="1031"/>
      <c r="J645" s="1032"/>
    </row>
    <row r="646" spans="1:10">
      <c r="A646" s="1030"/>
      <c r="B646" s="1030"/>
      <c r="C646" s="1030"/>
      <c r="D646" s="1031"/>
      <c r="E646" s="1032"/>
      <c r="F646" s="1030"/>
      <c r="G646" s="1030"/>
      <c r="H646" s="1030"/>
      <c r="I646" s="1031"/>
      <c r="J646" s="1032"/>
    </row>
    <row r="647" spans="1:10">
      <c r="A647" s="1030"/>
      <c r="B647" s="1030"/>
      <c r="C647" s="1030"/>
      <c r="D647" s="1031"/>
      <c r="E647" s="1032"/>
      <c r="F647" s="1030"/>
      <c r="G647" s="1030"/>
      <c r="H647" s="1030"/>
      <c r="I647" s="1031"/>
      <c r="J647" s="1032"/>
    </row>
    <row r="648" spans="1:10">
      <c r="A648" s="1030"/>
      <c r="B648" s="1030"/>
      <c r="C648" s="1030"/>
      <c r="D648" s="1031"/>
      <c r="E648" s="1032"/>
      <c r="F648" s="1030"/>
      <c r="G648" s="1030"/>
      <c r="H648" s="1030"/>
      <c r="I648" s="1031"/>
      <c r="J648" s="1032"/>
    </row>
    <row r="649" spans="1:10">
      <c r="A649" s="1030"/>
      <c r="B649" s="1030"/>
      <c r="C649" s="1030"/>
      <c r="D649" s="1031"/>
      <c r="E649" s="1032"/>
      <c r="F649" s="1030"/>
      <c r="G649" s="1030"/>
      <c r="H649" s="1030"/>
      <c r="I649" s="1031"/>
      <c r="J649" s="1032"/>
    </row>
    <row r="650" spans="1:10">
      <c r="A650" s="1030"/>
      <c r="B650" s="1030"/>
      <c r="C650" s="1030"/>
      <c r="D650" s="1031"/>
      <c r="E650" s="1032"/>
      <c r="F650" s="1030"/>
      <c r="G650" s="1030"/>
      <c r="H650" s="1030"/>
      <c r="I650" s="1031"/>
      <c r="J650" s="1032"/>
    </row>
    <row r="651" spans="1:10">
      <c r="A651" s="1030"/>
      <c r="B651" s="1030"/>
      <c r="C651" s="1030"/>
      <c r="D651" s="1031"/>
      <c r="E651" s="1032"/>
      <c r="F651" s="1030"/>
      <c r="G651" s="1030"/>
      <c r="H651" s="1030"/>
      <c r="I651" s="1031"/>
      <c r="J651" s="1032"/>
    </row>
    <row r="652" spans="1:10">
      <c r="A652" s="1030"/>
      <c r="B652" s="1030"/>
      <c r="C652" s="1030"/>
      <c r="D652" s="1031"/>
      <c r="E652" s="1032"/>
      <c r="F652" s="1030"/>
      <c r="G652" s="1030"/>
      <c r="H652" s="1030"/>
      <c r="I652" s="1031"/>
      <c r="J652" s="1032"/>
    </row>
    <row r="653" spans="1:10">
      <c r="A653" s="1030"/>
      <c r="B653" s="1030"/>
      <c r="C653" s="1030"/>
      <c r="D653" s="1031"/>
      <c r="E653" s="1032"/>
      <c r="F653" s="1030"/>
      <c r="G653" s="1030"/>
      <c r="H653" s="1030"/>
      <c r="I653" s="1031"/>
      <c r="J653" s="1032"/>
    </row>
    <row r="654" spans="1:10">
      <c r="A654" s="1030"/>
      <c r="B654" s="1030"/>
      <c r="C654" s="1030"/>
      <c r="D654" s="1031"/>
      <c r="E654" s="1032"/>
      <c r="F654" s="1030"/>
      <c r="G654" s="1030"/>
      <c r="H654" s="1030"/>
      <c r="I654" s="1031"/>
      <c r="J654" s="1032"/>
    </row>
    <row r="655" spans="1:10">
      <c r="A655" s="1030"/>
      <c r="B655" s="1030"/>
      <c r="C655" s="1030"/>
      <c r="D655" s="1031"/>
      <c r="E655" s="1032"/>
      <c r="F655" s="1030"/>
      <c r="G655" s="1030"/>
      <c r="H655" s="1030"/>
      <c r="I655" s="1031"/>
      <c r="J655" s="1032"/>
    </row>
    <row r="656" spans="1:10">
      <c r="A656" s="1030"/>
      <c r="B656" s="1030"/>
      <c r="C656" s="1030"/>
      <c r="D656" s="1031"/>
      <c r="E656" s="1032"/>
      <c r="F656" s="1030"/>
      <c r="G656" s="1030"/>
      <c r="H656" s="1030"/>
      <c r="I656" s="1031"/>
      <c r="J656" s="1032"/>
    </row>
    <row r="657" spans="1:10">
      <c r="A657" s="1030"/>
      <c r="B657" s="1030"/>
      <c r="C657" s="1030"/>
      <c r="D657" s="1031"/>
      <c r="E657" s="1032"/>
      <c r="F657" s="1030"/>
      <c r="G657" s="1030"/>
      <c r="H657" s="1030"/>
      <c r="I657" s="1031"/>
      <c r="J657" s="1032"/>
    </row>
    <row r="658" spans="1:10">
      <c r="A658" s="1030"/>
      <c r="B658" s="1030"/>
      <c r="C658" s="1030"/>
      <c r="D658" s="1031"/>
      <c r="E658" s="1032"/>
      <c r="F658" s="1030"/>
      <c r="G658" s="1030"/>
      <c r="H658" s="1030"/>
      <c r="I658" s="1031"/>
      <c r="J658" s="1032"/>
    </row>
    <row r="659" spans="1:10">
      <c r="A659" s="1030"/>
      <c r="B659" s="1030"/>
      <c r="C659" s="1030"/>
      <c r="D659" s="1031"/>
      <c r="E659" s="1032"/>
      <c r="F659" s="1030"/>
      <c r="G659" s="1030"/>
      <c r="H659" s="1030"/>
      <c r="I659" s="1031"/>
      <c r="J659" s="1032"/>
    </row>
    <row r="660" spans="1:10">
      <c r="A660" s="1030"/>
      <c r="B660" s="1030"/>
      <c r="C660" s="1030"/>
      <c r="D660" s="1031"/>
      <c r="E660" s="1032"/>
      <c r="F660" s="1030"/>
      <c r="G660" s="1030"/>
      <c r="H660" s="1030"/>
      <c r="I660" s="1031"/>
      <c r="J660" s="1032"/>
    </row>
    <row r="661" spans="1:10">
      <c r="A661" s="1030"/>
      <c r="B661" s="1030"/>
      <c r="C661" s="1030"/>
      <c r="D661" s="1031"/>
      <c r="E661" s="1032"/>
      <c r="F661" s="1030"/>
      <c r="G661" s="1030"/>
      <c r="H661" s="1030"/>
      <c r="I661" s="1031"/>
      <c r="J661" s="1032"/>
    </row>
    <row r="662" spans="1:10">
      <c r="A662" s="1030"/>
      <c r="B662" s="1030"/>
      <c r="C662" s="1030"/>
      <c r="D662" s="1031"/>
      <c r="E662" s="1032"/>
      <c r="F662" s="1030"/>
      <c r="G662" s="1030"/>
      <c r="H662" s="1030"/>
      <c r="I662" s="1031"/>
      <c r="J662" s="1032"/>
    </row>
    <row r="663" spans="1:10">
      <c r="A663" s="1030"/>
      <c r="B663" s="1030"/>
      <c r="C663" s="1030"/>
      <c r="D663" s="1031"/>
      <c r="E663" s="1032"/>
      <c r="F663" s="1030"/>
      <c r="G663" s="1030"/>
      <c r="H663" s="1030"/>
      <c r="I663" s="1031"/>
      <c r="J663" s="1032"/>
    </row>
    <row r="664" spans="1:10">
      <c r="A664" s="1030"/>
      <c r="B664" s="1030"/>
      <c r="C664" s="1030"/>
      <c r="D664" s="1031"/>
      <c r="E664" s="1032"/>
      <c r="F664" s="1030"/>
      <c r="G664" s="1030"/>
      <c r="H664" s="1030"/>
      <c r="I664" s="1031"/>
      <c r="J664" s="1032"/>
    </row>
    <row r="665" spans="1:10">
      <c r="A665" s="1030"/>
      <c r="B665" s="1030"/>
      <c r="C665" s="1030"/>
      <c r="D665" s="1031"/>
      <c r="E665" s="1032"/>
      <c r="F665" s="1030"/>
      <c r="G665" s="1030"/>
      <c r="H665" s="1030"/>
      <c r="I665" s="1031"/>
      <c r="J665" s="1032"/>
    </row>
    <row r="666" spans="1:10">
      <c r="A666" s="1030"/>
      <c r="B666" s="1030"/>
      <c r="C666" s="1030"/>
      <c r="D666" s="1031"/>
      <c r="E666" s="1032"/>
      <c r="F666" s="1030"/>
      <c r="G666" s="1030"/>
      <c r="H666" s="1030"/>
      <c r="I666" s="1031"/>
      <c r="J666" s="1032"/>
    </row>
    <row r="667" spans="1:10">
      <c r="A667" s="1030"/>
      <c r="B667" s="1030"/>
      <c r="C667" s="1030"/>
      <c r="D667" s="1031"/>
      <c r="E667" s="1032"/>
      <c r="F667" s="1030"/>
      <c r="G667" s="1030"/>
      <c r="H667" s="1030"/>
      <c r="I667" s="1031"/>
      <c r="J667" s="1032"/>
    </row>
    <row r="668" spans="1:10">
      <c r="A668" s="1030"/>
      <c r="B668" s="1030"/>
      <c r="C668" s="1030"/>
      <c r="D668" s="1031"/>
      <c r="E668" s="1032"/>
      <c r="F668" s="1030"/>
      <c r="G668" s="1030"/>
      <c r="H668" s="1030"/>
      <c r="I668" s="1031"/>
      <c r="J668" s="1032"/>
    </row>
    <row r="669" spans="1:10">
      <c r="A669" s="1030"/>
      <c r="B669" s="1030"/>
      <c r="C669" s="1030"/>
      <c r="D669" s="1031"/>
      <c r="E669" s="1032"/>
      <c r="F669" s="1030"/>
      <c r="G669" s="1030"/>
      <c r="H669" s="1030"/>
      <c r="I669" s="1031"/>
      <c r="J669" s="1032"/>
    </row>
    <row r="670" spans="1:10">
      <c r="A670" s="1030"/>
      <c r="B670" s="1030"/>
      <c r="C670" s="1030"/>
      <c r="D670" s="1031"/>
      <c r="E670" s="1032"/>
      <c r="F670" s="1030"/>
      <c r="G670" s="1030"/>
      <c r="H670" s="1030"/>
      <c r="I670" s="1031"/>
      <c r="J670" s="1032"/>
    </row>
    <row r="671" spans="1:10">
      <c r="A671" s="1030"/>
      <c r="B671" s="1030"/>
      <c r="C671" s="1030"/>
      <c r="D671" s="1031"/>
      <c r="E671" s="1032"/>
      <c r="F671" s="1030"/>
      <c r="G671" s="1030"/>
      <c r="H671" s="1030"/>
      <c r="I671" s="1031"/>
      <c r="J671" s="1032"/>
    </row>
    <row r="672" spans="1:10">
      <c r="A672" s="1030"/>
      <c r="B672" s="1030"/>
      <c r="C672" s="1030"/>
      <c r="D672" s="1031"/>
      <c r="E672" s="1032"/>
      <c r="F672" s="1030"/>
      <c r="G672" s="1030"/>
      <c r="H672" s="1030"/>
      <c r="I672" s="1031"/>
      <c r="J672" s="1032"/>
    </row>
    <row r="673" spans="1:10">
      <c r="A673" s="1030"/>
      <c r="B673" s="1030"/>
      <c r="C673" s="1030"/>
      <c r="D673" s="1031"/>
      <c r="E673" s="1032"/>
      <c r="F673" s="1030"/>
      <c r="G673" s="1030"/>
      <c r="H673" s="1030"/>
      <c r="I673" s="1031"/>
      <c r="J673" s="1032"/>
    </row>
    <row r="674" spans="1:10">
      <c r="A674" s="1030"/>
      <c r="B674" s="1030"/>
      <c r="C674" s="1030"/>
      <c r="D674" s="1031"/>
      <c r="E674" s="1032"/>
      <c r="F674" s="1030"/>
      <c r="G674" s="1030"/>
      <c r="H674" s="1030"/>
      <c r="I674" s="1031"/>
      <c r="J674" s="1032"/>
    </row>
    <row r="675" spans="1:10">
      <c r="A675" s="1030"/>
      <c r="B675" s="1030"/>
      <c r="C675" s="1030"/>
      <c r="D675" s="1031"/>
      <c r="E675" s="1032"/>
      <c r="F675" s="1030"/>
      <c r="G675" s="1030"/>
      <c r="H675" s="1030"/>
      <c r="I675" s="1031"/>
      <c r="J675" s="1032"/>
    </row>
    <row r="676" spans="1:10">
      <c r="A676" s="1030"/>
      <c r="B676" s="1030"/>
      <c r="C676" s="1030"/>
      <c r="D676" s="1031"/>
      <c r="E676" s="1032"/>
      <c r="F676" s="1030"/>
      <c r="G676" s="1030"/>
      <c r="H676" s="1030"/>
      <c r="I676" s="1031"/>
      <c r="J676" s="1032"/>
    </row>
    <row r="677" spans="1:10">
      <c r="A677" s="1030"/>
      <c r="B677" s="1030"/>
      <c r="C677" s="1030"/>
      <c r="D677" s="1031"/>
      <c r="E677" s="1032"/>
      <c r="F677" s="1030"/>
      <c r="G677" s="1030"/>
      <c r="H677" s="1030"/>
      <c r="I677" s="1031"/>
      <c r="J677" s="1032"/>
    </row>
    <row r="678" spans="1:10">
      <c r="A678" s="1030"/>
      <c r="B678" s="1030"/>
      <c r="C678" s="1030"/>
      <c r="D678" s="1031"/>
      <c r="E678" s="1032"/>
      <c r="F678" s="1030"/>
      <c r="G678" s="1030"/>
      <c r="H678" s="1030"/>
      <c r="I678" s="1031"/>
      <c r="J678" s="1032"/>
    </row>
    <row r="679" spans="1:10">
      <c r="A679" s="1030"/>
      <c r="B679" s="1030"/>
      <c r="C679" s="1030"/>
      <c r="D679" s="1031"/>
      <c r="E679" s="1032"/>
      <c r="F679" s="1030"/>
      <c r="G679" s="1030"/>
      <c r="H679" s="1030"/>
      <c r="I679" s="1031"/>
      <c r="J679" s="1032"/>
    </row>
    <row r="680" spans="1:10">
      <c r="A680" s="1030"/>
      <c r="B680" s="1030"/>
      <c r="C680" s="1030"/>
      <c r="D680" s="1031"/>
      <c r="E680" s="1032"/>
      <c r="F680" s="1030"/>
      <c r="G680" s="1030"/>
      <c r="H680" s="1030"/>
      <c r="I680" s="1031"/>
      <c r="J680" s="1032"/>
    </row>
    <row r="681" spans="1:10">
      <c r="A681" s="1030"/>
      <c r="B681" s="1030"/>
      <c r="C681" s="1030"/>
      <c r="D681" s="1031"/>
      <c r="E681" s="1032"/>
      <c r="F681" s="1030"/>
      <c r="G681" s="1030"/>
      <c r="H681" s="1030"/>
      <c r="I681" s="1031"/>
      <c r="J681" s="1032"/>
    </row>
    <row r="682" spans="1:10">
      <c r="A682" s="1030"/>
      <c r="B682" s="1030"/>
      <c r="C682" s="1030"/>
      <c r="D682" s="1031"/>
      <c r="E682" s="1032"/>
      <c r="F682" s="1030"/>
      <c r="G682" s="1030"/>
      <c r="H682" s="1030"/>
      <c r="I682" s="1031"/>
      <c r="J682" s="1032"/>
    </row>
    <row r="683" spans="1:10">
      <c r="A683" s="1030"/>
      <c r="B683" s="1030"/>
      <c r="C683" s="1030"/>
      <c r="D683" s="1031"/>
      <c r="E683" s="1032"/>
      <c r="F683" s="1030"/>
      <c r="G683" s="1030"/>
      <c r="H683" s="1030"/>
      <c r="I683" s="1031"/>
      <c r="J683" s="1032"/>
    </row>
    <row r="684" spans="1:10">
      <c r="A684" s="1030"/>
      <c r="B684" s="1030"/>
      <c r="C684" s="1030"/>
      <c r="D684" s="1031"/>
      <c r="E684" s="1032"/>
      <c r="F684" s="1030"/>
      <c r="G684" s="1030"/>
      <c r="H684" s="1030"/>
      <c r="I684" s="1031"/>
      <c r="J684" s="1032"/>
    </row>
    <row r="685" spans="1:10">
      <c r="A685" s="1030"/>
      <c r="B685" s="1030"/>
      <c r="C685" s="1030"/>
      <c r="D685" s="1031"/>
      <c r="E685" s="1032"/>
      <c r="F685" s="1030"/>
      <c r="G685" s="1030"/>
      <c r="H685" s="1030"/>
      <c r="I685" s="1031"/>
      <c r="J685" s="1032"/>
    </row>
    <row r="686" spans="1:10">
      <c r="A686" s="1030"/>
      <c r="B686" s="1030"/>
      <c r="C686" s="1030"/>
      <c r="D686" s="1031"/>
      <c r="E686" s="1032"/>
      <c r="F686" s="1030"/>
      <c r="G686" s="1030"/>
      <c r="H686" s="1030"/>
      <c r="I686" s="1031"/>
      <c r="J686" s="1032"/>
    </row>
    <row r="687" spans="1:10">
      <c r="A687" s="1030"/>
      <c r="B687" s="1030"/>
      <c r="C687" s="1030"/>
      <c r="D687" s="1031"/>
      <c r="E687" s="1032"/>
      <c r="F687" s="1030"/>
      <c r="G687" s="1030"/>
      <c r="H687" s="1030"/>
      <c r="I687" s="1031"/>
      <c r="J687" s="1032"/>
    </row>
    <row r="688" spans="1:10">
      <c r="A688" s="1030"/>
      <c r="B688" s="1030"/>
      <c r="C688" s="1030"/>
      <c r="D688" s="1031"/>
      <c r="E688" s="1032"/>
      <c r="F688" s="1030"/>
      <c r="G688" s="1030"/>
      <c r="H688" s="1030"/>
      <c r="I688" s="1031"/>
      <c r="J688" s="1032"/>
    </row>
    <row r="689" spans="1:10">
      <c r="A689" s="1030"/>
      <c r="B689" s="1030"/>
      <c r="C689" s="1030"/>
      <c r="D689" s="1031"/>
      <c r="E689" s="1032"/>
      <c r="F689" s="1030"/>
      <c r="G689" s="1030"/>
      <c r="H689" s="1030"/>
      <c r="I689" s="1031"/>
      <c r="J689" s="1032"/>
    </row>
    <row r="690" spans="1:10">
      <c r="A690" s="1030"/>
      <c r="B690" s="1030"/>
      <c r="C690" s="1030"/>
      <c r="D690" s="1031"/>
      <c r="E690" s="1032"/>
      <c r="F690" s="1030"/>
      <c r="G690" s="1030"/>
      <c r="H690" s="1030"/>
      <c r="I690" s="1031"/>
      <c r="J690" s="1032"/>
    </row>
    <row r="691" spans="1:10">
      <c r="A691" s="1030"/>
      <c r="B691" s="1030"/>
      <c r="C691" s="1030"/>
      <c r="D691" s="1031"/>
      <c r="E691" s="1032"/>
      <c r="F691" s="1030"/>
      <c r="G691" s="1030"/>
      <c r="H691" s="1030"/>
      <c r="I691" s="1031"/>
      <c r="J691" s="1032"/>
    </row>
    <row r="692" spans="1:10">
      <c r="A692" s="1030"/>
      <c r="B692" s="1030"/>
      <c r="C692" s="1030"/>
      <c r="D692" s="1031"/>
      <c r="E692" s="1032"/>
      <c r="F692" s="1030"/>
      <c r="G692" s="1030"/>
      <c r="H692" s="1030"/>
      <c r="I692" s="1031"/>
      <c r="J692" s="1032"/>
    </row>
    <row r="693" spans="1:10">
      <c r="A693" s="1030"/>
      <c r="B693" s="1030"/>
      <c r="C693" s="1030"/>
      <c r="D693" s="1031"/>
      <c r="E693" s="1032"/>
      <c r="F693" s="1030"/>
      <c r="G693" s="1030"/>
      <c r="H693" s="1030"/>
      <c r="I693" s="1031"/>
      <c r="J693" s="1032"/>
    </row>
    <row r="694" spans="1:10">
      <c r="A694" s="1030"/>
      <c r="B694" s="1030"/>
      <c r="C694" s="1030"/>
      <c r="D694" s="1031"/>
      <c r="E694" s="1032"/>
      <c r="F694" s="1030"/>
      <c r="G694" s="1030"/>
      <c r="H694" s="1030"/>
      <c r="I694" s="1031"/>
      <c r="J694" s="1032"/>
    </row>
    <row r="695" spans="1:10">
      <c r="A695" s="1030"/>
      <c r="B695" s="1030"/>
      <c r="C695" s="1030"/>
      <c r="D695" s="1031"/>
      <c r="E695" s="1032"/>
      <c r="F695" s="1030"/>
      <c r="G695" s="1030"/>
      <c r="H695" s="1030"/>
      <c r="I695" s="1031"/>
      <c r="J695" s="1032"/>
    </row>
    <row r="696" spans="1:10">
      <c r="A696" s="1030"/>
      <c r="B696" s="1030"/>
      <c r="C696" s="1030"/>
      <c r="D696" s="1031"/>
      <c r="E696" s="1032"/>
      <c r="F696" s="1030"/>
      <c r="G696" s="1030"/>
      <c r="H696" s="1030"/>
      <c r="I696" s="1031"/>
      <c r="J696" s="1032"/>
    </row>
    <row r="697" spans="1:10">
      <c r="A697" s="1030"/>
      <c r="B697" s="1030"/>
      <c r="C697" s="1030"/>
      <c r="D697" s="1031"/>
      <c r="E697" s="1032"/>
      <c r="F697" s="1030"/>
      <c r="G697" s="1030"/>
      <c r="H697" s="1030"/>
      <c r="I697" s="1031"/>
      <c r="J697" s="1032"/>
    </row>
    <row r="698" spans="1:10">
      <c r="A698" s="1030"/>
      <c r="B698" s="1030"/>
      <c r="C698" s="1030"/>
      <c r="D698" s="1031"/>
      <c r="E698" s="1032"/>
      <c r="F698" s="1030"/>
      <c r="G698" s="1030"/>
      <c r="H698" s="1030"/>
      <c r="I698" s="1031"/>
      <c r="J698" s="1032"/>
    </row>
    <row r="699" spans="1:10">
      <c r="A699" s="1030"/>
      <c r="B699" s="1030"/>
      <c r="C699" s="1030"/>
      <c r="D699" s="1031"/>
      <c r="E699" s="1032"/>
      <c r="F699" s="1030"/>
      <c r="G699" s="1030"/>
      <c r="H699" s="1030"/>
      <c r="I699" s="1031"/>
      <c r="J699" s="1032"/>
    </row>
    <row r="700" spans="1:10">
      <c r="A700" s="1030"/>
      <c r="B700" s="1030"/>
      <c r="C700" s="1030"/>
      <c r="D700" s="1031"/>
      <c r="E700" s="1032"/>
      <c r="F700" s="1030"/>
      <c r="G700" s="1030"/>
      <c r="H700" s="1030"/>
      <c r="I700" s="1031"/>
      <c r="J700" s="1032"/>
    </row>
    <row r="701" spans="1:10">
      <c r="A701" s="1030"/>
      <c r="B701" s="1030"/>
      <c r="C701" s="1030"/>
      <c r="D701" s="1031"/>
      <c r="E701" s="1032"/>
      <c r="F701" s="1030"/>
      <c r="G701" s="1030"/>
      <c r="H701" s="1030"/>
      <c r="I701" s="1031"/>
      <c r="J701" s="1032"/>
    </row>
    <row r="702" spans="1:10">
      <c r="A702" s="1030"/>
      <c r="B702" s="1030"/>
      <c r="C702" s="1030"/>
      <c r="D702" s="1031"/>
      <c r="E702" s="1032"/>
      <c r="F702" s="1030"/>
      <c r="G702" s="1030"/>
      <c r="H702" s="1030"/>
      <c r="I702" s="1031"/>
      <c r="J702" s="1032"/>
    </row>
    <row r="703" spans="1:10">
      <c r="A703" s="1030"/>
      <c r="B703" s="1030"/>
      <c r="C703" s="1030"/>
      <c r="D703" s="1031"/>
      <c r="E703" s="1032"/>
      <c r="F703" s="1030"/>
      <c r="G703" s="1030"/>
      <c r="H703" s="1030"/>
      <c r="I703" s="1031"/>
      <c r="J703" s="1032"/>
    </row>
    <row r="704" spans="1:10">
      <c r="A704" s="1030"/>
      <c r="B704" s="1030"/>
      <c r="C704" s="1030"/>
      <c r="D704" s="1031"/>
      <c r="E704" s="1032"/>
      <c r="F704" s="1030"/>
      <c r="G704" s="1030"/>
      <c r="H704" s="1030"/>
      <c r="I704" s="1031"/>
      <c r="J704" s="1032"/>
    </row>
    <row r="705" spans="1:10">
      <c r="A705" s="1030"/>
      <c r="B705" s="1030"/>
      <c r="C705" s="1030"/>
      <c r="D705" s="1031"/>
      <c r="E705" s="1032"/>
      <c r="F705" s="1030"/>
      <c r="G705" s="1030"/>
      <c r="H705" s="1030"/>
      <c r="I705" s="1031"/>
      <c r="J705" s="1032"/>
    </row>
    <row r="706" spans="1:10">
      <c r="A706" s="1030"/>
      <c r="B706" s="1030"/>
      <c r="C706" s="1030"/>
      <c r="D706" s="1031"/>
      <c r="E706" s="1032"/>
      <c r="F706" s="1030"/>
      <c r="G706" s="1030"/>
      <c r="H706" s="1030"/>
      <c r="I706" s="1031"/>
      <c r="J706" s="1032"/>
    </row>
    <row r="707" spans="1:10">
      <c r="A707" s="1030"/>
      <c r="B707" s="1030"/>
      <c r="C707" s="1030"/>
      <c r="D707" s="1031"/>
      <c r="E707" s="1032"/>
      <c r="F707" s="1030"/>
      <c r="G707" s="1030"/>
      <c r="H707" s="1030"/>
      <c r="I707" s="1031"/>
      <c r="J707" s="1032"/>
    </row>
    <row r="708" spans="1:10">
      <c r="A708" s="1030"/>
      <c r="B708" s="1030"/>
      <c r="C708" s="1030"/>
      <c r="D708" s="1031"/>
      <c r="E708" s="1032"/>
      <c r="F708" s="1030"/>
      <c r="G708" s="1030"/>
      <c r="H708" s="1030"/>
      <c r="I708" s="1031"/>
      <c r="J708" s="1032"/>
    </row>
    <row r="709" spans="1:10">
      <c r="A709" s="1030"/>
      <c r="B709" s="1030"/>
      <c r="C709" s="1030"/>
      <c r="D709" s="1031"/>
      <c r="E709" s="1032"/>
      <c r="F709" s="1030"/>
      <c r="G709" s="1030"/>
      <c r="H709" s="1030"/>
      <c r="I709" s="1031"/>
      <c r="J709" s="1032"/>
    </row>
    <row r="710" spans="1:10">
      <c r="A710" s="1030"/>
      <c r="B710" s="1030"/>
      <c r="C710" s="1030"/>
      <c r="D710" s="1031"/>
      <c r="E710" s="1032"/>
      <c r="F710" s="1030"/>
      <c r="G710" s="1030"/>
      <c r="H710" s="1030"/>
      <c r="I710" s="1031"/>
      <c r="J710" s="1032"/>
    </row>
    <row r="711" spans="1:10">
      <c r="A711" s="1030"/>
      <c r="B711" s="1030"/>
      <c r="C711" s="1030"/>
      <c r="D711" s="1031"/>
      <c r="E711" s="1032"/>
      <c r="F711" s="1030"/>
      <c r="G711" s="1030"/>
      <c r="H711" s="1030"/>
      <c r="I711" s="1031"/>
      <c r="J711" s="1032"/>
    </row>
    <row r="712" spans="1:10">
      <c r="A712" s="1030"/>
      <c r="B712" s="1030"/>
      <c r="C712" s="1030"/>
      <c r="D712" s="1031"/>
      <c r="E712" s="1032"/>
      <c r="F712" s="1030"/>
      <c r="G712" s="1030"/>
      <c r="H712" s="1030"/>
      <c r="I712" s="1031"/>
      <c r="J712" s="1032"/>
    </row>
    <row r="713" spans="1:10">
      <c r="A713" s="1030"/>
      <c r="B713" s="1030"/>
      <c r="C713" s="1030"/>
      <c r="D713" s="1031"/>
      <c r="E713" s="1032"/>
      <c r="F713" s="1030"/>
      <c r="G713" s="1030"/>
      <c r="H713" s="1030"/>
      <c r="I713" s="1031"/>
      <c r="J713" s="1032"/>
    </row>
    <row r="714" spans="1:10">
      <c r="A714" s="1030"/>
      <c r="B714" s="1030"/>
      <c r="C714" s="1030"/>
      <c r="D714" s="1031"/>
      <c r="E714" s="1032"/>
      <c r="F714" s="1030"/>
      <c r="G714" s="1030"/>
      <c r="H714" s="1030"/>
      <c r="I714" s="1031"/>
      <c r="J714" s="1032"/>
    </row>
    <row r="715" spans="1:10">
      <c r="A715" s="1030"/>
      <c r="B715" s="1030"/>
      <c r="C715" s="1030"/>
      <c r="D715" s="1031"/>
      <c r="E715" s="1032"/>
      <c r="F715" s="1030"/>
      <c r="G715" s="1030"/>
      <c r="H715" s="1030"/>
      <c r="I715" s="1031"/>
      <c r="J715" s="1032"/>
    </row>
    <row r="716" spans="1:10">
      <c r="A716" s="1030"/>
      <c r="B716" s="1030"/>
      <c r="C716" s="1030"/>
      <c r="D716" s="1031"/>
      <c r="E716" s="1032"/>
      <c r="F716" s="1030"/>
      <c r="G716" s="1030"/>
      <c r="H716" s="1030"/>
      <c r="I716" s="1031"/>
      <c r="J716" s="1032"/>
    </row>
    <row r="717" spans="1:10">
      <c r="A717" s="1030"/>
      <c r="B717" s="1030"/>
      <c r="C717" s="1030"/>
      <c r="D717" s="1031"/>
      <c r="E717" s="1032"/>
      <c r="F717" s="1030"/>
      <c r="G717" s="1030"/>
      <c r="H717" s="1030"/>
      <c r="I717" s="1031"/>
      <c r="J717" s="1032"/>
    </row>
    <row r="718" spans="1:10">
      <c r="A718" s="1030"/>
      <c r="B718" s="1030"/>
      <c r="C718" s="1030"/>
      <c r="D718" s="1031"/>
      <c r="E718" s="1032"/>
      <c r="F718" s="1030"/>
      <c r="G718" s="1030"/>
      <c r="H718" s="1030"/>
      <c r="I718" s="1031"/>
      <c r="J718" s="1032"/>
    </row>
    <row r="719" spans="1:10">
      <c r="A719" s="1030"/>
      <c r="B719" s="1030"/>
      <c r="C719" s="1030"/>
      <c r="D719" s="1031"/>
      <c r="E719" s="1032"/>
      <c r="F719" s="1030"/>
      <c r="G719" s="1030"/>
      <c r="H719" s="1030"/>
      <c r="I719" s="1031"/>
      <c r="J719" s="1032"/>
    </row>
    <row r="720" spans="1:10">
      <c r="A720" s="1030"/>
      <c r="B720" s="1030"/>
      <c r="C720" s="1030"/>
      <c r="D720" s="1031"/>
      <c r="E720" s="1032"/>
      <c r="F720" s="1030"/>
      <c r="G720" s="1030"/>
      <c r="H720" s="1030"/>
      <c r="I720" s="1031"/>
      <c r="J720" s="1032"/>
    </row>
    <row r="721" spans="1:10">
      <c r="A721" s="1030"/>
      <c r="B721" s="1030"/>
      <c r="C721" s="1030"/>
      <c r="D721" s="1031"/>
      <c r="E721" s="1032"/>
      <c r="F721" s="1030"/>
      <c r="G721" s="1030"/>
      <c r="H721" s="1030"/>
      <c r="I721" s="1031"/>
      <c r="J721" s="1032"/>
    </row>
    <row r="722" spans="1:10">
      <c r="A722" s="1030"/>
      <c r="B722" s="1030"/>
      <c r="C722" s="1030"/>
      <c r="D722" s="1031"/>
      <c r="E722" s="1032"/>
      <c r="F722" s="1030"/>
      <c r="G722" s="1030"/>
      <c r="H722" s="1030"/>
      <c r="I722" s="1031"/>
      <c r="J722" s="1032"/>
    </row>
    <row r="723" spans="1:10">
      <c r="A723" s="1030"/>
      <c r="B723" s="1030"/>
      <c r="C723" s="1030"/>
      <c r="D723" s="1031"/>
      <c r="E723" s="1032"/>
      <c r="F723" s="1030"/>
      <c r="G723" s="1030"/>
      <c r="H723" s="1030"/>
      <c r="I723" s="1031"/>
      <c r="J723" s="1032"/>
    </row>
    <row r="724" spans="1:10">
      <c r="A724" s="1030"/>
      <c r="B724" s="1030"/>
      <c r="C724" s="1030"/>
      <c r="D724" s="1031"/>
      <c r="E724" s="1032"/>
      <c r="F724" s="1030"/>
      <c r="G724" s="1030"/>
      <c r="H724" s="1030"/>
      <c r="I724" s="1031"/>
      <c r="J724" s="1032"/>
    </row>
    <row r="725" spans="1:10">
      <c r="A725" s="1030"/>
      <c r="B725" s="1030"/>
      <c r="C725" s="1030"/>
      <c r="D725" s="1031"/>
      <c r="E725" s="1032"/>
      <c r="F725" s="1030"/>
      <c r="G725" s="1030"/>
      <c r="H725" s="1030"/>
      <c r="I725" s="1031"/>
      <c r="J725" s="1032"/>
    </row>
    <row r="726" spans="1:10">
      <c r="A726" s="1030"/>
      <c r="B726" s="1030"/>
      <c r="C726" s="1030"/>
      <c r="D726" s="1031"/>
      <c r="E726" s="1032"/>
      <c r="F726" s="1030"/>
      <c r="G726" s="1030"/>
      <c r="H726" s="1030"/>
      <c r="I726" s="1031"/>
      <c r="J726" s="1032"/>
    </row>
    <row r="727" spans="1:10">
      <c r="A727" s="1030"/>
      <c r="B727" s="1030"/>
      <c r="C727" s="1030"/>
      <c r="D727" s="1031"/>
      <c r="E727" s="1032"/>
      <c r="F727" s="1030"/>
      <c r="G727" s="1030"/>
      <c r="H727" s="1030"/>
      <c r="I727" s="1031"/>
      <c r="J727" s="1032"/>
    </row>
    <row r="728" spans="1:10">
      <c r="A728" s="1030"/>
      <c r="B728" s="1030"/>
      <c r="C728" s="1030"/>
      <c r="D728" s="1031"/>
      <c r="E728" s="1032"/>
      <c r="F728" s="1030"/>
      <c r="G728" s="1030"/>
      <c r="H728" s="1030"/>
      <c r="I728" s="1031"/>
      <c r="J728" s="1032"/>
    </row>
    <row r="729" spans="1:10">
      <c r="A729" s="1030"/>
      <c r="B729" s="1030"/>
      <c r="C729" s="1030"/>
      <c r="D729" s="1031"/>
      <c r="E729" s="1032"/>
      <c r="F729" s="1030"/>
      <c r="G729" s="1030"/>
      <c r="H729" s="1030"/>
      <c r="I729" s="1031"/>
      <c r="J729" s="1032"/>
    </row>
    <row r="730" spans="1:10">
      <c r="A730" s="1030"/>
      <c r="B730" s="1030"/>
      <c r="C730" s="1030"/>
      <c r="D730" s="1031"/>
      <c r="E730" s="1032"/>
      <c r="F730" s="1030"/>
      <c r="G730" s="1030"/>
      <c r="H730" s="1030"/>
      <c r="I730" s="1031"/>
      <c r="J730" s="1032"/>
    </row>
    <row r="731" spans="1:10">
      <c r="A731" s="1030"/>
      <c r="B731" s="1030"/>
      <c r="C731" s="1030"/>
      <c r="D731" s="1031"/>
      <c r="E731" s="1032"/>
      <c r="F731" s="1030"/>
      <c r="G731" s="1030"/>
      <c r="H731" s="1030"/>
      <c r="I731" s="1031"/>
      <c r="J731" s="1032"/>
    </row>
    <row r="732" spans="1:10">
      <c r="A732" s="1030"/>
      <c r="B732" s="1030"/>
      <c r="C732" s="1030"/>
      <c r="D732" s="1031"/>
      <c r="E732" s="1032"/>
      <c r="F732" s="1030"/>
      <c r="G732" s="1030"/>
      <c r="H732" s="1030"/>
      <c r="I732" s="1031"/>
      <c r="J732" s="1032"/>
    </row>
    <row r="733" spans="1:10">
      <c r="A733" s="1030"/>
      <c r="B733" s="1030"/>
      <c r="C733" s="1030"/>
      <c r="D733" s="1031"/>
      <c r="E733" s="1032"/>
      <c r="F733" s="1030"/>
      <c r="G733" s="1030"/>
      <c r="H733" s="1030"/>
      <c r="I733" s="1031"/>
      <c r="J733" s="1032"/>
    </row>
    <row r="734" spans="1:10">
      <c r="A734" s="1030"/>
      <c r="B734" s="1030"/>
      <c r="C734" s="1030"/>
      <c r="D734" s="1031"/>
      <c r="E734" s="1032"/>
      <c r="F734" s="1030"/>
      <c r="G734" s="1030"/>
      <c r="H734" s="1030"/>
      <c r="I734" s="1031"/>
      <c r="J734" s="1032"/>
    </row>
    <row r="735" spans="1:10">
      <c r="A735" s="1030"/>
      <c r="B735" s="1030"/>
      <c r="C735" s="1030"/>
      <c r="D735" s="1031"/>
      <c r="E735" s="1032"/>
      <c r="F735" s="1030"/>
      <c r="G735" s="1030"/>
      <c r="H735" s="1030"/>
      <c r="I735" s="1031"/>
      <c r="J735" s="1032"/>
    </row>
    <row r="736" spans="1:10">
      <c r="A736" s="1030"/>
      <c r="B736" s="1030"/>
      <c r="C736" s="1030"/>
      <c r="D736" s="1031"/>
      <c r="E736" s="1032"/>
      <c r="F736" s="1030"/>
      <c r="G736" s="1030"/>
      <c r="H736" s="1030"/>
      <c r="I736" s="1031"/>
      <c r="J736" s="1032"/>
    </row>
    <row r="737" spans="1:10">
      <c r="A737" s="1030"/>
      <c r="B737" s="1030"/>
      <c r="C737" s="1030"/>
      <c r="D737" s="1031"/>
      <c r="E737" s="1032"/>
      <c r="F737" s="1030"/>
      <c r="G737" s="1030"/>
      <c r="H737" s="1030"/>
      <c r="I737" s="1031"/>
      <c r="J737" s="1032"/>
    </row>
    <row r="738" spans="1:10">
      <c r="A738" s="1030"/>
      <c r="B738" s="1030"/>
      <c r="C738" s="1030"/>
      <c r="D738" s="1031"/>
      <c r="E738" s="1032"/>
      <c r="F738" s="1030"/>
      <c r="G738" s="1030"/>
      <c r="H738" s="1030"/>
      <c r="I738" s="1031"/>
      <c r="J738" s="1032"/>
    </row>
    <row r="739" spans="1:10">
      <c r="A739" s="1030"/>
      <c r="B739" s="1030"/>
      <c r="C739" s="1030"/>
      <c r="D739" s="1031"/>
      <c r="E739" s="1032"/>
      <c r="F739" s="1030"/>
      <c r="G739" s="1030"/>
      <c r="H739" s="1030"/>
      <c r="I739" s="1031"/>
      <c r="J739" s="1032"/>
    </row>
    <row r="740" spans="1:10">
      <c r="A740" s="1030"/>
      <c r="B740" s="1030"/>
      <c r="C740" s="1030"/>
      <c r="D740" s="1031"/>
      <c r="E740" s="1032"/>
      <c r="F740" s="1030"/>
      <c r="G740" s="1030"/>
      <c r="H740" s="1030"/>
      <c r="I740" s="1031"/>
      <c r="J740" s="1032"/>
    </row>
    <row r="741" spans="1:10">
      <c r="A741" s="1030"/>
      <c r="B741" s="1030"/>
      <c r="C741" s="1030"/>
      <c r="D741" s="1031"/>
      <c r="E741" s="1032"/>
      <c r="F741" s="1030"/>
      <c r="G741" s="1030"/>
      <c r="H741" s="1030"/>
      <c r="I741" s="1031"/>
      <c r="J741" s="1032"/>
    </row>
    <row r="742" spans="1:10">
      <c r="A742" s="1030"/>
      <c r="B742" s="1030"/>
      <c r="C742" s="1030"/>
      <c r="D742" s="1031"/>
      <c r="E742" s="1032"/>
      <c r="F742" s="1030"/>
      <c r="G742" s="1030"/>
      <c r="H742" s="1030"/>
      <c r="I742" s="1031"/>
      <c r="J742" s="1032"/>
    </row>
    <row r="743" spans="1:10">
      <c r="A743" s="1030"/>
      <c r="B743" s="1030"/>
      <c r="C743" s="1030"/>
      <c r="D743" s="1031"/>
      <c r="E743" s="1032"/>
      <c r="F743" s="1030"/>
      <c r="G743" s="1030"/>
      <c r="H743" s="1030"/>
      <c r="I743" s="1031"/>
      <c r="J743" s="1032"/>
    </row>
    <row r="744" spans="1:10">
      <c r="A744" s="1030"/>
      <c r="B744" s="1030"/>
      <c r="C744" s="1030"/>
      <c r="D744" s="1031"/>
      <c r="E744" s="1032"/>
      <c r="F744" s="1030"/>
      <c r="G744" s="1030"/>
      <c r="H744" s="1030"/>
      <c r="I744" s="1031"/>
      <c r="J744" s="1032"/>
    </row>
    <row r="745" spans="1:10">
      <c r="A745" s="1030"/>
      <c r="B745" s="1030"/>
      <c r="C745" s="1030"/>
      <c r="D745" s="1031"/>
      <c r="E745" s="1032"/>
      <c r="F745" s="1030"/>
      <c r="G745" s="1030"/>
      <c r="H745" s="1030"/>
      <c r="I745" s="1031"/>
      <c r="J745" s="1032"/>
    </row>
    <row r="746" spans="1:10">
      <c r="A746" s="1030"/>
      <c r="B746" s="1030"/>
      <c r="C746" s="1030"/>
      <c r="D746" s="1031"/>
      <c r="E746" s="1032"/>
      <c r="F746" s="1030"/>
      <c r="G746" s="1030"/>
      <c r="H746" s="1030"/>
      <c r="I746" s="1031"/>
      <c r="J746" s="1032"/>
    </row>
    <row r="747" spans="1:10">
      <c r="A747" s="1030"/>
      <c r="B747" s="1030"/>
      <c r="C747" s="1030"/>
      <c r="D747" s="1031"/>
      <c r="E747" s="1032"/>
      <c r="F747" s="1030"/>
      <c r="G747" s="1030"/>
      <c r="H747" s="1030"/>
      <c r="I747" s="1031"/>
      <c r="J747" s="1032"/>
    </row>
    <row r="748" spans="1:10">
      <c r="A748" s="1030"/>
      <c r="B748" s="1030"/>
      <c r="C748" s="1030"/>
      <c r="D748" s="1031"/>
      <c r="E748" s="1032"/>
      <c r="F748" s="1030"/>
      <c r="G748" s="1030"/>
      <c r="H748" s="1030"/>
      <c r="I748" s="1031"/>
      <c r="J748" s="1032"/>
    </row>
    <row r="749" spans="1:10">
      <c r="A749" s="1030"/>
      <c r="B749" s="1030"/>
      <c r="C749" s="1030"/>
      <c r="D749" s="1031"/>
      <c r="E749" s="1032"/>
      <c r="F749" s="1030"/>
      <c r="G749" s="1030"/>
      <c r="H749" s="1030"/>
      <c r="I749" s="1031"/>
      <c r="J749" s="1032"/>
    </row>
    <row r="750" spans="1:10">
      <c r="A750" s="1030"/>
      <c r="B750" s="1030"/>
      <c r="C750" s="1030"/>
      <c r="D750" s="1031"/>
      <c r="E750" s="1032"/>
      <c r="F750" s="1030"/>
      <c r="G750" s="1030"/>
      <c r="H750" s="1030"/>
      <c r="I750" s="1031"/>
      <c r="J750" s="1032"/>
    </row>
    <row r="751" spans="1:10">
      <c r="A751" s="1030"/>
      <c r="B751" s="1030"/>
      <c r="C751" s="1030"/>
      <c r="D751" s="1031"/>
      <c r="E751" s="1032"/>
      <c r="F751" s="1030"/>
      <c r="G751" s="1030"/>
      <c r="H751" s="1030"/>
      <c r="I751" s="1031"/>
      <c r="J751" s="1032"/>
    </row>
    <row r="752" spans="1:10">
      <c r="A752" s="1030"/>
      <c r="B752" s="1030"/>
      <c r="C752" s="1030"/>
      <c r="D752" s="1031"/>
      <c r="E752" s="1032"/>
      <c r="F752" s="1030"/>
      <c r="G752" s="1030"/>
      <c r="H752" s="1030"/>
      <c r="I752" s="1031"/>
      <c r="J752" s="1032"/>
    </row>
    <row r="753" spans="1:10">
      <c r="A753" s="1030"/>
      <c r="B753" s="1030"/>
      <c r="C753" s="1030"/>
      <c r="D753" s="1031"/>
      <c r="E753" s="1032"/>
      <c r="F753" s="1030"/>
      <c r="G753" s="1030"/>
      <c r="H753" s="1030"/>
      <c r="I753" s="1031"/>
      <c r="J753" s="1032"/>
    </row>
    <row r="754" spans="1:10">
      <c r="A754" s="1030"/>
      <c r="B754" s="1030"/>
      <c r="C754" s="1030"/>
      <c r="D754" s="1031"/>
      <c r="E754" s="1032"/>
      <c r="F754" s="1030"/>
      <c r="G754" s="1030"/>
      <c r="H754" s="1030"/>
      <c r="I754" s="1031"/>
      <c r="J754" s="1032"/>
    </row>
    <row r="755" spans="1:10">
      <c r="A755" s="1030"/>
      <c r="B755" s="1030"/>
      <c r="C755" s="1030"/>
      <c r="D755" s="1031"/>
      <c r="E755" s="1032"/>
      <c r="F755" s="1030"/>
      <c r="G755" s="1030"/>
      <c r="H755" s="1030"/>
      <c r="I755" s="1031"/>
      <c r="J755" s="1032"/>
    </row>
    <row r="756" spans="1:10">
      <c r="A756" s="1030"/>
      <c r="B756" s="1030"/>
      <c r="C756" s="1030"/>
      <c r="D756" s="1031"/>
      <c r="E756" s="1032"/>
      <c r="F756" s="1030"/>
      <c r="G756" s="1030"/>
      <c r="H756" s="1030"/>
      <c r="I756" s="1031"/>
      <c r="J756" s="1032"/>
    </row>
    <row r="757" spans="1:10">
      <c r="A757" s="1030"/>
      <c r="B757" s="1030"/>
      <c r="C757" s="1030"/>
      <c r="D757" s="1031"/>
      <c r="E757" s="1032"/>
      <c r="F757" s="1030"/>
      <c r="G757" s="1030"/>
      <c r="H757" s="1030"/>
      <c r="I757" s="1031"/>
      <c r="J757" s="1032"/>
    </row>
    <row r="758" spans="1:10">
      <c r="A758" s="1030"/>
      <c r="B758" s="1030"/>
      <c r="C758" s="1030"/>
      <c r="D758" s="1031"/>
      <c r="E758" s="1032"/>
      <c r="F758" s="1030"/>
      <c r="G758" s="1030"/>
      <c r="H758" s="1030"/>
      <c r="I758" s="1031"/>
      <c r="J758" s="1032"/>
    </row>
    <row r="759" spans="1:10">
      <c r="A759" s="1030"/>
      <c r="B759" s="1030"/>
      <c r="C759" s="1030"/>
      <c r="D759" s="1031"/>
      <c r="E759" s="1032"/>
      <c r="F759" s="1030"/>
      <c r="G759" s="1030"/>
      <c r="H759" s="1030"/>
      <c r="I759" s="1031"/>
      <c r="J759" s="1032"/>
    </row>
    <row r="760" spans="1:10">
      <c r="A760" s="1030"/>
      <c r="B760" s="1030"/>
      <c r="C760" s="1030"/>
      <c r="D760" s="1031"/>
      <c r="E760" s="1032"/>
      <c r="F760" s="1030"/>
      <c r="G760" s="1030"/>
      <c r="H760" s="1030"/>
      <c r="I760" s="1031"/>
      <c r="J760" s="1032"/>
    </row>
    <row r="761" spans="1:10">
      <c r="A761" s="1030"/>
      <c r="B761" s="1030"/>
      <c r="C761" s="1030"/>
      <c r="D761" s="1031"/>
      <c r="E761" s="1032"/>
      <c r="F761" s="1030"/>
      <c r="G761" s="1030"/>
      <c r="H761" s="1030"/>
      <c r="I761" s="1031"/>
      <c r="J761" s="1032"/>
    </row>
    <row r="762" spans="1:10">
      <c r="A762" s="1030"/>
      <c r="B762" s="1030"/>
      <c r="C762" s="1030"/>
      <c r="D762" s="1031"/>
      <c r="E762" s="1032"/>
      <c r="F762" s="1030"/>
      <c r="G762" s="1030"/>
      <c r="H762" s="1030"/>
      <c r="I762" s="1031"/>
      <c r="J762" s="1032"/>
    </row>
    <row r="763" spans="1:10">
      <c r="A763" s="1030"/>
      <c r="B763" s="1030"/>
      <c r="C763" s="1030"/>
      <c r="D763" s="1031"/>
      <c r="E763" s="1032"/>
      <c r="F763" s="1030"/>
      <c r="G763" s="1030"/>
      <c r="H763" s="1030"/>
      <c r="I763" s="1031"/>
      <c r="J763" s="1032"/>
    </row>
    <row r="764" spans="1:10">
      <c r="A764" s="1030"/>
      <c r="B764" s="1030"/>
      <c r="C764" s="1030"/>
      <c r="D764" s="1031"/>
      <c r="E764" s="1032"/>
      <c r="F764" s="1030"/>
      <c r="G764" s="1030"/>
      <c r="H764" s="1030"/>
      <c r="I764" s="1031"/>
      <c r="J764" s="1032"/>
    </row>
    <row r="765" spans="1:10">
      <c r="A765" s="1030"/>
      <c r="B765" s="1030"/>
      <c r="C765" s="1030"/>
      <c r="D765" s="1031"/>
      <c r="E765" s="1032"/>
      <c r="F765" s="1030"/>
      <c r="G765" s="1030"/>
      <c r="H765" s="1030"/>
      <c r="I765" s="1031"/>
      <c r="J765" s="1032"/>
    </row>
    <row r="766" spans="1:10">
      <c r="A766" s="1030"/>
      <c r="B766" s="1030"/>
      <c r="C766" s="1030"/>
      <c r="D766" s="1031"/>
      <c r="E766" s="1032"/>
      <c r="F766" s="1030"/>
      <c r="G766" s="1030"/>
      <c r="H766" s="1030"/>
      <c r="I766" s="1031"/>
      <c r="J766" s="1032"/>
    </row>
    <row r="767" spans="1:10">
      <c r="A767" s="1030"/>
      <c r="B767" s="1030"/>
      <c r="C767" s="1030"/>
      <c r="D767" s="1031"/>
      <c r="E767" s="1032"/>
      <c r="F767" s="1030"/>
      <c r="G767" s="1030"/>
      <c r="H767" s="1030"/>
      <c r="I767" s="1031"/>
      <c r="J767" s="1032"/>
    </row>
    <row r="768" spans="1:10">
      <c r="A768" s="1030"/>
      <c r="B768" s="1030"/>
      <c r="C768" s="1030"/>
      <c r="D768" s="1031"/>
      <c r="E768" s="1032"/>
      <c r="F768" s="1030"/>
      <c r="G768" s="1030"/>
      <c r="H768" s="1030"/>
      <c r="I768" s="1031"/>
      <c r="J768" s="1032"/>
    </row>
    <row r="769" spans="1:10">
      <c r="A769" s="1030"/>
      <c r="B769" s="1030"/>
      <c r="C769" s="1030"/>
      <c r="D769" s="1031"/>
      <c r="E769" s="1032"/>
      <c r="F769" s="1030"/>
      <c r="G769" s="1030"/>
      <c r="H769" s="1030"/>
      <c r="I769" s="1031"/>
      <c r="J769" s="1032"/>
    </row>
    <row r="770" spans="1:10">
      <c r="A770" s="1030"/>
      <c r="B770" s="1030"/>
      <c r="C770" s="1030"/>
      <c r="D770" s="1031"/>
      <c r="E770" s="1032"/>
      <c r="F770" s="1030"/>
      <c r="G770" s="1030"/>
      <c r="H770" s="1030"/>
      <c r="I770" s="1031"/>
      <c r="J770" s="1032"/>
    </row>
    <row r="771" spans="1:10">
      <c r="A771" s="1030"/>
      <c r="B771" s="1030"/>
      <c r="C771" s="1030"/>
      <c r="D771" s="1031"/>
      <c r="E771" s="1032"/>
      <c r="F771" s="1030"/>
      <c r="G771" s="1030"/>
      <c r="H771" s="1030"/>
      <c r="I771" s="1031"/>
      <c r="J771" s="1032"/>
    </row>
    <row r="772" spans="1:10">
      <c r="A772" s="1030"/>
      <c r="B772" s="1030"/>
      <c r="C772" s="1030"/>
      <c r="D772" s="1031"/>
      <c r="E772" s="1032"/>
      <c r="F772" s="1030"/>
      <c r="G772" s="1030"/>
      <c r="H772" s="1030"/>
      <c r="I772" s="1031"/>
      <c r="J772" s="1032"/>
    </row>
    <row r="773" spans="1:10">
      <c r="A773" s="1030"/>
      <c r="B773" s="1030"/>
      <c r="C773" s="1030"/>
      <c r="D773" s="1031"/>
      <c r="E773" s="1032"/>
      <c r="F773" s="1030"/>
      <c r="G773" s="1030"/>
      <c r="H773" s="1030"/>
      <c r="I773" s="1031"/>
      <c r="J773" s="1032"/>
    </row>
    <row r="774" spans="1:10">
      <c r="A774" s="1030"/>
      <c r="B774" s="1030"/>
      <c r="C774" s="1030"/>
      <c r="D774" s="1031"/>
      <c r="E774" s="1032"/>
      <c r="F774" s="1030"/>
      <c r="G774" s="1030"/>
      <c r="H774" s="1030"/>
      <c r="I774" s="1031"/>
      <c r="J774" s="1032"/>
    </row>
    <row r="775" spans="1:10">
      <c r="A775" s="1030"/>
      <c r="B775" s="1030"/>
      <c r="C775" s="1030"/>
      <c r="D775" s="1031"/>
      <c r="E775" s="1032"/>
      <c r="F775" s="1030"/>
      <c r="G775" s="1030"/>
      <c r="H775" s="1030"/>
      <c r="I775" s="1031"/>
      <c r="J775" s="1032"/>
    </row>
    <row r="776" spans="1:10">
      <c r="A776" s="1030"/>
      <c r="B776" s="1030"/>
      <c r="C776" s="1030"/>
      <c r="D776" s="1031"/>
      <c r="E776" s="1032"/>
      <c r="F776" s="1030"/>
      <c r="G776" s="1030"/>
      <c r="H776" s="1030"/>
      <c r="I776" s="1031"/>
      <c r="J776" s="1032"/>
    </row>
    <row r="777" spans="1:10">
      <c r="A777" s="1030"/>
      <c r="B777" s="1030"/>
      <c r="C777" s="1030"/>
      <c r="D777" s="1031"/>
      <c r="E777" s="1032"/>
      <c r="F777" s="1030"/>
      <c r="G777" s="1030"/>
      <c r="H777" s="1030"/>
      <c r="I777" s="1031"/>
      <c r="J777" s="1032"/>
    </row>
    <row r="778" spans="1:10">
      <c r="A778" s="1030"/>
      <c r="B778" s="1030"/>
      <c r="C778" s="1030"/>
      <c r="D778" s="1031"/>
      <c r="E778" s="1032"/>
      <c r="F778" s="1030"/>
      <c r="G778" s="1030"/>
      <c r="H778" s="1030"/>
      <c r="I778" s="1031"/>
      <c r="J778" s="1032"/>
    </row>
    <row r="779" spans="1:10">
      <c r="A779" s="1030"/>
      <c r="B779" s="1030"/>
      <c r="C779" s="1030"/>
      <c r="D779" s="1031"/>
      <c r="E779" s="1032"/>
      <c r="F779" s="1030"/>
      <c r="G779" s="1030"/>
      <c r="H779" s="1030"/>
      <c r="I779" s="1031"/>
      <c r="J779" s="1032"/>
    </row>
    <row r="780" spans="1:10">
      <c r="A780" s="1030"/>
      <c r="B780" s="1030"/>
      <c r="C780" s="1030"/>
      <c r="D780" s="1031"/>
      <c r="E780" s="1032"/>
      <c r="F780" s="1030"/>
      <c r="G780" s="1030"/>
      <c r="H780" s="1030"/>
      <c r="I780" s="1031"/>
      <c r="J780" s="1032"/>
    </row>
    <row r="781" spans="1:10">
      <c r="A781" s="1030"/>
      <c r="B781" s="1030"/>
      <c r="C781" s="1030"/>
      <c r="D781" s="1031"/>
      <c r="E781" s="1032"/>
      <c r="F781" s="1030"/>
      <c r="G781" s="1030"/>
      <c r="H781" s="1030"/>
      <c r="I781" s="1031"/>
      <c r="J781" s="1032"/>
    </row>
    <row r="782" spans="1:10">
      <c r="A782" s="1030"/>
      <c r="B782" s="1030"/>
      <c r="C782" s="1030"/>
      <c r="D782" s="1031"/>
      <c r="E782" s="1032"/>
      <c r="F782" s="1030"/>
      <c r="G782" s="1030"/>
      <c r="H782" s="1030"/>
      <c r="I782" s="1031"/>
      <c r="J782" s="1032"/>
    </row>
    <row r="783" spans="1:10">
      <c r="A783" s="1030"/>
      <c r="B783" s="1030"/>
      <c r="C783" s="1030"/>
      <c r="D783" s="1031"/>
      <c r="E783" s="1032"/>
      <c r="F783" s="1030"/>
      <c r="G783" s="1030"/>
      <c r="H783" s="1030"/>
      <c r="I783" s="1031"/>
      <c r="J783" s="1032"/>
    </row>
    <row r="784" spans="1:10">
      <c r="A784" s="1030"/>
      <c r="B784" s="1030"/>
      <c r="C784" s="1030"/>
      <c r="D784" s="1031"/>
      <c r="E784" s="1032"/>
      <c r="F784" s="1030"/>
      <c r="G784" s="1030"/>
      <c r="H784" s="1030"/>
      <c r="I784" s="1031"/>
      <c r="J784" s="1032"/>
    </row>
    <row r="785" spans="1:10">
      <c r="A785" s="1030"/>
      <c r="B785" s="1030"/>
      <c r="C785" s="1030"/>
      <c r="D785" s="1031"/>
      <c r="E785" s="1032"/>
      <c r="F785" s="1030"/>
      <c r="G785" s="1030"/>
      <c r="H785" s="1030"/>
      <c r="I785" s="1031"/>
      <c r="J785" s="1032"/>
    </row>
    <row r="786" spans="1:10">
      <c r="A786" s="1030"/>
      <c r="B786" s="1030"/>
      <c r="C786" s="1030"/>
      <c r="D786" s="1031"/>
      <c r="E786" s="1032"/>
      <c r="F786" s="1030"/>
      <c r="G786" s="1030"/>
      <c r="H786" s="1030"/>
      <c r="I786" s="1031"/>
      <c r="J786" s="1032"/>
    </row>
    <row r="787" spans="1:10">
      <c r="A787" s="1030"/>
      <c r="B787" s="1030"/>
      <c r="C787" s="1030"/>
      <c r="D787" s="1031"/>
      <c r="E787" s="1032"/>
      <c r="F787" s="1030"/>
      <c r="G787" s="1030"/>
      <c r="H787" s="1030"/>
      <c r="I787" s="1031"/>
      <c r="J787" s="1032"/>
    </row>
    <row r="788" spans="1:10">
      <c r="A788" s="1030"/>
      <c r="B788" s="1030"/>
      <c r="C788" s="1030"/>
      <c r="D788" s="1031"/>
      <c r="E788" s="1032"/>
      <c r="F788" s="1030"/>
      <c r="G788" s="1030"/>
      <c r="H788" s="1030"/>
      <c r="I788" s="1031"/>
      <c r="J788" s="1032"/>
    </row>
    <row r="789" spans="1:10">
      <c r="A789" s="1030"/>
      <c r="B789" s="1030"/>
      <c r="C789" s="1030"/>
      <c r="D789" s="1031"/>
      <c r="E789" s="1032"/>
      <c r="F789" s="1030"/>
      <c r="G789" s="1030"/>
      <c r="H789" s="1030"/>
      <c r="I789" s="1031"/>
      <c r="J789" s="1032"/>
    </row>
    <row r="790" spans="1:10">
      <c r="A790" s="1030"/>
      <c r="B790" s="1030"/>
      <c r="C790" s="1030"/>
      <c r="D790" s="1031"/>
      <c r="E790" s="1032"/>
      <c r="F790" s="1030"/>
      <c r="G790" s="1030"/>
      <c r="H790" s="1030"/>
      <c r="I790" s="1031"/>
      <c r="J790" s="1032"/>
    </row>
    <row r="791" spans="1:10">
      <c r="A791" s="1030"/>
      <c r="B791" s="1030"/>
      <c r="C791" s="1030"/>
      <c r="D791" s="1031"/>
      <c r="E791" s="1032"/>
      <c r="F791" s="1030"/>
      <c r="G791" s="1030"/>
      <c r="H791" s="1030"/>
      <c r="I791" s="1031"/>
      <c r="J791" s="1032"/>
    </row>
    <row r="792" spans="1:10">
      <c r="A792" s="1030"/>
      <c r="B792" s="1030"/>
      <c r="C792" s="1030"/>
      <c r="D792" s="1031"/>
      <c r="E792" s="1032"/>
      <c r="F792" s="1030"/>
      <c r="G792" s="1030"/>
      <c r="H792" s="1030"/>
      <c r="I792" s="1031"/>
      <c r="J792" s="1032"/>
    </row>
    <row r="793" spans="1:10">
      <c r="A793" s="1030"/>
      <c r="B793" s="1030"/>
      <c r="C793" s="1030"/>
      <c r="D793" s="1031"/>
      <c r="E793" s="1032"/>
      <c r="F793" s="1030"/>
      <c r="G793" s="1030"/>
      <c r="H793" s="1030"/>
      <c r="I793" s="1031"/>
      <c r="J793" s="1032"/>
    </row>
    <row r="794" spans="1:10">
      <c r="A794" s="1030"/>
      <c r="B794" s="1030"/>
      <c r="C794" s="1030"/>
      <c r="D794" s="1031"/>
      <c r="E794" s="1032"/>
      <c r="F794" s="1030"/>
      <c r="G794" s="1030"/>
      <c r="H794" s="1030"/>
      <c r="I794" s="1031"/>
      <c r="J794" s="1032"/>
    </row>
    <row r="795" spans="1:10">
      <c r="A795" s="1030"/>
      <c r="B795" s="1030"/>
      <c r="C795" s="1030"/>
      <c r="D795" s="1031"/>
      <c r="E795" s="1032"/>
      <c r="F795" s="1030"/>
      <c r="G795" s="1030"/>
      <c r="H795" s="1030"/>
      <c r="I795" s="1031"/>
      <c r="J795" s="1032"/>
    </row>
    <row r="796" spans="1:10">
      <c r="A796" s="1030"/>
      <c r="B796" s="1030"/>
      <c r="C796" s="1030"/>
      <c r="D796" s="1031"/>
      <c r="E796" s="1032"/>
      <c r="F796" s="1030"/>
      <c r="G796" s="1030"/>
      <c r="H796" s="1030"/>
      <c r="I796" s="1031"/>
      <c r="J796" s="1032"/>
    </row>
    <row r="797" spans="1:10">
      <c r="A797" s="1030"/>
      <c r="B797" s="1030"/>
      <c r="C797" s="1030"/>
      <c r="D797" s="1031"/>
      <c r="E797" s="1032"/>
      <c r="F797" s="1030"/>
      <c r="G797" s="1030"/>
      <c r="H797" s="1030"/>
      <c r="I797" s="1031"/>
      <c r="J797" s="1032"/>
    </row>
    <row r="798" spans="1:10">
      <c r="A798" s="1030"/>
      <c r="B798" s="1030"/>
      <c r="C798" s="1030"/>
      <c r="D798" s="1031"/>
      <c r="E798" s="1032"/>
      <c r="F798" s="1030"/>
      <c r="G798" s="1030"/>
      <c r="H798" s="1030"/>
      <c r="I798" s="1031"/>
      <c r="J798" s="1032"/>
    </row>
    <row r="799" spans="1:10">
      <c r="A799" s="1030"/>
      <c r="B799" s="1030"/>
      <c r="C799" s="1030"/>
      <c r="D799" s="1031"/>
      <c r="E799" s="1032"/>
      <c r="F799" s="1030"/>
      <c r="G799" s="1030"/>
      <c r="H799" s="1030"/>
      <c r="I799" s="1031"/>
      <c r="J799" s="1032"/>
    </row>
    <row r="800" spans="1:10">
      <c r="A800" s="1030"/>
      <c r="B800" s="1030"/>
      <c r="C800" s="1030"/>
      <c r="D800" s="1031"/>
      <c r="E800" s="1032"/>
      <c r="F800" s="1030"/>
      <c r="G800" s="1030"/>
      <c r="H800" s="1030"/>
      <c r="I800" s="1031"/>
      <c r="J800" s="1032"/>
    </row>
    <row r="801" spans="1:10">
      <c r="A801" s="1030"/>
      <c r="B801" s="1030"/>
      <c r="C801" s="1030"/>
      <c r="D801" s="1031"/>
      <c r="E801" s="1032"/>
      <c r="F801" s="1030"/>
      <c r="G801" s="1030"/>
      <c r="H801" s="1030"/>
      <c r="I801" s="1031"/>
      <c r="J801" s="1032"/>
    </row>
    <row r="802" spans="1:10">
      <c r="A802" s="1030"/>
      <c r="B802" s="1030"/>
      <c r="C802" s="1030"/>
      <c r="D802" s="1031"/>
      <c r="E802" s="1032"/>
      <c r="F802" s="1030"/>
      <c r="G802" s="1030"/>
      <c r="H802" s="1030"/>
      <c r="I802" s="1031"/>
      <c r="J802" s="1032"/>
    </row>
    <row r="803" spans="1:10">
      <c r="A803" s="1030"/>
      <c r="B803" s="1030"/>
      <c r="C803" s="1030"/>
      <c r="D803" s="1031"/>
      <c r="E803" s="1032"/>
      <c r="F803" s="1030"/>
      <c r="G803" s="1030"/>
      <c r="H803" s="1030"/>
      <c r="I803" s="1031"/>
      <c r="J803" s="1032"/>
    </row>
    <row r="804" spans="1:10">
      <c r="A804" s="1030"/>
      <c r="B804" s="1030"/>
      <c r="C804" s="1030"/>
      <c r="D804" s="1031"/>
      <c r="E804" s="1032"/>
      <c r="F804" s="1030"/>
      <c r="G804" s="1030"/>
      <c r="H804" s="1030"/>
      <c r="I804" s="1031"/>
      <c r="J804" s="1032"/>
    </row>
    <row r="805" spans="1:10">
      <c r="A805" s="1030"/>
      <c r="B805" s="1030"/>
      <c r="C805" s="1030"/>
      <c r="D805" s="1031"/>
      <c r="E805" s="1032"/>
      <c r="F805" s="1030"/>
      <c r="G805" s="1030"/>
      <c r="H805" s="1030"/>
      <c r="I805" s="1031"/>
      <c r="J805" s="1032"/>
    </row>
    <row r="806" spans="1:10">
      <c r="A806" s="1030"/>
      <c r="B806" s="1030"/>
      <c r="C806" s="1030"/>
      <c r="D806" s="1031"/>
      <c r="E806" s="1032"/>
      <c r="F806" s="1030"/>
      <c r="G806" s="1030"/>
      <c r="H806" s="1030"/>
      <c r="I806" s="1031"/>
      <c r="J806" s="1032"/>
    </row>
    <row r="807" spans="1:10">
      <c r="A807" s="1030"/>
      <c r="B807" s="1030"/>
      <c r="C807" s="1030"/>
      <c r="D807" s="1031"/>
      <c r="E807" s="1032"/>
      <c r="F807" s="1030"/>
      <c r="G807" s="1030"/>
      <c r="H807" s="1030"/>
      <c r="I807" s="1031"/>
      <c r="J807" s="1032"/>
    </row>
    <row r="808" spans="1:10">
      <c r="A808" s="1030"/>
      <c r="B808" s="1030"/>
      <c r="C808" s="1030"/>
      <c r="D808" s="1031"/>
      <c r="E808" s="1032"/>
      <c r="F808" s="1030"/>
      <c r="G808" s="1030"/>
      <c r="H808" s="1030"/>
      <c r="I808" s="1031"/>
      <c r="J808" s="1032"/>
    </row>
    <row r="809" spans="1:10">
      <c r="A809" s="1030"/>
      <c r="B809" s="1030"/>
      <c r="C809" s="1030"/>
      <c r="D809" s="1031"/>
      <c r="E809" s="1032"/>
      <c r="F809" s="1030"/>
      <c r="G809" s="1030"/>
      <c r="H809" s="1030"/>
      <c r="I809" s="1031"/>
      <c r="J809" s="1032"/>
    </row>
    <row r="810" spans="1:10">
      <c r="A810" s="1030"/>
      <c r="B810" s="1030"/>
      <c r="C810" s="1030"/>
      <c r="D810" s="1031"/>
      <c r="E810" s="1032"/>
      <c r="F810" s="1030"/>
      <c r="G810" s="1030"/>
      <c r="H810" s="1030"/>
      <c r="I810" s="1031"/>
      <c r="J810" s="1032"/>
    </row>
    <row r="811" spans="1:10">
      <c r="A811" s="1030"/>
      <c r="B811" s="1030"/>
      <c r="C811" s="1030"/>
      <c r="D811" s="1031"/>
      <c r="E811" s="1032"/>
      <c r="F811" s="1030"/>
      <c r="G811" s="1030"/>
      <c r="H811" s="1030"/>
      <c r="I811" s="1031"/>
      <c r="J811" s="1032"/>
    </row>
    <row r="812" spans="1:10">
      <c r="A812" s="1030"/>
      <c r="B812" s="1030"/>
      <c r="C812" s="1030"/>
      <c r="D812" s="1031"/>
      <c r="E812" s="1032"/>
      <c r="F812" s="1030"/>
      <c r="G812" s="1030"/>
      <c r="H812" s="1030"/>
      <c r="I812" s="1031"/>
      <c r="J812" s="1032"/>
    </row>
    <row r="813" spans="1:10">
      <c r="A813" s="1030"/>
      <c r="B813" s="1030"/>
      <c r="C813" s="1030"/>
      <c r="D813" s="1031"/>
      <c r="E813" s="1032"/>
      <c r="F813" s="1030"/>
      <c r="G813" s="1030"/>
      <c r="H813" s="1030"/>
      <c r="I813" s="1031"/>
      <c r="J813" s="1032"/>
    </row>
    <row r="814" spans="1:10">
      <c r="A814" s="1030"/>
      <c r="B814" s="1030"/>
      <c r="C814" s="1030"/>
      <c r="D814" s="1031"/>
      <c r="E814" s="1032"/>
      <c r="F814" s="1030"/>
      <c r="G814" s="1030"/>
      <c r="H814" s="1030"/>
      <c r="I814" s="1031"/>
      <c r="J814" s="1032"/>
    </row>
    <row r="815" spans="1:10">
      <c r="A815" s="1030"/>
      <c r="B815" s="1030"/>
      <c r="C815" s="1030"/>
      <c r="D815" s="1031"/>
      <c r="E815" s="1032"/>
      <c r="F815" s="1030"/>
      <c r="G815" s="1030"/>
      <c r="H815" s="1030"/>
      <c r="I815" s="1031"/>
      <c r="J815" s="1032"/>
    </row>
    <row r="816" spans="1:10">
      <c r="A816" s="1030"/>
      <c r="B816" s="1030"/>
      <c r="C816" s="1030"/>
      <c r="D816" s="1031"/>
      <c r="E816" s="1032"/>
      <c r="F816" s="1030"/>
      <c r="G816" s="1030"/>
      <c r="H816" s="1030"/>
      <c r="I816" s="1031"/>
      <c r="J816" s="1032"/>
    </row>
    <row r="817" spans="1:10">
      <c r="A817" s="1030"/>
      <c r="B817" s="1030"/>
      <c r="C817" s="1030"/>
      <c r="D817" s="1031"/>
      <c r="E817" s="1032"/>
      <c r="F817" s="1030"/>
      <c r="G817" s="1030"/>
      <c r="H817" s="1030"/>
      <c r="I817" s="1031"/>
      <c r="J817" s="1032"/>
    </row>
    <row r="818" spans="1:10">
      <c r="A818" s="1030"/>
      <c r="B818" s="1030"/>
      <c r="C818" s="1030"/>
      <c r="D818" s="1031"/>
      <c r="E818" s="1032"/>
      <c r="F818" s="1030"/>
      <c r="G818" s="1030"/>
      <c r="H818" s="1030"/>
      <c r="I818" s="1031"/>
      <c r="J818" s="1032"/>
    </row>
    <row r="819" spans="1:10">
      <c r="A819" s="1030"/>
      <c r="B819" s="1030"/>
      <c r="C819" s="1030"/>
      <c r="D819" s="1031"/>
      <c r="E819" s="1032"/>
      <c r="F819" s="1030"/>
      <c r="G819" s="1030"/>
      <c r="H819" s="1030"/>
      <c r="I819" s="1031"/>
      <c r="J819" s="1032"/>
    </row>
    <row r="820" spans="1:10">
      <c r="A820" s="1030"/>
      <c r="B820" s="1030"/>
      <c r="C820" s="1030"/>
      <c r="D820" s="1031"/>
      <c r="E820" s="1032"/>
      <c r="F820" s="1030"/>
      <c r="G820" s="1030"/>
      <c r="H820" s="1030"/>
      <c r="I820" s="1031"/>
      <c r="J820" s="1032"/>
    </row>
    <row r="821" spans="1:10">
      <c r="A821" s="1030"/>
      <c r="B821" s="1030"/>
      <c r="C821" s="1030"/>
      <c r="D821" s="1031"/>
      <c r="E821" s="1032"/>
      <c r="F821" s="1030"/>
      <c r="G821" s="1030"/>
      <c r="H821" s="1030"/>
      <c r="I821" s="1031"/>
      <c r="J821" s="1032"/>
    </row>
    <row r="822" spans="1:10">
      <c r="A822" s="1030"/>
      <c r="B822" s="1030"/>
      <c r="C822" s="1030"/>
      <c r="D822" s="1031"/>
      <c r="E822" s="1032"/>
      <c r="F822" s="1030"/>
      <c r="G822" s="1030"/>
      <c r="H822" s="1030"/>
      <c r="I822" s="1031"/>
      <c r="J822" s="1032"/>
    </row>
    <row r="823" spans="1:10">
      <c r="A823" s="1030"/>
      <c r="B823" s="1030"/>
      <c r="C823" s="1030"/>
      <c r="D823" s="1031"/>
      <c r="E823" s="1032"/>
      <c r="F823" s="1030"/>
      <c r="G823" s="1030"/>
      <c r="H823" s="1030"/>
      <c r="I823" s="1031"/>
      <c r="J823" s="1032"/>
    </row>
    <row r="824" spans="1:10">
      <c r="A824" s="1030"/>
      <c r="B824" s="1030"/>
      <c r="C824" s="1030"/>
      <c r="D824" s="1031"/>
      <c r="E824" s="1032"/>
      <c r="F824" s="1030"/>
      <c r="G824" s="1030"/>
      <c r="H824" s="1030"/>
      <c r="I824" s="1031"/>
      <c r="J824" s="1032"/>
    </row>
    <row r="825" spans="1:10">
      <c r="A825" s="1030"/>
      <c r="B825" s="1030"/>
      <c r="C825" s="1030"/>
      <c r="D825" s="1031"/>
      <c r="E825" s="1032"/>
      <c r="F825" s="1030"/>
      <c r="G825" s="1030"/>
      <c r="H825" s="1030"/>
      <c r="I825" s="1031"/>
      <c r="J825" s="1032"/>
    </row>
    <row r="826" spans="1:10">
      <c r="A826" s="1030"/>
      <c r="B826" s="1030"/>
      <c r="C826" s="1030"/>
      <c r="D826" s="1031"/>
      <c r="E826" s="1032"/>
      <c r="F826" s="1030"/>
      <c r="G826" s="1030"/>
      <c r="H826" s="1030"/>
      <c r="I826" s="1031"/>
      <c r="J826" s="1032"/>
    </row>
    <row r="827" spans="1:10">
      <c r="A827" s="1030"/>
      <c r="B827" s="1030"/>
      <c r="C827" s="1030"/>
      <c r="D827" s="1031"/>
      <c r="E827" s="1032"/>
      <c r="F827" s="1030"/>
      <c r="G827" s="1030"/>
      <c r="H827" s="1030"/>
      <c r="I827" s="1031"/>
      <c r="J827" s="1032"/>
    </row>
    <row r="828" spans="1:10">
      <c r="A828" s="1030"/>
      <c r="B828" s="1030"/>
      <c r="C828" s="1030"/>
      <c r="D828" s="1031"/>
      <c r="E828" s="1032"/>
      <c r="F828" s="1030"/>
      <c r="G828" s="1030"/>
      <c r="H828" s="1030"/>
      <c r="I828" s="1031"/>
      <c r="J828" s="1032"/>
    </row>
    <row r="829" spans="1:10">
      <c r="A829" s="1030"/>
      <c r="B829" s="1030"/>
      <c r="C829" s="1030"/>
      <c r="D829" s="1031"/>
      <c r="E829" s="1032"/>
      <c r="F829" s="1030"/>
      <c r="G829" s="1030"/>
      <c r="H829" s="1030"/>
      <c r="I829" s="1031"/>
      <c r="J829" s="1032"/>
    </row>
    <row r="830" spans="1:10">
      <c r="A830" s="1030"/>
      <c r="B830" s="1030"/>
      <c r="C830" s="1030"/>
      <c r="D830" s="1031"/>
      <c r="E830" s="1032"/>
      <c r="F830" s="1030"/>
      <c r="G830" s="1030"/>
      <c r="H830" s="1030"/>
      <c r="I830" s="1031"/>
      <c r="J830" s="1032"/>
    </row>
    <row r="831" spans="1:10">
      <c r="A831" s="1030"/>
      <c r="B831" s="1030"/>
      <c r="C831" s="1030"/>
      <c r="D831" s="1031"/>
      <c r="E831" s="1032"/>
      <c r="F831" s="1030"/>
      <c r="G831" s="1030"/>
      <c r="H831" s="1030"/>
      <c r="I831" s="1031"/>
      <c r="J831" s="1032"/>
    </row>
    <row r="832" spans="1:10">
      <c r="A832" s="1030"/>
      <c r="B832" s="1030"/>
      <c r="C832" s="1030"/>
      <c r="D832" s="1031"/>
      <c r="E832" s="1032"/>
      <c r="F832" s="1030"/>
      <c r="G832" s="1030"/>
      <c r="H832" s="1030"/>
      <c r="I832" s="1031"/>
      <c r="J832" s="1032"/>
    </row>
    <row r="833" spans="1:10">
      <c r="A833" s="1030"/>
      <c r="B833" s="1030"/>
      <c r="C833" s="1030"/>
      <c r="D833" s="1031"/>
      <c r="E833" s="1032"/>
      <c r="F833" s="1030"/>
      <c r="G833" s="1030"/>
      <c r="H833" s="1030"/>
      <c r="I833" s="1031"/>
      <c r="J833" s="1032"/>
    </row>
    <row r="834" spans="1:10">
      <c r="A834" s="1030"/>
      <c r="B834" s="1030"/>
      <c r="C834" s="1030"/>
      <c r="D834" s="1031"/>
      <c r="E834" s="1032"/>
      <c r="F834" s="1030"/>
      <c r="G834" s="1030"/>
      <c r="H834" s="1030"/>
      <c r="I834" s="1031"/>
      <c r="J834" s="1032"/>
    </row>
    <row r="835" spans="1:10">
      <c r="A835" s="1030"/>
      <c r="B835" s="1030"/>
      <c r="C835" s="1030"/>
      <c r="D835" s="1031"/>
      <c r="E835" s="1032"/>
      <c r="F835" s="1030"/>
      <c r="G835" s="1030"/>
      <c r="H835" s="1030"/>
      <c r="I835" s="1031"/>
      <c r="J835" s="1032"/>
    </row>
    <row r="836" spans="1:10">
      <c r="A836" s="1030"/>
      <c r="B836" s="1030"/>
      <c r="C836" s="1030"/>
      <c r="D836" s="1031"/>
      <c r="E836" s="1032"/>
      <c r="F836" s="1030"/>
      <c r="G836" s="1030"/>
      <c r="H836" s="1030"/>
      <c r="I836" s="1031"/>
      <c r="J836" s="1032"/>
    </row>
    <row r="837" spans="1:10">
      <c r="A837" s="1030"/>
      <c r="B837" s="1030"/>
      <c r="C837" s="1030"/>
      <c r="D837" s="1031"/>
      <c r="E837" s="1032"/>
      <c r="F837" s="1030"/>
      <c r="G837" s="1030"/>
      <c r="H837" s="1030"/>
      <c r="I837" s="1031"/>
      <c r="J837" s="1032"/>
    </row>
    <row r="838" spans="1:10">
      <c r="A838" s="1030"/>
      <c r="B838" s="1030"/>
      <c r="C838" s="1030"/>
      <c r="D838" s="1031"/>
      <c r="E838" s="1032"/>
      <c r="F838" s="1030"/>
      <c r="G838" s="1030"/>
      <c r="H838" s="1030"/>
      <c r="I838" s="1031"/>
      <c r="J838" s="1032"/>
    </row>
    <row r="839" spans="1:10">
      <c r="A839" s="1030"/>
      <c r="B839" s="1030"/>
      <c r="C839" s="1030"/>
      <c r="D839" s="1031"/>
      <c r="E839" s="1032"/>
      <c r="F839" s="1030"/>
      <c r="G839" s="1030"/>
      <c r="H839" s="1030"/>
      <c r="I839" s="1031"/>
      <c r="J839" s="1032"/>
    </row>
    <row r="840" spans="1:10">
      <c r="A840" s="1030"/>
      <c r="B840" s="1030"/>
      <c r="C840" s="1030"/>
      <c r="D840" s="1031"/>
      <c r="E840" s="1032"/>
      <c r="F840" s="1030"/>
      <c r="G840" s="1030"/>
      <c r="H840" s="1030"/>
      <c r="I840" s="1031"/>
      <c r="J840" s="1032"/>
    </row>
    <row r="841" spans="1:10">
      <c r="A841" s="1030"/>
      <c r="B841" s="1030"/>
      <c r="C841" s="1030"/>
      <c r="D841" s="1031"/>
      <c r="E841" s="1032"/>
      <c r="F841" s="1030"/>
      <c r="G841" s="1030"/>
      <c r="H841" s="1030"/>
      <c r="I841" s="1031"/>
      <c r="J841" s="1032"/>
    </row>
    <row r="842" spans="1:10">
      <c r="A842" s="1030"/>
      <c r="B842" s="1030"/>
      <c r="C842" s="1030"/>
      <c r="D842" s="1031"/>
      <c r="E842" s="1032"/>
      <c r="F842" s="1030"/>
      <c r="G842" s="1030"/>
      <c r="H842" s="1030"/>
      <c r="I842" s="1031"/>
      <c r="J842" s="1032"/>
    </row>
    <row r="843" spans="1:10">
      <c r="A843" s="1030"/>
      <c r="B843" s="1030"/>
      <c r="C843" s="1030"/>
      <c r="D843" s="1031"/>
      <c r="E843" s="1032"/>
      <c r="F843" s="1030"/>
      <c r="G843" s="1030"/>
      <c r="H843" s="1030"/>
      <c r="I843" s="1031"/>
      <c r="J843" s="1032"/>
    </row>
    <row r="844" spans="1:10">
      <c r="A844" s="1030"/>
      <c r="B844" s="1030"/>
      <c r="C844" s="1030"/>
      <c r="D844" s="1031"/>
      <c r="E844" s="1032"/>
      <c r="F844" s="1030"/>
      <c r="G844" s="1030"/>
      <c r="H844" s="1030"/>
      <c r="I844" s="1031"/>
      <c r="J844" s="1032"/>
    </row>
    <row r="845" spans="1:10">
      <c r="A845" s="1030"/>
      <c r="B845" s="1030"/>
      <c r="C845" s="1030"/>
      <c r="D845" s="1031"/>
      <c r="E845" s="1032"/>
      <c r="F845" s="1030"/>
      <c r="G845" s="1030"/>
      <c r="H845" s="1030"/>
      <c r="I845" s="1031"/>
      <c r="J845" s="1032"/>
    </row>
    <row r="846" spans="1:10">
      <c r="A846" s="1030"/>
      <c r="B846" s="1030"/>
      <c r="C846" s="1030"/>
      <c r="D846" s="1031"/>
      <c r="E846" s="1032"/>
      <c r="F846" s="1030"/>
      <c r="G846" s="1030"/>
      <c r="H846" s="1030"/>
      <c r="I846" s="1031"/>
      <c r="J846" s="1032"/>
    </row>
    <row r="847" spans="1:10">
      <c r="A847" s="1030"/>
      <c r="B847" s="1030"/>
      <c r="C847" s="1030"/>
      <c r="D847" s="1031"/>
      <c r="E847" s="1032"/>
      <c r="F847" s="1030"/>
      <c r="G847" s="1030"/>
      <c r="H847" s="1030"/>
      <c r="I847" s="1031"/>
      <c r="J847" s="1032"/>
    </row>
    <row r="848" spans="1:10">
      <c r="A848" s="1030"/>
      <c r="B848" s="1030"/>
      <c r="C848" s="1030"/>
      <c r="D848" s="1031"/>
      <c r="E848" s="1032"/>
      <c r="F848" s="1030"/>
      <c r="G848" s="1030"/>
      <c r="H848" s="1030"/>
      <c r="I848" s="1031"/>
      <c r="J848" s="1032"/>
    </row>
    <row r="849" spans="1:10">
      <c r="A849" s="1030"/>
      <c r="B849" s="1030"/>
      <c r="C849" s="1030"/>
      <c r="D849" s="1031"/>
      <c r="E849" s="1032"/>
      <c r="F849" s="1030"/>
      <c r="G849" s="1030"/>
      <c r="H849" s="1030"/>
      <c r="I849" s="1031"/>
      <c r="J849" s="1032"/>
    </row>
    <row r="850" spans="1:10">
      <c r="A850" s="1030"/>
      <c r="B850" s="1030"/>
      <c r="C850" s="1030"/>
      <c r="D850" s="1031"/>
      <c r="E850" s="1032"/>
      <c r="F850" s="1030"/>
      <c r="G850" s="1030"/>
      <c r="H850" s="1030"/>
      <c r="I850" s="1031"/>
      <c r="J850" s="1032"/>
    </row>
    <row r="851" spans="1:10">
      <c r="A851" s="1030"/>
      <c r="B851" s="1030"/>
      <c r="C851" s="1030"/>
      <c r="D851" s="1031"/>
      <c r="E851" s="1032"/>
      <c r="F851" s="1030"/>
      <c r="G851" s="1030"/>
      <c r="H851" s="1030"/>
      <c r="I851" s="1031"/>
      <c r="J851" s="1032"/>
    </row>
    <row r="852" spans="1:10">
      <c r="A852" s="1030"/>
      <c r="B852" s="1030"/>
      <c r="C852" s="1030"/>
      <c r="D852" s="1031"/>
      <c r="E852" s="1032"/>
      <c r="F852" s="1030"/>
      <c r="G852" s="1030"/>
      <c r="H852" s="1030"/>
      <c r="I852" s="1031"/>
      <c r="J852" s="1032"/>
    </row>
    <row r="853" spans="1:10">
      <c r="A853" s="1030"/>
      <c r="B853" s="1030"/>
      <c r="C853" s="1030"/>
      <c r="D853" s="1031"/>
      <c r="E853" s="1032"/>
      <c r="F853" s="1030"/>
      <c r="G853" s="1030"/>
      <c r="H853" s="1030"/>
      <c r="I853" s="1031"/>
      <c r="J853" s="1032"/>
    </row>
    <row r="854" spans="1:10">
      <c r="A854" s="1030"/>
      <c r="B854" s="1030"/>
      <c r="C854" s="1030"/>
      <c r="D854" s="1031"/>
      <c r="E854" s="1032"/>
      <c r="F854" s="1030"/>
      <c r="G854" s="1030"/>
      <c r="H854" s="1030"/>
      <c r="I854" s="1031"/>
      <c r="J854" s="1032"/>
    </row>
    <row r="855" spans="1:10">
      <c r="A855" s="1030"/>
      <c r="B855" s="1030"/>
      <c r="C855" s="1030"/>
      <c r="D855" s="1031"/>
      <c r="E855" s="1032"/>
      <c r="F855" s="1030"/>
      <c r="G855" s="1030"/>
      <c r="H855" s="1030"/>
      <c r="I855" s="1031"/>
      <c r="J855" s="1032"/>
    </row>
    <row r="856" spans="1:10">
      <c r="A856" s="1030"/>
      <c r="B856" s="1030"/>
      <c r="C856" s="1030"/>
      <c r="D856" s="1031"/>
      <c r="E856" s="1032"/>
      <c r="F856" s="1030"/>
      <c r="G856" s="1030"/>
      <c r="H856" s="1030"/>
      <c r="I856" s="1031"/>
      <c r="J856" s="1032"/>
    </row>
    <row r="857" spans="1:10">
      <c r="A857" s="1030"/>
      <c r="B857" s="1030"/>
      <c r="C857" s="1030"/>
      <c r="D857" s="1031"/>
      <c r="E857" s="1032"/>
      <c r="F857" s="1030"/>
      <c r="G857" s="1030"/>
      <c r="H857" s="1030"/>
      <c r="I857" s="1031"/>
      <c r="J857" s="1032"/>
    </row>
    <row r="858" spans="1:10">
      <c r="A858" s="1030"/>
      <c r="B858" s="1030"/>
      <c r="C858" s="1030"/>
      <c r="D858" s="1031"/>
      <c r="E858" s="1032"/>
      <c r="F858" s="1030"/>
      <c r="G858" s="1030"/>
      <c r="H858" s="1030"/>
      <c r="I858" s="1031"/>
      <c r="J858" s="1032"/>
    </row>
    <row r="859" spans="1:10">
      <c r="A859" s="1030"/>
      <c r="B859" s="1030"/>
      <c r="C859" s="1030"/>
      <c r="D859" s="1031"/>
      <c r="E859" s="1032"/>
      <c r="F859" s="1030"/>
      <c r="G859" s="1030"/>
      <c r="H859" s="1030"/>
      <c r="I859" s="1031"/>
      <c r="J859" s="1032"/>
    </row>
    <row r="860" spans="1:10">
      <c r="A860" s="1030"/>
      <c r="B860" s="1030"/>
      <c r="C860" s="1030"/>
      <c r="D860" s="1031"/>
      <c r="E860" s="1032"/>
      <c r="F860" s="1030"/>
      <c r="G860" s="1030"/>
      <c r="H860" s="1030"/>
      <c r="I860" s="1031"/>
      <c r="J860" s="1032"/>
    </row>
    <row r="861" spans="1:10">
      <c r="A861" s="1030"/>
      <c r="B861" s="1030"/>
      <c r="C861" s="1030"/>
      <c r="D861" s="1031"/>
      <c r="E861" s="1032"/>
      <c r="F861" s="1030"/>
      <c r="G861" s="1030"/>
      <c r="H861" s="1030"/>
      <c r="I861" s="1031"/>
      <c r="J861" s="1032"/>
    </row>
    <row r="862" spans="1:10">
      <c r="A862" s="1030"/>
      <c r="B862" s="1030"/>
      <c r="C862" s="1030"/>
      <c r="D862" s="1031"/>
      <c r="E862" s="1032"/>
      <c r="F862" s="1030"/>
      <c r="G862" s="1030"/>
      <c r="H862" s="1030"/>
      <c r="I862" s="1031"/>
      <c r="J862" s="1032"/>
    </row>
    <row r="863" spans="1:10">
      <c r="A863" s="1030"/>
      <c r="B863" s="1030"/>
      <c r="C863" s="1030"/>
      <c r="D863" s="1031"/>
      <c r="E863" s="1032"/>
      <c r="F863" s="1030"/>
      <c r="G863" s="1030"/>
      <c r="H863" s="1030"/>
      <c r="I863" s="1031"/>
      <c r="J863" s="1032"/>
    </row>
    <row r="864" spans="1:10">
      <c r="A864" s="1030"/>
      <c r="B864" s="1030"/>
      <c r="C864" s="1030"/>
      <c r="D864" s="1031"/>
      <c r="E864" s="1032"/>
      <c r="F864" s="1030"/>
      <c r="G864" s="1030"/>
      <c r="H864" s="1030"/>
      <c r="I864" s="1031"/>
      <c r="J864" s="1032"/>
    </row>
    <row r="865" spans="1:10">
      <c r="A865" s="1030"/>
      <c r="B865" s="1030"/>
      <c r="C865" s="1030"/>
      <c r="D865" s="1031"/>
      <c r="E865" s="1032"/>
      <c r="F865" s="1030"/>
      <c r="G865" s="1030"/>
      <c r="H865" s="1030"/>
      <c r="I865" s="1031"/>
      <c r="J865" s="1032"/>
    </row>
    <row r="866" spans="1:10">
      <c r="A866" s="1030"/>
      <c r="B866" s="1030"/>
      <c r="C866" s="1030"/>
      <c r="D866" s="1031"/>
      <c r="E866" s="1032"/>
      <c r="F866" s="1030"/>
      <c r="G866" s="1030"/>
      <c r="H866" s="1030"/>
      <c r="I866" s="1031"/>
      <c r="J866" s="1032"/>
    </row>
    <row r="867" spans="1:10">
      <c r="A867" s="1030"/>
      <c r="B867" s="1030"/>
      <c r="C867" s="1030"/>
      <c r="D867" s="1031"/>
      <c r="E867" s="1032"/>
      <c r="F867" s="1030"/>
      <c r="G867" s="1030"/>
      <c r="H867" s="1030"/>
      <c r="I867" s="1031"/>
      <c r="J867" s="1032"/>
    </row>
    <row r="868" spans="1:10">
      <c r="A868" s="1030"/>
      <c r="B868" s="1030"/>
      <c r="C868" s="1030"/>
      <c r="D868" s="1031"/>
      <c r="E868" s="1032"/>
      <c r="F868" s="1030"/>
      <c r="G868" s="1030"/>
      <c r="H868" s="1030"/>
      <c r="I868" s="1031"/>
      <c r="J868" s="1032"/>
    </row>
    <row r="869" spans="1:10">
      <c r="A869" s="1030"/>
      <c r="B869" s="1030"/>
      <c r="C869" s="1030"/>
      <c r="D869" s="1031"/>
      <c r="E869" s="1032"/>
      <c r="F869" s="1030"/>
      <c r="G869" s="1030"/>
      <c r="H869" s="1030"/>
      <c r="I869" s="1031"/>
      <c r="J869" s="1032"/>
    </row>
    <row r="870" spans="1:10">
      <c r="A870" s="1030"/>
      <c r="B870" s="1030"/>
      <c r="C870" s="1030"/>
      <c r="D870" s="1031"/>
      <c r="E870" s="1032"/>
      <c r="F870" s="1030"/>
      <c r="G870" s="1030"/>
      <c r="H870" s="1030"/>
      <c r="I870" s="1031"/>
      <c r="J870" s="1032"/>
    </row>
    <row r="871" spans="1:10">
      <c r="A871" s="1030"/>
      <c r="B871" s="1030"/>
      <c r="C871" s="1030"/>
      <c r="D871" s="1031"/>
      <c r="E871" s="1032"/>
      <c r="F871" s="1030"/>
      <c r="G871" s="1030"/>
      <c r="H871" s="1030"/>
      <c r="I871" s="1031"/>
      <c r="J871" s="1032"/>
    </row>
    <row r="872" spans="1:10">
      <c r="A872" s="1030"/>
      <c r="B872" s="1030"/>
      <c r="C872" s="1030"/>
      <c r="D872" s="1031"/>
      <c r="E872" s="1032"/>
      <c r="F872" s="1030"/>
      <c r="G872" s="1030"/>
      <c r="H872" s="1030"/>
      <c r="I872" s="1031"/>
      <c r="J872" s="1032"/>
    </row>
    <row r="873" spans="1:10">
      <c r="A873" s="1030"/>
      <c r="B873" s="1030"/>
      <c r="C873" s="1030"/>
      <c r="D873" s="1031"/>
      <c r="E873" s="1032"/>
      <c r="F873" s="1030"/>
      <c r="G873" s="1030"/>
      <c r="H873" s="1030"/>
      <c r="I873" s="1031"/>
      <c r="J873" s="1032"/>
    </row>
    <row r="874" spans="1:10">
      <c r="A874" s="1030"/>
      <c r="B874" s="1030"/>
      <c r="C874" s="1030"/>
      <c r="D874" s="1031"/>
      <c r="E874" s="1032"/>
      <c r="F874" s="1030"/>
      <c r="G874" s="1030"/>
      <c r="H874" s="1030"/>
      <c r="I874" s="1031"/>
      <c r="J874" s="1032"/>
    </row>
    <row r="875" spans="1:10">
      <c r="A875" s="1030"/>
      <c r="B875" s="1030"/>
      <c r="C875" s="1030"/>
      <c r="D875" s="1031"/>
      <c r="E875" s="1032"/>
      <c r="F875" s="1030"/>
      <c r="G875" s="1030"/>
      <c r="H875" s="1030"/>
      <c r="I875" s="1031"/>
      <c r="J875" s="1032"/>
    </row>
    <row r="876" spans="1:10">
      <c r="A876" s="1030"/>
      <c r="B876" s="1030"/>
      <c r="C876" s="1030"/>
      <c r="D876" s="1031"/>
      <c r="E876" s="1032"/>
      <c r="F876" s="1030"/>
      <c r="G876" s="1030"/>
      <c r="H876" s="1030"/>
      <c r="I876" s="1031"/>
      <c r="J876" s="1032"/>
    </row>
    <row r="877" spans="1:10">
      <c r="A877" s="1030"/>
      <c r="B877" s="1030"/>
      <c r="C877" s="1030"/>
      <c r="D877" s="1031"/>
      <c r="E877" s="1032"/>
      <c r="F877" s="1030"/>
      <c r="G877" s="1030"/>
      <c r="H877" s="1030"/>
      <c r="I877" s="1031"/>
      <c r="J877" s="1032"/>
    </row>
    <row r="878" spans="1:10">
      <c r="A878" s="1030"/>
      <c r="B878" s="1030"/>
      <c r="C878" s="1030"/>
      <c r="D878" s="1031"/>
      <c r="E878" s="1032"/>
      <c r="F878" s="1030"/>
      <c r="G878" s="1030"/>
      <c r="H878" s="1030"/>
      <c r="I878" s="1031"/>
      <c r="J878" s="1032"/>
    </row>
    <row r="879" spans="1:10">
      <c r="A879" s="1030"/>
      <c r="B879" s="1030"/>
      <c r="C879" s="1030"/>
      <c r="D879" s="1031"/>
      <c r="E879" s="1032"/>
      <c r="F879" s="1030"/>
      <c r="G879" s="1030"/>
      <c r="H879" s="1030"/>
      <c r="I879" s="1031"/>
      <c r="J879" s="1032"/>
    </row>
    <row r="880" spans="1:10">
      <c r="A880" s="1030"/>
      <c r="B880" s="1030"/>
      <c r="C880" s="1030"/>
      <c r="D880" s="1031"/>
      <c r="E880" s="1032"/>
      <c r="F880" s="1030"/>
      <c r="G880" s="1030"/>
      <c r="H880" s="1030"/>
      <c r="I880" s="1031"/>
      <c r="J880" s="1032"/>
    </row>
    <row r="881" spans="1:10">
      <c r="A881" s="1030"/>
      <c r="B881" s="1030"/>
      <c r="C881" s="1030"/>
      <c r="D881" s="1031"/>
      <c r="E881" s="1032"/>
      <c r="F881" s="1030"/>
      <c r="G881" s="1030"/>
      <c r="H881" s="1030"/>
      <c r="I881" s="1031"/>
      <c r="J881" s="1032"/>
    </row>
    <row r="882" spans="1:10">
      <c r="A882" s="1030"/>
      <c r="B882" s="1030"/>
      <c r="C882" s="1030"/>
      <c r="D882" s="1031"/>
      <c r="E882" s="1032"/>
      <c r="F882" s="1030"/>
      <c r="G882" s="1030"/>
      <c r="H882" s="1030"/>
      <c r="I882" s="1031"/>
      <c r="J882" s="1032"/>
    </row>
    <row r="883" spans="1:10">
      <c r="A883" s="1030"/>
      <c r="B883" s="1030"/>
      <c r="C883" s="1030"/>
      <c r="D883" s="1031"/>
      <c r="E883" s="1032"/>
      <c r="F883" s="1030"/>
      <c r="G883" s="1030"/>
      <c r="H883" s="1030"/>
      <c r="I883" s="1031"/>
      <c r="J883" s="1032"/>
    </row>
    <row r="884" spans="1:10">
      <c r="A884" s="1030"/>
      <c r="B884" s="1030"/>
      <c r="C884" s="1030"/>
      <c r="D884" s="1031"/>
      <c r="E884" s="1032"/>
      <c r="F884" s="1030"/>
      <c r="G884" s="1030"/>
      <c r="H884" s="1030"/>
      <c r="I884" s="1031"/>
      <c r="J884" s="1032"/>
    </row>
    <row r="885" spans="1:10">
      <c r="A885" s="1030"/>
      <c r="B885" s="1030"/>
      <c r="C885" s="1030"/>
      <c r="D885" s="1031"/>
      <c r="E885" s="1032"/>
      <c r="F885" s="1030"/>
      <c r="G885" s="1030"/>
      <c r="H885" s="1030"/>
      <c r="I885" s="1031"/>
      <c r="J885" s="1032"/>
    </row>
    <row r="886" spans="1:10">
      <c r="A886" s="1030"/>
      <c r="B886" s="1030"/>
      <c r="C886" s="1030"/>
      <c r="D886" s="1031"/>
      <c r="E886" s="1032"/>
      <c r="F886" s="1030"/>
      <c r="G886" s="1030"/>
      <c r="H886" s="1030"/>
      <c r="I886" s="1031"/>
      <c r="J886" s="1032"/>
    </row>
    <row r="887" spans="1:10">
      <c r="A887" s="1030"/>
      <c r="B887" s="1030"/>
      <c r="C887" s="1030"/>
      <c r="D887" s="1031"/>
      <c r="E887" s="1032"/>
      <c r="F887" s="1030"/>
      <c r="G887" s="1030"/>
      <c r="H887" s="1030"/>
      <c r="I887" s="1031"/>
      <c r="J887" s="1032"/>
    </row>
    <row r="888" spans="1:10">
      <c r="A888" s="1030"/>
      <c r="B888" s="1030"/>
      <c r="C888" s="1030"/>
      <c r="D888" s="1031"/>
      <c r="E888" s="1032"/>
      <c r="F888" s="1030"/>
      <c r="G888" s="1030"/>
      <c r="H888" s="1030"/>
      <c r="I888" s="1031"/>
      <c r="J888" s="1032"/>
    </row>
    <row r="889" spans="1:10">
      <c r="A889" s="1030"/>
      <c r="B889" s="1030"/>
      <c r="C889" s="1030"/>
      <c r="D889" s="1031"/>
      <c r="E889" s="1032"/>
      <c r="F889" s="1030"/>
      <c r="G889" s="1030"/>
      <c r="H889" s="1030"/>
      <c r="I889" s="1031"/>
      <c r="J889" s="1032"/>
    </row>
    <row r="890" spans="1:10">
      <c r="A890" s="1030"/>
      <c r="B890" s="1030"/>
      <c r="C890" s="1030"/>
      <c r="D890" s="1031"/>
      <c r="E890" s="1032"/>
      <c r="F890" s="1030"/>
      <c r="G890" s="1030"/>
      <c r="H890" s="1030"/>
      <c r="I890" s="1031"/>
      <c r="J890" s="1032"/>
    </row>
    <row r="891" spans="1:10">
      <c r="A891" s="1030"/>
      <c r="B891" s="1030"/>
      <c r="C891" s="1030"/>
      <c r="D891" s="1031"/>
      <c r="E891" s="1032"/>
      <c r="F891" s="1030"/>
      <c r="G891" s="1030"/>
      <c r="H891" s="1030"/>
      <c r="I891" s="1031"/>
      <c r="J891" s="1032"/>
    </row>
    <row r="892" spans="1:10">
      <c r="A892" s="1030"/>
      <c r="B892" s="1030"/>
      <c r="C892" s="1030"/>
      <c r="D892" s="1031"/>
      <c r="E892" s="1032"/>
      <c r="F892" s="1030"/>
      <c r="G892" s="1030"/>
      <c r="H892" s="1030"/>
      <c r="I892" s="1031"/>
      <c r="J892" s="1032"/>
    </row>
    <row r="893" spans="1:10">
      <c r="A893" s="1030"/>
      <c r="B893" s="1030"/>
      <c r="C893" s="1030"/>
      <c r="D893" s="1031"/>
      <c r="E893" s="1032"/>
      <c r="F893" s="1030"/>
      <c r="G893" s="1030"/>
      <c r="H893" s="1030"/>
      <c r="I893" s="1031"/>
      <c r="J893" s="1032"/>
    </row>
    <row r="894" spans="1:10">
      <c r="A894" s="1030"/>
      <c r="B894" s="1030"/>
      <c r="C894" s="1030"/>
      <c r="D894" s="1031"/>
      <c r="E894" s="1032"/>
      <c r="F894" s="1030"/>
      <c r="G894" s="1030"/>
      <c r="H894" s="1030"/>
      <c r="I894" s="1031"/>
      <c r="J894" s="1032"/>
    </row>
    <row r="895" spans="1:10">
      <c r="A895" s="1030"/>
      <c r="B895" s="1030"/>
      <c r="C895" s="1030"/>
      <c r="D895" s="1031"/>
      <c r="E895" s="1032"/>
      <c r="F895" s="1030"/>
      <c r="G895" s="1030"/>
      <c r="H895" s="1030"/>
      <c r="I895" s="1031"/>
      <c r="J895" s="1032"/>
    </row>
    <row r="896" spans="1:10">
      <c r="A896" s="1030"/>
      <c r="B896" s="1030"/>
      <c r="C896" s="1030"/>
      <c r="D896" s="1031"/>
      <c r="E896" s="1032"/>
      <c r="F896" s="1030"/>
      <c r="G896" s="1030"/>
      <c r="H896" s="1030"/>
      <c r="I896" s="1031"/>
      <c r="J896" s="1032"/>
    </row>
    <row r="897" spans="1:10">
      <c r="A897" s="1030"/>
      <c r="B897" s="1030"/>
      <c r="C897" s="1030"/>
      <c r="D897" s="1031"/>
      <c r="E897" s="1032"/>
      <c r="F897" s="1030"/>
      <c r="G897" s="1030"/>
      <c r="H897" s="1030"/>
      <c r="I897" s="1031"/>
      <c r="J897" s="1032"/>
    </row>
    <row r="898" spans="1:10">
      <c r="A898" s="1030"/>
      <c r="B898" s="1030"/>
      <c r="C898" s="1030"/>
      <c r="D898" s="1031"/>
      <c r="E898" s="1032"/>
      <c r="F898" s="1030"/>
      <c r="G898" s="1030"/>
      <c r="H898" s="1030"/>
      <c r="I898" s="1031"/>
      <c r="J898" s="1032"/>
    </row>
    <row r="899" spans="1:10">
      <c r="A899" s="1030"/>
      <c r="B899" s="1030"/>
      <c r="C899" s="1030"/>
      <c r="D899" s="1031"/>
      <c r="E899" s="1032"/>
      <c r="F899" s="1030"/>
      <c r="G899" s="1030"/>
      <c r="H899" s="1030"/>
      <c r="I899" s="1031"/>
      <c r="J899" s="1032"/>
    </row>
    <row r="900" spans="1:10">
      <c r="A900" s="1030"/>
      <c r="B900" s="1030"/>
      <c r="C900" s="1030"/>
      <c r="D900" s="1031"/>
      <c r="E900" s="1032"/>
      <c r="F900" s="1030"/>
      <c r="G900" s="1030"/>
      <c r="H900" s="1030"/>
      <c r="I900" s="1031"/>
      <c r="J900" s="1032"/>
    </row>
    <row r="901" spans="1:10">
      <c r="A901" s="1030"/>
      <c r="B901" s="1030"/>
      <c r="C901" s="1030"/>
      <c r="D901" s="1031"/>
      <c r="E901" s="1032"/>
      <c r="F901" s="1030"/>
      <c r="G901" s="1030"/>
      <c r="H901" s="1030"/>
      <c r="I901" s="1031"/>
      <c r="J901" s="1032"/>
    </row>
    <row r="902" spans="1:10">
      <c r="A902" s="1030"/>
      <c r="B902" s="1030"/>
      <c r="C902" s="1030"/>
      <c r="D902" s="1031"/>
      <c r="E902" s="1032"/>
      <c r="F902" s="1030"/>
      <c r="G902" s="1030"/>
      <c r="H902" s="1030"/>
      <c r="I902" s="1031"/>
      <c r="J902" s="1032"/>
    </row>
    <row r="903" spans="1:10">
      <c r="A903" s="1030"/>
      <c r="B903" s="1030"/>
      <c r="C903" s="1030"/>
      <c r="D903" s="1031"/>
      <c r="E903" s="1032"/>
      <c r="F903" s="1030"/>
      <c r="G903" s="1030"/>
      <c r="H903" s="1030"/>
      <c r="I903" s="1031"/>
      <c r="J903" s="1032"/>
    </row>
    <row r="904" spans="1:10">
      <c r="A904" s="1030"/>
      <c r="B904" s="1030"/>
      <c r="C904" s="1030"/>
      <c r="D904" s="1031"/>
      <c r="E904" s="1032"/>
      <c r="F904" s="1030"/>
      <c r="G904" s="1030"/>
      <c r="H904" s="1030"/>
      <c r="I904" s="1031"/>
      <c r="J904" s="1032"/>
    </row>
    <row r="905" spans="1:10">
      <c r="A905" s="1030"/>
      <c r="B905" s="1030"/>
      <c r="C905" s="1030"/>
      <c r="D905" s="1031"/>
      <c r="E905" s="1032"/>
      <c r="F905" s="1030"/>
      <c r="G905" s="1030"/>
      <c r="H905" s="1030"/>
      <c r="I905" s="1031"/>
      <c r="J905" s="1032"/>
    </row>
    <row r="906" spans="1:10">
      <c r="A906" s="1030"/>
      <c r="B906" s="1030"/>
      <c r="C906" s="1030"/>
      <c r="D906" s="1031"/>
      <c r="E906" s="1032"/>
      <c r="F906" s="1030"/>
      <c r="G906" s="1030"/>
      <c r="H906" s="1030"/>
      <c r="I906" s="1031"/>
      <c r="J906" s="1032"/>
    </row>
    <row r="907" spans="1:10">
      <c r="A907" s="1030"/>
      <c r="B907" s="1030"/>
      <c r="C907" s="1030"/>
      <c r="D907" s="1031"/>
      <c r="E907" s="1032"/>
      <c r="F907" s="1030"/>
      <c r="G907" s="1030"/>
      <c r="H907" s="1030"/>
      <c r="I907" s="1031"/>
      <c r="J907" s="1032"/>
    </row>
    <row r="908" spans="1:10">
      <c r="A908" s="1030"/>
      <c r="B908" s="1030"/>
      <c r="C908" s="1030"/>
      <c r="D908" s="1031"/>
      <c r="E908" s="1032"/>
      <c r="F908" s="1030"/>
      <c r="G908" s="1030"/>
      <c r="H908" s="1030"/>
      <c r="I908" s="1031"/>
      <c r="J908" s="1032"/>
    </row>
    <row r="909" spans="1:10">
      <c r="A909" s="1030"/>
      <c r="B909" s="1030"/>
      <c r="C909" s="1030"/>
      <c r="D909" s="1031"/>
      <c r="E909" s="1032"/>
      <c r="F909" s="1030"/>
      <c r="G909" s="1030"/>
      <c r="H909" s="1030"/>
      <c r="I909" s="1031"/>
      <c r="J909" s="1032"/>
    </row>
    <row r="910" spans="1:10">
      <c r="A910" s="1030"/>
      <c r="B910" s="1030"/>
      <c r="C910" s="1030"/>
      <c r="D910" s="1031"/>
      <c r="E910" s="1032"/>
      <c r="F910" s="1030"/>
      <c r="G910" s="1030"/>
      <c r="H910" s="1030"/>
      <c r="I910" s="1031"/>
      <c r="J910" s="1032"/>
    </row>
    <row r="911" spans="1:10">
      <c r="A911" s="1030"/>
      <c r="B911" s="1030"/>
      <c r="C911" s="1030"/>
      <c r="D911" s="1031"/>
      <c r="E911" s="1032"/>
      <c r="F911" s="1030"/>
      <c r="G911" s="1030"/>
      <c r="H911" s="1030"/>
      <c r="I911" s="1031"/>
      <c r="J911" s="1032"/>
    </row>
    <row r="912" spans="1:10">
      <c r="A912" s="1030"/>
      <c r="B912" s="1030"/>
      <c r="C912" s="1030"/>
      <c r="D912" s="1031"/>
      <c r="E912" s="1032"/>
      <c r="F912" s="1030"/>
      <c r="G912" s="1030"/>
      <c r="H912" s="1030"/>
      <c r="I912" s="1031"/>
      <c r="J912" s="1032"/>
    </row>
    <row r="913" spans="1:10">
      <c r="A913" s="1030"/>
      <c r="B913" s="1030"/>
      <c r="C913" s="1030"/>
      <c r="D913" s="1031"/>
      <c r="E913" s="1032"/>
      <c r="F913" s="1030"/>
      <c r="G913" s="1030"/>
      <c r="H913" s="1030"/>
      <c r="I913" s="1031"/>
      <c r="J913" s="1032"/>
    </row>
    <row r="914" spans="1:10">
      <c r="A914" s="1030"/>
      <c r="B914" s="1030"/>
      <c r="C914" s="1030"/>
      <c r="D914" s="1031"/>
      <c r="E914" s="1032"/>
      <c r="F914" s="1030"/>
      <c r="G914" s="1030"/>
      <c r="H914" s="1030"/>
      <c r="I914" s="1031"/>
      <c r="J914" s="1032"/>
    </row>
    <row r="915" spans="1:10">
      <c r="A915" s="1030"/>
      <c r="B915" s="1030"/>
      <c r="C915" s="1030"/>
      <c r="D915" s="1031"/>
      <c r="E915" s="1032"/>
      <c r="F915" s="1030"/>
      <c r="G915" s="1030"/>
      <c r="H915" s="1030"/>
      <c r="I915" s="1031"/>
      <c r="J915" s="1032"/>
    </row>
    <row r="916" spans="1:10">
      <c r="A916" s="1030"/>
      <c r="B916" s="1030"/>
      <c r="C916" s="1030"/>
      <c r="D916" s="1031"/>
      <c r="E916" s="1032"/>
      <c r="F916" s="1030"/>
      <c r="G916" s="1030"/>
      <c r="H916" s="1030"/>
      <c r="I916" s="1031"/>
      <c r="J916" s="1032"/>
    </row>
    <row r="917" spans="1:10">
      <c r="A917" s="1030"/>
      <c r="B917" s="1030"/>
      <c r="C917" s="1030"/>
      <c r="D917" s="1031"/>
      <c r="E917" s="1032"/>
      <c r="F917" s="1030"/>
      <c r="G917" s="1030"/>
      <c r="H917" s="1030"/>
      <c r="I917" s="1031"/>
      <c r="J917" s="1032"/>
    </row>
    <row r="918" spans="1:10">
      <c r="A918" s="1030"/>
      <c r="B918" s="1030"/>
      <c r="C918" s="1030"/>
      <c r="D918" s="1031"/>
      <c r="E918" s="1032"/>
      <c r="F918" s="1030"/>
      <c r="G918" s="1030"/>
      <c r="H918" s="1030"/>
      <c r="I918" s="1031"/>
      <c r="J918" s="1032"/>
    </row>
    <row r="919" spans="1:10">
      <c r="A919" s="1030"/>
      <c r="B919" s="1030"/>
      <c r="C919" s="1030"/>
      <c r="D919" s="1031"/>
      <c r="E919" s="1032"/>
      <c r="F919" s="1030"/>
      <c r="G919" s="1030"/>
      <c r="H919" s="1030"/>
      <c r="I919" s="1031"/>
      <c r="J919" s="1032"/>
    </row>
    <row r="920" spans="1:10">
      <c r="A920" s="1030"/>
      <c r="B920" s="1030"/>
      <c r="C920" s="1030"/>
      <c r="D920" s="1031"/>
      <c r="E920" s="1032"/>
      <c r="F920" s="1030"/>
      <c r="G920" s="1030"/>
      <c r="H920" s="1030"/>
      <c r="I920" s="1031"/>
      <c r="J920" s="1032"/>
    </row>
    <row r="921" spans="1:10">
      <c r="A921" s="1030"/>
      <c r="B921" s="1030"/>
      <c r="C921" s="1030"/>
      <c r="D921" s="1031"/>
      <c r="E921" s="1032"/>
      <c r="F921" s="1030"/>
      <c r="G921" s="1030"/>
      <c r="H921" s="1030"/>
      <c r="I921" s="1031"/>
      <c r="J921" s="1032"/>
    </row>
    <row r="922" spans="1:10">
      <c r="A922" s="1030"/>
      <c r="B922" s="1030"/>
      <c r="C922" s="1030"/>
      <c r="D922" s="1031"/>
      <c r="E922" s="1032"/>
      <c r="F922" s="1030"/>
      <c r="G922" s="1030"/>
      <c r="H922" s="1030"/>
      <c r="I922" s="1031"/>
      <c r="J922" s="1032"/>
    </row>
    <row r="923" spans="1:10">
      <c r="A923" s="1030"/>
      <c r="B923" s="1030"/>
      <c r="C923" s="1030"/>
      <c r="D923" s="1031"/>
      <c r="E923" s="1032"/>
      <c r="F923" s="1030"/>
      <c r="G923" s="1030"/>
      <c r="H923" s="1030"/>
      <c r="I923" s="1031"/>
      <c r="J923" s="1032"/>
    </row>
    <row r="924" spans="1:10">
      <c r="A924" s="1030"/>
      <c r="B924" s="1030"/>
      <c r="C924" s="1030"/>
      <c r="D924" s="1031"/>
      <c r="E924" s="1032"/>
      <c r="F924" s="1030"/>
      <c r="G924" s="1030"/>
      <c r="H924" s="1030"/>
      <c r="I924" s="1031"/>
      <c r="J924" s="1032"/>
    </row>
    <row r="925" spans="1:10">
      <c r="A925" s="1030"/>
      <c r="B925" s="1030"/>
      <c r="C925" s="1030"/>
      <c r="D925" s="1031"/>
      <c r="E925" s="1032"/>
      <c r="F925" s="1030"/>
      <c r="G925" s="1030"/>
      <c r="H925" s="1030"/>
      <c r="I925" s="1031"/>
      <c r="J925" s="1032"/>
    </row>
    <row r="926" spans="1:10">
      <c r="A926" s="1030"/>
      <c r="B926" s="1030"/>
      <c r="C926" s="1030"/>
      <c r="D926" s="1031"/>
      <c r="E926" s="1032"/>
      <c r="F926" s="1030"/>
      <c r="G926" s="1030"/>
      <c r="H926" s="1030"/>
      <c r="I926" s="1031"/>
      <c r="J926" s="1032"/>
    </row>
    <row r="927" spans="1:10">
      <c r="A927" s="1030"/>
      <c r="B927" s="1030"/>
      <c r="C927" s="1030"/>
      <c r="D927" s="1031"/>
      <c r="E927" s="1032"/>
      <c r="F927" s="1030"/>
      <c r="G927" s="1030"/>
      <c r="H927" s="1030"/>
      <c r="I927" s="1031"/>
      <c r="J927" s="1032"/>
    </row>
    <row r="928" spans="1:10">
      <c r="A928" s="1030"/>
      <c r="B928" s="1030"/>
      <c r="C928" s="1030"/>
      <c r="D928" s="1031"/>
      <c r="E928" s="1032"/>
      <c r="F928" s="1030"/>
      <c r="G928" s="1030"/>
      <c r="H928" s="1030"/>
      <c r="I928" s="1031"/>
      <c r="J928" s="1032"/>
    </row>
    <row r="929" spans="1:10">
      <c r="A929" s="1030"/>
      <c r="B929" s="1030"/>
      <c r="C929" s="1030"/>
      <c r="D929" s="1031"/>
      <c r="E929" s="1032"/>
      <c r="F929" s="1030"/>
      <c r="G929" s="1030"/>
      <c r="H929" s="1030"/>
      <c r="I929" s="1031"/>
      <c r="J929" s="1032"/>
    </row>
    <row r="930" spans="1:10">
      <c r="A930" s="1030"/>
      <c r="B930" s="1030"/>
      <c r="C930" s="1030"/>
      <c r="D930" s="1031"/>
      <c r="E930" s="1032"/>
      <c r="F930" s="1030"/>
      <c r="G930" s="1030"/>
      <c r="H930" s="1030"/>
      <c r="I930" s="1031"/>
      <c r="J930" s="1032"/>
    </row>
    <row r="931" spans="1:10">
      <c r="A931" s="1030"/>
      <c r="B931" s="1030"/>
      <c r="C931" s="1030"/>
      <c r="D931" s="1031"/>
      <c r="E931" s="1032"/>
      <c r="F931" s="1030"/>
      <c r="G931" s="1030"/>
      <c r="H931" s="1030"/>
      <c r="I931" s="1031"/>
      <c r="J931" s="1032"/>
    </row>
    <row r="932" spans="1:10">
      <c r="A932" s="1030"/>
      <c r="B932" s="1030"/>
      <c r="C932" s="1030"/>
      <c r="D932" s="1031"/>
      <c r="E932" s="1032"/>
      <c r="F932" s="1030"/>
      <c r="G932" s="1030"/>
      <c r="H932" s="1030"/>
      <c r="I932" s="1031"/>
      <c r="J932" s="1032"/>
    </row>
    <row r="933" spans="1:10">
      <c r="A933" s="1030"/>
      <c r="B933" s="1030"/>
      <c r="C933" s="1030"/>
      <c r="D933" s="1031"/>
      <c r="E933" s="1032"/>
      <c r="F933" s="1030"/>
      <c r="G933" s="1030"/>
      <c r="H933" s="1030"/>
      <c r="I933" s="1031"/>
      <c r="J933" s="1032"/>
    </row>
    <row r="934" spans="1:10">
      <c r="A934" s="1030"/>
      <c r="B934" s="1030"/>
      <c r="C934" s="1030"/>
      <c r="D934" s="1031"/>
      <c r="E934" s="1032"/>
      <c r="F934" s="1030"/>
      <c r="G934" s="1030"/>
      <c r="H934" s="1030"/>
      <c r="I934" s="1031"/>
      <c r="J934" s="1032"/>
    </row>
    <row r="935" spans="1:10">
      <c r="A935" s="1030"/>
      <c r="B935" s="1030"/>
      <c r="C935" s="1030"/>
      <c r="D935" s="1031"/>
      <c r="E935" s="1032"/>
      <c r="F935" s="1030"/>
      <c r="G935" s="1030"/>
      <c r="H935" s="1030"/>
      <c r="I935" s="1031"/>
      <c r="J935" s="1032"/>
    </row>
    <row r="936" spans="1:10">
      <c r="A936" s="1030"/>
      <c r="B936" s="1030"/>
      <c r="C936" s="1030"/>
      <c r="D936" s="1031"/>
      <c r="E936" s="1032"/>
      <c r="F936" s="1030"/>
      <c r="G936" s="1030"/>
      <c r="H936" s="1030"/>
      <c r="I936" s="1031"/>
      <c r="J936" s="1032"/>
    </row>
    <row r="937" spans="1:10">
      <c r="A937" s="1030"/>
      <c r="B937" s="1030"/>
      <c r="C937" s="1030"/>
      <c r="D937" s="1031"/>
      <c r="E937" s="1032"/>
      <c r="F937" s="1030"/>
      <c r="G937" s="1030"/>
      <c r="H937" s="1030"/>
      <c r="I937" s="1031"/>
      <c r="J937" s="1032"/>
    </row>
    <row r="938" spans="1:10">
      <c r="A938" s="1030"/>
      <c r="B938" s="1030"/>
      <c r="C938" s="1030"/>
      <c r="D938" s="1031"/>
      <c r="E938" s="1032"/>
      <c r="F938" s="1030"/>
      <c r="G938" s="1030"/>
      <c r="H938" s="1030"/>
      <c r="I938" s="1031"/>
      <c r="J938" s="1032"/>
    </row>
    <row r="939" spans="1:10">
      <c r="A939" s="1030"/>
      <c r="B939" s="1030"/>
      <c r="C939" s="1030"/>
      <c r="D939" s="1031"/>
      <c r="E939" s="1032"/>
      <c r="F939" s="1030"/>
      <c r="G939" s="1030"/>
      <c r="H939" s="1030"/>
      <c r="I939" s="1031"/>
      <c r="J939" s="1032"/>
    </row>
    <row r="940" spans="1:10">
      <c r="A940" s="1030"/>
      <c r="B940" s="1030"/>
      <c r="C940" s="1030"/>
      <c r="D940" s="1031"/>
      <c r="E940" s="1032"/>
      <c r="F940" s="1030"/>
      <c r="G940" s="1030"/>
      <c r="H940" s="1030"/>
      <c r="I940" s="1031"/>
      <c r="J940" s="1032"/>
    </row>
    <row r="941" spans="1:10">
      <c r="A941" s="1030"/>
      <c r="B941" s="1030"/>
      <c r="C941" s="1030"/>
      <c r="D941" s="1031"/>
      <c r="E941" s="1032"/>
      <c r="F941" s="1030"/>
      <c r="G941" s="1030"/>
      <c r="H941" s="1030"/>
      <c r="I941" s="1031"/>
      <c r="J941" s="1032"/>
    </row>
    <row r="942" spans="1:10">
      <c r="A942" s="1030"/>
      <c r="B942" s="1030"/>
      <c r="C942" s="1030"/>
      <c r="D942" s="1031"/>
      <c r="E942" s="1032"/>
      <c r="F942" s="1030"/>
      <c r="G942" s="1030"/>
      <c r="H942" s="1030"/>
      <c r="I942" s="1031"/>
      <c r="J942" s="1032"/>
    </row>
    <row r="943" spans="1:10">
      <c r="A943" s="1030"/>
      <c r="B943" s="1030"/>
      <c r="C943" s="1030"/>
      <c r="D943" s="1031"/>
      <c r="E943" s="1032"/>
      <c r="F943" s="1030"/>
      <c r="G943" s="1030"/>
      <c r="H943" s="1030"/>
      <c r="I943" s="1031"/>
      <c r="J943" s="1032"/>
    </row>
    <row r="944" spans="1:10">
      <c r="A944" s="1030"/>
      <c r="B944" s="1030"/>
      <c r="C944" s="1030"/>
      <c r="D944" s="1031"/>
      <c r="E944" s="1032"/>
      <c r="F944" s="1030"/>
      <c r="G944" s="1030"/>
      <c r="H944" s="1030"/>
      <c r="I944" s="1031"/>
      <c r="J944" s="1032"/>
    </row>
    <row r="945" spans="1:10">
      <c r="A945" s="1030"/>
      <c r="B945" s="1030"/>
      <c r="C945" s="1030"/>
      <c r="D945" s="1031"/>
      <c r="E945" s="1032"/>
      <c r="F945" s="1030"/>
      <c r="G945" s="1030"/>
      <c r="H945" s="1030"/>
      <c r="I945" s="1031"/>
      <c r="J945" s="1032"/>
    </row>
    <row r="946" spans="1:10">
      <c r="A946" s="1030"/>
      <c r="B946" s="1030"/>
      <c r="C946" s="1030"/>
      <c r="D946" s="1031"/>
      <c r="E946" s="1032"/>
      <c r="F946" s="1030"/>
      <c r="G946" s="1030"/>
      <c r="H946" s="1030"/>
      <c r="I946" s="1031"/>
      <c r="J946" s="1032"/>
    </row>
    <row r="947" spans="1:10">
      <c r="A947" s="1030"/>
      <c r="B947" s="1030"/>
      <c r="C947" s="1030"/>
      <c r="D947" s="1031"/>
      <c r="E947" s="1032"/>
      <c r="F947" s="1030"/>
      <c r="G947" s="1030"/>
      <c r="H947" s="1030"/>
      <c r="I947" s="1031"/>
      <c r="J947" s="1032"/>
    </row>
    <row r="948" spans="1:10">
      <c r="A948" s="1030"/>
      <c r="B948" s="1030"/>
      <c r="C948" s="1030"/>
      <c r="D948" s="1031"/>
      <c r="E948" s="1032"/>
      <c r="F948" s="1030"/>
      <c r="G948" s="1030"/>
      <c r="H948" s="1030"/>
      <c r="I948" s="1031"/>
      <c r="J948" s="1032"/>
    </row>
    <row r="949" spans="1:10">
      <c r="A949" s="1030"/>
      <c r="B949" s="1030"/>
      <c r="C949" s="1030"/>
      <c r="D949" s="1031"/>
      <c r="E949" s="1032"/>
      <c r="F949" s="1030"/>
      <c r="G949" s="1030"/>
      <c r="H949" s="1030"/>
      <c r="I949" s="1031"/>
      <c r="J949" s="1032"/>
    </row>
    <row r="950" spans="1:10">
      <c r="A950" s="1030"/>
      <c r="B950" s="1030"/>
      <c r="C950" s="1030"/>
      <c r="D950" s="1031"/>
      <c r="E950" s="1032"/>
      <c r="F950" s="1030"/>
      <c r="G950" s="1030"/>
      <c r="H950" s="1030"/>
      <c r="I950" s="1031"/>
      <c r="J950" s="1032"/>
    </row>
    <row r="951" spans="1:10">
      <c r="A951" s="1030"/>
      <c r="B951" s="1030"/>
      <c r="C951" s="1030"/>
      <c r="D951" s="1031"/>
      <c r="E951" s="1032"/>
      <c r="F951" s="1030"/>
      <c r="G951" s="1030"/>
      <c r="H951" s="1030"/>
      <c r="I951" s="1031"/>
      <c r="J951" s="1032"/>
    </row>
    <row r="952" spans="1:10">
      <c r="A952" s="1030"/>
      <c r="B952" s="1030"/>
      <c r="C952" s="1030"/>
      <c r="D952" s="1031"/>
      <c r="E952" s="1032"/>
      <c r="F952" s="1030"/>
      <c r="G952" s="1030"/>
      <c r="H952" s="1030"/>
      <c r="I952" s="1031"/>
      <c r="J952" s="1032"/>
    </row>
    <row r="953" spans="1:10">
      <c r="A953" s="1030"/>
      <c r="B953" s="1030"/>
      <c r="C953" s="1030"/>
      <c r="D953" s="1031"/>
      <c r="E953" s="1032"/>
      <c r="F953" s="1030"/>
      <c r="G953" s="1030"/>
      <c r="H953" s="1030"/>
      <c r="I953" s="1031"/>
      <c r="J953" s="1032"/>
    </row>
    <row r="954" spans="1:10">
      <c r="A954" s="1030"/>
      <c r="B954" s="1030"/>
      <c r="C954" s="1030"/>
      <c r="D954" s="1031"/>
      <c r="E954" s="1032"/>
      <c r="F954" s="1030"/>
      <c r="G954" s="1030"/>
      <c r="H954" s="1030"/>
      <c r="I954" s="1031"/>
      <c r="J954" s="1032"/>
    </row>
    <row r="955" spans="1:10">
      <c r="A955" s="1030"/>
      <c r="B955" s="1030"/>
      <c r="C955" s="1030"/>
      <c r="D955" s="1031"/>
      <c r="E955" s="1032"/>
      <c r="F955" s="1030"/>
      <c r="G955" s="1030"/>
      <c r="H955" s="1030"/>
      <c r="I955" s="1031"/>
      <c r="J955" s="1032"/>
    </row>
    <row r="956" spans="1:10">
      <c r="A956" s="1030"/>
      <c r="B956" s="1030"/>
      <c r="C956" s="1030"/>
      <c r="D956" s="1031"/>
      <c r="E956" s="1032"/>
      <c r="F956" s="1030"/>
      <c r="G956" s="1030"/>
      <c r="H956" s="1030"/>
      <c r="I956" s="1031"/>
      <c r="J956" s="1032"/>
    </row>
    <row r="957" spans="1:10">
      <c r="A957" s="1030"/>
      <c r="B957" s="1030"/>
      <c r="C957" s="1030"/>
      <c r="D957" s="1031"/>
      <c r="E957" s="1032"/>
      <c r="F957" s="1030"/>
      <c r="G957" s="1030"/>
      <c r="H957" s="1030"/>
      <c r="I957" s="1031"/>
      <c r="J957" s="1032"/>
    </row>
    <row r="958" spans="1:10">
      <c r="A958" s="1030"/>
      <c r="B958" s="1030"/>
      <c r="C958" s="1030"/>
      <c r="D958" s="1031"/>
      <c r="E958" s="1032"/>
      <c r="F958" s="1030"/>
      <c r="G958" s="1030"/>
      <c r="H958" s="1030"/>
      <c r="I958" s="1031"/>
      <c r="J958" s="1032"/>
    </row>
    <row r="959" spans="1:10">
      <c r="A959" s="1030"/>
      <c r="B959" s="1030"/>
      <c r="C959" s="1030"/>
      <c r="D959" s="1031"/>
      <c r="E959" s="1032"/>
      <c r="F959" s="1030"/>
      <c r="G959" s="1030"/>
      <c r="H959" s="1030"/>
      <c r="I959" s="1031"/>
      <c r="J959" s="1032"/>
    </row>
    <row r="960" spans="1:10">
      <c r="A960" s="1030"/>
      <c r="B960" s="1030"/>
      <c r="C960" s="1030"/>
      <c r="D960" s="1031"/>
      <c r="E960" s="1032"/>
      <c r="F960" s="1030"/>
      <c r="G960" s="1030"/>
      <c r="H960" s="1030"/>
      <c r="I960" s="1031"/>
      <c r="J960" s="1032"/>
    </row>
    <row r="961" spans="1:10">
      <c r="A961" s="1030"/>
      <c r="B961" s="1030"/>
      <c r="C961" s="1030"/>
      <c r="D961" s="1031"/>
      <c r="E961" s="1032"/>
      <c r="F961" s="1030"/>
      <c r="G961" s="1030"/>
      <c r="H961" s="1030"/>
      <c r="I961" s="1031"/>
      <c r="J961" s="1032"/>
    </row>
    <row r="962" spans="1:10">
      <c r="A962" s="1030"/>
      <c r="B962" s="1030"/>
      <c r="C962" s="1030"/>
      <c r="D962" s="1031"/>
      <c r="E962" s="1032"/>
      <c r="F962" s="1030"/>
      <c r="G962" s="1030"/>
      <c r="H962" s="1030"/>
      <c r="I962" s="1031"/>
      <c r="J962" s="1032"/>
    </row>
    <row r="963" spans="1:10">
      <c r="A963" s="1030"/>
      <c r="B963" s="1030"/>
      <c r="C963" s="1030"/>
      <c r="D963" s="1031"/>
      <c r="E963" s="1032"/>
      <c r="F963" s="1030"/>
      <c r="G963" s="1030"/>
      <c r="H963" s="1030"/>
      <c r="I963" s="1031"/>
      <c r="J963" s="1032"/>
    </row>
    <row r="964" spans="1:10">
      <c r="A964" s="1030"/>
      <c r="B964" s="1030"/>
      <c r="C964" s="1030"/>
      <c r="D964" s="1031"/>
      <c r="E964" s="1032"/>
      <c r="F964" s="1030"/>
      <c r="G964" s="1030"/>
      <c r="H964" s="1030"/>
      <c r="I964" s="1031"/>
      <c r="J964" s="1032"/>
    </row>
    <row r="965" spans="1:10">
      <c r="A965" s="1030"/>
      <c r="B965" s="1030"/>
      <c r="C965" s="1030"/>
      <c r="D965" s="1031"/>
      <c r="E965" s="1032"/>
      <c r="F965" s="1030"/>
      <c r="G965" s="1030"/>
      <c r="H965" s="1030"/>
      <c r="I965" s="1031"/>
      <c r="J965" s="1032"/>
    </row>
    <row r="966" spans="1:10">
      <c r="A966" s="1030"/>
      <c r="B966" s="1030"/>
      <c r="C966" s="1030"/>
      <c r="D966" s="1031"/>
      <c r="E966" s="1032"/>
      <c r="F966" s="1030"/>
      <c r="G966" s="1030"/>
      <c r="H966" s="1030"/>
      <c r="I966" s="1031"/>
      <c r="J966" s="1032"/>
    </row>
    <row r="967" spans="1:10">
      <c r="A967" s="1030"/>
      <c r="B967" s="1030"/>
      <c r="C967" s="1030"/>
      <c r="D967" s="1031"/>
      <c r="E967" s="1032"/>
      <c r="F967" s="1030"/>
      <c r="G967" s="1030"/>
      <c r="H967" s="1030"/>
      <c r="I967" s="1031"/>
      <c r="J967" s="1032"/>
    </row>
    <row r="968" spans="1:10">
      <c r="A968" s="1030"/>
      <c r="B968" s="1030"/>
      <c r="C968" s="1030"/>
      <c r="D968" s="1031"/>
      <c r="E968" s="1032"/>
      <c r="F968" s="1030"/>
      <c r="G968" s="1030"/>
      <c r="H968" s="1030"/>
      <c r="I968" s="1031"/>
      <c r="J968" s="1032"/>
    </row>
    <row r="969" spans="1:10">
      <c r="A969" s="1030"/>
      <c r="B969" s="1030"/>
      <c r="C969" s="1030"/>
      <c r="D969" s="1031"/>
      <c r="E969" s="1032"/>
      <c r="F969" s="1030"/>
      <c r="G969" s="1030"/>
      <c r="H969" s="1030"/>
      <c r="I969" s="1031"/>
      <c r="J969" s="1032"/>
    </row>
    <row r="970" spans="1:10">
      <c r="A970" s="1030"/>
      <c r="B970" s="1030"/>
      <c r="C970" s="1030"/>
      <c r="D970" s="1031"/>
      <c r="E970" s="1032"/>
      <c r="F970" s="1030"/>
      <c r="G970" s="1030"/>
      <c r="H970" s="1030"/>
      <c r="I970" s="1031"/>
      <c r="J970" s="1032"/>
    </row>
    <row r="971" spans="1:10">
      <c r="A971" s="1030"/>
      <c r="B971" s="1030"/>
      <c r="C971" s="1030"/>
      <c r="D971" s="1031"/>
      <c r="E971" s="1032"/>
      <c r="F971" s="1030"/>
      <c r="G971" s="1030"/>
      <c r="H971" s="1030"/>
      <c r="I971" s="1031"/>
      <c r="J971" s="1032"/>
    </row>
    <row r="972" spans="1:10">
      <c r="A972" s="1030"/>
      <c r="B972" s="1030"/>
      <c r="C972" s="1030"/>
      <c r="D972" s="1031"/>
      <c r="E972" s="1032"/>
      <c r="F972" s="1030"/>
      <c r="G972" s="1030"/>
      <c r="H972" s="1030"/>
      <c r="I972" s="1031"/>
      <c r="J972" s="1032"/>
    </row>
    <row r="973" spans="1:10">
      <c r="A973" s="1030"/>
      <c r="B973" s="1030"/>
      <c r="C973" s="1030"/>
      <c r="D973" s="1031"/>
      <c r="E973" s="1032"/>
      <c r="F973" s="1030"/>
      <c r="G973" s="1030"/>
      <c r="H973" s="1030"/>
      <c r="I973" s="1031"/>
      <c r="J973" s="1032"/>
    </row>
    <row r="974" spans="1:10">
      <c r="A974" s="1030"/>
      <c r="B974" s="1030"/>
      <c r="C974" s="1030"/>
      <c r="D974" s="1031"/>
      <c r="E974" s="1032"/>
      <c r="F974" s="1030"/>
      <c r="G974" s="1030"/>
      <c r="H974" s="1030"/>
      <c r="I974" s="1031"/>
      <c r="J974" s="1032"/>
    </row>
    <row r="975" spans="1:10">
      <c r="A975" s="1030"/>
      <c r="B975" s="1030"/>
      <c r="C975" s="1030"/>
      <c r="D975" s="1031"/>
      <c r="E975" s="1032"/>
      <c r="F975" s="1030"/>
      <c r="G975" s="1030"/>
      <c r="H975" s="1030"/>
      <c r="I975" s="1031"/>
      <c r="J975" s="1032"/>
    </row>
    <row r="976" spans="1:10">
      <c r="A976" s="1030"/>
      <c r="B976" s="1030"/>
      <c r="C976" s="1030"/>
      <c r="D976" s="1031"/>
      <c r="E976" s="1032"/>
      <c r="F976" s="1030"/>
      <c r="G976" s="1030"/>
      <c r="H976" s="1030"/>
      <c r="I976" s="1031"/>
      <c r="J976" s="1032"/>
    </row>
    <row r="977" spans="1:10">
      <c r="A977" s="1030"/>
      <c r="B977" s="1030"/>
      <c r="C977" s="1030"/>
      <c r="D977" s="1031"/>
      <c r="E977" s="1032"/>
      <c r="F977" s="1030"/>
      <c r="G977" s="1030"/>
      <c r="H977" s="1030"/>
      <c r="I977" s="1031"/>
      <c r="J977" s="1032"/>
    </row>
    <row r="978" spans="1:10">
      <c r="A978" s="1030"/>
      <c r="B978" s="1030"/>
      <c r="C978" s="1030"/>
      <c r="D978" s="1031"/>
      <c r="E978" s="1032"/>
      <c r="F978" s="1030"/>
      <c r="G978" s="1030"/>
      <c r="H978" s="1030"/>
      <c r="I978" s="1031"/>
      <c r="J978" s="1032"/>
    </row>
    <row r="979" spans="1:10">
      <c r="A979" s="1030"/>
      <c r="B979" s="1030"/>
      <c r="C979" s="1030"/>
      <c r="D979" s="1031"/>
      <c r="E979" s="1032"/>
      <c r="F979" s="1030"/>
      <c r="G979" s="1030"/>
      <c r="H979" s="1030"/>
      <c r="I979" s="1031"/>
      <c r="J979" s="1032"/>
    </row>
    <row r="980" spans="1:10">
      <c r="A980" s="1030"/>
      <c r="B980" s="1030"/>
      <c r="C980" s="1030"/>
      <c r="D980" s="1031"/>
      <c r="E980" s="1032"/>
      <c r="F980" s="1030"/>
      <c r="G980" s="1030"/>
      <c r="H980" s="1030"/>
      <c r="I980" s="1031"/>
      <c r="J980" s="1032"/>
    </row>
    <row r="981" spans="1:10">
      <c r="A981" s="1030"/>
      <c r="B981" s="1030"/>
      <c r="C981" s="1030"/>
      <c r="D981" s="1031"/>
      <c r="E981" s="1032"/>
      <c r="F981" s="1030"/>
      <c r="G981" s="1030"/>
      <c r="H981" s="1030"/>
      <c r="I981" s="1031"/>
      <c r="J981" s="1032"/>
    </row>
    <row r="982" spans="1:10">
      <c r="A982" s="1030"/>
      <c r="B982" s="1030"/>
      <c r="C982" s="1030"/>
      <c r="D982" s="1031"/>
      <c r="E982" s="1032"/>
      <c r="F982" s="1030"/>
      <c r="G982" s="1030"/>
      <c r="H982" s="1030"/>
      <c r="I982" s="1031"/>
      <c r="J982" s="1032"/>
    </row>
    <row r="983" spans="1:10">
      <c r="A983" s="1030"/>
      <c r="B983" s="1030"/>
      <c r="C983" s="1030"/>
      <c r="D983" s="1031"/>
      <c r="E983" s="1032"/>
      <c r="F983" s="1030"/>
      <c r="G983" s="1030"/>
      <c r="H983" s="1030"/>
      <c r="I983" s="1031"/>
      <c r="J983" s="1032"/>
    </row>
    <row r="984" spans="1:10">
      <c r="A984" s="1030"/>
      <c r="B984" s="1030"/>
      <c r="C984" s="1030"/>
      <c r="D984" s="1031"/>
      <c r="E984" s="1032"/>
      <c r="F984" s="1030"/>
      <c r="G984" s="1030"/>
      <c r="H984" s="1030"/>
      <c r="I984" s="1031"/>
      <c r="J984" s="1032"/>
    </row>
    <row r="985" spans="1:10">
      <c r="A985" s="1030"/>
      <c r="B985" s="1030"/>
      <c r="C985" s="1030"/>
      <c r="D985" s="1031"/>
      <c r="E985" s="1032"/>
      <c r="F985" s="1030"/>
      <c r="G985" s="1030"/>
      <c r="H985" s="1030"/>
      <c r="I985" s="1031"/>
      <c r="J985" s="1032"/>
    </row>
    <row r="986" spans="1:10">
      <c r="A986" s="1030"/>
      <c r="B986" s="1030"/>
      <c r="C986" s="1030"/>
      <c r="D986" s="1031"/>
      <c r="E986" s="1032"/>
      <c r="F986" s="1030"/>
      <c r="G986" s="1030"/>
      <c r="H986" s="1030"/>
      <c r="I986" s="1031"/>
      <c r="J986" s="1032"/>
    </row>
    <row r="987" spans="1:10">
      <c r="A987" s="1030"/>
      <c r="B987" s="1030"/>
      <c r="C987" s="1030"/>
      <c r="D987" s="1031"/>
      <c r="E987" s="1032"/>
      <c r="F987" s="1030"/>
      <c r="G987" s="1030"/>
      <c r="H987" s="1030"/>
      <c r="I987" s="1031"/>
      <c r="J987" s="1032"/>
    </row>
    <row r="988" spans="1:10">
      <c r="A988" s="1030"/>
      <c r="B988" s="1030"/>
      <c r="C988" s="1030"/>
      <c r="D988" s="1031"/>
      <c r="E988" s="1032"/>
      <c r="F988" s="1030"/>
      <c r="G988" s="1030"/>
      <c r="H988" s="1030"/>
      <c r="I988" s="1031"/>
      <c r="J988" s="1032"/>
    </row>
    <row r="989" spans="1:10">
      <c r="A989" s="1030"/>
      <c r="B989" s="1030"/>
      <c r="C989" s="1030"/>
      <c r="D989" s="1031"/>
      <c r="E989" s="1032"/>
      <c r="F989" s="1030"/>
      <c r="G989" s="1030"/>
      <c r="H989" s="1030"/>
      <c r="I989" s="1031"/>
      <c r="J989" s="1032"/>
    </row>
    <row r="990" spans="1:10">
      <c r="A990" s="1030"/>
      <c r="B990" s="1030"/>
      <c r="C990" s="1030"/>
      <c r="D990" s="1031"/>
      <c r="E990" s="1032"/>
      <c r="F990" s="1030"/>
      <c r="G990" s="1030"/>
      <c r="H990" s="1030"/>
      <c r="I990" s="1031"/>
      <c r="J990" s="1032"/>
    </row>
    <row r="991" spans="1:10">
      <c r="A991" s="1030"/>
      <c r="B991" s="1030"/>
      <c r="C991" s="1030"/>
      <c r="D991" s="1031"/>
      <c r="E991" s="1032"/>
      <c r="F991" s="1030"/>
      <c r="G991" s="1030"/>
      <c r="H991" s="1030"/>
      <c r="I991" s="1031"/>
      <c r="J991" s="1032"/>
    </row>
    <row r="992" spans="1:10">
      <c r="A992" s="1030"/>
      <c r="B992" s="1030"/>
      <c r="C992" s="1030"/>
      <c r="D992" s="1031"/>
      <c r="E992" s="1032"/>
      <c r="F992" s="1030"/>
      <c r="G992" s="1030"/>
      <c r="H992" s="1030"/>
      <c r="I992" s="1031"/>
      <c r="J992" s="1032"/>
    </row>
    <row r="993" spans="1:10">
      <c r="A993" s="1030"/>
      <c r="B993" s="1030"/>
      <c r="C993" s="1030"/>
      <c r="D993" s="1031"/>
      <c r="E993" s="1032"/>
      <c r="F993" s="1030"/>
      <c r="G993" s="1030"/>
      <c r="H993" s="1030"/>
      <c r="I993" s="1031"/>
      <c r="J993" s="1032"/>
    </row>
    <row r="994" spans="1:10">
      <c r="A994" s="1030"/>
      <c r="B994" s="1030"/>
      <c r="C994" s="1030"/>
      <c r="D994" s="1031"/>
      <c r="E994" s="1032"/>
      <c r="F994" s="1030"/>
      <c r="G994" s="1030"/>
      <c r="H994" s="1030"/>
      <c r="I994" s="1031"/>
      <c r="J994" s="1032"/>
    </row>
    <row r="995" spans="1:10">
      <c r="A995" s="1030"/>
      <c r="B995" s="1030"/>
      <c r="C995" s="1030"/>
      <c r="D995" s="1031"/>
      <c r="E995" s="1032"/>
      <c r="F995" s="1030"/>
      <c r="G995" s="1030"/>
      <c r="H995" s="1030"/>
      <c r="I995" s="1031"/>
      <c r="J995" s="1032"/>
    </row>
    <row r="996" spans="1:10">
      <c r="A996" s="1030"/>
      <c r="B996" s="1030"/>
      <c r="C996" s="1030"/>
      <c r="D996" s="1031"/>
      <c r="E996" s="1032"/>
      <c r="F996" s="1030"/>
      <c r="G996" s="1030"/>
      <c r="H996" s="1030"/>
      <c r="I996" s="1031"/>
      <c r="J996" s="1032"/>
    </row>
    <row r="997" spans="1:10">
      <c r="A997" s="1030"/>
      <c r="B997" s="1030"/>
      <c r="C997" s="1030"/>
      <c r="D997" s="1031"/>
      <c r="E997" s="1032"/>
      <c r="F997" s="1030"/>
      <c r="G997" s="1030"/>
      <c r="H997" s="1030"/>
      <c r="I997" s="1031"/>
      <c r="J997" s="1032"/>
    </row>
    <row r="998" spans="1:10">
      <c r="A998" s="1030"/>
      <c r="B998" s="1030"/>
      <c r="C998" s="1030"/>
      <c r="D998" s="1031"/>
      <c r="E998" s="1032"/>
      <c r="F998" s="1030"/>
      <c r="G998" s="1030"/>
      <c r="H998" s="1030"/>
      <c r="I998" s="1031"/>
      <c r="J998" s="1032"/>
    </row>
    <row r="999" spans="1:10">
      <c r="A999" s="1030"/>
      <c r="B999" s="1030"/>
      <c r="C999" s="1030"/>
      <c r="D999" s="1031"/>
      <c r="E999" s="1032"/>
      <c r="F999" s="1030"/>
      <c r="G999" s="1030"/>
      <c r="H999" s="1030"/>
      <c r="I999" s="1031"/>
      <c r="J999" s="1032"/>
    </row>
    <row r="1000" spans="1:10">
      <c r="A1000" s="1030"/>
      <c r="B1000" s="1030"/>
      <c r="C1000" s="1030"/>
      <c r="D1000" s="1031"/>
      <c r="E1000" s="1032"/>
      <c r="F1000" s="1030"/>
      <c r="G1000" s="1030"/>
      <c r="H1000" s="1030"/>
      <c r="I1000" s="1031"/>
      <c r="J1000" s="1032"/>
    </row>
  </sheetData>
  <mergeCells count="2">
    <mergeCell ref="A1:J1"/>
    <mergeCell ref="A2:J2"/>
  </mergeCells>
  <phoneticPr fontId="40" type="noConversion"/>
  <pageMargins left="0.31496062992125984" right="0.27559055118110237" top="0.55118110236220474" bottom="0.43307086614173229" header="0.35433070866141736" footer="0.19685039370078741"/>
  <pageSetup paperSize="9" orientation="landscape" r:id="rId1"/>
  <headerFooter alignWithMargins="0">
    <oddHeader>&amp;R&amp;"新細明體,標準"&amp;9Page No :   &amp;P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indexed="15"/>
  </sheetPr>
  <dimension ref="A1:AF1000"/>
  <sheetViews>
    <sheetView workbookViewId="0">
      <pane xSplit="3" ySplit="1" topLeftCell="X197" activePane="bottomRight" state="frozen"/>
      <selection pane="topRight" activeCell="D1" sqref="D1"/>
      <selection pane="bottomLeft" activeCell="A2" sqref="A2"/>
      <selection pane="bottomRight" activeCell="Y211" sqref="Y211"/>
    </sheetView>
  </sheetViews>
  <sheetFormatPr baseColWidth="10" defaultColWidth="9.19921875" defaultRowHeight="16" outlineLevelCol="1"/>
  <cols>
    <col min="1" max="1" width="2.59765625" style="404" customWidth="1"/>
    <col min="2" max="2" width="2.796875" style="404" customWidth="1"/>
    <col min="3" max="3" width="40.796875" style="404" bestFit="1" customWidth="1"/>
    <col min="4" max="4" width="12.796875" style="404" bestFit="1" customWidth="1"/>
    <col min="5" max="5" width="14.59765625" style="520" bestFit="1" customWidth="1"/>
    <col min="6" max="10" width="12.796875" style="404" bestFit="1" customWidth="1"/>
    <col min="11" max="11" width="12.3984375" style="404" customWidth="1"/>
    <col min="12" max="12" width="13" style="404" bestFit="1" customWidth="1"/>
    <col min="13" max="15" width="9.19921875" style="404" hidden="1" customWidth="1" outlineLevel="1"/>
    <col min="16" max="16" width="7.796875" style="404" hidden="1" customWidth="1" outlineLevel="1"/>
    <col min="17" max="17" width="2.19921875" style="404" customWidth="1" collapsed="1"/>
    <col min="18" max="18" width="2.59765625" style="404" customWidth="1"/>
    <col min="19" max="19" width="40.59765625" style="404" bestFit="1" customWidth="1"/>
    <col min="20" max="20" width="13.796875" style="404" bestFit="1" customWidth="1"/>
    <col min="21" max="21" width="18.796875" style="520" bestFit="1" customWidth="1"/>
    <col min="22" max="26" width="12.796875" style="404" bestFit="1" customWidth="1"/>
    <col min="27" max="27" width="11.59765625" style="404" customWidth="1"/>
    <col min="28" max="28" width="13" style="404" bestFit="1" customWidth="1"/>
    <col min="29" max="32" width="9.19921875" style="404" customWidth="1" outlineLevel="1"/>
    <col min="33" max="16384" width="9.19921875" style="404"/>
  </cols>
  <sheetData>
    <row r="1" spans="1:32">
      <c r="D1" s="404">
        <v>201612</v>
      </c>
      <c r="E1" s="404">
        <v>201701</v>
      </c>
      <c r="F1" s="404">
        <v>201702</v>
      </c>
      <c r="G1" s="404">
        <v>201703</v>
      </c>
      <c r="H1" s="404">
        <v>201704</v>
      </c>
      <c r="I1" s="404">
        <v>201705</v>
      </c>
      <c r="J1" s="404">
        <v>201706</v>
      </c>
      <c r="K1" s="404">
        <v>201707</v>
      </c>
      <c r="L1" s="404">
        <v>201708</v>
      </c>
      <c r="M1" s="404">
        <v>201709</v>
      </c>
      <c r="N1" s="404">
        <v>201710</v>
      </c>
      <c r="O1" s="404">
        <v>201711</v>
      </c>
      <c r="P1" s="404">
        <v>201712</v>
      </c>
      <c r="T1" s="404">
        <v>201612</v>
      </c>
      <c r="U1" s="404">
        <v>201701</v>
      </c>
      <c r="V1" s="404">
        <v>201702</v>
      </c>
      <c r="W1" s="404">
        <v>201703</v>
      </c>
      <c r="X1" s="404">
        <v>201704</v>
      </c>
      <c r="Y1" s="404">
        <v>201705</v>
      </c>
      <c r="Z1" s="404">
        <v>201706</v>
      </c>
      <c r="AA1" s="404">
        <v>201707</v>
      </c>
      <c r="AB1" s="404">
        <v>201708</v>
      </c>
      <c r="AC1" s="404">
        <v>201709</v>
      </c>
      <c r="AD1" s="404">
        <v>201710</v>
      </c>
      <c r="AE1" s="404">
        <v>201711</v>
      </c>
      <c r="AF1" s="404">
        <v>201712</v>
      </c>
    </row>
    <row r="2" spans="1:32">
      <c r="E2" s="404"/>
      <c r="U2" s="404"/>
    </row>
    <row r="3" spans="1:32">
      <c r="A3" s="517"/>
      <c r="B3" s="517"/>
      <c r="C3" s="517"/>
      <c r="D3" s="517"/>
      <c r="E3" s="518"/>
      <c r="Q3" s="517"/>
      <c r="R3" s="517"/>
      <c r="S3" s="517"/>
      <c r="T3" s="517"/>
      <c r="U3" s="518"/>
    </row>
    <row r="4" spans="1:32">
      <c r="A4" s="891" t="s">
        <v>366</v>
      </c>
      <c r="B4" s="391"/>
      <c r="C4" s="391"/>
      <c r="D4" s="391"/>
      <c r="E4" s="519"/>
      <c r="Q4" s="391"/>
      <c r="R4" s="391"/>
      <c r="S4" s="391"/>
      <c r="T4" s="391"/>
      <c r="U4" s="892" t="s">
        <v>879</v>
      </c>
    </row>
    <row r="5" spans="1:32">
      <c r="A5" s="891" t="s">
        <v>367</v>
      </c>
      <c r="B5" s="391"/>
      <c r="C5" s="391"/>
      <c r="D5" s="391"/>
      <c r="E5" s="519"/>
      <c r="Q5" s="391"/>
      <c r="R5" s="391"/>
      <c r="S5" s="391"/>
      <c r="T5" s="391"/>
      <c r="U5" s="892" t="s">
        <v>1781</v>
      </c>
    </row>
    <row r="6" spans="1:32">
      <c r="A6" s="891" t="s">
        <v>1780</v>
      </c>
      <c r="B6" s="391"/>
      <c r="C6" s="391"/>
      <c r="D6" s="391"/>
      <c r="E6" s="519"/>
      <c r="Q6" s="391"/>
      <c r="R6" s="391"/>
      <c r="S6" s="391"/>
      <c r="T6" s="391"/>
      <c r="U6" s="519"/>
    </row>
    <row r="7" spans="1:32" s="524" customFormat="1">
      <c r="A7" s="893" t="s">
        <v>445</v>
      </c>
      <c r="B7" s="1043"/>
      <c r="C7" s="1043"/>
      <c r="D7" s="1043" t="s">
        <v>416</v>
      </c>
      <c r="E7" s="895" t="s">
        <v>416</v>
      </c>
      <c r="F7" s="524" t="s">
        <v>416</v>
      </c>
      <c r="G7" s="524" t="s">
        <v>416</v>
      </c>
      <c r="H7" s="524" t="s">
        <v>416</v>
      </c>
      <c r="I7" s="524" t="s">
        <v>416</v>
      </c>
      <c r="J7" s="524" t="s">
        <v>416</v>
      </c>
      <c r="K7" s="524" t="s">
        <v>416</v>
      </c>
      <c r="Q7" s="893" t="s">
        <v>445</v>
      </c>
      <c r="R7" s="1043"/>
      <c r="S7" s="1043"/>
      <c r="T7" s="1043" t="s">
        <v>416</v>
      </c>
      <c r="U7" s="895" t="s">
        <v>416</v>
      </c>
      <c r="V7" s="524" t="s">
        <v>416</v>
      </c>
      <c r="W7" s="524" t="s">
        <v>416</v>
      </c>
      <c r="X7" s="524" t="s">
        <v>416</v>
      </c>
      <c r="Y7" s="524" t="s">
        <v>416</v>
      </c>
      <c r="Z7" s="524" t="s">
        <v>416</v>
      </c>
      <c r="AA7" s="524" t="s">
        <v>416</v>
      </c>
      <c r="AB7" s="524" t="s">
        <v>416</v>
      </c>
    </row>
    <row r="8" spans="1:32">
      <c r="A8" s="821" t="s">
        <v>371</v>
      </c>
      <c r="B8" s="391"/>
      <c r="C8" s="391"/>
      <c r="D8" s="391"/>
      <c r="E8" s="519"/>
      <c r="Q8" s="821" t="s">
        <v>373</v>
      </c>
      <c r="R8" s="391"/>
      <c r="S8" s="391"/>
      <c r="T8" s="391"/>
      <c r="U8" s="519"/>
    </row>
    <row r="9" spans="1:32">
      <c r="A9" s="391"/>
      <c r="B9" s="821" t="s">
        <v>372</v>
      </c>
      <c r="C9" s="391"/>
      <c r="D9" s="391"/>
      <c r="E9" s="519"/>
      <c r="Q9" s="391"/>
      <c r="R9" s="821" t="s">
        <v>374</v>
      </c>
      <c r="S9" s="391"/>
      <c r="T9" s="391"/>
      <c r="U9" s="519"/>
    </row>
    <row r="10" spans="1:32">
      <c r="A10" s="391"/>
      <c r="B10" s="391"/>
      <c r="C10" s="391" t="s">
        <v>18</v>
      </c>
      <c r="D10" s="560">
        <v>63685663.670000002</v>
      </c>
      <c r="E10" s="560">
        <v>106094092.67</v>
      </c>
      <c r="F10" s="560">
        <v>145042027.66999999</v>
      </c>
      <c r="G10" s="560">
        <v>72592976.670000002</v>
      </c>
      <c r="H10" s="560">
        <v>108070901.67</v>
      </c>
      <c r="I10" s="560">
        <v>64676305.670000002</v>
      </c>
      <c r="J10" s="560">
        <v>75199139.670000002</v>
      </c>
      <c r="K10" s="560">
        <v>95648385.670000002</v>
      </c>
      <c r="L10" s="560">
        <v>58535503.670000002</v>
      </c>
      <c r="M10" s="560">
        <v>0</v>
      </c>
      <c r="N10" s="560">
        <v>0</v>
      </c>
      <c r="O10" s="560">
        <v>0</v>
      </c>
      <c r="P10" s="560">
        <v>0</v>
      </c>
      <c r="Q10" s="391"/>
      <c r="R10" s="391"/>
      <c r="S10" s="391" t="s">
        <v>19</v>
      </c>
      <c r="T10" s="560">
        <v>20000000</v>
      </c>
      <c r="U10" s="560">
        <v>57000000</v>
      </c>
      <c r="V10" s="560">
        <v>57000000</v>
      </c>
      <c r="W10" s="560">
        <v>67110358</v>
      </c>
      <c r="X10" s="560">
        <v>37067652</v>
      </c>
      <c r="Y10" s="560">
        <v>80083169</v>
      </c>
      <c r="Z10" s="560">
        <v>67462030</v>
      </c>
      <c r="AA10" s="560">
        <v>75469492</v>
      </c>
      <c r="AB10" s="560">
        <v>81147909</v>
      </c>
      <c r="AC10" s="560">
        <v>0</v>
      </c>
      <c r="AD10" s="560">
        <v>0</v>
      </c>
      <c r="AE10" s="560">
        <v>0</v>
      </c>
      <c r="AF10" s="560">
        <v>0</v>
      </c>
    </row>
    <row r="11" spans="1:32">
      <c r="A11" s="391"/>
      <c r="B11" s="391"/>
      <c r="C11" s="391" t="s">
        <v>20</v>
      </c>
      <c r="D11" s="560">
        <v>111263</v>
      </c>
      <c r="E11" s="560">
        <v>161158</v>
      </c>
      <c r="F11" s="560">
        <v>97197</v>
      </c>
      <c r="G11" s="560">
        <v>103372</v>
      </c>
      <c r="H11" s="560">
        <v>84868</v>
      </c>
      <c r="I11" s="560">
        <v>88387</v>
      </c>
      <c r="J11" s="560">
        <v>73926</v>
      </c>
      <c r="K11" s="560">
        <v>74857</v>
      </c>
      <c r="L11" s="560">
        <v>73926</v>
      </c>
      <c r="M11" s="560">
        <v>0</v>
      </c>
      <c r="N11" s="560">
        <v>0</v>
      </c>
      <c r="O11" s="560">
        <v>0</v>
      </c>
      <c r="P11" s="560">
        <v>0</v>
      </c>
      <c r="Q11" s="391"/>
      <c r="R11" s="391"/>
      <c r="S11" s="391" t="s">
        <v>21</v>
      </c>
      <c r="T11" s="560">
        <v>0</v>
      </c>
      <c r="U11" s="560">
        <v>0</v>
      </c>
      <c r="V11" s="560">
        <v>0</v>
      </c>
      <c r="W11" s="560">
        <v>0</v>
      </c>
      <c r="X11" s="560">
        <v>0</v>
      </c>
      <c r="Y11" s="560">
        <v>0</v>
      </c>
      <c r="Z11" s="560">
        <v>0</v>
      </c>
      <c r="AA11" s="560">
        <v>0</v>
      </c>
      <c r="AB11" s="560">
        <v>0</v>
      </c>
      <c r="AC11" s="560">
        <v>0</v>
      </c>
      <c r="AD11" s="560">
        <v>0</v>
      </c>
      <c r="AE11" s="560">
        <v>0</v>
      </c>
      <c r="AF11" s="560">
        <v>0</v>
      </c>
    </row>
    <row r="12" spans="1:32">
      <c r="A12" s="391"/>
      <c r="B12" s="391"/>
      <c r="C12" s="391" t="s">
        <v>22</v>
      </c>
      <c r="D12" s="560">
        <v>0</v>
      </c>
      <c r="E12" s="560">
        <v>0</v>
      </c>
      <c r="F12" s="560">
        <v>0</v>
      </c>
      <c r="G12" s="560">
        <v>0</v>
      </c>
      <c r="H12" s="560">
        <v>0</v>
      </c>
      <c r="I12" s="560">
        <v>0</v>
      </c>
      <c r="J12" s="560">
        <v>0</v>
      </c>
      <c r="K12" s="560">
        <v>0</v>
      </c>
      <c r="L12" s="560">
        <v>0</v>
      </c>
      <c r="M12" s="560">
        <v>0</v>
      </c>
      <c r="N12" s="560">
        <v>0</v>
      </c>
      <c r="O12" s="560">
        <v>0</v>
      </c>
      <c r="P12" s="560">
        <v>0</v>
      </c>
      <c r="Q12" s="391"/>
      <c r="R12" s="391"/>
      <c r="S12" s="391" t="s">
        <v>23</v>
      </c>
      <c r="T12" s="560">
        <v>20000000</v>
      </c>
      <c r="U12" s="560">
        <v>57000000</v>
      </c>
      <c r="V12" s="560">
        <v>57000000</v>
      </c>
      <c r="W12" s="560">
        <v>67110358</v>
      </c>
      <c r="X12" s="560">
        <v>37067652</v>
      </c>
      <c r="Y12" s="560">
        <v>80083169</v>
      </c>
      <c r="Z12" s="560">
        <v>67462030</v>
      </c>
      <c r="AA12" s="560">
        <v>75469492</v>
      </c>
      <c r="AB12" s="560">
        <v>81147909</v>
      </c>
      <c r="AC12" s="560">
        <v>0</v>
      </c>
      <c r="AD12" s="560">
        <v>0</v>
      </c>
      <c r="AE12" s="560">
        <v>0</v>
      </c>
      <c r="AF12" s="560">
        <v>0</v>
      </c>
    </row>
    <row r="13" spans="1:32">
      <c r="A13" s="391"/>
      <c r="B13" s="391"/>
      <c r="C13" s="391" t="s">
        <v>24</v>
      </c>
      <c r="D13" s="560">
        <v>10942</v>
      </c>
      <c r="E13" s="560">
        <v>10942</v>
      </c>
      <c r="F13" s="560">
        <v>10942</v>
      </c>
      <c r="G13" s="560">
        <v>10942</v>
      </c>
      <c r="H13" s="560">
        <v>10942</v>
      </c>
      <c r="I13" s="560">
        <v>0</v>
      </c>
      <c r="J13" s="560">
        <v>0</v>
      </c>
      <c r="K13" s="560">
        <v>0</v>
      </c>
      <c r="L13" s="560">
        <v>0</v>
      </c>
      <c r="M13" s="560">
        <v>0</v>
      </c>
      <c r="N13" s="560">
        <v>0</v>
      </c>
      <c r="O13" s="560">
        <v>0</v>
      </c>
      <c r="P13" s="560">
        <v>0</v>
      </c>
      <c r="Q13" s="391"/>
      <c r="R13" s="391"/>
      <c r="S13" s="391" t="s">
        <v>25</v>
      </c>
      <c r="T13" s="560">
        <v>0</v>
      </c>
      <c r="U13" s="560">
        <v>0</v>
      </c>
      <c r="V13" s="560">
        <v>0</v>
      </c>
      <c r="W13" s="560">
        <v>0</v>
      </c>
      <c r="X13" s="560">
        <v>0</v>
      </c>
      <c r="Y13" s="560">
        <v>0</v>
      </c>
      <c r="Z13" s="560">
        <v>0</v>
      </c>
      <c r="AA13" s="560">
        <v>0</v>
      </c>
      <c r="AB13" s="560">
        <v>0</v>
      </c>
      <c r="AC13" s="560">
        <v>0</v>
      </c>
      <c r="AD13" s="560">
        <v>0</v>
      </c>
      <c r="AE13" s="560">
        <v>0</v>
      </c>
      <c r="AF13" s="560">
        <v>0</v>
      </c>
    </row>
    <row r="14" spans="1:32">
      <c r="A14" s="391"/>
      <c r="B14" s="391"/>
      <c r="C14" s="391" t="s">
        <v>26</v>
      </c>
      <c r="D14" s="560">
        <v>171</v>
      </c>
      <c r="E14" s="560">
        <v>171</v>
      </c>
      <c r="F14" s="560">
        <v>171</v>
      </c>
      <c r="G14" s="560">
        <v>171</v>
      </c>
      <c r="H14" s="560">
        <v>171</v>
      </c>
      <c r="I14" s="560">
        <v>171</v>
      </c>
      <c r="J14" s="560">
        <v>171</v>
      </c>
      <c r="K14" s="560">
        <v>171</v>
      </c>
      <c r="L14" s="560">
        <v>171</v>
      </c>
      <c r="M14" s="560">
        <v>0</v>
      </c>
      <c r="N14" s="560">
        <v>0</v>
      </c>
      <c r="O14" s="560">
        <v>0</v>
      </c>
      <c r="P14" s="560">
        <v>0</v>
      </c>
      <c r="Q14" s="391"/>
      <c r="R14" s="391"/>
      <c r="S14" s="391" t="s">
        <v>27</v>
      </c>
      <c r="T14" s="560">
        <v>0</v>
      </c>
      <c r="U14" s="560">
        <v>0</v>
      </c>
      <c r="V14" s="560">
        <v>0</v>
      </c>
      <c r="W14" s="560">
        <v>0</v>
      </c>
      <c r="X14" s="560">
        <v>0</v>
      </c>
      <c r="Y14" s="560">
        <v>0</v>
      </c>
      <c r="Z14" s="560">
        <v>0</v>
      </c>
      <c r="AA14" s="560">
        <v>0</v>
      </c>
      <c r="AB14" s="560">
        <v>0</v>
      </c>
      <c r="AC14" s="560">
        <v>0</v>
      </c>
      <c r="AD14" s="560">
        <v>0</v>
      </c>
      <c r="AE14" s="560">
        <v>0</v>
      </c>
      <c r="AF14" s="560">
        <v>0</v>
      </c>
    </row>
    <row r="15" spans="1:32">
      <c r="A15" s="391"/>
      <c r="B15" s="391"/>
      <c r="C15" s="391" t="s">
        <v>28</v>
      </c>
      <c r="D15" s="560">
        <v>26092</v>
      </c>
      <c r="E15" s="560">
        <v>26092</v>
      </c>
      <c r="F15" s="560">
        <v>26092</v>
      </c>
      <c r="G15" s="560">
        <v>26092</v>
      </c>
      <c r="H15" s="560">
        <v>26092</v>
      </c>
      <c r="I15" s="560">
        <v>26092</v>
      </c>
      <c r="J15" s="560">
        <v>26092</v>
      </c>
      <c r="K15" s="560">
        <v>26092</v>
      </c>
      <c r="L15" s="560">
        <v>26092</v>
      </c>
      <c r="M15" s="560">
        <v>0</v>
      </c>
      <c r="N15" s="560">
        <v>0</v>
      </c>
      <c r="O15" s="560">
        <v>0</v>
      </c>
      <c r="P15" s="560">
        <v>0</v>
      </c>
      <c r="Q15" s="391"/>
      <c r="R15" s="391"/>
      <c r="S15" s="391" t="s">
        <v>29</v>
      </c>
      <c r="T15" s="560">
        <v>0</v>
      </c>
      <c r="U15" s="560">
        <v>0</v>
      </c>
      <c r="V15" s="560">
        <v>0</v>
      </c>
      <c r="W15" s="560">
        <v>0</v>
      </c>
      <c r="X15" s="560">
        <v>0</v>
      </c>
      <c r="Y15" s="560">
        <v>0</v>
      </c>
      <c r="Z15" s="560">
        <v>0</v>
      </c>
      <c r="AA15" s="560">
        <v>0</v>
      </c>
      <c r="AB15" s="560">
        <v>0</v>
      </c>
      <c r="AC15" s="560">
        <v>0</v>
      </c>
      <c r="AD15" s="560">
        <v>0</v>
      </c>
      <c r="AE15" s="560">
        <v>0</v>
      </c>
      <c r="AF15" s="560">
        <v>0</v>
      </c>
    </row>
    <row r="16" spans="1:32">
      <c r="A16" s="391"/>
      <c r="B16" s="391"/>
      <c r="C16" s="391" t="s">
        <v>30</v>
      </c>
      <c r="D16" s="560">
        <v>1933</v>
      </c>
      <c r="E16" s="560">
        <v>1933</v>
      </c>
      <c r="F16" s="560">
        <v>1933</v>
      </c>
      <c r="G16" s="560">
        <v>1933</v>
      </c>
      <c r="H16" s="560">
        <v>1933</v>
      </c>
      <c r="I16" s="560">
        <v>1933</v>
      </c>
      <c r="J16" s="560">
        <v>1933</v>
      </c>
      <c r="K16" s="560">
        <v>1933</v>
      </c>
      <c r="L16" s="560">
        <v>1933</v>
      </c>
      <c r="M16" s="560">
        <v>0</v>
      </c>
      <c r="N16" s="560">
        <v>0</v>
      </c>
      <c r="O16" s="560">
        <v>0</v>
      </c>
      <c r="P16" s="560">
        <v>0</v>
      </c>
      <c r="Q16" s="391"/>
      <c r="R16" s="391"/>
      <c r="S16" s="391" t="s">
        <v>31</v>
      </c>
      <c r="T16" s="560">
        <v>0</v>
      </c>
      <c r="U16" s="560">
        <v>0</v>
      </c>
      <c r="V16" s="560">
        <v>0</v>
      </c>
      <c r="W16" s="560">
        <v>0</v>
      </c>
      <c r="X16" s="560">
        <v>0</v>
      </c>
      <c r="Y16" s="560">
        <v>0</v>
      </c>
      <c r="Z16" s="560">
        <v>0</v>
      </c>
      <c r="AA16" s="560">
        <v>0</v>
      </c>
      <c r="AB16" s="560">
        <v>0</v>
      </c>
      <c r="AC16" s="560">
        <v>0</v>
      </c>
      <c r="AD16" s="560">
        <v>0</v>
      </c>
      <c r="AE16" s="560">
        <v>0</v>
      </c>
      <c r="AF16" s="560">
        <v>0</v>
      </c>
    </row>
    <row r="17" spans="1:32">
      <c r="A17" s="391"/>
      <c r="B17" s="391"/>
      <c r="C17" s="391" t="s">
        <v>32</v>
      </c>
      <c r="D17" s="560">
        <v>13</v>
      </c>
      <c r="E17" s="560">
        <v>13</v>
      </c>
      <c r="F17" s="560">
        <v>13</v>
      </c>
      <c r="G17" s="560">
        <v>13</v>
      </c>
      <c r="H17" s="560">
        <v>13</v>
      </c>
      <c r="I17" s="560">
        <v>13</v>
      </c>
      <c r="J17" s="560">
        <v>13</v>
      </c>
      <c r="K17" s="560">
        <v>13</v>
      </c>
      <c r="L17" s="560">
        <v>13</v>
      </c>
      <c r="M17" s="560">
        <v>0</v>
      </c>
      <c r="N17" s="560">
        <v>0</v>
      </c>
      <c r="O17" s="560">
        <v>0</v>
      </c>
      <c r="P17" s="560">
        <v>0</v>
      </c>
      <c r="Q17" s="391"/>
      <c r="R17" s="391"/>
      <c r="S17" s="391" t="s">
        <v>33</v>
      </c>
      <c r="T17" s="560">
        <v>0</v>
      </c>
      <c r="U17" s="560">
        <v>0</v>
      </c>
      <c r="V17" s="560">
        <v>0</v>
      </c>
      <c r="W17" s="560">
        <v>0</v>
      </c>
      <c r="X17" s="560">
        <v>0</v>
      </c>
      <c r="Y17" s="560">
        <v>0</v>
      </c>
      <c r="Z17" s="560">
        <v>0</v>
      </c>
      <c r="AA17" s="560">
        <v>0</v>
      </c>
      <c r="AB17" s="560">
        <v>0</v>
      </c>
      <c r="AC17" s="560">
        <v>0</v>
      </c>
      <c r="AD17" s="560">
        <v>0</v>
      </c>
      <c r="AE17" s="560">
        <v>0</v>
      </c>
      <c r="AF17" s="560">
        <v>0</v>
      </c>
    </row>
    <row r="18" spans="1:32">
      <c r="A18" s="391"/>
      <c r="B18" s="391"/>
      <c r="C18" s="391" t="s">
        <v>34</v>
      </c>
      <c r="D18" s="560">
        <v>9566</v>
      </c>
      <c r="E18" s="560">
        <v>9566</v>
      </c>
      <c r="F18" s="560">
        <v>0</v>
      </c>
      <c r="G18" s="560">
        <v>1650</v>
      </c>
      <c r="H18" s="560">
        <v>5771</v>
      </c>
      <c r="I18" s="560">
        <v>5771</v>
      </c>
      <c r="J18" s="560">
        <v>5771</v>
      </c>
      <c r="K18" s="560">
        <v>5771</v>
      </c>
      <c r="L18" s="560">
        <v>5771</v>
      </c>
      <c r="M18" s="560">
        <v>0</v>
      </c>
      <c r="N18" s="560">
        <v>0</v>
      </c>
      <c r="O18" s="560">
        <v>0</v>
      </c>
      <c r="P18" s="560">
        <v>0</v>
      </c>
      <c r="Q18" s="391"/>
      <c r="R18" s="391"/>
      <c r="S18" s="391" t="s">
        <v>35</v>
      </c>
      <c r="T18" s="560">
        <v>0</v>
      </c>
      <c r="U18" s="560">
        <v>0</v>
      </c>
      <c r="V18" s="560">
        <v>0</v>
      </c>
      <c r="W18" s="560">
        <v>0</v>
      </c>
      <c r="X18" s="560">
        <v>0</v>
      </c>
      <c r="Y18" s="560">
        <v>0</v>
      </c>
      <c r="Z18" s="560">
        <v>0</v>
      </c>
      <c r="AA18" s="560">
        <v>0</v>
      </c>
      <c r="AB18" s="560">
        <v>0</v>
      </c>
      <c r="AC18" s="560">
        <v>0</v>
      </c>
      <c r="AD18" s="560">
        <v>0</v>
      </c>
      <c r="AE18" s="560">
        <v>0</v>
      </c>
      <c r="AF18" s="560">
        <v>0</v>
      </c>
    </row>
    <row r="19" spans="1:32">
      <c r="A19" s="391"/>
      <c r="B19" s="391"/>
      <c r="C19" s="391" t="s">
        <v>36</v>
      </c>
      <c r="D19" s="560">
        <v>51</v>
      </c>
      <c r="E19" s="560">
        <v>51</v>
      </c>
      <c r="F19" s="560">
        <v>51</v>
      </c>
      <c r="G19" s="560">
        <v>51</v>
      </c>
      <c r="H19" s="560">
        <v>51</v>
      </c>
      <c r="I19" s="560">
        <v>51</v>
      </c>
      <c r="J19" s="560">
        <v>51</v>
      </c>
      <c r="K19" s="560">
        <v>51</v>
      </c>
      <c r="L19" s="560">
        <v>51</v>
      </c>
      <c r="M19" s="560">
        <v>0</v>
      </c>
      <c r="N19" s="560">
        <v>0</v>
      </c>
      <c r="O19" s="560">
        <v>0</v>
      </c>
      <c r="P19" s="560">
        <v>0</v>
      </c>
      <c r="Q19" s="391"/>
      <c r="R19" s="391"/>
      <c r="S19" s="391" t="s">
        <v>37</v>
      </c>
      <c r="T19" s="560">
        <v>0</v>
      </c>
      <c r="U19" s="560">
        <v>70000</v>
      </c>
      <c r="V19" s="560">
        <v>70000</v>
      </c>
      <c r="W19" s="560">
        <v>70000</v>
      </c>
      <c r="X19" s="560">
        <v>70000</v>
      </c>
      <c r="Y19" s="560">
        <v>70000</v>
      </c>
      <c r="Z19" s="560">
        <v>70000</v>
      </c>
      <c r="AA19" s="560">
        <v>70000</v>
      </c>
      <c r="AB19" s="560">
        <v>70000</v>
      </c>
      <c r="AC19" s="560">
        <v>0</v>
      </c>
      <c r="AD19" s="560">
        <v>0</v>
      </c>
      <c r="AE19" s="560">
        <v>0</v>
      </c>
      <c r="AF19" s="560">
        <v>0</v>
      </c>
    </row>
    <row r="20" spans="1:32">
      <c r="A20" s="391"/>
      <c r="B20" s="391"/>
      <c r="C20" s="391" t="s">
        <v>38</v>
      </c>
      <c r="D20" s="560">
        <v>22600</v>
      </c>
      <c r="E20" s="560">
        <v>72495</v>
      </c>
      <c r="F20" s="560">
        <v>18100</v>
      </c>
      <c r="G20" s="560">
        <v>22625</v>
      </c>
      <c r="H20" s="560">
        <v>0</v>
      </c>
      <c r="I20" s="560">
        <v>14461</v>
      </c>
      <c r="J20" s="560">
        <v>0</v>
      </c>
      <c r="K20" s="560">
        <v>931</v>
      </c>
      <c r="L20" s="560">
        <v>0</v>
      </c>
      <c r="M20" s="560">
        <v>0</v>
      </c>
      <c r="N20" s="560">
        <v>0</v>
      </c>
      <c r="O20" s="560">
        <v>0</v>
      </c>
      <c r="P20" s="560">
        <v>0</v>
      </c>
      <c r="Q20" s="391"/>
      <c r="R20" s="391"/>
      <c r="S20" s="391" t="s">
        <v>39</v>
      </c>
      <c r="T20" s="560">
        <v>0</v>
      </c>
      <c r="U20" s="560">
        <v>70000</v>
      </c>
      <c r="V20" s="560">
        <v>70000</v>
      </c>
      <c r="W20" s="560">
        <v>70000</v>
      </c>
      <c r="X20" s="560">
        <v>70000</v>
      </c>
      <c r="Y20" s="560">
        <v>70000</v>
      </c>
      <c r="Z20" s="560">
        <v>70000</v>
      </c>
      <c r="AA20" s="560">
        <v>70000</v>
      </c>
      <c r="AB20" s="560">
        <v>70000</v>
      </c>
      <c r="AC20" s="560">
        <v>0</v>
      </c>
      <c r="AD20" s="560">
        <v>0</v>
      </c>
      <c r="AE20" s="560">
        <v>0</v>
      </c>
      <c r="AF20" s="560">
        <v>0</v>
      </c>
    </row>
    <row r="21" spans="1:32">
      <c r="A21" s="391"/>
      <c r="B21" s="391"/>
      <c r="C21" s="391" t="s">
        <v>40</v>
      </c>
      <c r="D21" s="560">
        <v>1102</v>
      </c>
      <c r="E21" s="560">
        <v>1102</v>
      </c>
      <c r="F21" s="560">
        <v>1102</v>
      </c>
      <c r="G21" s="560">
        <v>1102</v>
      </c>
      <c r="H21" s="560">
        <v>1102</v>
      </c>
      <c r="I21" s="560">
        <v>1102</v>
      </c>
      <c r="J21" s="560">
        <v>1102</v>
      </c>
      <c r="K21" s="560">
        <v>1102</v>
      </c>
      <c r="L21" s="560">
        <v>1102</v>
      </c>
      <c r="M21" s="560">
        <v>0</v>
      </c>
      <c r="N21" s="560">
        <v>0</v>
      </c>
      <c r="O21" s="560">
        <v>0</v>
      </c>
      <c r="P21" s="560">
        <v>0</v>
      </c>
      <c r="Q21" s="391"/>
      <c r="R21" s="391"/>
      <c r="S21" s="391" t="s">
        <v>41</v>
      </c>
      <c r="T21" s="560">
        <v>0</v>
      </c>
      <c r="U21" s="560">
        <v>0</v>
      </c>
      <c r="V21" s="560">
        <v>0</v>
      </c>
      <c r="W21" s="560">
        <v>0</v>
      </c>
      <c r="X21" s="560">
        <v>0</v>
      </c>
      <c r="Y21" s="560">
        <v>0</v>
      </c>
      <c r="Z21" s="560">
        <v>0</v>
      </c>
      <c r="AA21" s="560">
        <v>0</v>
      </c>
      <c r="AB21" s="560">
        <v>0</v>
      </c>
      <c r="AC21" s="560">
        <v>0</v>
      </c>
      <c r="AD21" s="560">
        <v>0</v>
      </c>
      <c r="AE21" s="560">
        <v>0</v>
      </c>
      <c r="AF21" s="560">
        <v>0</v>
      </c>
    </row>
    <row r="22" spans="1:32">
      <c r="A22" s="391"/>
      <c r="B22" s="391"/>
      <c r="C22" s="391" t="s">
        <v>42</v>
      </c>
      <c r="D22" s="560">
        <v>876</v>
      </c>
      <c r="E22" s="560">
        <v>876</v>
      </c>
      <c r="F22" s="560">
        <v>876</v>
      </c>
      <c r="G22" s="560">
        <v>876</v>
      </c>
      <c r="H22" s="560">
        <v>876</v>
      </c>
      <c r="I22" s="560">
        <v>876</v>
      </c>
      <c r="J22" s="560">
        <v>876</v>
      </c>
      <c r="K22" s="560">
        <v>876</v>
      </c>
      <c r="L22" s="560">
        <v>876</v>
      </c>
      <c r="M22" s="560">
        <v>0</v>
      </c>
      <c r="N22" s="560">
        <v>0</v>
      </c>
      <c r="O22" s="560">
        <v>0</v>
      </c>
      <c r="P22" s="560">
        <v>0</v>
      </c>
      <c r="Q22" s="391"/>
      <c r="R22" s="391"/>
      <c r="S22" s="391" t="s">
        <v>43</v>
      </c>
      <c r="T22" s="560">
        <v>0</v>
      </c>
      <c r="U22" s="560">
        <v>0</v>
      </c>
      <c r="V22" s="560">
        <v>0</v>
      </c>
      <c r="W22" s="560">
        <v>0</v>
      </c>
      <c r="X22" s="560">
        <v>0</v>
      </c>
      <c r="Y22" s="560">
        <v>0</v>
      </c>
      <c r="Z22" s="560">
        <v>0</v>
      </c>
      <c r="AA22" s="560">
        <v>0</v>
      </c>
      <c r="AB22" s="560">
        <v>0</v>
      </c>
      <c r="AC22" s="560">
        <v>0</v>
      </c>
      <c r="AD22" s="560">
        <v>0</v>
      </c>
      <c r="AE22" s="560">
        <v>0</v>
      </c>
      <c r="AF22" s="560">
        <v>0</v>
      </c>
    </row>
    <row r="23" spans="1:32">
      <c r="A23" s="391"/>
      <c r="B23" s="391"/>
      <c r="C23" s="391" t="s">
        <v>546</v>
      </c>
      <c r="D23" s="560">
        <v>37917</v>
      </c>
      <c r="E23" s="560">
        <v>37917</v>
      </c>
      <c r="F23" s="560">
        <v>37917</v>
      </c>
      <c r="G23" s="560">
        <v>37917</v>
      </c>
      <c r="H23" s="560">
        <v>37917</v>
      </c>
      <c r="I23" s="560">
        <v>37917</v>
      </c>
      <c r="J23" s="560">
        <v>37917</v>
      </c>
      <c r="K23" s="560">
        <v>37917</v>
      </c>
      <c r="L23" s="560">
        <v>37917</v>
      </c>
      <c r="M23" s="560">
        <v>0</v>
      </c>
      <c r="N23" s="560">
        <v>0</v>
      </c>
      <c r="O23" s="560">
        <v>0</v>
      </c>
      <c r="P23" s="560">
        <v>0</v>
      </c>
      <c r="Q23" s="391"/>
      <c r="R23" s="391"/>
      <c r="S23" s="391" t="s">
        <v>45</v>
      </c>
      <c r="T23" s="560">
        <v>0</v>
      </c>
      <c r="U23" s="560">
        <v>0</v>
      </c>
      <c r="V23" s="560">
        <v>0</v>
      </c>
      <c r="W23" s="560">
        <v>0</v>
      </c>
      <c r="X23" s="560">
        <v>0</v>
      </c>
      <c r="Y23" s="560">
        <v>0</v>
      </c>
      <c r="Z23" s="560">
        <v>0</v>
      </c>
      <c r="AA23" s="560">
        <v>0</v>
      </c>
      <c r="AB23" s="560">
        <v>0</v>
      </c>
      <c r="AC23" s="560">
        <v>0</v>
      </c>
      <c r="AD23" s="560">
        <v>0</v>
      </c>
      <c r="AE23" s="560">
        <v>0</v>
      </c>
      <c r="AF23" s="560">
        <v>0</v>
      </c>
    </row>
    <row r="24" spans="1:32">
      <c r="A24" s="391"/>
      <c r="B24" s="391"/>
      <c r="C24" s="391" t="s">
        <v>44</v>
      </c>
      <c r="D24" s="560">
        <v>50000</v>
      </c>
      <c r="E24" s="560">
        <v>50000</v>
      </c>
      <c r="F24" s="560">
        <v>50000</v>
      </c>
      <c r="G24" s="560">
        <v>50000</v>
      </c>
      <c r="H24" s="560">
        <v>50000</v>
      </c>
      <c r="I24" s="560">
        <v>50000</v>
      </c>
      <c r="J24" s="560">
        <v>50000</v>
      </c>
      <c r="K24" s="560">
        <v>50000</v>
      </c>
      <c r="L24" s="560">
        <v>50000</v>
      </c>
      <c r="M24" s="560">
        <v>0</v>
      </c>
      <c r="N24" s="560">
        <v>0</v>
      </c>
      <c r="O24" s="560">
        <v>0</v>
      </c>
      <c r="P24" s="560">
        <v>0</v>
      </c>
      <c r="Q24" s="391"/>
      <c r="R24" s="391"/>
      <c r="S24" s="391" t="s">
        <v>47</v>
      </c>
      <c r="T24" s="560">
        <v>0</v>
      </c>
      <c r="U24" s="560">
        <v>0</v>
      </c>
      <c r="V24" s="560">
        <v>0</v>
      </c>
      <c r="W24" s="560">
        <v>0</v>
      </c>
      <c r="X24" s="560">
        <v>0</v>
      </c>
      <c r="Y24" s="560">
        <v>0</v>
      </c>
      <c r="Z24" s="560">
        <v>0</v>
      </c>
      <c r="AA24" s="560">
        <v>0</v>
      </c>
      <c r="AB24" s="560">
        <v>0</v>
      </c>
      <c r="AC24" s="560">
        <v>0</v>
      </c>
      <c r="AD24" s="560">
        <v>0</v>
      </c>
      <c r="AE24" s="560">
        <v>0</v>
      </c>
      <c r="AF24" s="560">
        <v>0</v>
      </c>
    </row>
    <row r="25" spans="1:32">
      <c r="A25" s="391"/>
      <c r="B25" s="391"/>
      <c r="C25" s="391" t="s">
        <v>46</v>
      </c>
      <c r="D25" s="560">
        <v>63524400.670000002</v>
      </c>
      <c r="E25" s="560">
        <v>105882934.67</v>
      </c>
      <c r="F25" s="560">
        <v>144894830.66999999</v>
      </c>
      <c r="G25" s="560">
        <v>72439604.670000002</v>
      </c>
      <c r="H25" s="560">
        <v>107936033.67</v>
      </c>
      <c r="I25" s="560">
        <v>64537918.670000002</v>
      </c>
      <c r="J25" s="560">
        <v>75075213.670000002</v>
      </c>
      <c r="K25" s="560">
        <v>95523528.670000002</v>
      </c>
      <c r="L25" s="560">
        <v>58411577.670000002</v>
      </c>
      <c r="M25" s="560">
        <v>0</v>
      </c>
      <c r="N25" s="560">
        <v>0</v>
      </c>
      <c r="O25" s="560">
        <v>0</v>
      </c>
      <c r="P25" s="560">
        <v>0</v>
      </c>
      <c r="Q25" s="391"/>
      <c r="R25" s="391"/>
      <c r="S25" s="391" t="s">
        <v>49</v>
      </c>
      <c r="T25" s="560">
        <v>101851693</v>
      </c>
      <c r="U25" s="560">
        <v>170806278</v>
      </c>
      <c r="V25" s="560">
        <v>158330270</v>
      </c>
      <c r="W25" s="560">
        <v>94978914</v>
      </c>
      <c r="X25" s="560">
        <v>162330181</v>
      </c>
      <c r="Y25" s="560">
        <v>90147951</v>
      </c>
      <c r="Z25" s="560">
        <v>81340354</v>
      </c>
      <c r="AA25" s="560">
        <v>135260921</v>
      </c>
      <c r="AB25" s="560">
        <v>123723496</v>
      </c>
      <c r="AC25" s="560">
        <v>0</v>
      </c>
      <c r="AD25" s="560">
        <v>0</v>
      </c>
      <c r="AE25" s="560">
        <v>0</v>
      </c>
      <c r="AF25" s="560">
        <v>0</v>
      </c>
    </row>
    <row r="26" spans="1:32">
      <c r="A26" s="391"/>
      <c r="B26" s="391"/>
      <c r="C26" s="391" t="s">
        <v>48</v>
      </c>
      <c r="D26" s="560">
        <v>0</v>
      </c>
      <c r="E26" s="560">
        <v>0</v>
      </c>
      <c r="F26" s="560">
        <v>0</v>
      </c>
      <c r="G26" s="560">
        <v>0</v>
      </c>
      <c r="H26" s="560">
        <v>0</v>
      </c>
      <c r="I26" s="560">
        <v>0</v>
      </c>
      <c r="J26" s="560">
        <v>0</v>
      </c>
      <c r="K26" s="560">
        <v>0</v>
      </c>
      <c r="L26" s="560">
        <v>0</v>
      </c>
      <c r="M26" s="560">
        <v>0</v>
      </c>
      <c r="N26" s="560">
        <v>0</v>
      </c>
      <c r="O26" s="560">
        <v>0</v>
      </c>
      <c r="P26" s="560">
        <v>0</v>
      </c>
      <c r="Q26" s="391"/>
      <c r="R26" s="391"/>
      <c r="S26" s="391" t="s">
        <v>51</v>
      </c>
      <c r="T26" s="560">
        <v>55912901</v>
      </c>
      <c r="U26" s="560">
        <v>79267581</v>
      </c>
      <c r="V26" s="560">
        <v>70679937</v>
      </c>
      <c r="W26" s="560">
        <v>67028164</v>
      </c>
      <c r="X26" s="560">
        <v>83877697</v>
      </c>
      <c r="Y26" s="560">
        <v>62274582</v>
      </c>
      <c r="Z26" s="560">
        <v>57955408</v>
      </c>
      <c r="AA26" s="560">
        <v>105947295</v>
      </c>
      <c r="AB26" s="560">
        <v>85074734</v>
      </c>
      <c r="AC26" s="560">
        <v>0</v>
      </c>
      <c r="AD26" s="560">
        <v>0</v>
      </c>
      <c r="AE26" s="560">
        <v>0</v>
      </c>
      <c r="AF26" s="560">
        <v>0</v>
      </c>
    </row>
    <row r="27" spans="1:32">
      <c r="A27" s="391"/>
      <c r="B27" s="391"/>
      <c r="C27" s="391" t="s">
        <v>50</v>
      </c>
      <c r="D27" s="560">
        <v>0</v>
      </c>
      <c r="E27" s="560">
        <v>0</v>
      </c>
      <c r="F27" s="560">
        <v>0</v>
      </c>
      <c r="G27" s="560">
        <v>0</v>
      </c>
      <c r="H27" s="560">
        <v>0</v>
      </c>
      <c r="I27" s="560">
        <v>0</v>
      </c>
      <c r="J27" s="560">
        <v>0</v>
      </c>
      <c r="K27" s="560">
        <v>0</v>
      </c>
      <c r="L27" s="560">
        <v>0</v>
      </c>
      <c r="M27" s="560">
        <v>0</v>
      </c>
      <c r="N27" s="560">
        <v>0</v>
      </c>
      <c r="O27" s="560">
        <v>0</v>
      </c>
      <c r="P27" s="560">
        <v>0</v>
      </c>
      <c r="Q27" s="391"/>
      <c r="R27" s="391"/>
      <c r="S27" s="391" t="s">
        <v>53</v>
      </c>
      <c r="T27" s="560">
        <v>0</v>
      </c>
      <c r="U27" s="560">
        <v>4314479</v>
      </c>
      <c r="V27" s="560">
        <v>315205</v>
      </c>
      <c r="W27" s="560">
        <v>1571683</v>
      </c>
      <c r="X27" s="560">
        <v>2963274</v>
      </c>
      <c r="Y27" s="560">
        <v>0</v>
      </c>
      <c r="Z27" s="560">
        <v>931586</v>
      </c>
      <c r="AA27" s="560">
        <v>4508092</v>
      </c>
      <c r="AB27" s="560">
        <v>19009</v>
      </c>
      <c r="AC27" s="560">
        <v>0</v>
      </c>
      <c r="AD27" s="560">
        <v>0</v>
      </c>
      <c r="AE27" s="560">
        <v>0</v>
      </c>
      <c r="AF27" s="560">
        <v>0</v>
      </c>
    </row>
    <row r="28" spans="1:32">
      <c r="A28" s="391"/>
      <c r="B28" s="391"/>
      <c r="C28" s="391" t="s">
        <v>52</v>
      </c>
      <c r="D28" s="560">
        <v>611472</v>
      </c>
      <c r="E28" s="560">
        <v>651845</v>
      </c>
      <c r="F28" s="560">
        <v>634532</v>
      </c>
      <c r="G28" s="560">
        <v>662416</v>
      </c>
      <c r="H28" s="560">
        <v>674825</v>
      </c>
      <c r="I28" s="560">
        <v>683154</v>
      </c>
      <c r="J28" s="560">
        <v>684202</v>
      </c>
      <c r="K28" s="560">
        <v>687370</v>
      </c>
      <c r="L28" s="560">
        <v>680942</v>
      </c>
      <c r="M28" s="560">
        <v>0</v>
      </c>
      <c r="N28" s="560">
        <v>0</v>
      </c>
      <c r="O28" s="560">
        <v>0</v>
      </c>
      <c r="P28" s="560">
        <v>0</v>
      </c>
      <c r="Q28" s="391"/>
      <c r="R28" s="391"/>
      <c r="S28" s="391" t="s">
        <v>55</v>
      </c>
      <c r="T28" s="560">
        <v>0</v>
      </c>
      <c r="U28" s="560">
        <v>0</v>
      </c>
      <c r="V28" s="560">
        <v>0</v>
      </c>
      <c r="W28" s="560">
        <v>0</v>
      </c>
      <c r="X28" s="560">
        <v>0</v>
      </c>
      <c r="Y28" s="560">
        <v>0</v>
      </c>
      <c r="Z28" s="560">
        <v>0</v>
      </c>
      <c r="AA28" s="560">
        <v>0</v>
      </c>
      <c r="AB28" s="560">
        <v>0</v>
      </c>
      <c r="AC28" s="560">
        <v>0</v>
      </c>
      <c r="AD28" s="560">
        <v>0</v>
      </c>
      <c r="AE28" s="560">
        <v>0</v>
      </c>
      <c r="AF28" s="560">
        <v>0</v>
      </c>
    </row>
    <row r="29" spans="1:32">
      <c r="A29" s="391"/>
      <c r="B29" s="391"/>
      <c r="C29" s="391" t="s">
        <v>54</v>
      </c>
      <c r="D29" s="560">
        <v>0</v>
      </c>
      <c r="E29" s="560">
        <v>0</v>
      </c>
      <c r="F29" s="560">
        <v>0</v>
      </c>
      <c r="G29" s="560">
        <v>0</v>
      </c>
      <c r="H29" s="560">
        <v>0</v>
      </c>
      <c r="I29" s="560">
        <v>0</v>
      </c>
      <c r="J29" s="560">
        <v>0</v>
      </c>
      <c r="K29" s="560">
        <v>0</v>
      </c>
      <c r="L29" s="560">
        <v>0</v>
      </c>
      <c r="M29" s="560">
        <v>0</v>
      </c>
      <c r="N29" s="560">
        <v>0</v>
      </c>
      <c r="O29" s="560">
        <v>0</v>
      </c>
      <c r="P29" s="560">
        <v>0</v>
      </c>
      <c r="Q29" s="391"/>
      <c r="R29" s="391"/>
      <c r="S29" s="391" t="s">
        <v>57</v>
      </c>
      <c r="T29" s="560">
        <v>45938792</v>
      </c>
      <c r="U29" s="560">
        <v>87224218</v>
      </c>
      <c r="V29" s="560">
        <v>87335128</v>
      </c>
      <c r="W29" s="560">
        <v>26379067</v>
      </c>
      <c r="X29" s="560">
        <v>75489210</v>
      </c>
      <c r="Y29" s="560">
        <v>27873369</v>
      </c>
      <c r="Z29" s="560">
        <v>22453360</v>
      </c>
      <c r="AA29" s="560">
        <v>24805534</v>
      </c>
      <c r="AB29" s="560">
        <v>38629753</v>
      </c>
      <c r="AC29" s="560">
        <v>0</v>
      </c>
      <c r="AD29" s="560">
        <v>0</v>
      </c>
      <c r="AE29" s="560">
        <v>0</v>
      </c>
      <c r="AF29" s="560">
        <v>0</v>
      </c>
    </row>
    <row r="30" spans="1:32">
      <c r="A30" s="391"/>
      <c r="B30" s="391"/>
      <c r="C30" s="391" t="s">
        <v>56</v>
      </c>
      <c r="D30" s="560">
        <v>3107492.51</v>
      </c>
      <c r="E30" s="560">
        <v>3020154.51</v>
      </c>
      <c r="F30" s="560">
        <v>2954414.51</v>
      </c>
      <c r="G30" s="560">
        <v>4040555.51</v>
      </c>
      <c r="H30" s="560">
        <v>5584174.5099999998</v>
      </c>
      <c r="I30" s="560">
        <v>6230668.5099999998</v>
      </c>
      <c r="J30" s="560">
        <v>6302579.5099999998</v>
      </c>
      <c r="K30" s="560">
        <v>6281762.5099999998</v>
      </c>
      <c r="L30" s="560">
        <v>6846059.5099999998</v>
      </c>
      <c r="M30" s="560">
        <v>0</v>
      </c>
      <c r="N30" s="560">
        <v>0</v>
      </c>
      <c r="O30" s="560">
        <v>0</v>
      </c>
      <c r="P30" s="560">
        <v>0</v>
      </c>
      <c r="Q30" s="391"/>
      <c r="R30" s="391"/>
      <c r="S30" s="391" t="s">
        <v>59</v>
      </c>
      <c r="T30" s="560">
        <v>16464551</v>
      </c>
      <c r="U30" s="560">
        <v>0</v>
      </c>
      <c r="V30" s="560">
        <v>0</v>
      </c>
      <c r="W30" s="560">
        <v>0</v>
      </c>
      <c r="X30" s="560">
        <v>0</v>
      </c>
      <c r="Y30" s="560">
        <v>0</v>
      </c>
      <c r="Z30" s="560">
        <v>0</v>
      </c>
      <c r="AA30" s="560">
        <v>0</v>
      </c>
      <c r="AB30" s="560">
        <v>0</v>
      </c>
      <c r="AC30" s="560">
        <v>0</v>
      </c>
      <c r="AD30" s="560">
        <v>0</v>
      </c>
      <c r="AE30" s="560">
        <v>0</v>
      </c>
      <c r="AF30" s="560">
        <v>0</v>
      </c>
    </row>
    <row r="31" spans="1:32">
      <c r="A31" s="391"/>
      <c r="B31" s="391"/>
      <c r="C31" s="391" t="s">
        <v>58</v>
      </c>
      <c r="D31" s="560">
        <v>0</v>
      </c>
      <c r="E31" s="560">
        <v>0</v>
      </c>
      <c r="F31" s="560">
        <v>0</v>
      </c>
      <c r="G31" s="560">
        <v>0</v>
      </c>
      <c r="H31" s="560">
        <v>0</v>
      </c>
      <c r="I31" s="560">
        <v>0</v>
      </c>
      <c r="J31" s="560">
        <v>0</v>
      </c>
      <c r="K31" s="560">
        <v>0</v>
      </c>
      <c r="L31" s="560">
        <v>0</v>
      </c>
      <c r="M31" s="560">
        <v>0</v>
      </c>
      <c r="N31" s="560">
        <v>0</v>
      </c>
      <c r="O31" s="560">
        <v>0</v>
      </c>
      <c r="P31" s="560">
        <v>0</v>
      </c>
      <c r="Q31" s="391"/>
      <c r="R31" s="391"/>
      <c r="S31" s="391" t="s">
        <v>61</v>
      </c>
      <c r="T31" s="560">
        <v>16464551</v>
      </c>
      <c r="U31" s="560">
        <v>0</v>
      </c>
      <c r="V31" s="560">
        <v>0</v>
      </c>
      <c r="W31" s="560">
        <v>0</v>
      </c>
      <c r="X31" s="560">
        <v>0</v>
      </c>
      <c r="Y31" s="560">
        <v>0</v>
      </c>
      <c r="Z31" s="560">
        <v>0</v>
      </c>
      <c r="AA31" s="560">
        <v>0</v>
      </c>
      <c r="AB31" s="560">
        <v>0</v>
      </c>
      <c r="AC31" s="560">
        <v>0</v>
      </c>
      <c r="AD31" s="560">
        <v>0</v>
      </c>
      <c r="AE31" s="560">
        <v>0</v>
      </c>
      <c r="AF31" s="560">
        <v>0</v>
      </c>
    </row>
    <row r="32" spans="1:32">
      <c r="A32" s="391"/>
      <c r="B32" s="391"/>
      <c r="C32" s="391" t="s">
        <v>60</v>
      </c>
      <c r="D32" s="560">
        <v>0</v>
      </c>
      <c r="E32" s="560">
        <v>0</v>
      </c>
      <c r="F32" s="560">
        <v>0</v>
      </c>
      <c r="G32" s="560">
        <v>0</v>
      </c>
      <c r="H32" s="560">
        <v>0</v>
      </c>
      <c r="I32" s="560">
        <v>0</v>
      </c>
      <c r="J32" s="560">
        <v>0</v>
      </c>
      <c r="K32" s="560">
        <v>0</v>
      </c>
      <c r="L32" s="560">
        <v>0</v>
      </c>
      <c r="M32" s="560">
        <v>0</v>
      </c>
      <c r="N32" s="560">
        <v>0</v>
      </c>
      <c r="O32" s="560">
        <v>0</v>
      </c>
      <c r="P32" s="560">
        <v>0</v>
      </c>
      <c r="Q32" s="391"/>
      <c r="R32" s="391"/>
      <c r="S32" s="391" t="s">
        <v>63</v>
      </c>
      <c r="T32" s="560">
        <v>0</v>
      </c>
      <c r="U32" s="560">
        <v>0</v>
      </c>
      <c r="V32" s="560">
        <v>0</v>
      </c>
      <c r="W32" s="560">
        <v>0</v>
      </c>
      <c r="X32" s="560">
        <v>0</v>
      </c>
      <c r="Y32" s="560">
        <v>0</v>
      </c>
      <c r="Z32" s="560">
        <v>0</v>
      </c>
      <c r="AA32" s="560">
        <v>0</v>
      </c>
      <c r="AB32" s="560">
        <v>0</v>
      </c>
      <c r="AC32" s="560">
        <v>0</v>
      </c>
      <c r="AD32" s="560">
        <v>0</v>
      </c>
      <c r="AE32" s="560">
        <v>0</v>
      </c>
      <c r="AF32" s="560">
        <v>0</v>
      </c>
    </row>
    <row r="33" spans="1:32">
      <c r="A33" s="391"/>
      <c r="B33" s="391"/>
      <c r="C33" s="391" t="s">
        <v>62</v>
      </c>
      <c r="D33" s="560">
        <v>0</v>
      </c>
      <c r="E33" s="560">
        <v>0</v>
      </c>
      <c r="F33" s="560">
        <v>0</v>
      </c>
      <c r="G33" s="560">
        <v>0</v>
      </c>
      <c r="H33" s="560">
        <v>0</v>
      </c>
      <c r="I33" s="560">
        <v>0</v>
      </c>
      <c r="J33" s="560">
        <v>0</v>
      </c>
      <c r="K33" s="560">
        <v>0</v>
      </c>
      <c r="L33" s="560">
        <v>0</v>
      </c>
      <c r="M33" s="560">
        <v>0</v>
      </c>
      <c r="N33" s="560">
        <v>0</v>
      </c>
      <c r="O33" s="560">
        <v>0</v>
      </c>
      <c r="P33" s="560">
        <v>0</v>
      </c>
      <c r="Q33" s="391"/>
      <c r="R33" s="391"/>
      <c r="S33" s="391" t="s">
        <v>65</v>
      </c>
      <c r="T33" s="560">
        <v>0</v>
      </c>
      <c r="U33" s="560">
        <v>0</v>
      </c>
      <c r="V33" s="560">
        <v>0</v>
      </c>
      <c r="W33" s="560">
        <v>0</v>
      </c>
      <c r="X33" s="560">
        <v>0</v>
      </c>
      <c r="Y33" s="560">
        <v>0</v>
      </c>
      <c r="Z33" s="560">
        <v>0</v>
      </c>
      <c r="AA33" s="560">
        <v>0</v>
      </c>
      <c r="AB33" s="560">
        <v>0</v>
      </c>
      <c r="AC33" s="560">
        <v>0</v>
      </c>
      <c r="AD33" s="560">
        <v>0</v>
      </c>
      <c r="AE33" s="560">
        <v>0</v>
      </c>
      <c r="AF33" s="560">
        <v>0</v>
      </c>
    </row>
    <row r="34" spans="1:32">
      <c r="A34" s="391"/>
      <c r="B34" s="391"/>
      <c r="C34" s="391" t="s">
        <v>64</v>
      </c>
      <c r="D34" s="560">
        <v>0</v>
      </c>
      <c r="E34" s="560">
        <v>0</v>
      </c>
      <c r="F34" s="560">
        <v>0</v>
      </c>
      <c r="G34" s="560">
        <v>0</v>
      </c>
      <c r="H34" s="560">
        <v>0</v>
      </c>
      <c r="I34" s="560">
        <v>0</v>
      </c>
      <c r="J34" s="560">
        <v>0</v>
      </c>
      <c r="K34" s="560">
        <v>0</v>
      </c>
      <c r="L34" s="560">
        <v>0</v>
      </c>
      <c r="M34" s="560">
        <v>0</v>
      </c>
      <c r="N34" s="560">
        <v>0</v>
      </c>
      <c r="O34" s="560">
        <v>0</v>
      </c>
      <c r="P34" s="560">
        <v>0</v>
      </c>
      <c r="Q34" s="391"/>
      <c r="R34" s="391"/>
      <c r="S34" s="391" t="s">
        <v>67</v>
      </c>
      <c r="T34" s="560">
        <v>17421049</v>
      </c>
      <c r="U34" s="560">
        <v>5945027</v>
      </c>
      <c r="V34" s="560">
        <v>10332255</v>
      </c>
      <c r="W34" s="560">
        <v>10964671</v>
      </c>
      <c r="X34" s="560">
        <v>12876432</v>
      </c>
      <c r="Y34" s="560">
        <v>16270443</v>
      </c>
      <c r="Z34" s="560">
        <v>14718557</v>
      </c>
      <c r="AA34" s="560">
        <v>18009185</v>
      </c>
      <c r="AB34" s="560">
        <v>19855600</v>
      </c>
      <c r="AC34" s="560">
        <v>0</v>
      </c>
      <c r="AD34" s="560">
        <v>0</v>
      </c>
      <c r="AE34" s="560">
        <v>0</v>
      </c>
      <c r="AF34" s="560">
        <v>0</v>
      </c>
    </row>
    <row r="35" spans="1:32">
      <c r="A35" s="391"/>
      <c r="B35" s="391"/>
      <c r="C35" s="391" t="s">
        <v>66</v>
      </c>
      <c r="D35" s="560">
        <v>0</v>
      </c>
      <c r="E35" s="560">
        <v>0</v>
      </c>
      <c r="F35" s="560">
        <v>0</v>
      </c>
      <c r="G35" s="560">
        <v>0</v>
      </c>
      <c r="H35" s="560">
        <v>0</v>
      </c>
      <c r="I35" s="560">
        <v>0</v>
      </c>
      <c r="J35" s="560">
        <v>0</v>
      </c>
      <c r="K35" s="560">
        <v>0</v>
      </c>
      <c r="L35" s="560">
        <v>0</v>
      </c>
      <c r="M35" s="560">
        <v>0</v>
      </c>
      <c r="N35" s="560">
        <v>0</v>
      </c>
      <c r="O35" s="560">
        <v>0</v>
      </c>
      <c r="P35" s="560">
        <v>0</v>
      </c>
      <c r="Q35" s="391"/>
      <c r="R35" s="391"/>
      <c r="S35" s="391" t="s">
        <v>69</v>
      </c>
      <c r="T35" s="560">
        <v>4093439</v>
      </c>
      <c r="U35" s="560">
        <v>0</v>
      </c>
      <c r="V35" s="560">
        <v>4342148</v>
      </c>
      <c r="W35" s="560">
        <v>4364649</v>
      </c>
      <c r="X35" s="560">
        <v>4268764</v>
      </c>
      <c r="Y35" s="560">
        <v>4220530</v>
      </c>
      <c r="Z35" s="560">
        <v>4214583</v>
      </c>
      <c r="AA35" s="560">
        <v>5852914</v>
      </c>
      <c r="AB35" s="560">
        <v>4416199</v>
      </c>
      <c r="AC35" s="560">
        <v>0</v>
      </c>
      <c r="AD35" s="560">
        <v>0</v>
      </c>
      <c r="AE35" s="560">
        <v>0</v>
      </c>
      <c r="AF35" s="560">
        <v>0</v>
      </c>
    </row>
    <row r="36" spans="1:32">
      <c r="A36" s="391"/>
      <c r="B36" s="391"/>
      <c r="C36" s="391" t="s">
        <v>68</v>
      </c>
      <c r="D36" s="560">
        <v>0</v>
      </c>
      <c r="E36" s="560">
        <v>0</v>
      </c>
      <c r="F36" s="560">
        <v>0</v>
      </c>
      <c r="G36" s="560">
        <v>0</v>
      </c>
      <c r="H36" s="560">
        <v>0</v>
      </c>
      <c r="I36" s="560">
        <v>0</v>
      </c>
      <c r="J36" s="560">
        <v>0</v>
      </c>
      <c r="K36" s="560">
        <v>0</v>
      </c>
      <c r="L36" s="560">
        <v>0</v>
      </c>
      <c r="M36" s="560">
        <v>0</v>
      </c>
      <c r="N36" s="560">
        <v>0</v>
      </c>
      <c r="O36" s="560">
        <v>0</v>
      </c>
      <c r="P36" s="560">
        <v>0</v>
      </c>
      <c r="Q36" s="391"/>
      <c r="R36" s="391"/>
      <c r="S36" s="391" t="s">
        <v>71</v>
      </c>
      <c r="T36" s="560">
        <v>0</v>
      </c>
      <c r="U36" s="560">
        <v>0</v>
      </c>
      <c r="V36" s="560">
        <v>0</v>
      </c>
      <c r="W36" s="560">
        <v>0</v>
      </c>
      <c r="X36" s="560">
        <v>0</v>
      </c>
      <c r="Y36" s="560">
        <v>0</v>
      </c>
      <c r="Z36" s="560">
        <v>0</v>
      </c>
      <c r="AA36" s="560">
        <v>0</v>
      </c>
      <c r="AB36" s="560">
        <v>0</v>
      </c>
      <c r="AC36" s="560">
        <v>0</v>
      </c>
      <c r="AD36" s="560">
        <v>0</v>
      </c>
      <c r="AE36" s="560">
        <v>0</v>
      </c>
      <c r="AF36" s="560">
        <v>0</v>
      </c>
    </row>
    <row r="37" spans="1:32">
      <c r="A37" s="391"/>
      <c r="B37" s="391"/>
      <c r="C37" s="391" t="s">
        <v>70</v>
      </c>
      <c r="D37" s="560">
        <v>0</v>
      </c>
      <c r="E37" s="560">
        <v>0</v>
      </c>
      <c r="F37" s="560">
        <v>0</v>
      </c>
      <c r="G37" s="560">
        <v>0</v>
      </c>
      <c r="H37" s="560">
        <v>0</v>
      </c>
      <c r="I37" s="560">
        <v>0</v>
      </c>
      <c r="J37" s="560">
        <v>0</v>
      </c>
      <c r="K37" s="560">
        <v>0</v>
      </c>
      <c r="L37" s="560">
        <v>0</v>
      </c>
      <c r="M37" s="560">
        <v>0</v>
      </c>
      <c r="N37" s="560">
        <v>0</v>
      </c>
      <c r="O37" s="560">
        <v>0</v>
      </c>
      <c r="P37" s="560">
        <v>0</v>
      </c>
      <c r="Q37" s="391"/>
      <c r="R37" s="391"/>
      <c r="S37" s="391" t="s">
        <v>73</v>
      </c>
      <c r="T37" s="560">
        <v>0</v>
      </c>
      <c r="U37" s="560">
        <v>0</v>
      </c>
      <c r="V37" s="560">
        <v>0</v>
      </c>
      <c r="W37" s="560">
        <v>0</v>
      </c>
      <c r="X37" s="560">
        <v>0</v>
      </c>
      <c r="Y37" s="560">
        <v>0</v>
      </c>
      <c r="Z37" s="560">
        <v>0</v>
      </c>
      <c r="AA37" s="560">
        <v>0</v>
      </c>
      <c r="AB37" s="560">
        <v>0</v>
      </c>
      <c r="AC37" s="560">
        <v>0</v>
      </c>
      <c r="AD37" s="560">
        <v>0</v>
      </c>
      <c r="AE37" s="560">
        <v>0</v>
      </c>
      <c r="AF37" s="560">
        <v>0</v>
      </c>
    </row>
    <row r="38" spans="1:32">
      <c r="A38" s="391"/>
      <c r="B38" s="391"/>
      <c r="C38" s="391" t="s">
        <v>72</v>
      </c>
      <c r="D38" s="560">
        <v>0</v>
      </c>
      <c r="E38" s="560">
        <v>0</v>
      </c>
      <c r="F38" s="560">
        <v>0</v>
      </c>
      <c r="G38" s="560">
        <v>0</v>
      </c>
      <c r="H38" s="560">
        <v>0</v>
      </c>
      <c r="I38" s="560">
        <v>0</v>
      </c>
      <c r="J38" s="560">
        <v>0</v>
      </c>
      <c r="K38" s="560">
        <v>0</v>
      </c>
      <c r="L38" s="560">
        <v>0</v>
      </c>
      <c r="M38" s="560">
        <v>0</v>
      </c>
      <c r="N38" s="560">
        <v>0</v>
      </c>
      <c r="O38" s="560">
        <v>0</v>
      </c>
      <c r="P38" s="560">
        <v>0</v>
      </c>
      <c r="Q38" s="391"/>
      <c r="R38" s="391"/>
      <c r="S38" s="391" t="s">
        <v>75</v>
      </c>
      <c r="T38" s="560">
        <v>165000</v>
      </c>
      <c r="U38" s="560">
        <v>110000</v>
      </c>
      <c r="V38" s="560">
        <v>160000</v>
      </c>
      <c r="W38" s="560">
        <v>210000</v>
      </c>
      <c r="X38" s="560">
        <v>260000</v>
      </c>
      <c r="Y38" s="560">
        <v>250000</v>
      </c>
      <c r="Z38" s="560">
        <v>300000</v>
      </c>
      <c r="AA38" s="560">
        <v>350000</v>
      </c>
      <c r="AB38" s="560">
        <v>400000</v>
      </c>
      <c r="AC38" s="560">
        <v>0</v>
      </c>
      <c r="AD38" s="560">
        <v>0</v>
      </c>
      <c r="AE38" s="560">
        <v>0</v>
      </c>
      <c r="AF38" s="560">
        <v>0</v>
      </c>
    </row>
    <row r="39" spans="1:32">
      <c r="A39" s="391"/>
      <c r="B39" s="391"/>
      <c r="C39" s="391" t="s">
        <v>74</v>
      </c>
      <c r="D39" s="560">
        <v>5901897</v>
      </c>
      <c r="E39" s="560">
        <v>1552395</v>
      </c>
      <c r="F39" s="560">
        <v>5774147</v>
      </c>
      <c r="G39" s="560">
        <v>6091618</v>
      </c>
      <c r="H39" s="560">
        <v>5708718</v>
      </c>
      <c r="I39" s="560">
        <v>5350543</v>
      </c>
      <c r="J39" s="560">
        <v>5342211</v>
      </c>
      <c r="K39" s="560">
        <v>8303755</v>
      </c>
      <c r="L39" s="560">
        <v>6057168</v>
      </c>
      <c r="M39" s="560">
        <v>0</v>
      </c>
      <c r="N39" s="560">
        <v>0</v>
      </c>
      <c r="O39" s="560">
        <v>0</v>
      </c>
      <c r="P39" s="560">
        <v>0</v>
      </c>
      <c r="Q39" s="391"/>
      <c r="R39" s="391"/>
      <c r="S39" s="391" t="s">
        <v>77</v>
      </c>
      <c r="T39" s="560">
        <v>9977657</v>
      </c>
      <c r="U39" s="560">
        <v>1232500</v>
      </c>
      <c r="V39" s="560">
        <v>2536000</v>
      </c>
      <c r="W39" s="560">
        <v>3790300</v>
      </c>
      <c r="X39" s="560">
        <v>5051900</v>
      </c>
      <c r="Y39" s="560">
        <v>6336500</v>
      </c>
      <c r="Z39" s="560">
        <v>7634900</v>
      </c>
      <c r="AA39" s="560">
        <v>8948000</v>
      </c>
      <c r="AB39" s="560">
        <v>10264000</v>
      </c>
      <c r="AC39" s="560">
        <v>0</v>
      </c>
      <c r="AD39" s="560">
        <v>0</v>
      </c>
      <c r="AE39" s="560">
        <v>0</v>
      </c>
      <c r="AF39" s="560">
        <v>0</v>
      </c>
    </row>
    <row r="40" spans="1:32">
      <c r="A40" s="391"/>
      <c r="B40" s="391"/>
      <c r="C40" s="391" t="s">
        <v>76</v>
      </c>
      <c r="D40" s="560">
        <v>0</v>
      </c>
      <c r="E40" s="560">
        <v>0</v>
      </c>
      <c r="F40" s="560">
        <v>0</v>
      </c>
      <c r="G40" s="560">
        <v>0</v>
      </c>
      <c r="H40" s="560">
        <v>0</v>
      </c>
      <c r="I40" s="560">
        <v>0</v>
      </c>
      <c r="J40" s="560">
        <v>0</v>
      </c>
      <c r="K40" s="560">
        <v>0</v>
      </c>
      <c r="L40" s="560">
        <v>0</v>
      </c>
      <c r="M40" s="560">
        <v>0</v>
      </c>
      <c r="N40" s="560">
        <v>0</v>
      </c>
      <c r="O40" s="560">
        <v>0</v>
      </c>
      <c r="P40" s="560">
        <v>0</v>
      </c>
      <c r="Q40" s="391"/>
      <c r="R40" s="391"/>
      <c r="S40" s="391" t="s">
        <v>79</v>
      </c>
      <c r="T40" s="560">
        <v>799968</v>
      </c>
      <c r="U40" s="560">
        <v>797776</v>
      </c>
      <c r="V40" s="560">
        <v>818236</v>
      </c>
      <c r="W40" s="560">
        <v>838586</v>
      </c>
      <c r="X40" s="560">
        <v>836825</v>
      </c>
      <c r="Y40" s="560">
        <v>840056</v>
      </c>
      <c r="Z40" s="560">
        <v>843879</v>
      </c>
      <c r="AA40" s="560">
        <v>853103</v>
      </c>
      <c r="AB40" s="560">
        <v>862996</v>
      </c>
      <c r="AC40" s="560">
        <v>0</v>
      </c>
      <c r="AD40" s="560">
        <v>0</v>
      </c>
      <c r="AE40" s="560">
        <v>0</v>
      </c>
      <c r="AF40" s="560">
        <v>0</v>
      </c>
    </row>
    <row r="41" spans="1:32">
      <c r="A41" s="391"/>
      <c r="B41" s="391"/>
      <c r="C41" s="391" t="s">
        <v>78</v>
      </c>
      <c r="D41" s="560">
        <v>0</v>
      </c>
      <c r="E41" s="560">
        <v>0</v>
      </c>
      <c r="F41" s="560">
        <v>0</v>
      </c>
      <c r="G41" s="560">
        <v>0</v>
      </c>
      <c r="H41" s="560">
        <v>0</v>
      </c>
      <c r="I41" s="560">
        <v>0</v>
      </c>
      <c r="J41" s="560">
        <v>0</v>
      </c>
      <c r="K41" s="560">
        <v>0</v>
      </c>
      <c r="L41" s="560">
        <v>0</v>
      </c>
      <c r="M41" s="560">
        <v>0</v>
      </c>
      <c r="N41" s="560">
        <v>0</v>
      </c>
      <c r="O41" s="560">
        <v>0</v>
      </c>
      <c r="P41" s="560">
        <v>0</v>
      </c>
      <c r="Q41" s="391"/>
      <c r="R41" s="391"/>
      <c r="S41" s="391" t="s">
        <v>81</v>
      </c>
      <c r="T41" s="560">
        <v>81975</v>
      </c>
      <c r="U41" s="560">
        <v>100000</v>
      </c>
      <c r="V41" s="560">
        <v>40000</v>
      </c>
      <c r="W41" s="560">
        <v>80000</v>
      </c>
      <c r="X41" s="560">
        <v>61528</v>
      </c>
      <c r="Y41" s="560">
        <v>168828</v>
      </c>
      <c r="Z41" s="560">
        <v>50552</v>
      </c>
      <c r="AA41" s="560">
        <v>117660</v>
      </c>
      <c r="AB41" s="560">
        <v>109171</v>
      </c>
      <c r="AC41" s="560">
        <v>0</v>
      </c>
      <c r="AD41" s="560">
        <v>0</v>
      </c>
      <c r="AE41" s="560">
        <v>0</v>
      </c>
      <c r="AF41" s="560">
        <v>0</v>
      </c>
    </row>
    <row r="42" spans="1:32">
      <c r="A42" s="391"/>
      <c r="B42" s="391"/>
      <c r="C42" s="391" t="s">
        <v>80</v>
      </c>
      <c r="D42" s="560">
        <v>0</v>
      </c>
      <c r="E42" s="560">
        <v>0</v>
      </c>
      <c r="F42" s="560">
        <v>0</v>
      </c>
      <c r="G42" s="560">
        <v>0</v>
      </c>
      <c r="H42" s="560">
        <v>0</v>
      </c>
      <c r="I42" s="560">
        <v>0</v>
      </c>
      <c r="J42" s="560">
        <v>0</v>
      </c>
      <c r="K42" s="560">
        <v>0</v>
      </c>
      <c r="L42" s="560">
        <v>0</v>
      </c>
      <c r="M42" s="560">
        <v>0</v>
      </c>
      <c r="N42" s="560">
        <v>0</v>
      </c>
      <c r="O42" s="560">
        <v>0</v>
      </c>
      <c r="P42" s="560">
        <v>0</v>
      </c>
      <c r="Q42" s="391"/>
      <c r="R42" s="391"/>
      <c r="S42" s="391" t="s">
        <v>83</v>
      </c>
      <c r="T42" s="560">
        <v>2303010</v>
      </c>
      <c r="U42" s="560">
        <v>3704751</v>
      </c>
      <c r="V42" s="560">
        <v>2435871</v>
      </c>
      <c r="W42" s="560">
        <v>1681136</v>
      </c>
      <c r="X42" s="560">
        <v>2397415</v>
      </c>
      <c r="Y42" s="560">
        <v>4454529</v>
      </c>
      <c r="Z42" s="560">
        <v>1674643</v>
      </c>
      <c r="AA42" s="560">
        <v>1887508</v>
      </c>
      <c r="AB42" s="560">
        <v>3803234</v>
      </c>
      <c r="AC42" s="560">
        <v>0</v>
      </c>
      <c r="AD42" s="560">
        <v>0</v>
      </c>
      <c r="AE42" s="560">
        <v>0</v>
      </c>
      <c r="AF42" s="560">
        <v>0</v>
      </c>
    </row>
    <row r="43" spans="1:32">
      <c r="A43" s="391"/>
      <c r="B43" s="391"/>
      <c r="C43" s="391" t="s">
        <v>82</v>
      </c>
      <c r="D43" s="560">
        <v>0</v>
      </c>
      <c r="E43" s="560">
        <v>0</v>
      </c>
      <c r="F43" s="560">
        <v>0</v>
      </c>
      <c r="G43" s="560">
        <v>0</v>
      </c>
      <c r="H43" s="560">
        <v>0</v>
      </c>
      <c r="I43" s="560">
        <v>0</v>
      </c>
      <c r="J43" s="560">
        <v>0</v>
      </c>
      <c r="K43" s="560">
        <v>0</v>
      </c>
      <c r="L43" s="560">
        <v>0</v>
      </c>
      <c r="M43" s="560">
        <v>0</v>
      </c>
      <c r="N43" s="560">
        <v>0</v>
      </c>
      <c r="O43" s="560">
        <v>0</v>
      </c>
      <c r="P43" s="560">
        <v>0</v>
      </c>
      <c r="Q43" s="391"/>
      <c r="R43" s="391"/>
      <c r="S43" s="391" t="s">
        <v>85</v>
      </c>
      <c r="T43" s="560">
        <v>0</v>
      </c>
      <c r="U43" s="560">
        <v>0</v>
      </c>
      <c r="V43" s="560">
        <v>0</v>
      </c>
      <c r="W43" s="560">
        <v>0</v>
      </c>
      <c r="X43" s="560">
        <v>0</v>
      </c>
      <c r="Y43" s="560">
        <v>0</v>
      </c>
      <c r="Z43" s="560">
        <v>0</v>
      </c>
      <c r="AA43" s="560">
        <v>0</v>
      </c>
      <c r="AB43" s="560">
        <v>0</v>
      </c>
      <c r="AC43" s="560">
        <v>0</v>
      </c>
      <c r="AD43" s="560">
        <v>0</v>
      </c>
      <c r="AE43" s="560">
        <v>0</v>
      </c>
      <c r="AF43" s="560">
        <v>0</v>
      </c>
    </row>
    <row r="44" spans="1:32">
      <c r="A44" s="391"/>
      <c r="B44" s="391"/>
      <c r="C44" s="391" t="s">
        <v>84</v>
      </c>
      <c r="D44" s="560">
        <v>0</v>
      </c>
      <c r="E44" s="560">
        <v>0</v>
      </c>
      <c r="F44" s="560">
        <v>0</v>
      </c>
      <c r="G44" s="560">
        <v>0</v>
      </c>
      <c r="H44" s="560">
        <v>0</v>
      </c>
      <c r="I44" s="560">
        <v>0</v>
      </c>
      <c r="J44" s="560">
        <v>0</v>
      </c>
      <c r="K44" s="560">
        <v>0</v>
      </c>
      <c r="L44" s="560">
        <v>0</v>
      </c>
      <c r="M44" s="560">
        <v>0</v>
      </c>
      <c r="N44" s="560">
        <v>0</v>
      </c>
      <c r="O44" s="560">
        <v>0</v>
      </c>
      <c r="P44" s="560">
        <v>0</v>
      </c>
      <c r="Q44" s="391"/>
      <c r="R44" s="391"/>
      <c r="S44" s="391" t="s">
        <v>87</v>
      </c>
      <c r="T44" s="560">
        <v>0</v>
      </c>
      <c r="U44" s="560">
        <v>0</v>
      </c>
      <c r="V44" s="560">
        <v>0</v>
      </c>
      <c r="W44" s="560">
        <v>0</v>
      </c>
      <c r="X44" s="560">
        <v>0</v>
      </c>
      <c r="Y44" s="560">
        <v>0</v>
      </c>
      <c r="Z44" s="560">
        <v>0</v>
      </c>
      <c r="AA44" s="560">
        <v>0</v>
      </c>
      <c r="AB44" s="560">
        <v>0</v>
      </c>
      <c r="AC44" s="560">
        <v>0</v>
      </c>
      <c r="AD44" s="560">
        <v>0</v>
      </c>
      <c r="AE44" s="560">
        <v>0</v>
      </c>
      <c r="AF44" s="560">
        <v>0</v>
      </c>
    </row>
    <row r="45" spans="1:32">
      <c r="A45" s="391"/>
      <c r="B45" s="391"/>
      <c r="C45" s="391" t="s">
        <v>86</v>
      </c>
      <c r="D45" s="560">
        <v>0</v>
      </c>
      <c r="E45" s="560">
        <v>0</v>
      </c>
      <c r="F45" s="560">
        <v>0</v>
      </c>
      <c r="G45" s="560">
        <v>0</v>
      </c>
      <c r="H45" s="560">
        <v>0</v>
      </c>
      <c r="I45" s="560">
        <v>0</v>
      </c>
      <c r="J45" s="560">
        <v>0</v>
      </c>
      <c r="K45" s="560">
        <v>0</v>
      </c>
      <c r="L45" s="560">
        <v>0</v>
      </c>
      <c r="M45" s="560">
        <v>0</v>
      </c>
      <c r="N45" s="560">
        <v>0</v>
      </c>
      <c r="O45" s="560">
        <v>0</v>
      </c>
      <c r="P45" s="560">
        <v>0</v>
      </c>
      <c r="Q45" s="391"/>
      <c r="R45" s="391"/>
      <c r="S45" s="391" t="s">
        <v>89</v>
      </c>
      <c r="T45" s="560">
        <v>0</v>
      </c>
      <c r="U45" s="560">
        <v>0</v>
      </c>
      <c r="V45" s="560">
        <v>0</v>
      </c>
      <c r="W45" s="560">
        <v>0</v>
      </c>
      <c r="X45" s="560">
        <v>0</v>
      </c>
      <c r="Y45" s="560">
        <v>0</v>
      </c>
      <c r="Z45" s="560">
        <v>0</v>
      </c>
      <c r="AA45" s="560">
        <v>0</v>
      </c>
      <c r="AB45" s="560">
        <v>0</v>
      </c>
      <c r="AC45" s="560">
        <v>0</v>
      </c>
      <c r="AD45" s="560">
        <v>0</v>
      </c>
      <c r="AE45" s="560">
        <v>0</v>
      </c>
      <c r="AF45" s="560">
        <v>0</v>
      </c>
    </row>
    <row r="46" spans="1:32">
      <c r="A46" s="391"/>
      <c r="B46" s="391"/>
      <c r="C46" s="391" t="s">
        <v>88</v>
      </c>
      <c r="D46" s="560">
        <v>0</v>
      </c>
      <c r="E46" s="560">
        <v>0</v>
      </c>
      <c r="F46" s="560">
        <v>0</v>
      </c>
      <c r="G46" s="560">
        <v>0</v>
      </c>
      <c r="H46" s="560">
        <v>0</v>
      </c>
      <c r="I46" s="560">
        <v>0</v>
      </c>
      <c r="J46" s="560">
        <v>0</v>
      </c>
      <c r="K46" s="560">
        <v>0</v>
      </c>
      <c r="L46" s="560">
        <v>0</v>
      </c>
      <c r="M46" s="560">
        <v>0</v>
      </c>
      <c r="N46" s="560">
        <v>0</v>
      </c>
      <c r="O46" s="560">
        <v>0</v>
      </c>
      <c r="P46" s="560">
        <v>0</v>
      </c>
      <c r="Q46" s="391"/>
      <c r="R46" s="391"/>
      <c r="S46" s="391" t="s">
        <v>90</v>
      </c>
      <c r="T46" s="560">
        <v>0</v>
      </c>
      <c r="U46" s="560">
        <v>0</v>
      </c>
      <c r="V46" s="560">
        <v>0</v>
      </c>
      <c r="W46" s="560">
        <v>0</v>
      </c>
      <c r="X46" s="560">
        <v>0</v>
      </c>
      <c r="Y46" s="560">
        <v>0</v>
      </c>
      <c r="Z46" s="560">
        <v>0</v>
      </c>
      <c r="AA46" s="560">
        <v>0</v>
      </c>
      <c r="AB46" s="560">
        <v>0</v>
      </c>
      <c r="AC46" s="560">
        <v>0</v>
      </c>
      <c r="AD46" s="560">
        <v>0</v>
      </c>
      <c r="AE46" s="560">
        <v>0</v>
      </c>
      <c r="AF46" s="560">
        <v>0</v>
      </c>
    </row>
    <row r="47" spans="1:32">
      <c r="A47" s="391"/>
      <c r="B47" s="391"/>
      <c r="C47" s="391" t="s">
        <v>883</v>
      </c>
      <c r="D47" s="560">
        <v>0</v>
      </c>
      <c r="E47" s="560">
        <v>0</v>
      </c>
      <c r="F47" s="560">
        <v>0</v>
      </c>
      <c r="G47" s="560">
        <v>0</v>
      </c>
      <c r="H47" s="560">
        <v>0</v>
      </c>
      <c r="I47" s="560">
        <v>0</v>
      </c>
      <c r="J47" s="560">
        <v>0</v>
      </c>
      <c r="K47" s="560">
        <v>0</v>
      </c>
      <c r="L47" s="560">
        <v>0</v>
      </c>
      <c r="M47" s="560">
        <v>0</v>
      </c>
      <c r="N47" s="560">
        <v>0</v>
      </c>
      <c r="O47" s="560">
        <v>0</v>
      </c>
      <c r="P47" s="560">
        <v>0</v>
      </c>
      <c r="Q47" s="391"/>
      <c r="R47" s="391"/>
      <c r="S47" s="391" t="s">
        <v>92</v>
      </c>
      <c r="T47" s="560">
        <v>0</v>
      </c>
      <c r="U47" s="560">
        <v>0</v>
      </c>
      <c r="V47" s="560">
        <v>0</v>
      </c>
      <c r="W47" s="560">
        <v>0</v>
      </c>
      <c r="X47" s="560">
        <v>0</v>
      </c>
      <c r="Y47" s="560">
        <v>0</v>
      </c>
      <c r="Z47" s="560">
        <v>0</v>
      </c>
      <c r="AA47" s="560">
        <v>0</v>
      </c>
      <c r="AB47" s="560">
        <v>0</v>
      </c>
      <c r="AC47" s="560">
        <v>0</v>
      </c>
      <c r="AD47" s="560">
        <v>0</v>
      </c>
      <c r="AE47" s="560">
        <v>0</v>
      </c>
      <c r="AF47" s="560">
        <v>0</v>
      </c>
    </row>
    <row r="48" spans="1:32">
      <c r="A48" s="391"/>
      <c r="B48" s="391"/>
      <c r="C48" s="391" t="s">
        <v>91</v>
      </c>
      <c r="D48" s="560">
        <v>0</v>
      </c>
      <c r="E48" s="560">
        <v>0</v>
      </c>
      <c r="F48" s="560">
        <v>0</v>
      </c>
      <c r="G48" s="560">
        <v>0</v>
      </c>
      <c r="H48" s="560">
        <v>0</v>
      </c>
      <c r="I48" s="560">
        <v>0</v>
      </c>
      <c r="J48" s="560">
        <v>0</v>
      </c>
      <c r="K48" s="560">
        <v>0</v>
      </c>
      <c r="L48" s="560">
        <v>0</v>
      </c>
      <c r="M48" s="560">
        <v>0</v>
      </c>
      <c r="N48" s="560">
        <v>0</v>
      </c>
      <c r="O48" s="560">
        <v>0</v>
      </c>
      <c r="P48" s="560">
        <v>0</v>
      </c>
      <c r="Q48" s="391"/>
      <c r="R48" s="391"/>
      <c r="S48" s="391" t="s">
        <v>94</v>
      </c>
      <c r="T48" s="560">
        <v>0</v>
      </c>
      <c r="U48" s="560">
        <v>0</v>
      </c>
      <c r="V48" s="560">
        <v>0</v>
      </c>
      <c r="W48" s="560">
        <v>0</v>
      </c>
      <c r="X48" s="560">
        <v>0</v>
      </c>
      <c r="Y48" s="560">
        <v>0</v>
      </c>
      <c r="Z48" s="560">
        <v>0</v>
      </c>
      <c r="AA48" s="560">
        <v>0</v>
      </c>
      <c r="AB48" s="560">
        <v>0</v>
      </c>
      <c r="AC48" s="560">
        <v>0</v>
      </c>
      <c r="AD48" s="560">
        <v>0</v>
      </c>
      <c r="AE48" s="560">
        <v>0</v>
      </c>
      <c r="AF48" s="560">
        <v>0</v>
      </c>
    </row>
    <row r="49" spans="1:32">
      <c r="A49" s="391"/>
      <c r="B49" s="391"/>
      <c r="C49" s="391" t="s">
        <v>93</v>
      </c>
      <c r="D49" s="560">
        <v>0</v>
      </c>
      <c r="E49" s="560">
        <v>0</v>
      </c>
      <c r="F49" s="560">
        <v>0</v>
      </c>
      <c r="G49" s="560">
        <v>0</v>
      </c>
      <c r="H49" s="560">
        <v>0</v>
      </c>
      <c r="I49" s="560">
        <v>0</v>
      </c>
      <c r="J49" s="560">
        <v>0</v>
      </c>
      <c r="K49" s="560">
        <v>0</v>
      </c>
      <c r="L49" s="560">
        <v>0</v>
      </c>
      <c r="M49" s="560">
        <v>0</v>
      </c>
      <c r="N49" s="560">
        <v>0</v>
      </c>
      <c r="O49" s="560">
        <v>0</v>
      </c>
      <c r="P49" s="560">
        <v>0</v>
      </c>
      <c r="Q49" s="391"/>
      <c r="R49" s="391"/>
      <c r="S49" s="391" t="s">
        <v>96</v>
      </c>
      <c r="T49" s="560">
        <v>609876.88</v>
      </c>
      <c r="U49" s="560">
        <v>303323.88</v>
      </c>
      <c r="V49" s="560">
        <v>631465.88</v>
      </c>
      <c r="W49" s="560">
        <v>257795.88</v>
      </c>
      <c r="X49" s="560">
        <v>435997.88</v>
      </c>
      <c r="Y49" s="560">
        <v>246806.88</v>
      </c>
      <c r="Z49" s="560">
        <v>751326.88</v>
      </c>
      <c r="AA49" s="560">
        <v>407678.88</v>
      </c>
      <c r="AB49" s="560">
        <v>826232.88</v>
      </c>
      <c r="AC49" s="560">
        <v>0</v>
      </c>
      <c r="AD49" s="560">
        <v>0</v>
      </c>
      <c r="AE49" s="560">
        <v>0</v>
      </c>
      <c r="AF49" s="560">
        <v>0</v>
      </c>
    </row>
    <row r="50" spans="1:32">
      <c r="A50" s="391"/>
      <c r="B50" s="391"/>
      <c r="C50" s="391" t="s">
        <v>95</v>
      </c>
      <c r="D50" s="560">
        <v>0</v>
      </c>
      <c r="E50" s="560">
        <v>0</v>
      </c>
      <c r="F50" s="560">
        <v>0</v>
      </c>
      <c r="G50" s="560">
        <v>0</v>
      </c>
      <c r="H50" s="560">
        <v>0</v>
      </c>
      <c r="I50" s="560">
        <v>0</v>
      </c>
      <c r="J50" s="560">
        <v>0</v>
      </c>
      <c r="K50" s="560">
        <v>0</v>
      </c>
      <c r="L50" s="560">
        <v>0</v>
      </c>
      <c r="M50" s="560">
        <v>0</v>
      </c>
      <c r="N50" s="560">
        <v>0</v>
      </c>
      <c r="O50" s="560">
        <v>0</v>
      </c>
      <c r="P50" s="560">
        <v>0</v>
      </c>
      <c r="Q50" s="391"/>
      <c r="R50" s="391"/>
      <c r="S50" s="391" t="s">
        <v>98</v>
      </c>
      <c r="T50" s="560">
        <v>609876.88</v>
      </c>
      <c r="U50" s="560">
        <v>303323.88</v>
      </c>
      <c r="V50" s="560">
        <v>631465.88</v>
      </c>
      <c r="W50" s="560">
        <v>257795.88</v>
      </c>
      <c r="X50" s="560">
        <v>435997.88</v>
      </c>
      <c r="Y50" s="560">
        <v>246806.88</v>
      </c>
      <c r="Z50" s="560">
        <v>751326.88</v>
      </c>
      <c r="AA50" s="560">
        <v>407678.88</v>
      </c>
      <c r="AB50" s="560">
        <v>826232.88</v>
      </c>
      <c r="AC50" s="560">
        <v>0</v>
      </c>
      <c r="AD50" s="560">
        <v>0</v>
      </c>
      <c r="AE50" s="560">
        <v>0</v>
      </c>
      <c r="AF50" s="560">
        <v>0</v>
      </c>
    </row>
    <row r="51" spans="1:32">
      <c r="A51" s="391"/>
      <c r="B51" s="391"/>
      <c r="C51" s="391" t="s">
        <v>97</v>
      </c>
      <c r="D51" s="560">
        <v>0</v>
      </c>
      <c r="E51" s="560">
        <v>0</v>
      </c>
      <c r="F51" s="560">
        <v>0</v>
      </c>
      <c r="G51" s="560">
        <v>0</v>
      </c>
      <c r="H51" s="560">
        <v>0</v>
      </c>
      <c r="I51" s="560">
        <v>0</v>
      </c>
      <c r="J51" s="560">
        <v>0</v>
      </c>
      <c r="K51" s="560">
        <v>0</v>
      </c>
      <c r="L51" s="560">
        <v>0</v>
      </c>
      <c r="M51" s="560">
        <v>0</v>
      </c>
      <c r="N51" s="560">
        <v>0</v>
      </c>
      <c r="O51" s="560">
        <v>0</v>
      </c>
      <c r="P51" s="560">
        <v>0</v>
      </c>
      <c r="Q51" s="391"/>
      <c r="R51" s="391"/>
      <c r="S51" s="391" t="s">
        <v>100</v>
      </c>
      <c r="T51" s="560">
        <v>0</v>
      </c>
      <c r="U51" s="560">
        <v>0</v>
      </c>
      <c r="V51" s="560">
        <v>0</v>
      </c>
      <c r="W51" s="560">
        <v>0</v>
      </c>
      <c r="X51" s="560">
        <v>0</v>
      </c>
      <c r="Y51" s="560">
        <v>0</v>
      </c>
      <c r="Z51" s="560">
        <v>0</v>
      </c>
      <c r="AA51" s="560">
        <v>0</v>
      </c>
      <c r="AB51" s="560">
        <v>0</v>
      </c>
      <c r="AC51" s="560">
        <v>0</v>
      </c>
      <c r="AD51" s="560">
        <v>0</v>
      </c>
      <c r="AE51" s="560">
        <v>0</v>
      </c>
      <c r="AF51" s="560">
        <v>0</v>
      </c>
    </row>
    <row r="52" spans="1:32">
      <c r="A52" s="391"/>
      <c r="B52" s="391"/>
      <c r="C52" s="391" t="s">
        <v>99</v>
      </c>
      <c r="D52" s="560">
        <v>0</v>
      </c>
      <c r="E52" s="560">
        <v>0</v>
      </c>
      <c r="F52" s="560">
        <v>0</v>
      </c>
      <c r="G52" s="560">
        <v>0</v>
      </c>
      <c r="H52" s="560">
        <v>0</v>
      </c>
      <c r="I52" s="560">
        <v>0</v>
      </c>
      <c r="J52" s="560">
        <v>0</v>
      </c>
      <c r="K52" s="560">
        <v>0</v>
      </c>
      <c r="L52" s="560">
        <v>0</v>
      </c>
      <c r="M52" s="560">
        <v>0</v>
      </c>
      <c r="N52" s="560">
        <v>0</v>
      </c>
      <c r="O52" s="560">
        <v>0</v>
      </c>
      <c r="P52" s="560">
        <v>0</v>
      </c>
      <c r="Q52" s="391"/>
      <c r="R52" s="391"/>
      <c r="S52" s="391" t="s">
        <v>102</v>
      </c>
      <c r="T52" s="560">
        <v>0</v>
      </c>
      <c r="U52" s="560">
        <v>0</v>
      </c>
      <c r="V52" s="560">
        <v>0</v>
      </c>
      <c r="W52" s="560">
        <v>0</v>
      </c>
      <c r="X52" s="560">
        <v>0</v>
      </c>
      <c r="Y52" s="560">
        <v>0</v>
      </c>
      <c r="Z52" s="560">
        <v>0</v>
      </c>
      <c r="AA52" s="560">
        <v>0</v>
      </c>
      <c r="AB52" s="560">
        <v>0</v>
      </c>
      <c r="AC52" s="560">
        <v>0</v>
      </c>
      <c r="AD52" s="560">
        <v>0</v>
      </c>
      <c r="AE52" s="560">
        <v>0</v>
      </c>
      <c r="AF52" s="560">
        <v>0</v>
      </c>
    </row>
    <row r="53" spans="1:32">
      <c r="A53" s="391"/>
      <c r="B53" s="391"/>
      <c r="C53" s="391" t="s">
        <v>101</v>
      </c>
      <c r="D53" s="560">
        <v>17279027</v>
      </c>
      <c r="E53" s="560">
        <v>23685997</v>
      </c>
      <c r="F53" s="560">
        <v>34665321</v>
      </c>
      <c r="G53" s="560">
        <v>1571523</v>
      </c>
      <c r="H53" s="560">
        <v>20164456</v>
      </c>
      <c r="I53" s="560">
        <v>6334552</v>
      </c>
      <c r="J53" s="560">
        <v>320211</v>
      </c>
      <c r="K53" s="560">
        <v>2285660</v>
      </c>
      <c r="L53" s="560">
        <v>1081791</v>
      </c>
      <c r="M53" s="560">
        <v>0</v>
      </c>
      <c r="N53" s="560">
        <v>0</v>
      </c>
      <c r="O53" s="560">
        <v>0</v>
      </c>
      <c r="P53" s="560">
        <v>0</v>
      </c>
      <c r="Q53" s="391"/>
      <c r="R53" s="391"/>
      <c r="S53" s="391" t="s">
        <v>104</v>
      </c>
      <c r="T53" s="560">
        <v>0</v>
      </c>
      <c r="U53" s="560">
        <v>0</v>
      </c>
      <c r="V53" s="560">
        <v>0</v>
      </c>
      <c r="W53" s="560">
        <v>0</v>
      </c>
      <c r="X53" s="560">
        <v>0</v>
      </c>
      <c r="Y53" s="560">
        <v>0</v>
      </c>
      <c r="Z53" s="560">
        <v>0</v>
      </c>
      <c r="AA53" s="560">
        <v>0</v>
      </c>
      <c r="AB53" s="560">
        <v>0</v>
      </c>
      <c r="AC53" s="560">
        <v>0</v>
      </c>
      <c r="AD53" s="560">
        <v>0</v>
      </c>
      <c r="AE53" s="560">
        <v>0</v>
      </c>
      <c r="AF53" s="560">
        <v>0</v>
      </c>
    </row>
    <row r="54" spans="1:32">
      <c r="A54" s="391"/>
      <c r="B54" s="391"/>
      <c r="C54" s="391" t="s">
        <v>103</v>
      </c>
      <c r="D54" s="560">
        <v>0</v>
      </c>
      <c r="E54" s="560">
        <v>0</v>
      </c>
      <c r="F54" s="560">
        <v>0</v>
      </c>
      <c r="G54" s="560">
        <v>0</v>
      </c>
      <c r="H54" s="560">
        <v>0</v>
      </c>
      <c r="I54" s="560">
        <v>0</v>
      </c>
      <c r="J54" s="560">
        <v>0</v>
      </c>
      <c r="K54" s="560">
        <v>0</v>
      </c>
      <c r="L54" s="560">
        <v>0</v>
      </c>
      <c r="M54" s="560">
        <v>0</v>
      </c>
      <c r="N54" s="560">
        <v>0</v>
      </c>
      <c r="O54" s="560">
        <v>0</v>
      </c>
      <c r="P54" s="560">
        <v>0</v>
      </c>
      <c r="Q54" s="391"/>
      <c r="R54" s="391"/>
      <c r="S54" s="391" t="s">
        <v>106</v>
      </c>
      <c r="T54" s="560">
        <v>0</v>
      </c>
      <c r="U54" s="560">
        <v>0</v>
      </c>
      <c r="V54" s="560">
        <v>0</v>
      </c>
      <c r="W54" s="560">
        <v>0</v>
      </c>
      <c r="X54" s="560">
        <v>0</v>
      </c>
      <c r="Y54" s="560">
        <v>0</v>
      </c>
      <c r="Z54" s="560">
        <v>0</v>
      </c>
      <c r="AA54" s="560">
        <v>0</v>
      </c>
      <c r="AB54" s="560">
        <v>0</v>
      </c>
      <c r="AC54" s="560">
        <v>0</v>
      </c>
      <c r="AD54" s="560">
        <v>0</v>
      </c>
      <c r="AE54" s="560">
        <v>0</v>
      </c>
      <c r="AF54" s="560">
        <v>0</v>
      </c>
    </row>
    <row r="55" spans="1:32">
      <c r="A55" s="391"/>
      <c r="B55" s="391"/>
      <c r="C55" s="391" t="s">
        <v>105</v>
      </c>
      <c r="D55" s="560">
        <v>15859598.16</v>
      </c>
      <c r="E55" s="560">
        <v>49511228.159999996</v>
      </c>
      <c r="F55" s="560">
        <v>46008027.159999996</v>
      </c>
      <c r="G55" s="560">
        <v>39858596.159999996</v>
      </c>
      <c r="H55" s="560">
        <v>36713779.159999996</v>
      </c>
      <c r="I55" s="560">
        <v>9671509.1600000001</v>
      </c>
      <c r="J55" s="560">
        <v>6575965.1600000001</v>
      </c>
      <c r="K55" s="560">
        <v>36026613.159999996</v>
      </c>
      <c r="L55" s="560">
        <v>3520890.16</v>
      </c>
      <c r="M55" s="560">
        <v>0</v>
      </c>
      <c r="N55" s="560">
        <v>0</v>
      </c>
      <c r="O55" s="560">
        <v>0</v>
      </c>
      <c r="P55" s="560">
        <v>0</v>
      </c>
      <c r="Q55" s="391"/>
      <c r="R55" s="391"/>
      <c r="S55" s="391" t="s">
        <v>108</v>
      </c>
      <c r="T55" s="560">
        <v>0</v>
      </c>
      <c r="U55" s="560">
        <v>0</v>
      </c>
      <c r="V55" s="560">
        <v>0</v>
      </c>
      <c r="W55" s="560">
        <v>0</v>
      </c>
      <c r="X55" s="560">
        <v>0</v>
      </c>
      <c r="Y55" s="560">
        <v>0</v>
      </c>
      <c r="Z55" s="560">
        <v>0</v>
      </c>
      <c r="AA55" s="560">
        <v>0</v>
      </c>
      <c r="AB55" s="560">
        <v>0</v>
      </c>
      <c r="AC55" s="560">
        <v>0</v>
      </c>
      <c r="AD55" s="560">
        <v>0</v>
      </c>
      <c r="AE55" s="560">
        <v>0</v>
      </c>
      <c r="AF55" s="560">
        <v>0</v>
      </c>
    </row>
    <row r="56" spans="1:32">
      <c r="A56" s="391"/>
      <c r="B56" s="391"/>
      <c r="C56" s="391" t="s">
        <v>107</v>
      </c>
      <c r="D56" s="560">
        <v>433048</v>
      </c>
      <c r="E56" s="560">
        <v>0</v>
      </c>
      <c r="F56" s="560">
        <v>0</v>
      </c>
      <c r="G56" s="560">
        <v>0</v>
      </c>
      <c r="H56" s="560">
        <v>0</v>
      </c>
      <c r="I56" s="560">
        <v>0</v>
      </c>
      <c r="J56" s="560">
        <v>0</v>
      </c>
      <c r="K56" s="560">
        <v>0</v>
      </c>
      <c r="L56" s="560">
        <v>0</v>
      </c>
      <c r="M56" s="560">
        <v>0</v>
      </c>
      <c r="N56" s="560">
        <v>0</v>
      </c>
      <c r="O56" s="560">
        <v>0</v>
      </c>
      <c r="P56" s="560">
        <v>0</v>
      </c>
      <c r="Q56" s="391"/>
      <c r="R56" s="391"/>
      <c r="S56" s="391" t="s">
        <v>110</v>
      </c>
      <c r="T56" s="560">
        <v>0</v>
      </c>
      <c r="U56" s="560">
        <v>340200</v>
      </c>
      <c r="V56" s="560">
        <v>91350</v>
      </c>
      <c r="W56" s="560">
        <v>450450</v>
      </c>
      <c r="X56" s="560">
        <v>1668324</v>
      </c>
      <c r="Y56" s="560">
        <v>546000</v>
      </c>
      <c r="Z56" s="560">
        <v>1013250</v>
      </c>
      <c r="AA56" s="560">
        <v>47250</v>
      </c>
      <c r="AB56" s="560">
        <v>94500</v>
      </c>
      <c r="AC56" s="560">
        <v>0</v>
      </c>
      <c r="AD56" s="560">
        <v>0</v>
      </c>
      <c r="AE56" s="560">
        <v>0</v>
      </c>
      <c r="AF56" s="560">
        <v>0</v>
      </c>
    </row>
    <row r="57" spans="1:32">
      <c r="A57" s="391"/>
      <c r="B57" s="391"/>
      <c r="C57" s="391" t="s">
        <v>109</v>
      </c>
      <c r="D57" s="560">
        <v>0</v>
      </c>
      <c r="E57" s="560">
        <v>0</v>
      </c>
      <c r="F57" s="560">
        <v>0</v>
      </c>
      <c r="G57" s="560">
        <v>0</v>
      </c>
      <c r="H57" s="560">
        <v>0</v>
      </c>
      <c r="I57" s="560">
        <v>0</v>
      </c>
      <c r="J57" s="560">
        <v>0</v>
      </c>
      <c r="K57" s="560">
        <v>0</v>
      </c>
      <c r="L57" s="560">
        <v>0</v>
      </c>
      <c r="M57" s="560">
        <v>0</v>
      </c>
      <c r="N57" s="560">
        <v>0</v>
      </c>
      <c r="O57" s="560">
        <v>0</v>
      </c>
      <c r="P57" s="560">
        <v>0</v>
      </c>
      <c r="Q57" s="391"/>
      <c r="R57" s="391"/>
      <c r="S57" s="391" t="s">
        <v>112</v>
      </c>
      <c r="T57" s="560">
        <v>1274810</v>
      </c>
      <c r="U57" s="560">
        <v>211579</v>
      </c>
      <c r="V57" s="560">
        <v>743306</v>
      </c>
      <c r="W57" s="560">
        <v>1242693</v>
      </c>
      <c r="X57" s="560">
        <v>4779566</v>
      </c>
      <c r="Y57" s="560">
        <v>1382379</v>
      </c>
      <c r="Z57" s="560">
        <v>250690</v>
      </c>
      <c r="AA57" s="560">
        <v>1229067</v>
      </c>
      <c r="AB57" s="560">
        <v>964763</v>
      </c>
      <c r="AC57" s="560">
        <v>0</v>
      </c>
      <c r="AD57" s="560">
        <v>0</v>
      </c>
      <c r="AE57" s="560">
        <v>0</v>
      </c>
      <c r="AF57" s="560">
        <v>0</v>
      </c>
    </row>
    <row r="58" spans="1:32">
      <c r="A58" s="391"/>
      <c r="B58" s="391"/>
      <c r="C58" s="391" t="s">
        <v>111</v>
      </c>
      <c r="D58" s="560">
        <v>0</v>
      </c>
      <c r="E58" s="560">
        <v>0</v>
      </c>
      <c r="F58" s="560">
        <v>0</v>
      </c>
      <c r="G58" s="560">
        <v>0</v>
      </c>
      <c r="H58" s="560">
        <v>0</v>
      </c>
      <c r="I58" s="560">
        <v>0</v>
      </c>
      <c r="J58" s="560">
        <v>0</v>
      </c>
      <c r="K58" s="560">
        <v>0</v>
      </c>
      <c r="L58" s="560">
        <v>0</v>
      </c>
      <c r="M58" s="560">
        <v>0</v>
      </c>
      <c r="N58" s="560">
        <v>0</v>
      </c>
      <c r="O58" s="560">
        <v>0</v>
      </c>
      <c r="P58" s="560">
        <v>0</v>
      </c>
      <c r="Q58" s="391"/>
      <c r="R58" s="391"/>
      <c r="S58" s="391" t="s">
        <v>114</v>
      </c>
      <c r="T58" s="560">
        <v>1242958</v>
      </c>
      <c r="U58" s="560">
        <v>183266</v>
      </c>
      <c r="V58" s="560">
        <v>718532</v>
      </c>
      <c r="W58" s="560">
        <v>1221458</v>
      </c>
      <c r="X58" s="560">
        <v>4761870</v>
      </c>
      <c r="Y58" s="560">
        <v>1368222</v>
      </c>
      <c r="Z58" s="560">
        <v>240072</v>
      </c>
      <c r="AA58" s="560">
        <v>1221988</v>
      </c>
      <c r="AB58" s="560">
        <v>961223</v>
      </c>
      <c r="AC58" s="560">
        <v>0</v>
      </c>
      <c r="AD58" s="560">
        <v>0</v>
      </c>
      <c r="AE58" s="560">
        <v>0</v>
      </c>
      <c r="AF58" s="560">
        <v>0</v>
      </c>
    </row>
    <row r="59" spans="1:32">
      <c r="A59" s="391"/>
      <c r="B59" s="391"/>
      <c r="C59" s="391" t="s">
        <v>113</v>
      </c>
      <c r="D59" s="560">
        <v>0</v>
      </c>
      <c r="E59" s="560">
        <v>0</v>
      </c>
      <c r="F59" s="560">
        <v>0</v>
      </c>
      <c r="G59" s="560">
        <v>0</v>
      </c>
      <c r="H59" s="560">
        <v>0</v>
      </c>
      <c r="I59" s="560">
        <v>0</v>
      </c>
      <c r="J59" s="560">
        <v>0</v>
      </c>
      <c r="K59" s="560">
        <v>0</v>
      </c>
      <c r="L59" s="560">
        <v>0</v>
      </c>
      <c r="M59" s="560">
        <v>0</v>
      </c>
      <c r="N59" s="560">
        <v>0</v>
      </c>
      <c r="O59" s="560">
        <v>0</v>
      </c>
      <c r="P59" s="560">
        <v>0</v>
      </c>
      <c r="Q59" s="391"/>
      <c r="R59" s="391"/>
      <c r="S59" s="391" t="s">
        <v>116</v>
      </c>
      <c r="T59" s="560">
        <v>31852</v>
      </c>
      <c r="U59" s="560">
        <v>28313</v>
      </c>
      <c r="V59" s="560">
        <v>24774</v>
      </c>
      <c r="W59" s="560">
        <v>21235</v>
      </c>
      <c r="X59" s="560">
        <v>17696</v>
      </c>
      <c r="Y59" s="560">
        <v>14157</v>
      </c>
      <c r="Z59" s="560">
        <v>10618</v>
      </c>
      <c r="AA59" s="560">
        <v>7079</v>
      </c>
      <c r="AB59" s="560">
        <v>3540</v>
      </c>
      <c r="AC59" s="560">
        <v>0</v>
      </c>
      <c r="AD59" s="560">
        <v>0</v>
      </c>
      <c r="AE59" s="560">
        <v>0</v>
      </c>
      <c r="AF59" s="560">
        <v>0</v>
      </c>
    </row>
    <row r="60" spans="1:32">
      <c r="A60" s="391"/>
      <c r="B60" s="391"/>
      <c r="C60" s="391" t="s">
        <v>115</v>
      </c>
      <c r="D60" s="560">
        <v>0</v>
      </c>
      <c r="E60" s="560">
        <v>12017777</v>
      </c>
      <c r="F60" s="560">
        <v>12017777</v>
      </c>
      <c r="G60" s="560">
        <v>12017777</v>
      </c>
      <c r="H60" s="560">
        <v>12017777</v>
      </c>
      <c r="I60" s="560">
        <v>12017777</v>
      </c>
      <c r="J60" s="560">
        <v>12022571</v>
      </c>
      <c r="K60" s="560">
        <v>12022571</v>
      </c>
      <c r="L60" s="560">
        <v>12022571</v>
      </c>
      <c r="M60" s="560">
        <v>0</v>
      </c>
      <c r="N60" s="560">
        <v>0</v>
      </c>
      <c r="O60" s="560">
        <v>0</v>
      </c>
      <c r="P60" s="560">
        <v>0</v>
      </c>
      <c r="Q60" s="391"/>
      <c r="R60" s="391"/>
      <c r="S60" s="391" t="s">
        <v>118</v>
      </c>
      <c r="T60" s="560">
        <v>0</v>
      </c>
      <c r="U60" s="560">
        <v>0</v>
      </c>
      <c r="V60" s="560">
        <v>0</v>
      </c>
      <c r="W60" s="560">
        <v>0</v>
      </c>
      <c r="X60" s="560">
        <v>0</v>
      </c>
      <c r="Y60" s="560">
        <v>0</v>
      </c>
      <c r="Z60" s="560">
        <v>0</v>
      </c>
      <c r="AA60" s="560">
        <v>0</v>
      </c>
      <c r="AB60" s="560">
        <v>0</v>
      </c>
      <c r="AC60" s="560">
        <v>0</v>
      </c>
      <c r="AD60" s="560">
        <v>0</v>
      </c>
      <c r="AE60" s="560">
        <v>0</v>
      </c>
      <c r="AF60" s="560">
        <v>0</v>
      </c>
    </row>
    <row r="61" spans="1:32">
      <c r="A61" s="391"/>
      <c r="B61" s="391"/>
      <c r="C61" s="391" t="s">
        <v>117</v>
      </c>
      <c r="D61" s="560">
        <v>0</v>
      </c>
      <c r="E61" s="560">
        <v>0</v>
      </c>
      <c r="F61" s="560">
        <v>0</v>
      </c>
      <c r="G61" s="560">
        <v>0</v>
      </c>
      <c r="H61" s="560">
        <v>0</v>
      </c>
      <c r="I61" s="560">
        <v>0</v>
      </c>
      <c r="J61" s="560">
        <v>0</v>
      </c>
      <c r="K61" s="560">
        <v>0</v>
      </c>
      <c r="L61" s="560">
        <v>0</v>
      </c>
      <c r="M61" s="560">
        <v>0</v>
      </c>
      <c r="N61" s="560">
        <v>0</v>
      </c>
      <c r="O61" s="560">
        <v>0</v>
      </c>
      <c r="P61" s="560">
        <v>0</v>
      </c>
      <c r="Q61" s="391"/>
      <c r="R61" s="391"/>
      <c r="S61" s="391" t="s">
        <v>120</v>
      </c>
      <c r="T61" s="560">
        <v>0</v>
      </c>
      <c r="U61" s="560">
        <v>0</v>
      </c>
      <c r="V61" s="560">
        <v>0</v>
      </c>
      <c r="W61" s="560">
        <v>0</v>
      </c>
      <c r="X61" s="560">
        <v>0</v>
      </c>
      <c r="Y61" s="560">
        <v>0</v>
      </c>
      <c r="Z61" s="560">
        <v>0</v>
      </c>
      <c r="AA61" s="560">
        <v>0</v>
      </c>
      <c r="AB61" s="560">
        <v>0</v>
      </c>
      <c r="AC61" s="560">
        <v>0</v>
      </c>
      <c r="AD61" s="560">
        <v>0</v>
      </c>
      <c r="AE61" s="560">
        <v>0</v>
      </c>
      <c r="AF61" s="560">
        <v>0</v>
      </c>
    </row>
    <row r="62" spans="1:32">
      <c r="A62" s="391"/>
      <c r="B62" s="391"/>
      <c r="C62" s="391" t="s">
        <v>119</v>
      </c>
      <c r="D62" s="560">
        <v>0</v>
      </c>
      <c r="E62" s="560">
        <v>0</v>
      </c>
      <c r="F62" s="560">
        <v>0</v>
      </c>
      <c r="G62" s="560">
        <v>0</v>
      </c>
      <c r="H62" s="560">
        <v>0</v>
      </c>
      <c r="I62" s="560">
        <v>0</v>
      </c>
      <c r="J62" s="560">
        <v>0</v>
      </c>
      <c r="K62" s="560">
        <v>0</v>
      </c>
      <c r="L62" s="560">
        <v>0</v>
      </c>
      <c r="M62" s="560">
        <v>0</v>
      </c>
      <c r="N62" s="560">
        <v>0</v>
      </c>
      <c r="O62" s="560">
        <v>0</v>
      </c>
      <c r="P62" s="560">
        <v>0</v>
      </c>
      <c r="Q62" s="391"/>
      <c r="R62" s="391"/>
      <c r="S62" s="391" t="s">
        <v>122</v>
      </c>
      <c r="T62" s="560">
        <v>0</v>
      </c>
      <c r="U62" s="560">
        <v>0</v>
      </c>
      <c r="V62" s="560">
        <v>0</v>
      </c>
      <c r="W62" s="560">
        <v>0</v>
      </c>
      <c r="X62" s="560">
        <v>0</v>
      </c>
      <c r="Y62" s="560">
        <v>0</v>
      </c>
      <c r="Z62" s="560">
        <v>0</v>
      </c>
      <c r="AA62" s="560">
        <v>0</v>
      </c>
      <c r="AB62" s="560">
        <v>0</v>
      </c>
      <c r="AC62" s="560">
        <v>0</v>
      </c>
      <c r="AD62" s="560">
        <v>0</v>
      </c>
      <c r="AE62" s="560">
        <v>0</v>
      </c>
      <c r="AF62" s="560">
        <v>0</v>
      </c>
    </row>
    <row r="63" spans="1:32">
      <c r="A63" s="391"/>
      <c r="B63" s="391"/>
      <c r="C63" s="391" t="s">
        <v>121</v>
      </c>
      <c r="D63" s="560">
        <v>0</v>
      </c>
      <c r="E63" s="560">
        <v>0</v>
      </c>
      <c r="F63" s="560">
        <v>0</v>
      </c>
      <c r="G63" s="560">
        <v>0</v>
      </c>
      <c r="H63" s="560">
        <v>0</v>
      </c>
      <c r="I63" s="560">
        <v>0</v>
      </c>
      <c r="J63" s="560">
        <v>0</v>
      </c>
      <c r="K63" s="560">
        <v>0</v>
      </c>
      <c r="L63" s="560">
        <v>0</v>
      </c>
      <c r="M63" s="560">
        <v>0</v>
      </c>
      <c r="N63" s="560">
        <v>0</v>
      </c>
      <c r="O63" s="560">
        <v>0</v>
      </c>
      <c r="P63" s="560">
        <v>0</v>
      </c>
      <c r="Q63" s="391"/>
      <c r="R63" s="391"/>
      <c r="S63" s="391" t="s">
        <v>124</v>
      </c>
      <c r="T63" s="560">
        <v>12929274</v>
      </c>
      <c r="U63" s="560">
        <v>13018457</v>
      </c>
      <c r="V63" s="560">
        <v>13657240</v>
      </c>
      <c r="W63" s="560">
        <v>14244816</v>
      </c>
      <c r="X63" s="560">
        <v>14366712</v>
      </c>
      <c r="Y63" s="560">
        <v>14624468</v>
      </c>
      <c r="Z63" s="560">
        <v>14016934</v>
      </c>
      <c r="AA63" s="560">
        <v>15072743</v>
      </c>
      <c r="AB63" s="560">
        <v>15020546</v>
      </c>
      <c r="AC63" s="560">
        <v>0</v>
      </c>
      <c r="AD63" s="560">
        <v>0</v>
      </c>
      <c r="AE63" s="560">
        <v>0</v>
      </c>
      <c r="AF63" s="560">
        <v>0</v>
      </c>
    </row>
    <row r="64" spans="1:32">
      <c r="A64" s="391"/>
      <c r="B64" s="391"/>
      <c r="C64" s="391" t="s">
        <v>123</v>
      </c>
      <c r="D64" s="560">
        <v>0</v>
      </c>
      <c r="E64" s="560">
        <v>0</v>
      </c>
      <c r="F64" s="560">
        <v>0</v>
      </c>
      <c r="G64" s="560">
        <v>0</v>
      </c>
      <c r="H64" s="560">
        <v>0</v>
      </c>
      <c r="I64" s="560">
        <v>0</v>
      </c>
      <c r="J64" s="560">
        <v>0</v>
      </c>
      <c r="K64" s="560">
        <v>0</v>
      </c>
      <c r="L64" s="560">
        <v>0</v>
      </c>
      <c r="M64" s="560">
        <v>0</v>
      </c>
      <c r="N64" s="560">
        <v>0</v>
      </c>
      <c r="O64" s="560">
        <v>0</v>
      </c>
      <c r="P64" s="560">
        <v>0</v>
      </c>
      <c r="Q64" s="391"/>
      <c r="R64" s="391"/>
      <c r="S64" s="391" t="s">
        <v>126</v>
      </c>
      <c r="T64" s="560">
        <v>182936</v>
      </c>
      <c r="U64" s="560">
        <v>273531</v>
      </c>
      <c r="V64" s="560">
        <v>273531</v>
      </c>
      <c r="W64" s="560">
        <v>182936</v>
      </c>
      <c r="X64" s="560">
        <v>182936</v>
      </c>
      <c r="Y64" s="560">
        <v>0</v>
      </c>
      <c r="Z64" s="560">
        <v>25331</v>
      </c>
      <c r="AA64" s="560">
        <v>0</v>
      </c>
      <c r="AB64" s="560">
        <v>0</v>
      </c>
      <c r="AC64" s="560">
        <v>0</v>
      </c>
      <c r="AD64" s="560">
        <v>0</v>
      </c>
      <c r="AE64" s="560">
        <v>0</v>
      </c>
      <c r="AF64" s="560">
        <v>0</v>
      </c>
    </row>
    <row r="65" spans="1:32">
      <c r="A65" s="391"/>
      <c r="B65" s="391"/>
      <c r="C65" s="391" t="s">
        <v>125</v>
      </c>
      <c r="D65" s="560">
        <v>0</v>
      </c>
      <c r="E65" s="560">
        <v>0</v>
      </c>
      <c r="F65" s="560">
        <v>0</v>
      </c>
      <c r="G65" s="560">
        <v>0</v>
      </c>
      <c r="H65" s="560">
        <v>0</v>
      </c>
      <c r="I65" s="560">
        <v>0</v>
      </c>
      <c r="J65" s="560">
        <v>0</v>
      </c>
      <c r="K65" s="560">
        <v>0</v>
      </c>
      <c r="L65" s="560">
        <v>0</v>
      </c>
      <c r="M65" s="560">
        <v>0</v>
      </c>
      <c r="N65" s="560">
        <v>0</v>
      </c>
      <c r="O65" s="560">
        <v>0</v>
      </c>
      <c r="P65" s="560">
        <v>0</v>
      </c>
      <c r="Q65" s="391"/>
      <c r="R65" s="391"/>
      <c r="S65" s="391" t="s">
        <v>128</v>
      </c>
      <c r="T65" s="560">
        <v>1364847</v>
      </c>
      <c r="U65" s="560">
        <v>834550</v>
      </c>
      <c r="V65" s="560">
        <v>991855</v>
      </c>
      <c r="W65" s="560">
        <v>1407845</v>
      </c>
      <c r="X65" s="560">
        <v>1131111</v>
      </c>
      <c r="Y65" s="560">
        <v>1001595</v>
      </c>
      <c r="Z65" s="560">
        <v>1739404</v>
      </c>
      <c r="AA65" s="560">
        <v>1899953</v>
      </c>
      <c r="AB65" s="560">
        <v>1152763</v>
      </c>
      <c r="AC65" s="560">
        <v>0</v>
      </c>
      <c r="AD65" s="560">
        <v>0</v>
      </c>
      <c r="AE65" s="560">
        <v>0</v>
      </c>
      <c r="AF65" s="560">
        <v>0</v>
      </c>
    </row>
    <row r="66" spans="1:32">
      <c r="A66" s="391"/>
      <c r="B66" s="391"/>
      <c r="C66" s="391" t="s">
        <v>127</v>
      </c>
      <c r="D66" s="560">
        <v>0</v>
      </c>
      <c r="E66" s="560">
        <v>0</v>
      </c>
      <c r="F66" s="560">
        <v>0</v>
      </c>
      <c r="G66" s="560">
        <v>0</v>
      </c>
      <c r="H66" s="560">
        <v>0</v>
      </c>
      <c r="I66" s="560">
        <v>0</v>
      </c>
      <c r="J66" s="560">
        <v>0</v>
      </c>
      <c r="K66" s="560">
        <v>0</v>
      </c>
      <c r="L66" s="560">
        <v>0</v>
      </c>
      <c r="M66" s="560">
        <v>0</v>
      </c>
      <c r="N66" s="560">
        <v>0</v>
      </c>
      <c r="O66" s="560">
        <v>0</v>
      </c>
      <c r="P66" s="560">
        <v>0</v>
      </c>
      <c r="Q66" s="391"/>
      <c r="R66" s="391"/>
      <c r="S66" s="391" t="s">
        <v>130</v>
      </c>
      <c r="T66" s="560">
        <v>78030</v>
      </c>
      <c r="U66" s="560">
        <v>0</v>
      </c>
      <c r="V66" s="560">
        <v>112670</v>
      </c>
      <c r="W66" s="560">
        <v>98240</v>
      </c>
      <c r="X66" s="560">
        <v>98240</v>
      </c>
      <c r="Y66" s="560">
        <v>101240</v>
      </c>
      <c r="Z66" s="560">
        <v>105060</v>
      </c>
      <c r="AA66" s="560">
        <v>201180</v>
      </c>
      <c r="AB66" s="560">
        <v>118950</v>
      </c>
      <c r="AC66" s="560">
        <v>0</v>
      </c>
      <c r="AD66" s="560">
        <v>0</v>
      </c>
      <c r="AE66" s="560">
        <v>0</v>
      </c>
      <c r="AF66" s="560">
        <v>0</v>
      </c>
    </row>
    <row r="67" spans="1:32">
      <c r="A67" s="391"/>
      <c r="B67" s="391"/>
      <c r="C67" s="391" t="s">
        <v>129</v>
      </c>
      <c r="D67" s="560">
        <v>0</v>
      </c>
      <c r="E67" s="560">
        <v>0</v>
      </c>
      <c r="F67" s="560">
        <v>0</v>
      </c>
      <c r="G67" s="560">
        <v>0</v>
      </c>
      <c r="H67" s="560">
        <v>0</v>
      </c>
      <c r="I67" s="560">
        <v>0</v>
      </c>
      <c r="J67" s="560">
        <v>0</v>
      </c>
      <c r="K67" s="560">
        <v>0</v>
      </c>
      <c r="L67" s="560">
        <v>0</v>
      </c>
      <c r="M67" s="560">
        <v>0</v>
      </c>
      <c r="N67" s="560">
        <v>0</v>
      </c>
      <c r="O67" s="560">
        <v>0</v>
      </c>
      <c r="P67" s="560">
        <v>0</v>
      </c>
      <c r="Q67" s="391"/>
      <c r="R67" s="391"/>
      <c r="S67" s="391" t="s">
        <v>132</v>
      </c>
      <c r="T67" s="560">
        <v>114392</v>
      </c>
      <c r="U67" s="560">
        <v>114260</v>
      </c>
      <c r="V67" s="560">
        <v>117493</v>
      </c>
      <c r="W67" s="560">
        <v>121046</v>
      </c>
      <c r="X67" s="560">
        <v>120985</v>
      </c>
      <c r="Y67" s="560">
        <v>120492</v>
      </c>
      <c r="Z67" s="560">
        <v>119642</v>
      </c>
      <c r="AA67" s="560">
        <v>119902</v>
      </c>
      <c r="AB67" s="560">
        <v>124419</v>
      </c>
      <c r="AC67" s="560">
        <v>0</v>
      </c>
      <c r="AD67" s="560">
        <v>0</v>
      </c>
      <c r="AE67" s="560">
        <v>0</v>
      </c>
      <c r="AF67" s="560">
        <v>0</v>
      </c>
    </row>
    <row r="68" spans="1:32">
      <c r="A68" s="391"/>
      <c r="B68" s="391"/>
      <c r="C68" s="391" t="s">
        <v>131</v>
      </c>
      <c r="D68" s="560">
        <v>0</v>
      </c>
      <c r="E68" s="560">
        <v>0</v>
      </c>
      <c r="F68" s="560">
        <v>0</v>
      </c>
      <c r="G68" s="560">
        <v>0</v>
      </c>
      <c r="H68" s="560">
        <v>0</v>
      </c>
      <c r="I68" s="560">
        <v>0</v>
      </c>
      <c r="J68" s="560">
        <v>0</v>
      </c>
      <c r="K68" s="560">
        <v>0</v>
      </c>
      <c r="L68" s="560">
        <v>0</v>
      </c>
      <c r="M68" s="560">
        <v>0</v>
      </c>
      <c r="N68" s="560">
        <v>0</v>
      </c>
      <c r="O68" s="560">
        <v>0</v>
      </c>
      <c r="P68" s="560">
        <v>0</v>
      </c>
      <c r="Q68" s="391"/>
      <c r="R68" s="391"/>
      <c r="S68" s="391" t="s">
        <v>134</v>
      </c>
      <c r="T68" s="560">
        <v>208503</v>
      </c>
      <c r="U68" s="560">
        <v>208051</v>
      </c>
      <c r="V68" s="560">
        <v>212858</v>
      </c>
      <c r="W68" s="560">
        <v>212593</v>
      </c>
      <c r="X68" s="560">
        <v>214904</v>
      </c>
      <c r="Y68" s="560">
        <v>212905</v>
      </c>
      <c r="Z68" s="560">
        <v>214938</v>
      </c>
      <c r="AA68" s="560">
        <v>254114</v>
      </c>
      <c r="AB68" s="560">
        <v>256623</v>
      </c>
      <c r="AC68" s="560">
        <v>0</v>
      </c>
      <c r="AD68" s="560">
        <v>0</v>
      </c>
      <c r="AE68" s="560">
        <v>0</v>
      </c>
      <c r="AF68" s="560">
        <v>0</v>
      </c>
    </row>
    <row r="69" spans="1:32">
      <c r="A69" s="391"/>
      <c r="B69" s="391"/>
      <c r="C69" s="391" t="s">
        <v>133</v>
      </c>
      <c r="D69" s="560">
        <v>0</v>
      </c>
      <c r="E69" s="560">
        <v>0</v>
      </c>
      <c r="F69" s="560">
        <v>0</v>
      </c>
      <c r="G69" s="560">
        <v>0</v>
      </c>
      <c r="H69" s="560">
        <v>0</v>
      </c>
      <c r="I69" s="560">
        <v>0</v>
      </c>
      <c r="J69" s="560">
        <v>0</v>
      </c>
      <c r="K69" s="560">
        <v>0</v>
      </c>
      <c r="L69" s="560">
        <v>0</v>
      </c>
      <c r="M69" s="560">
        <v>0</v>
      </c>
      <c r="N69" s="560">
        <v>0</v>
      </c>
      <c r="O69" s="560">
        <v>0</v>
      </c>
      <c r="P69" s="560">
        <v>0</v>
      </c>
      <c r="Q69" s="391"/>
      <c r="R69" s="391"/>
      <c r="S69" s="391" t="s">
        <v>136</v>
      </c>
      <c r="T69" s="560">
        <v>559979</v>
      </c>
      <c r="U69" s="560">
        <v>132133</v>
      </c>
      <c r="V69" s="560">
        <v>141650</v>
      </c>
      <c r="W69" s="560">
        <v>567998</v>
      </c>
      <c r="X69" s="560">
        <v>293327</v>
      </c>
      <c r="Y69" s="560">
        <v>135433</v>
      </c>
      <c r="Z69" s="560">
        <v>858785</v>
      </c>
      <c r="AA69" s="560">
        <v>899872</v>
      </c>
      <c r="AB69" s="560">
        <v>223886</v>
      </c>
      <c r="AC69" s="560">
        <v>0</v>
      </c>
      <c r="AD69" s="560">
        <v>0</v>
      </c>
      <c r="AE69" s="560">
        <v>0</v>
      </c>
      <c r="AF69" s="560">
        <v>0</v>
      </c>
    </row>
    <row r="70" spans="1:32">
      <c r="A70" s="391"/>
      <c r="B70" s="391"/>
      <c r="C70" s="391" t="s">
        <v>135</v>
      </c>
      <c r="D70" s="560">
        <v>0</v>
      </c>
      <c r="E70" s="560">
        <v>0</v>
      </c>
      <c r="F70" s="560">
        <v>0</v>
      </c>
      <c r="G70" s="560">
        <v>0</v>
      </c>
      <c r="H70" s="560">
        <v>0</v>
      </c>
      <c r="I70" s="560">
        <v>0</v>
      </c>
      <c r="J70" s="560">
        <v>0</v>
      </c>
      <c r="K70" s="560">
        <v>0</v>
      </c>
      <c r="L70" s="560">
        <v>0</v>
      </c>
      <c r="M70" s="560">
        <v>0</v>
      </c>
      <c r="N70" s="560">
        <v>0</v>
      </c>
      <c r="O70" s="560">
        <v>0</v>
      </c>
      <c r="P70" s="560">
        <v>0</v>
      </c>
      <c r="Q70" s="391"/>
      <c r="R70" s="391"/>
      <c r="S70" s="391" t="s">
        <v>138</v>
      </c>
      <c r="T70" s="560">
        <v>61471</v>
      </c>
      <c r="U70" s="560">
        <v>61167</v>
      </c>
      <c r="V70" s="560">
        <v>65722</v>
      </c>
      <c r="W70" s="560">
        <v>66741</v>
      </c>
      <c r="X70" s="560">
        <v>64174</v>
      </c>
      <c r="Y70" s="560">
        <v>88410</v>
      </c>
      <c r="Z70" s="560">
        <v>97410</v>
      </c>
      <c r="AA70" s="560">
        <v>80910</v>
      </c>
      <c r="AB70" s="560">
        <v>85278</v>
      </c>
      <c r="AC70" s="560">
        <v>0</v>
      </c>
      <c r="AD70" s="560">
        <v>0</v>
      </c>
      <c r="AE70" s="560">
        <v>0</v>
      </c>
      <c r="AF70" s="560">
        <v>0</v>
      </c>
    </row>
    <row r="71" spans="1:32">
      <c r="A71" s="391"/>
      <c r="B71" s="391"/>
      <c r="C71" s="391" t="s">
        <v>137</v>
      </c>
      <c r="D71" s="560">
        <v>7246</v>
      </c>
      <c r="E71" s="560">
        <v>7246</v>
      </c>
      <c r="F71" s="560">
        <v>7246</v>
      </c>
      <c r="G71" s="560">
        <v>7246</v>
      </c>
      <c r="H71" s="560">
        <v>7246</v>
      </c>
      <c r="I71" s="560">
        <v>7246</v>
      </c>
      <c r="J71" s="560">
        <v>7246</v>
      </c>
      <c r="K71" s="560">
        <v>7246</v>
      </c>
      <c r="L71" s="560">
        <v>7246</v>
      </c>
      <c r="M71" s="560">
        <v>0</v>
      </c>
      <c r="N71" s="560">
        <v>0</v>
      </c>
      <c r="O71" s="560">
        <v>0</v>
      </c>
      <c r="P71" s="560">
        <v>0</v>
      </c>
      <c r="Q71" s="391"/>
      <c r="R71" s="391"/>
      <c r="S71" s="391" t="s">
        <v>140</v>
      </c>
      <c r="T71" s="560">
        <v>2877</v>
      </c>
      <c r="U71" s="560">
        <v>963</v>
      </c>
      <c r="V71" s="560">
        <v>963</v>
      </c>
      <c r="W71" s="560">
        <v>963</v>
      </c>
      <c r="X71" s="560">
        <v>963</v>
      </c>
      <c r="Y71" s="560">
        <v>963</v>
      </c>
      <c r="Z71" s="560">
        <v>1413</v>
      </c>
      <c r="AA71" s="560">
        <v>1413</v>
      </c>
      <c r="AB71" s="560">
        <v>485</v>
      </c>
      <c r="AC71" s="560">
        <v>0</v>
      </c>
      <c r="AD71" s="560">
        <v>0</v>
      </c>
      <c r="AE71" s="560">
        <v>0</v>
      </c>
      <c r="AF71" s="560">
        <v>0</v>
      </c>
    </row>
    <row r="72" spans="1:32">
      <c r="A72" s="391"/>
      <c r="B72" s="391"/>
      <c r="C72" s="391" t="s">
        <v>139</v>
      </c>
      <c r="D72" s="560">
        <v>0</v>
      </c>
      <c r="E72" s="560">
        <v>0</v>
      </c>
      <c r="F72" s="560">
        <v>0</v>
      </c>
      <c r="G72" s="560">
        <v>0</v>
      </c>
      <c r="H72" s="560">
        <v>0</v>
      </c>
      <c r="I72" s="560">
        <v>0</v>
      </c>
      <c r="J72" s="560">
        <v>0</v>
      </c>
      <c r="K72" s="560">
        <v>0</v>
      </c>
      <c r="L72" s="560">
        <v>0</v>
      </c>
      <c r="M72" s="560">
        <v>0</v>
      </c>
      <c r="N72" s="560">
        <v>0</v>
      </c>
      <c r="O72" s="560">
        <v>0</v>
      </c>
      <c r="P72" s="560">
        <v>0</v>
      </c>
      <c r="Q72" s="391"/>
      <c r="R72" s="391"/>
      <c r="S72" s="391" t="s">
        <v>142</v>
      </c>
      <c r="T72" s="560">
        <v>339595</v>
      </c>
      <c r="U72" s="560">
        <v>317976</v>
      </c>
      <c r="V72" s="560">
        <v>340499</v>
      </c>
      <c r="W72" s="560">
        <v>340264</v>
      </c>
      <c r="X72" s="560">
        <v>338518</v>
      </c>
      <c r="Y72" s="560">
        <v>342152</v>
      </c>
      <c r="Z72" s="560">
        <v>342156</v>
      </c>
      <c r="AA72" s="560">
        <v>342562</v>
      </c>
      <c r="AB72" s="560">
        <v>343122</v>
      </c>
      <c r="AC72" s="560">
        <v>0</v>
      </c>
      <c r="AD72" s="560">
        <v>0</v>
      </c>
      <c r="AE72" s="560">
        <v>0</v>
      </c>
      <c r="AF72" s="560">
        <v>0</v>
      </c>
    </row>
    <row r="73" spans="1:32">
      <c r="A73" s="391"/>
      <c r="B73" s="391"/>
      <c r="C73" s="391" t="s">
        <v>141</v>
      </c>
      <c r="D73" s="560">
        <v>0</v>
      </c>
      <c r="E73" s="560">
        <v>0</v>
      </c>
      <c r="F73" s="560">
        <v>0</v>
      </c>
      <c r="G73" s="560">
        <v>0</v>
      </c>
      <c r="H73" s="560">
        <v>0</v>
      </c>
      <c r="I73" s="560">
        <v>0</v>
      </c>
      <c r="J73" s="560">
        <v>0</v>
      </c>
      <c r="K73" s="560">
        <v>0</v>
      </c>
      <c r="L73" s="560">
        <v>0</v>
      </c>
      <c r="M73" s="560">
        <v>0</v>
      </c>
      <c r="N73" s="560">
        <v>0</v>
      </c>
      <c r="O73" s="560">
        <v>0</v>
      </c>
      <c r="P73" s="560">
        <v>0</v>
      </c>
      <c r="Q73" s="391"/>
      <c r="R73" s="391"/>
      <c r="S73" s="391" t="s">
        <v>144</v>
      </c>
      <c r="T73" s="560">
        <v>11381491</v>
      </c>
      <c r="U73" s="560">
        <v>11910376</v>
      </c>
      <c r="V73" s="560">
        <v>12391854</v>
      </c>
      <c r="W73" s="560">
        <v>12654035</v>
      </c>
      <c r="X73" s="560">
        <v>13052665</v>
      </c>
      <c r="Y73" s="560">
        <v>13622873</v>
      </c>
      <c r="Z73" s="560">
        <v>12252199</v>
      </c>
      <c r="AA73" s="560">
        <v>13172790</v>
      </c>
      <c r="AB73" s="560">
        <v>13867783</v>
      </c>
      <c r="AC73" s="560">
        <v>0</v>
      </c>
      <c r="AD73" s="560">
        <v>0</v>
      </c>
      <c r="AE73" s="560">
        <v>0</v>
      </c>
      <c r="AF73" s="560">
        <v>0</v>
      </c>
    </row>
    <row r="74" spans="1:32">
      <c r="A74" s="391"/>
      <c r="B74" s="391"/>
      <c r="C74" s="391" t="s">
        <v>143</v>
      </c>
      <c r="D74" s="560">
        <v>0</v>
      </c>
      <c r="E74" s="560">
        <v>0</v>
      </c>
      <c r="F74" s="560">
        <v>0</v>
      </c>
      <c r="G74" s="560">
        <v>0</v>
      </c>
      <c r="H74" s="560">
        <v>0</v>
      </c>
      <c r="I74" s="560">
        <v>0</v>
      </c>
      <c r="J74" s="560">
        <v>0</v>
      </c>
      <c r="K74" s="560">
        <v>0</v>
      </c>
      <c r="L74" s="560">
        <v>0</v>
      </c>
      <c r="M74" s="560">
        <v>0</v>
      </c>
      <c r="N74" s="560">
        <v>0</v>
      </c>
      <c r="O74" s="560">
        <v>0</v>
      </c>
      <c r="P74" s="560">
        <v>0</v>
      </c>
      <c r="Q74" s="391"/>
      <c r="R74" s="391"/>
      <c r="S74" s="391" t="s">
        <v>146</v>
      </c>
      <c r="T74" s="560">
        <v>0</v>
      </c>
      <c r="U74" s="560">
        <v>0</v>
      </c>
      <c r="V74" s="560">
        <v>0</v>
      </c>
      <c r="W74" s="560">
        <v>0</v>
      </c>
      <c r="X74" s="560">
        <v>0</v>
      </c>
      <c r="Y74" s="560">
        <v>0</v>
      </c>
      <c r="Z74" s="560">
        <v>0</v>
      </c>
      <c r="AA74" s="560">
        <v>0</v>
      </c>
      <c r="AB74" s="560">
        <v>0</v>
      </c>
      <c r="AC74" s="560">
        <v>0</v>
      </c>
      <c r="AD74" s="560">
        <v>0</v>
      </c>
      <c r="AE74" s="560">
        <v>0</v>
      </c>
      <c r="AF74" s="560">
        <v>0</v>
      </c>
    </row>
    <row r="75" spans="1:32">
      <c r="A75" s="391"/>
      <c r="B75" s="391"/>
      <c r="C75" s="391" t="s">
        <v>145</v>
      </c>
      <c r="D75" s="560">
        <v>0</v>
      </c>
      <c r="E75" s="560">
        <v>3456849</v>
      </c>
      <c r="F75" s="560">
        <v>3456849</v>
      </c>
      <c r="G75" s="560">
        <v>3456849</v>
      </c>
      <c r="H75" s="560">
        <v>3456849</v>
      </c>
      <c r="I75" s="560">
        <v>3456849</v>
      </c>
      <c r="J75" s="560">
        <v>3458228</v>
      </c>
      <c r="K75" s="560">
        <v>3458228</v>
      </c>
      <c r="L75" s="560">
        <v>3458228</v>
      </c>
      <c r="M75" s="560">
        <v>0</v>
      </c>
      <c r="N75" s="560">
        <v>0</v>
      </c>
      <c r="O75" s="560">
        <v>0</v>
      </c>
      <c r="P75" s="560">
        <v>0</v>
      </c>
      <c r="Q75" s="391"/>
      <c r="R75" s="391"/>
      <c r="S75" s="391" t="s">
        <v>148</v>
      </c>
      <c r="T75" s="560">
        <v>0</v>
      </c>
      <c r="U75" s="560">
        <v>0</v>
      </c>
      <c r="V75" s="560">
        <v>0</v>
      </c>
      <c r="W75" s="560">
        <v>0</v>
      </c>
      <c r="X75" s="560">
        <v>0</v>
      </c>
      <c r="Y75" s="560">
        <v>0</v>
      </c>
      <c r="Z75" s="560">
        <v>0</v>
      </c>
      <c r="AA75" s="560">
        <v>0</v>
      </c>
      <c r="AB75" s="560">
        <v>0</v>
      </c>
      <c r="AC75" s="560">
        <v>0</v>
      </c>
      <c r="AD75" s="560">
        <v>0</v>
      </c>
      <c r="AE75" s="560">
        <v>0</v>
      </c>
      <c r="AF75" s="560">
        <v>0</v>
      </c>
    </row>
    <row r="76" spans="1:32">
      <c r="A76" s="391"/>
      <c r="B76" s="391"/>
      <c r="C76" s="391" t="s">
        <v>147</v>
      </c>
      <c r="D76" s="560">
        <v>550938</v>
      </c>
      <c r="E76" s="560">
        <v>510445</v>
      </c>
      <c r="F76" s="560">
        <v>433846</v>
      </c>
      <c r="G76" s="560">
        <v>838081</v>
      </c>
      <c r="H76" s="560">
        <v>800303</v>
      </c>
      <c r="I76" s="560">
        <v>738569</v>
      </c>
      <c r="J76" s="560">
        <v>637718</v>
      </c>
      <c r="K76" s="560">
        <v>636978</v>
      </c>
      <c r="L76" s="560">
        <v>516931</v>
      </c>
      <c r="M76" s="560">
        <v>0</v>
      </c>
      <c r="N76" s="560">
        <v>0</v>
      </c>
      <c r="O76" s="560">
        <v>0</v>
      </c>
      <c r="P76" s="560">
        <v>0</v>
      </c>
      <c r="Q76" s="391"/>
      <c r="R76" s="821" t="s">
        <v>375</v>
      </c>
      <c r="S76" s="391"/>
      <c r="T76" s="560">
        <v>170551253.88</v>
      </c>
      <c r="U76" s="894">
        <v>247694864.88</v>
      </c>
      <c r="V76" s="560">
        <v>240855886.88</v>
      </c>
      <c r="W76" s="560">
        <v>189319697.88</v>
      </c>
      <c r="X76" s="560">
        <v>233594864.88</v>
      </c>
      <c r="Y76" s="560">
        <v>203371216.88</v>
      </c>
      <c r="Z76" s="560">
        <v>179623141.88</v>
      </c>
      <c r="AA76" s="560">
        <v>245566336.88</v>
      </c>
      <c r="AB76" s="560">
        <v>241703046.88</v>
      </c>
      <c r="AC76" s="560">
        <v>0</v>
      </c>
      <c r="AD76" s="560">
        <v>0</v>
      </c>
      <c r="AE76" s="560">
        <v>0</v>
      </c>
      <c r="AF76" s="560">
        <v>0</v>
      </c>
    </row>
    <row r="77" spans="1:32">
      <c r="A77" s="391"/>
      <c r="B77" s="391"/>
      <c r="C77" s="391" t="s">
        <v>149</v>
      </c>
      <c r="D77" s="560">
        <v>0</v>
      </c>
      <c r="E77" s="560">
        <v>0</v>
      </c>
      <c r="F77" s="560">
        <v>0</v>
      </c>
      <c r="G77" s="560">
        <v>0</v>
      </c>
      <c r="H77" s="560">
        <v>0</v>
      </c>
      <c r="I77" s="560">
        <v>0</v>
      </c>
      <c r="J77" s="560">
        <v>0</v>
      </c>
      <c r="K77" s="560">
        <v>0</v>
      </c>
      <c r="L77" s="560">
        <v>0</v>
      </c>
      <c r="M77" s="560">
        <v>0</v>
      </c>
      <c r="N77" s="560">
        <v>0</v>
      </c>
      <c r="O77" s="560">
        <v>0</v>
      </c>
      <c r="P77" s="560">
        <v>0</v>
      </c>
      <c r="Q77" s="391"/>
      <c r="R77" s="821" t="s">
        <v>376</v>
      </c>
      <c r="S77" s="391"/>
      <c r="T77" s="560"/>
      <c r="U77" s="560"/>
      <c r="V77" s="600"/>
      <c r="W77" s="600"/>
      <c r="X77" s="600"/>
      <c r="Y77" s="600"/>
      <c r="Z77" s="600"/>
      <c r="AA77" s="600"/>
      <c r="AB77" s="600"/>
      <c r="AC77" s="600"/>
      <c r="AD77" s="600"/>
      <c r="AE77" s="600"/>
      <c r="AF77" s="600"/>
    </row>
    <row r="78" spans="1:32">
      <c r="A78" s="391"/>
      <c r="B78" s="391"/>
      <c r="C78" s="391" t="s">
        <v>150</v>
      </c>
      <c r="D78" s="560">
        <v>10767</v>
      </c>
      <c r="E78" s="560">
        <v>10767</v>
      </c>
      <c r="F78" s="560">
        <v>10767</v>
      </c>
      <c r="G78" s="560">
        <v>10767</v>
      </c>
      <c r="H78" s="560">
        <v>10767</v>
      </c>
      <c r="I78" s="560">
        <v>10767</v>
      </c>
      <c r="J78" s="560">
        <v>10770</v>
      </c>
      <c r="K78" s="560">
        <v>3029570</v>
      </c>
      <c r="L78" s="560">
        <v>29570</v>
      </c>
      <c r="M78" s="560">
        <v>0</v>
      </c>
      <c r="N78" s="560">
        <v>0</v>
      </c>
      <c r="O78" s="560">
        <v>0</v>
      </c>
      <c r="P78" s="560">
        <v>0</v>
      </c>
      <c r="Q78" s="391"/>
      <c r="R78" s="391"/>
      <c r="S78" s="391" t="s">
        <v>152</v>
      </c>
      <c r="T78" s="560">
        <v>0</v>
      </c>
      <c r="U78" s="560">
        <v>0</v>
      </c>
      <c r="V78" s="560">
        <v>0</v>
      </c>
      <c r="W78" s="560">
        <v>0</v>
      </c>
      <c r="X78" s="560">
        <v>0</v>
      </c>
      <c r="Y78" s="560">
        <v>0</v>
      </c>
      <c r="Z78" s="560">
        <v>0</v>
      </c>
      <c r="AA78" s="560">
        <v>0</v>
      </c>
      <c r="AB78" s="560">
        <v>0</v>
      </c>
      <c r="AC78" s="560">
        <v>0</v>
      </c>
      <c r="AD78" s="560">
        <v>0</v>
      </c>
      <c r="AE78" s="560">
        <v>0</v>
      </c>
      <c r="AF78" s="560">
        <v>0</v>
      </c>
    </row>
    <row r="79" spans="1:32">
      <c r="A79" s="391"/>
      <c r="B79" s="391"/>
      <c r="C79" s="391" t="s">
        <v>151</v>
      </c>
      <c r="D79" s="560">
        <v>0</v>
      </c>
      <c r="E79" s="560">
        <v>0</v>
      </c>
      <c r="F79" s="560">
        <v>0</v>
      </c>
      <c r="G79" s="560">
        <v>0</v>
      </c>
      <c r="H79" s="560">
        <v>0</v>
      </c>
      <c r="I79" s="560">
        <v>0</v>
      </c>
      <c r="J79" s="560">
        <v>0</v>
      </c>
      <c r="K79" s="560">
        <v>0</v>
      </c>
      <c r="L79" s="560">
        <v>0</v>
      </c>
      <c r="M79" s="560">
        <v>0</v>
      </c>
      <c r="N79" s="560">
        <v>0</v>
      </c>
      <c r="O79" s="560">
        <v>0</v>
      </c>
      <c r="P79" s="560">
        <v>0</v>
      </c>
      <c r="Q79" s="391"/>
      <c r="R79" s="391"/>
      <c r="S79" s="391" t="s">
        <v>154</v>
      </c>
      <c r="T79" s="560">
        <v>0</v>
      </c>
      <c r="U79" s="560">
        <v>0</v>
      </c>
      <c r="V79" s="560">
        <v>0</v>
      </c>
      <c r="W79" s="560">
        <v>0</v>
      </c>
      <c r="X79" s="560">
        <v>0</v>
      </c>
      <c r="Y79" s="560">
        <v>0</v>
      </c>
      <c r="Z79" s="560">
        <v>0</v>
      </c>
      <c r="AA79" s="560">
        <v>0</v>
      </c>
      <c r="AB79" s="560">
        <v>0</v>
      </c>
      <c r="AC79" s="560">
        <v>0</v>
      </c>
      <c r="AD79" s="560">
        <v>0</v>
      </c>
      <c r="AE79" s="560">
        <v>0</v>
      </c>
      <c r="AF79" s="560">
        <v>0</v>
      </c>
    </row>
    <row r="80" spans="1:32">
      <c r="A80" s="391"/>
      <c r="B80" s="391"/>
      <c r="C80" s="391" t="s">
        <v>153</v>
      </c>
      <c r="D80" s="560">
        <v>17136882</v>
      </c>
      <c r="E80" s="560">
        <v>8830948</v>
      </c>
      <c r="F80" s="560">
        <v>36303371</v>
      </c>
      <c r="G80" s="560">
        <v>1237027</v>
      </c>
      <c r="H80" s="560">
        <v>20148818</v>
      </c>
      <c r="I80" s="560">
        <v>17404001</v>
      </c>
      <c r="J80" s="560">
        <v>37079960</v>
      </c>
      <c r="K80" s="560">
        <v>20148973</v>
      </c>
      <c r="L80" s="560">
        <v>21554129</v>
      </c>
      <c r="M80" s="560">
        <v>0</v>
      </c>
      <c r="N80" s="560">
        <v>0</v>
      </c>
      <c r="O80" s="560">
        <v>0</v>
      </c>
      <c r="P80" s="560">
        <v>0</v>
      </c>
      <c r="Q80" s="391"/>
      <c r="R80" s="391"/>
      <c r="S80" s="391" t="s">
        <v>156</v>
      </c>
      <c r="T80" s="560">
        <v>0</v>
      </c>
      <c r="U80" s="560">
        <v>0</v>
      </c>
      <c r="V80" s="560">
        <v>0</v>
      </c>
      <c r="W80" s="560">
        <v>0</v>
      </c>
      <c r="X80" s="560">
        <v>0</v>
      </c>
      <c r="Y80" s="560">
        <v>0</v>
      </c>
      <c r="Z80" s="560">
        <v>0</v>
      </c>
      <c r="AA80" s="560">
        <v>0</v>
      </c>
      <c r="AB80" s="560">
        <v>0</v>
      </c>
      <c r="AC80" s="560">
        <v>0</v>
      </c>
      <c r="AD80" s="560">
        <v>0</v>
      </c>
      <c r="AE80" s="560">
        <v>0</v>
      </c>
      <c r="AF80" s="560">
        <v>0</v>
      </c>
    </row>
    <row r="81" spans="1:32">
      <c r="A81" s="391"/>
      <c r="B81" s="391"/>
      <c r="C81" s="391" t="s">
        <v>155</v>
      </c>
      <c r="D81" s="560">
        <v>0</v>
      </c>
      <c r="E81" s="560">
        <v>0</v>
      </c>
      <c r="F81" s="560">
        <v>0</v>
      </c>
      <c r="G81" s="560">
        <v>0</v>
      </c>
      <c r="H81" s="560">
        <v>0</v>
      </c>
      <c r="I81" s="560">
        <v>0</v>
      </c>
      <c r="J81" s="560">
        <v>0</v>
      </c>
      <c r="K81" s="560">
        <v>0</v>
      </c>
      <c r="L81" s="560">
        <v>0</v>
      </c>
      <c r="M81" s="560">
        <v>0</v>
      </c>
      <c r="N81" s="560">
        <v>0</v>
      </c>
      <c r="O81" s="560">
        <v>0</v>
      </c>
      <c r="P81" s="560">
        <v>0</v>
      </c>
      <c r="Q81" s="391"/>
      <c r="R81" s="391"/>
      <c r="S81" s="391" t="s">
        <v>158</v>
      </c>
      <c r="T81" s="560">
        <v>0</v>
      </c>
      <c r="U81" s="560">
        <v>0</v>
      </c>
      <c r="V81" s="560">
        <v>0</v>
      </c>
      <c r="W81" s="560">
        <v>0</v>
      </c>
      <c r="X81" s="560">
        <v>0</v>
      </c>
      <c r="Y81" s="560">
        <v>0</v>
      </c>
      <c r="Z81" s="560">
        <v>0</v>
      </c>
      <c r="AA81" s="560">
        <v>0</v>
      </c>
      <c r="AB81" s="560">
        <v>0</v>
      </c>
      <c r="AC81" s="560">
        <v>0</v>
      </c>
      <c r="AD81" s="560">
        <v>0</v>
      </c>
      <c r="AE81" s="560">
        <v>0</v>
      </c>
      <c r="AF81" s="560">
        <v>0</v>
      </c>
    </row>
    <row r="82" spans="1:32">
      <c r="A82" s="391"/>
      <c r="B82" s="391"/>
      <c r="C82" s="391" t="s">
        <v>157</v>
      </c>
      <c r="D82" s="560">
        <v>0</v>
      </c>
      <c r="E82" s="560">
        <v>0</v>
      </c>
      <c r="F82" s="560">
        <v>0</v>
      </c>
      <c r="G82" s="560">
        <v>17366</v>
      </c>
      <c r="H82" s="560">
        <v>17288</v>
      </c>
      <c r="I82" s="560">
        <v>0</v>
      </c>
      <c r="J82" s="560">
        <v>0</v>
      </c>
      <c r="K82" s="560">
        <v>0</v>
      </c>
      <c r="L82" s="560">
        <v>0</v>
      </c>
      <c r="M82" s="560">
        <v>0</v>
      </c>
      <c r="N82" s="560">
        <v>0</v>
      </c>
      <c r="O82" s="560">
        <v>0</v>
      </c>
      <c r="P82" s="560">
        <v>0</v>
      </c>
      <c r="Q82" s="391"/>
      <c r="R82" s="391"/>
      <c r="S82" s="391" t="s">
        <v>159</v>
      </c>
      <c r="T82" s="560">
        <v>0</v>
      </c>
      <c r="U82" s="560">
        <v>0</v>
      </c>
      <c r="V82" s="560">
        <v>0</v>
      </c>
      <c r="W82" s="560">
        <v>0</v>
      </c>
      <c r="X82" s="560">
        <v>0</v>
      </c>
      <c r="Y82" s="560">
        <v>0</v>
      </c>
      <c r="Z82" s="560">
        <v>0</v>
      </c>
      <c r="AA82" s="560">
        <v>0</v>
      </c>
      <c r="AB82" s="560">
        <v>0</v>
      </c>
      <c r="AC82" s="560">
        <v>0</v>
      </c>
      <c r="AD82" s="560">
        <v>0</v>
      </c>
      <c r="AE82" s="560">
        <v>0</v>
      </c>
      <c r="AF82" s="560">
        <v>0</v>
      </c>
    </row>
    <row r="83" spans="1:32">
      <c r="A83" s="391"/>
      <c r="B83" s="391"/>
      <c r="C83" s="391" t="s">
        <v>884</v>
      </c>
      <c r="D83" s="560">
        <v>0</v>
      </c>
      <c r="E83" s="560">
        <v>0</v>
      </c>
      <c r="F83" s="560">
        <v>0</v>
      </c>
      <c r="G83" s="560">
        <v>0</v>
      </c>
      <c r="H83" s="560">
        <v>0</v>
      </c>
      <c r="I83" s="560">
        <v>0</v>
      </c>
      <c r="J83" s="560">
        <v>0</v>
      </c>
      <c r="K83" s="560">
        <v>0</v>
      </c>
      <c r="L83" s="560">
        <v>0</v>
      </c>
      <c r="M83" s="560">
        <v>0</v>
      </c>
      <c r="N83" s="560">
        <v>0</v>
      </c>
      <c r="O83" s="560">
        <v>0</v>
      </c>
      <c r="P83" s="560">
        <v>0</v>
      </c>
      <c r="Q83" s="391"/>
      <c r="R83" s="391"/>
      <c r="S83" s="391" t="s">
        <v>161</v>
      </c>
      <c r="T83" s="560">
        <v>0</v>
      </c>
      <c r="U83" s="560">
        <v>0</v>
      </c>
      <c r="V83" s="560">
        <v>0</v>
      </c>
      <c r="W83" s="560">
        <v>0</v>
      </c>
      <c r="X83" s="560">
        <v>0</v>
      </c>
      <c r="Y83" s="560">
        <v>0</v>
      </c>
      <c r="Z83" s="560">
        <v>0</v>
      </c>
      <c r="AA83" s="560">
        <v>0</v>
      </c>
      <c r="AB83" s="560">
        <v>0</v>
      </c>
      <c r="AC83" s="560">
        <v>0</v>
      </c>
      <c r="AD83" s="560">
        <v>0</v>
      </c>
      <c r="AE83" s="560">
        <v>0</v>
      </c>
      <c r="AF83" s="560">
        <v>0</v>
      </c>
    </row>
    <row r="84" spans="1:32">
      <c r="A84" s="391"/>
      <c r="B84" s="391"/>
      <c r="C84" s="391" t="s">
        <v>160</v>
      </c>
      <c r="D84" s="560">
        <v>0</v>
      </c>
      <c r="E84" s="560">
        <v>0</v>
      </c>
      <c r="F84" s="560">
        <v>0</v>
      </c>
      <c r="G84" s="560">
        <v>0</v>
      </c>
      <c r="H84" s="560">
        <v>0</v>
      </c>
      <c r="I84" s="560">
        <v>0</v>
      </c>
      <c r="J84" s="560">
        <v>0</v>
      </c>
      <c r="K84" s="560">
        <v>0</v>
      </c>
      <c r="L84" s="560">
        <v>0</v>
      </c>
      <c r="M84" s="560">
        <v>0</v>
      </c>
      <c r="N84" s="560">
        <v>0</v>
      </c>
      <c r="O84" s="560">
        <v>0</v>
      </c>
      <c r="P84" s="560">
        <v>0</v>
      </c>
      <c r="Q84" s="391"/>
      <c r="R84" s="391"/>
      <c r="S84" s="391" t="s">
        <v>163</v>
      </c>
      <c r="T84" s="560">
        <v>0</v>
      </c>
      <c r="U84" s="560">
        <v>0</v>
      </c>
      <c r="V84" s="560">
        <v>0</v>
      </c>
      <c r="W84" s="560">
        <v>0</v>
      </c>
      <c r="X84" s="560">
        <v>0</v>
      </c>
      <c r="Y84" s="560">
        <v>0</v>
      </c>
      <c r="Z84" s="560">
        <v>0</v>
      </c>
      <c r="AA84" s="560">
        <v>0</v>
      </c>
      <c r="AB84" s="560">
        <v>0</v>
      </c>
      <c r="AC84" s="560">
        <v>0</v>
      </c>
      <c r="AD84" s="560">
        <v>0</v>
      </c>
      <c r="AE84" s="560">
        <v>0</v>
      </c>
      <c r="AF84" s="560">
        <v>0</v>
      </c>
    </row>
    <row r="85" spans="1:32">
      <c r="A85" s="391"/>
      <c r="B85" s="391"/>
      <c r="C85" s="391" t="s">
        <v>162</v>
      </c>
      <c r="D85" s="560">
        <v>0</v>
      </c>
      <c r="E85" s="560">
        <v>0</v>
      </c>
      <c r="F85" s="560">
        <v>0</v>
      </c>
      <c r="G85" s="560">
        <v>0</v>
      </c>
      <c r="H85" s="560">
        <v>0</v>
      </c>
      <c r="I85" s="560">
        <v>0</v>
      </c>
      <c r="J85" s="560">
        <v>0</v>
      </c>
      <c r="K85" s="560">
        <v>0</v>
      </c>
      <c r="L85" s="560">
        <v>0</v>
      </c>
      <c r="M85" s="560">
        <v>0</v>
      </c>
      <c r="N85" s="560">
        <v>0</v>
      </c>
      <c r="O85" s="560">
        <v>0</v>
      </c>
      <c r="P85" s="560">
        <v>0</v>
      </c>
      <c r="Q85" s="391"/>
      <c r="R85" s="391"/>
      <c r="S85" s="391" t="s">
        <v>165</v>
      </c>
      <c r="T85" s="560">
        <v>0</v>
      </c>
      <c r="U85" s="560">
        <v>0</v>
      </c>
      <c r="V85" s="560">
        <v>0</v>
      </c>
      <c r="W85" s="560">
        <v>0</v>
      </c>
      <c r="X85" s="560">
        <v>0</v>
      </c>
      <c r="Y85" s="560">
        <v>0</v>
      </c>
      <c r="Z85" s="560">
        <v>0</v>
      </c>
      <c r="AA85" s="560">
        <v>0</v>
      </c>
      <c r="AB85" s="560">
        <v>0</v>
      </c>
      <c r="AC85" s="560">
        <v>0</v>
      </c>
      <c r="AD85" s="560">
        <v>0</v>
      </c>
      <c r="AE85" s="560">
        <v>0</v>
      </c>
      <c r="AF85" s="560">
        <v>0</v>
      </c>
    </row>
    <row r="86" spans="1:32">
      <c r="A86" s="391"/>
      <c r="B86" s="391"/>
      <c r="C86" s="391" t="s">
        <v>164</v>
      </c>
      <c r="D86" s="560">
        <v>0</v>
      </c>
      <c r="E86" s="560">
        <v>0</v>
      </c>
      <c r="F86" s="560">
        <v>0</v>
      </c>
      <c r="G86" s="560">
        <v>0</v>
      </c>
      <c r="H86" s="560">
        <v>0</v>
      </c>
      <c r="I86" s="560">
        <v>0</v>
      </c>
      <c r="J86" s="560">
        <v>0</v>
      </c>
      <c r="K86" s="560">
        <v>0</v>
      </c>
      <c r="L86" s="560">
        <v>0</v>
      </c>
      <c r="M86" s="560">
        <v>0</v>
      </c>
      <c r="N86" s="560">
        <v>0</v>
      </c>
      <c r="O86" s="560">
        <v>0</v>
      </c>
      <c r="P86" s="560">
        <v>0</v>
      </c>
      <c r="Q86" s="391"/>
      <c r="R86" s="391"/>
      <c r="S86" s="391" t="s">
        <v>167</v>
      </c>
      <c r="T86" s="560">
        <v>0</v>
      </c>
      <c r="U86" s="560">
        <v>0</v>
      </c>
      <c r="V86" s="560">
        <v>0</v>
      </c>
      <c r="W86" s="560">
        <v>0</v>
      </c>
      <c r="X86" s="560">
        <v>0</v>
      </c>
      <c r="Y86" s="560">
        <v>0</v>
      </c>
      <c r="Z86" s="560">
        <v>0</v>
      </c>
      <c r="AA86" s="560">
        <v>0</v>
      </c>
      <c r="AB86" s="560">
        <v>0</v>
      </c>
      <c r="AC86" s="560">
        <v>0</v>
      </c>
      <c r="AD86" s="560">
        <v>0</v>
      </c>
      <c r="AE86" s="560">
        <v>0</v>
      </c>
      <c r="AF86" s="560">
        <v>0</v>
      </c>
    </row>
    <row r="87" spans="1:32">
      <c r="A87" s="391"/>
      <c r="B87" s="391"/>
      <c r="C87" s="391" t="s">
        <v>166</v>
      </c>
      <c r="D87" s="560">
        <v>0</v>
      </c>
      <c r="E87" s="560">
        <v>0</v>
      </c>
      <c r="F87" s="560">
        <v>0</v>
      </c>
      <c r="G87" s="560">
        <v>0</v>
      </c>
      <c r="H87" s="560">
        <v>0</v>
      </c>
      <c r="I87" s="560">
        <v>0</v>
      </c>
      <c r="J87" s="560">
        <v>0</v>
      </c>
      <c r="K87" s="560">
        <v>0</v>
      </c>
      <c r="L87" s="560">
        <v>0</v>
      </c>
      <c r="M87" s="560">
        <v>0</v>
      </c>
      <c r="N87" s="560">
        <v>0</v>
      </c>
      <c r="O87" s="560">
        <v>0</v>
      </c>
      <c r="P87" s="560">
        <v>0</v>
      </c>
      <c r="Q87" s="391"/>
      <c r="R87" s="391"/>
      <c r="S87" s="391" t="s">
        <v>169</v>
      </c>
      <c r="T87" s="560">
        <v>0</v>
      </c>
      <c r="U87" s="560">
        <v>0</v>
      </c>
      <c r="V87" s="560">
        <v>0</v>
      </c>
      <c r="W87" s="560">
        <v>0</v>
      </c>
      <c r="X87" s="560">
        <v>0</v>
      </c>
      <c r="Y87" s="560">
        <v>0</v>
      </c>
      <c r="Z87" s="560">
        <v>0</v>
      </c>
      <c r="AA87" s="560">
        <v>0</v>
      </c>
      <c r="AB87" s="560">
        <v>0</v>
      </c>
      <c r="AC87" s="560">
        <v>0</v>
      </c>
      <c r="AD87" s="560">
        <v>0</v>
      </c>
      <c r="AE87" s="560">
        <v>0</v>
      </c>
      <c r="AF87" s="560">
        <v>0</v>
      </c>
    </row>
    <row r="88" spans="1:32">
      <c r="A88" s="391"/>
      <c r="B88" s="391"/>
      <c r="C88" s="391" t="s">
        <v>168</v>
      </c>
      <c r="D88" s="560">
        <v>0</v>
      </c>
      <c r="E88" s="560">
        <v>0</v>
      </c>
      <c r="F88" s="560">
        <v>0</v>
      </c>
      <c r="G88" s="560">
        <v>0</v>
      </c>
      <c r="H88" s="560">
        <v>0</v>
      </c>
      <c r="I88" s="560">
        <v>0</v>
      </c>
      <c r="J88" s="560">
        <v>0</v>
      </c>
      <c r="K88" s="560">
        <v>0</v>
      </c>
      <c r="L88" s="560">
        <v>0</v>
      </c>
      <c r="M88" s="560">
        <v>0</v>
      </c>
      <c r="N88" s="560">
        <v>0</v>
      </c>
      <c r="O88" s="560">
        <v>0</v>
      </c>
      <c r="P88" s="560">
        <v>0</v>
      </c>
      <c r="Q88" s="391"/>
      <c r="R88" s="821" t="s">
        <v>377</v>
      </c>
      <c r="S88" s="391"/>
      <c r="T88" s="560">
        <v>0</v>
      </c>
      <c r="U88" s="894">
        <v>0</v>
      </c>
      <c r="V88" s="560">
        <v>0</v>
      </c>
      <c r="W88" s="560">
        <v>0</v>
      </c>
      <c r="X88" s="560">
        <v>0</v>
      </c>
      <c r="Y88" s="560">
        <v>0</v>
      </c>
      <c r="Z88" s="560">
        <v>0</v>
      </c>
      <c r="AA88" s="560">
        <v>0</v>
      </c>
      <c r="AB88" s="560">
        <v>0</v>
      </c>
      <c r="AC88" s="560">
        <v>0</v>
      </c>
      <c r="AD88" s="560">
        <v>0</v>
      </c>
      <c r="AE88" s="560">
        <v>0</v>
      </c>
      <c r="AF88" s="560">
        <v>0</v>
      </c>
    </row>
    <row r="89" spans="1:32">
      <c r="A89" s="391"/>
      <c r="B89" s="391"/>
      <c r="C89" s="391" t="s">
        <v>170</v>
      </c>
      <c r="D89" s="560">
        <v>0</v>
      </c>
      <c r="E89" s="560">
        <v>0</v>
      </c>
      <c r="F89" s="560">
        <v>0</v>
      </c>
      <c r="G89" s="560">
        <v>0</v>
      </c>
      <c r="H89" s="560">
        <v>0</v>
      </c>
      <c r="I89" s="560">
        <v>0</v>
      </c>
      <c r="J89" s="560">
        <v>0</v>
      </c>
      <c r="K89" s="560">
        <v>0</v>
      </c>
      <c r="L89" s="560">
        <v>0</v>
      </c>
      <c r="M89" s="560">
        <v>0</v>
      </c>
      <c r="N89" s="560">
        <v>0</v>
      </c>
      <c r="O89" s="560">
        <v>0</v>
      </c>
      <c r="P89" s="560">
        <v>0</v>
      </c>
      <c r="Q89" s="391"/>
      <c r="R89" s="821" t="s">
        <v>378</v>
      </c>
      <c r="S89" s="391"/>
      <c r="T89" s="560"/>
      <c r="U89" s="560"/>
      <c r="V89" s="600"/>
      <c r="W89" s="600"/>
      <c r="X89" s="600"/>
      <c r="Y89" s="600"/>
      <c r="Z89" s="600"/>
      <c r="AA89" s="600"/>
      <c r="AB89" s="600"/>
      <c r="AC89" s="600"/>
      <c r="AD89" s="600"/>
      <c r="AE89" s="600"/>
      <c r="AF89" s="600"/>
    </row>
    <row r="90" spans="1:32">
      <c r="A90" s="391"/>
      <c r="B90" s="391"/>
      <c r="C90" s="391" t="s">
        <v>171</v>
      </c>
      <c r="D90" s="560">
        <v>126033</v>
      </c>
      <c r="E90" s="560">
        <v>127283</v>
      </c>
      <c r="F90" s="560">
        <v>128533</v>
      </c>
      <c r="G90" s="560">
        <v>129783</v>
      </c>
      <c r="H90" s="560">
        <v>131033</v>
      </c>
      <c r="I90" s="560">
        <v>132283</v>
      </c>
      <c r="J90" s="560">
        <v>133552</v>
      </c>
      <c r="K90" s="560">
        <v>134802</v>
      </c>
      <c r="L90" s="560">
        <v>136052</v>
      </c>
      <c r="M90" s="560">
        <v>0</v>
      </c>
      <c r="N90" s="560">
        <v>0</v>
      </c>
      <c r="O90" s="560">
        <v>0</v>
      </c>
      <c r="P90" s="560">
        <v>0</v>
      </c>
      <c r="Q90" s="391"/>
      <c r="R90" s="391"/>
      <c r="S90" s="391" t="s">
        <v>173</v>
      </c>
      <c r="T90" s="560">
        <v>385565</v>
      </c>
      <c r="U90" s="560">
        <v>400578</v>
      </c>
      <c r="V90" s="560">
        <v>411026</v>
      </c>
      <c r="W90" s="560">
        <v>416742</v>
      </c>
      <c r="X90" s="560">
        <v>426067</v>
      </c>
      <c r="Y90" s="560">
        <v>426789</v>
      </c>
      <c r="Z90" s="560">
        <v>429049</v>
      </c>
      <c r="AA90" s="560">
        <v>434655</v>
      </c>
      <c r="AB90" s="560">
        <v>445883</v>
      </c>
      <c r="AC90" s="560">
        <v>0</v>
      </c>
      <c r="AD90" s="560">
        <v>0</v>
      </c>
      <c r="AE90" s="560">
        <v>0</v>
      </c>
      <c r="AF90" s="560">
        <v>0</v>
      </c>
    </row>
    <row r="91" spans="1:32">
      <c r="A91" s="391"/>
      <c r="B91" s="391"/>
      <c r="C91" s="391" t="s">
        <v>172</v>
      </c>
      <c r="D91" s="560">
        <v>2500000</v>
      </c>
      <c r="E91" s="560">
        <v>2500000</v>
      </c>
      <c r="F91" s="560">
        <v>2500000</v>
      </c>
      <c r="G91" s="560">
        <v>2500000</v>
      </c>
      <c r="H91" s="560">
        <v>2500000</v>
      </c>
      <c r="I91" s="560">
        <v>2500000</v>
      </c>
      <c r="J91" s="560">
        <v>2500000</v>
      </c>
      <c r="K91" s="560">
        <v>2500000</v>
      </c>
      <c r="L91" s="560">
        <v>2500000</v>
      </c>
      <c r="M91" s="560">
        <v>0</v>
      </c>
      <c r="N91" s="560">
        <v>0</v>
      </c>
      <c r="O91" s="560">
        <v>0</v>
      </c>
      <c r="P91" s="560">
        <v>0</v>
      </c>
      <c r="Q91" s="391"/>
      <c r="R91" s="391"/>
      <c r="S91" s="391" t="s">
        <v>175</v>
      </c>
      <c r="T91" s="560">
        <v>0</v>
      </c>
      <c r="U91" s="560">
        <v>0</v>
      </c>
      <c r="V91" s="560">
        <v>0</v>
      </c>
      <c r="W91" s="560">
        <v>0</v>
      </c>
      <c r="X91" s="560">
        <v>0</v>
      </c>
      <c r="Y91" s="560">
        <v>0</v>
      </c>
      <c r="Z91" s="560">
        <v>0</v>
      </c>
      <c r="AA91" s="560">
        <v>0</v>
      </c>
      <c r="AB91" s="560">
        <v>0</v>
      </c>
      <c r="AC91" s="560">
        <v>0</v>
      </c>
      <c r="AD91" s="560">
        <v>0</v>
      </c>
      <c r="AE91" s="560">
        <v>0</v>
      </c>
      <c r="AF91" s="560">
        <v>0</v>
      </c>
    </row>
    <row r="92" spans="1:32">
      <c r="A92" s="391"/>
      <c r="B92" s="391"/>
      <c r="C92" s="391" t="s">
        <v>174</v>
      </c>
      <c r="D92" s="560">
        <v>0</v>
      </c>
      <c r="E92" s="560">
        <v>0</v>
      </c>
      <c r="F92" s="560">
        <v>0</v>
      </c>
      <c r="G92" s="560">
        <v>0</v>
      </c>
      <c r="H92" s="560">
        <v>0</v>
      </c>
      <c r="I92" s="560">
        <v>0</v>
      </c>
      <c r="J92" s="560">
        <v>0</v>
      </c>
      <c r="K92" s="560">
        <v>0</v>
      </c>
      <c r="L92" s="560">
        <v>0</v>
      </c>
      <c r="M92" s="560">
        <v>0</v>
      </c>
      <c r="N92" s="560">
        <v>0</v>
      </c>
      <c r="O92" s="560">
        <v>0</v>
      </c>
      <c r="P92" s="560">
        <v>0</v>
      </c>
      <c r="Q92" s="391"/>
      <c r="R92" s="391"/>
      <c r="S92" s="391" t="s">
        <v>177</v>
      </c>
      <c r="T92" s="560">
        <v>0</v>
      </c>
      <c r="U92" s="560">
        <v>0</v>
      </c>
      <c r="V92" s="560">
        <v>0</v>
      </c>
      <c r="W92" s="560">
        <v>0</v>
      </c>
      <c r="X92" s="560">
        <v>0</v>
      </c>
      <c r="Y92" s="560">
        <v>0</v>
      </c>
      <c r="Z92" s="560">
        <v>0</v>
      </c>
      <c r="AA92" s="560">
        <v>0</v>
      </c>
      <c r="AB92" s="560">
        <v>0</v>
      </c>
      <c r="AC92" s="560">
        <v>0</v>
      </c>
      <c r="AD92" s="560">
        <v>0</v>
      </c>
      <c r="AE92" s="560">
        <v>0</v>
      </c>
      <c r="AF92" s="560">
        <v>0</v>
      </c>
    </row>
    <row r="93" spans="1:32">
      <c r="A93" s="391"/>
      <c r="B93" s="391"/>
      <c r="C93" s="391" t="s">
        <v>176</v>
      </c>
      <c r="D93" s="560">
        <v>0</v>
      </c>
      <c r="E93" s="560">
        <v>0</v>
      </c>
      <c r="F93" s="560">
        <v>0</v>
      </c>
      <c r="G93" s="560">
        <v>0</v>
      </c>
      <c r="H93" s="560">
        <v>0</v>
      </c>
      <c r="I93" s="560">
        <v>0</v>
      </c>
      <c r="J93" s="560">
        <v>0</v>
      </c>
      <c r="K93" s="560">
        <v>0</v>
      </c>
      <c r="L93" s="560">
        <v>0</v>
      </c>
      <c r="M93" s="560">
        <v>0</v>
      </c>
      <c r="N93" s="560">
        <v>0</v>
      </c>
      <c r="O93" s="560">
        <v>0</v>
      </c>
      <c r="P93" s="560">
        <v>0</v>
      </c>
      <c r="Q93" s="391"/>
      <c r="R93" s="391"/>
      <c r="S93" s="391" t="s">
        <v>179</v>
      </c>
      <c r="T93" s="560">
        <v>0</v>
      </c>
      <c r="U93" s="560">
        <v>0</v>
      </c>
      <c r="V93" s="560">
        <v>0</v>
      </c>
      <c r="W93" s="560">
        <v>0</v>
      </c>
      <c r="X93" s="560">
        <v>0</v>
      </c>
      <c r="Y93" s="560">
        <v>0</v>
      </c>
      <c r="Z93" s="560">
        <v>0</v>
      </c>
      <c r="AA93" s="560">
        <v>0</v>
      </c>
      <c r="AB93" s="560">
        <v>0</v>
      </c>
      <c r="AC93" s="560">
        <v>0</v>
      </c>
      <c r="AD93" s="560">
        <v>0</v>
      </c>
      <c r="AE93" s="560">
        <v>0</v>
      </c>
      <c r="AF93" s="560">
        <v>0</v>
      </c>
    </row>
    <row r="94" spans="1:32">
      <c r="A94" s="391"/>
      <c r="B94" s="391"/>
      <c r="C94" s="391" t="s">
        <v>178</v>
      </c>
      <c r="D94" s="560">
        <v>0</v>
      </c>
      <c r="E94" s="560">
        <v>0</v>
      </c>
      <c r="F94" s="560">
        <v>0</v>
      </c>
      <c r="G94" s="560">
        <v>0</v>
      </c>
      <c r="H94" s="560">
        <v>0</v>
      </c>
      <c r="I94" s="560">
        <v>0</v>
      </c>
      <c r="J94" s="560">
        <v>0</v>
      </c>
      <c r="K94" s="560">
        <v>0</v>
      </c>
      <c r="L94" s="560">
        <v>0</v>
      </c>
      <c r="M94" s="560">
        <v>0</v>
      </c>
      <c r="N94" s="560">
        <v>0</v>
      </c>
      <c r="O94" s="560">
        <v>0</v>
      </c>
      <c r="P94" s="560">
        <v>0</v>
      </c>
      <c r="Q94" s="391"/>
      <c r="R94" s="391"/>
      <c r="S94" s="391" t="s">
        <v>181</v>
      </c>
      <c r="T94" s="560">
        <v>0</v>
      </c>
      <c r="U94" s="560">
        <v>0</v>
      </c>
      <c r="V94" s="560">
        <v>0</v>
      </c>
      <c r="W94" s="560">
        <v>0</v>
      </c>
      <c r="X94" s="560">
        <v>0</v>
      </c>
      <c r="Y94" s="560">
        <v>0</v>
      </c>
      <c r="Z94" s="560">
        <v>0</v>
      </c>
      <c r="AA94" s="560">
        <v>0</v>
      </c>
      <c r="AB94" s="560">
        <v>0</v>
      </c>
      <c r="AC94" s="560">
        <v>0</v>
      </c>
      <c r="AD94" s="560">
        <v>0</v>
      </c>
      <c r="AE94" s="560">
        <v>0</v>
      </c>
      <c r="AF94" s="560">
        <v>0</v>
      </c>
    </row>
    <row r="95" spans="1:32">
      <c r="A95" s="391"/>
      <c r="B95" s="391"/>
      <c r="C95" s="391" t="s">
        <v>180</v>
      </c>
      <c r="D95" s="560">
        <v>0</v>
      </c>
      <c r="E95" s="560">
        <v>0</v>
      </c>
      <c r="F95" s="560">
        <v>0</v>
      </c>
      <c r="G95" s="560">
        <v>0</v>
      </c>
      <c r="H95" s="560">
        <v>0</v>
      </c>
      <c r="I95" s="560">
        <v>0</v>
      </c>
      <c r="J95" s="560">
        <v>0</v>
      </c>
      <c r="K95" s="560">
        <v>0</v>
      </c>
      <c r="L95" s="560">
        <v>0</v>
      </c>
      <c r="M95" s="560">
        <v>0</v>
      </c>
      <c r="N95" s="560">
        <v>0</v>
      </c>
      <c r="O95" s="560">
        <v>0</v>
      </c>
      <c r="P95" s="560">
        <v>0</v>
      </c>
      <c r="Q95" s="391"/>
      <c r="R95" s="391"/>
      <c r="S95" s="391" t="s">
        <v>183</v>
      </c>
      <c r="T95" s="560">
        <v>0</v>
      </c>
      <c r="U95" s="560">
        <v>0</v>
      </c>
      <c r="V95" s="560">
        <v>0</v>
      </c>
      <c r="W95" s="560">
        <v>0</v>
      </c>
      <c r="X95" s="560">
        <v>0</v>
      </c>
      <c r="Y95" s="560">
        <v>0</v>
      </c>
      <c r="Z95" s="560">
        <v>0</v>
      </c>
      <c r="AA95" s="560">
        <v>0</v>
      </c>
      <c r="AB95" s="560">
        <v>0</v>
      </c>
      <c r="AC95" s="560">
        <v>0</v>
      </c>
      <c r="AD95" s="560">
        <v>0</v>
      </c>
      <c r="AE95" s="560">
        <v>0</v>
      </c>
      <c r="AF95" s="560">
        <v>0</v>
      </c>
    </row>
    <row r="96" spans="1:32">
      <c r="A96" s="391"/>
      <c r="B96" s="391"/>
      <c r="C96" s="391" t="s">
        <v>182</v>
      </c>
      <c r="D96" s="560">
        <v>0</v>
      </c>
      <c r="E96" s="560">
        <v>0</v>
      </c>
      <c r="F96" s="560">
        <v>0</v>
      </c>
      <c r="G96" s="560">
        <v>0</v>
      </c>
      <c r="H96" s="560">
        <v>0</v>
      </c>
      <c r="I96" s="560">
        <v>0</v>
      </c>
      <c r="J96" s="560">
        <v>0</v>
      </c>
      <c r="K96" s="560">
        <v>0</v>
      </c>
      <c r="L96" s="560">
        <v>0</v>
      </c>
      <c r="M96" s="560">
        <v>0</v>
      </c>
      <c r="N96" s="560">
        <v>0</v>
      </c>
      <c r="O96" s="560">
        <v>0</v>
      </c>
      <c r="P96" s="560">
        <v>0</v>
      </c>
      <c r="Q96" s="391"/>
      <c r="R96" s="391"/>
      <c r="S96" s="391" t="s">
        <v>185</v>
      </c>
      <c r="T96" s="560">
        <v>0</v>
      </c>
      <c r="U96" s="560">
        <v>0</v>
      </c>
      <c r="V96" s="560">
        <v>0</v>
      </c>
      <c r="W96" s="560">
        <v>0</v>
      </c>
      <c r="X96" s="560">
        <v>0</v>
      </c>
      <c r="Y96" s="560">
        <v>0</v>
      </c>
      <c r="Z96" s="560">
        <v>0</v>
      </c>
      <c r="AA96" s="560">
        <v>0</v>
      </c>
      <c r="AB96" s="560">
        <v>0</v>
      </c>
      <c r="AC96" s="560">
        <v>0</v>
      </c>
      <c r="AD96" s="560">
        <v>0</v>
      </c>
      <c r="AE96" s="560">
        <v>0</v>
      </c>
      <c r="AF96" s="560">
        <v>0</v>
      </c>
    </row>
    <row r="97" spans="1:32">
      <c r="A97" s="391"/>
      <c r="B97" s="391"/>
      <c r="C97" s="391" t="s">
        <v>184</v>
      </c>
      <c r="D97" s="560">
        <v>0</v>
      </c>
      <c r="E97" s="560">
        <v>0</v>
      </c>
      <c r="F97" s="560">
        <v>0</v>
      </c>
      <c r="G97" s="560">
        <v>0</v>
      </c>
      <c r="H97" s="560">
        <v>0</v>
      </c>
      <c r="I97" s="560">
        <v>0</v>
      </c>
      <c r="J97" s="560">
        <v>0</v>
      </c>
      <c r="K97" s="560">
        <v>0</v>
      </c>
      <c r="L97" s="560">
        <v>0</v>
      </c>
      <c r="M97" s="560">
        <v>0</v>
      </c>
      <c r="N97" s="560">
        <v>0</v>
      </c>
      <c r="O97" s="560">
        <v>0</v>
      </c>
      <c r="P97" s="560">
        <v>0</v>
      </c>
      <c r="Q97" s="391"/>
      <c r="R97" s="391"/>
      <c r="S97" s="391" t="s">
        <v>187</v>
      </c>
      <c r="T97" s="560">
        <v>0</v>
      </c>
      <c r="U97" s="560">
        <v>0</v>
      </c>
      <c r="V97" s="560">
        <v>0</v>
      </c>
      <c r="W97" s="560">
        <v>0</v>
      </c>
      <c r="X97" s="560">
        <v>0</v>
      </c>
      <c r="Y97" s="560">
        <v>0</v>
      </c>
      <c r="Z97" s="560">
        <v>0</v>
      </c>
      <c r="AA97" s="560">
        <v>0</v>
      </c>
      <c r="AB97" s="560">
        <v>0</v>
      </c>
      <c r="AC97" s="560">
        <v>0</v>
      </c>
      <c r="AD97" s="560">
        <v>0</v>
      </c>
      <c r="AE97" s="560">
        <v>0</v>
      </c>
      <c r="AF97" s="560">
        <v>0</v>
      </c>
    </row>
    <row r="98" spans="1:32">
      <c r="A98" s="391"/>
      <c r="B98" s="391"/>
      <c r="C98" s="391" t="s">
        <v>186</v>
      </c>
      <c r="D98" s="560">
        <v>0</v>
      </c>
      <c r="E98" s="560">
        <v>0</v>
      </c>
      <c r="F98" s="560">
        <v>0</v>
      </c>
      <c r="G98" s="560">
        <v>0</v>
      </c>
      <c r="H98" s="560">
        <v>0</v>
      </c>
      <c r="I98" s="560">
        <v>0</v>
      </c>
      <c r="J98" s="560">
        <v>0</v>
      </c>
      <c r="K98" s="560">
        <v>0</v>
      </c>
      <c r="L98" s="560">
        <v>0</v>
      </c>
      <c r="M98" s="560">
        <v>0</v>
      </c>
      <c r="N98" s="560">
        <v>0</v>
      </c>
      <c r="O98" s="560">
        <v>0</v>
      </c>
      <c r="P98" s="560">
        <v>0</v>
      </c>
      <c r="Q98" s="391"/>
      <c r="R98" s="391"/>
      <c r="S98" s="391" t="s">
        <v>189</v>
      </c>
      <c r="T98" s="560">
        <v>0</v>
      </c>
      <c r="U98" s="560">
        <v>0</v>
      </c>
      <c r="V98" s="560">
        <v>0</v>
      </c>
      <c r="W98" s="560">
        <v>0</v>
      </c>
      <c r="X98" s="560">
        <v>0</v>
      </c>
      <c r="Y98" s="560">
        <v>0</v>
      </c>
      <c r="Z98" s="560">
        <v>0</v>
      </c>
      <c r="AA98" s="560">
        <v>0</v>
      </c>
      <c r="AB98" s="560">
        <v>0</v>
      </c>
      <c r="AC98" s="560">
        <v>0</v>
      </c>
      <c r="AD98" s="560">
        <v>0</v>
      </c>
      <c r="AE98" s="560">
        <v>0</v>
      </c>
      <c r="AF98" s="560">
        <v>0</v>
      </c>
    </row>
    <row r="99" spans="1:32">
      <c r="A99" s="391"/>
      <c r="B99" s="391"/>
      <c r="C99" s="391" t="s">
        <v>188</v>
      </c>
      <c r="D99" s="560">
        <v>0</v>
      </c>
      <c r="E99" s="560">
        <v>0</v>
      </c>
      <c r="F99" s="560">
        <v>0</v>
      </c>
      <c r="G99" s="560">
        <v>0</v>
      </c>
      <c r="H99" s="560">
        <v>0</v>
      </c>
      <c r="I99" s="560">
        <v>0</v>
      </c>
      <c r="J99" s="560">
        <v>0</v>
      </c>
      <c r="K99" s="560">
        <v>0</v>
      </c>
      <c r="L99" s="560">
        <v>0</v>
      </c>
      <c r="M99" s="560">
        <v>0</v>
      </c>
      <c r="N99" s="560">
        <v>0</v>
      </c>
      <c r="O99" s="560">
        <v>0</v>
      </c>
      <c r="P99" s="560">
        <v>0</v>
      </c>
      <c r="Q99" s="391"/>
      <c r="R99" s="821" t="s">
        <v>418</v>
      </c>
      <c r="S99" s="391"/>
      <c r="T99" s="560">
        <v>385565</v>
      </c>
      <c r="U99" s="894">
        <v>400578</v>
      </c>
      <c r="V99" s="560">
        <v>411026</v>
      </c>
      <c r="W99" s="560">
        <v>416742</v>
      </c>
      <c r="X99" s="560">
        <v>426067</v>
      </c>
      <c r="Y99" s="560">
        <v>426789</v>
      </c>
      <c r="Z99" s="560">
        <v>429049</v>
      </c>
      <c r="AA99" s="560">
        <v>434655</v>
      </c>
      <c r="AB99" s="560">
        <v>445883</v>
      </c>
      <c r="AC99" s="560">
        <v>0</v>
      </c>
      <c r="AD99" s="560">
        <v>0</v>
      </c>
      <c r="AE99" s="560">
        <v>0</v>
      </c>
      <c r="AF99" s="560">
        <v>0</v>
      </c>
    </row>
    <row r="100" spans="1:32">
      <c r="A100" s="391"/>
      <c r="B100" s="391"/>
      <c r="C100" s="391" t="s">
        <v>190</v>
      </c>
      <c r="D100" s="560">
        <v>0</v>
      </c>
      <c r="E100" s="560">
        <v>0</v>
      </c>
      <c r="F100" s="560">
        <v>0</v>
      </c>
      <c r="G100" s="560">
        <v>0</v>
      </c>
      <c r="H100" s="560">
        <v>0</v>
      </c>
      <c r="I100" s="560">
        <v>0</v>
      </c>
      <c r="J100" s="560">
        <v>0</v>
      </c>
      <c r="K100" s="560">
        <v>0</v>
      </c>
      <c r="L100" s="560">
        <v>0</v>
      </c>
      <c r="M100" s="560">
        <v>0</v>
      </c>
      <c r="N100" s="560">
        <v>0</v>
      </c>
      <c r="O100" s="560">
        <v>0</v>
      </c>
      <c r="P100" s="560">
        <v>0</v>
      </c>
      <c r="Q100" s="391"/>
      <c r="R100" s="821" t="s">
        <v>192</v>
      </c>
      <c r="S100" s="391"/>
      <c r="T100" s="560"/>
      <c r="U100" s="560"/>
      <c r="V100" s="600"/>
      <c r="W100" s="600"/>
      <c r="X100" s="600"/>
      <c r="Y100" s="600"/>
      <c r="Z100" s="600"/>
      <c r="AA100" s="600"/>
      <c r="AB100" s="600"/>
      <c r="AC100" s="600"/>
      <c r="AD100" s="600"/>
      <c r="AE100" s="600"/>
      <c r="AF100" s="600"/>
    </row>
    <row r="101" spans="1:32">
      <c r="A101" s="391"/>
      <c r="B101" s="391"/>
      <c r="C101" s="391" t="s">
        <v>191</v>
      </c>
      <c r="D101" s="560">
        <v>179670275.44999999</v>
      </c>
      <c r="E101" s="560">
        <v>199533147.44999999</v>
      </c>
      <c r="F101" s="560">
        <v>149719923.44999999</v>
      </c>
      <c r="G101" s="560">
        <v>163320938.44999999</v>
      </c>
      <c r="H101" s="560">
        <v>162987213.44999999</v>
      </c>
      <c r="I101" s="560">
        <v>161417227.44999999</v>
      </c>
      <c r="J101" s="560">
        <v>155930897.44999999</v>
      </c>
      <c r="K101" s="560">
        <v>186620210.44999999</v>
      </c>
      <c r="L101" s="560">
        <v>221634549.44999999</v>
      </c>
      <c r="M101" s="560">
        <v>0</v>
      </c>
      <c r="N101" s="560">
        <v>0</v>
      </c>
      <c r="O101" s="560">
        <v>0</v>
      </c>
      <c r="P101" s="560">
        <v>0</v>
      </c>
      <c r="Q101" s="391"/>
      <c r="R101" s="391"/>
      <c r="S101" s="391" t="s">
        <v>194</v>
      </c>
      <c r="T101" s="560">
        <v>0</v>
      </c>
      <c r="U101" s="560">
        <v>0</v>
      </c>
      <c r="V101" s="560">
        <v>0</v>
      </c>
      <c r="W101" s="560">
        <v>0</v>
      </c>
      <c r="X101" s="560">
        <v>0</v>
      </c>
      <c r="Y101" s="560">
        <v>0</v>
      </c>
      <c r="Z101" s="560">
        <v>0</v>
      </c>
      <c r="AA101" s="560">
        <v>0</v>
      </c>
      <c r="AB101" s="560">
        <v>0</v>
      </c>
      <c r="AC101" s="560">
        <v>0</v>
      </c>
      <c r="AD101" s="560">
        <v>0</v>
      </c>
      <c r="AE101" s="560">
        <v>0</v>
      </c>
      <c r="AF101" s="560">
        <v>0</v>
      </c>
    </row>
    <row r="102" spans="1:32">
      <c r="A102" s="391"/>
      <c r="B102" s="391"/>
      <c r="C102" s="391" t="s">
        <v>193</v>
      </c>
      <c r="D102" s="560">
        <v>180243023.44999999</v>
      </c>
      <c r="E102" s="560">
        <v>200105895.44999999</v>
      </c>
      <c r="F102" s="560">
        <v>150139342.44999999</v>
      </c>
      <c r="G102" s="560">
        <v>163320938.44999999</v>
      </c>
      <c r="H102" s="560">
        <v>162992411.44999999</v>
      </c>
      <c r="I102" s="560">
        <v>161417227.44999999</v>
      </c>
      <c r="J102" s="560">
        <v>155930897.44999999</v>
      </c>
      <c r="K102" s="560">
        <v>186620210.44999999</v>
      </c>
      <c r="L102" s="560">
        <v>221634549.44999999</v>
      </c>
      <c r="M102" s="560">
        <v>0</v>
      </c>
      <c r="N102" s="560">
        <v>0</v>
      </c>
      <c r="O102" s="560">
        <v>0</v>
      </c>
      <c r="P102" s="560">
        <v>0</v>
      </c>
      <c r="Q102" s="391"/>
      <c r="R102" s="391"/>
      <c r="S102" s="391" t="s">
        <v>196</v>
      </c>
      <c r="T102" s="560">
        <v>0</v>
      </c>
      <c r="U102" s="560">
        <v>0</v>
      </c>
      <c r="V102" s="560">
        <v>0</v>
      </c>
      <c r="W102" s="560">
        <v>0</v>
      </c>
      <c r="X102" s="560">
        <v>0</v>
      </c>
      <c r="Y102" s="560">
        <v>0</v>
      </c>
      <c r="Z102" s="560">
        <v>0</v>
      </c>
      <c r="AA102" s="560">
        <v>0</v>
      </c>
      <c r="AB102" s="560">
        <v>0</v>
      </c>
      <c r="AC102" s="560">
        <v>0</v>
      </c>
      <c r="AD102" s="560">
        <v>0</v>
      </c>
      <c r="AE102" s="560">
        <v>0</v>
      </c>
      <c r="AF102" s="560">
        <v>0</v>
      </c>
    </row>
    <row r="103" spans="1:32">
      <c r="A103" s="391"/>
      <c r="B103" s="391"/>
      <c r="C103" s="391" t="s">
        <v>195</v>
      </c>
      <c r="D103" s="560">
        <v>16912042</v>
      </c>
      <c r="E103" s="560">
        <v>14682349</v>
      </c>
      <c r="F103" s="560">
        <v>15664322</v>
      </c>
      <c r="G103" s="560">
        <v>15331128</v>
      </c>
      <c r="H103" s="560">
        <v>13769863</v>
      </c>
      <c r="I103" s="560">
        <v>11603180</v>
      </c>
      <c r="J103" s="560">
        <v>10415956</v>
      </c>
      <c r="K103" s="560">
        <v>15681609</v>
      </c>
      <c r="L103" s="560">
        <v>19286262</v>
      </c>
      <c r="M103" s="560">
        <v>0</v>
      </c>
      <c r="N103" s="560">
        <v>0</v>
      </c>
      <c r="O103" s="560">
        <v>0</v>
      </c>
      <c r="P103" s="560">
        <v>0</v>
      </c>
      <c r="Q103" s="391"/>
      <c r="R103" s="821" t="s">
        <v>192</v>
      </c>
      <c r="S103" s="391"/>
      <c r="T103" s="560">
        <v>0</v>
      </c>
      <c r="U103" s="894">
        <v>0</v>
      </c>
      <c r="V103" s="560">
        <v>0</v>
      </c>
      <c r="W103" s="560">
        <v>0</v>
      </c>
      <c r="X103" s="560">
        <v>0</v>
      </c>
      <c r="Y103" s="560">
        <v>0</v>
      </c>
      <c r="Z103" s="560">
        <v>0</v>
      </c>
      <c r="AA103" s="560">
        <v>0</v>
      </c>
      <c r="AB103" s="560">
        <v>0</v>
      </c>
      <c r="AC103" s="560">
        <v>0</v>
      </c>
      <c r="AD103" s="560">
        <v>0</v>
      </c>
      <c r="AE103" s="560">
        <v>0</v>
      </c>
      <c r="AF103" s="560">
        <v>0</v>
      </c>
    </row>
    <row r="104" spans="1:32">
      <c r="A104" s="391"/>
      <c r="B104" s="391"/>
      <c r="C104" s="391" t="s">
        <v>197</v>
      </c>
      <c r="D104" s="560">
        <v>163330981.44999999</v>
      </c>
      <c r="E104" s="560">
        <v>185423546.44999999</v>
      </c>
      <c r="F104" s="560">
        <v>134475020.44999999</v>
      </c>
      <c r="G104" s="560">
        <v>147989810.44999999</v>
      </c>
      <c r="H104" s="560">
        <v>149222548.44999999</v>
      </c>
      <c r="I104" s="560">
        <v>149814047.44999999</v>
      </c>
      <c r="J104" s="560">
        <v>145514941.44999999</v>
      </c>
      <c r="K104" s="560">
        <v>170938601.44999999</v>
      </c>
      <c r="L104" s="560">
        <v>202348287.44999999</v>
      </c>
      <c r="M104" s="560">
        <v>0</v>
      </c>
      <c r="N104" s="560">
        <v>0</v>
      </c>
      <c r="O104" s="560">
        <v>0</v>
      </c>
      <c r="P104" s="560">
        <v>0</v>
      </c>
      <c r="Q104" s="821" t="s">
        <v>419</v>
      </c>
      <c r="R104" s="391"/>
      <c r="S104" s="391"/>
      <c r="T104" s="560">
        <v>170936818.88</v>
      </c>
      <c r="U104" s="894">
        <v>248095442.88</v>
      </c>
      <c r="V104" s="560">
        <v>241266912.88</v>
      </c>
      <c r="W104" s="560">
        <v>189736439.88</v>
      </c>
      <c r="X104" s="560">
        <v>234020931.88</v>
      </c>
      <c r="Y104" s="560">
        <v>203798005.88</v>
      </c>
      <c r="Z104" s="560">
        <v>180052190.88</v>
      </c>
      <c r="AA104" s="560">
        <v>246000991.88</v>
      </c>
      <c r="AB104" s="560">
        <v>242148929.88</v>
      </c>
      <c r="AC104" s="560">
        <v>0</v>
      </c>
      <c r="AD104" s="560">
        <v>0</v>
      </c>
      <c r="AE104" s="560">
        <v>0</v>
      </c>
      <c r="AF104" s="560">
        <v>0</v>
      </c>
    </row>
    <row r="105" spans="1:32">
      <c r="A105" s="391"/>
      <c r="B105" s="391"/>
      <c r="C105" s="391" t="s">
        <v>198</v>
      </c>
      <c r="D105" s="560">
        <v>0</v>
      </c>
      <c r="E105" s="560">
        <v>0</v>
      </c>
      <c r="F105" s="560">
        <v>0</v>
      </c>
      <c r="G105" s="560">
        <v>0</v>
      </c>
      <c r="H105" s="560">
        <v>0</v>
      </c>
      <c r="I105" s="560">
        <v>0</v>
      </c>
      <c r="J105" s="560">
        <v>0</v>
      </c>
      <c r="K105" s="560">
        <v>0</v>
      </c>
      <c r="L105" s="560">
        <v>0</v>
      </c>
      <c r="M105" s="560">
        <v>0</v>
      </c>
      <c r="N105" s="560">
        <v>0</v>
      </c>
      <c r="O105" s="560">
        <v>0</v>
      </c>
      <c r="P105" s="560">
        <v>0</v>
      </c>
      <c r="Q105" s="821" t="s">
        <v>420</v>
      </c>
      <c r="R105" s="391"/>
      <c r="S105" s="391"/>
      <c r="T105" s="560"/>
      <c r="U105" s="560"/>
      <c r="V105" s="600"/>
      <c r="W105" s="600"/>
      <c r="X105" s="600"/>
      <c r="Y105" s="600"/>
      <c r="Z105" s="600"/>
      <c r="AA105" s="600"/>
      <c r="AB105" s="600"/>
      <c r="AC105" s="600"/>
      <c r="AD105" s="600"/>
      <c r="AE105" s="600"/>
      <c r="AF105" s="600"/>
    </row>
    <row r="106" spans="1:32">
      <c r="A106" s="391"/>
      <c r="B106" s="391"/>
      <c r="C106" s="391" t="s">
        <v>199</v>
      </c>
      <c r="D106" s="560">
        <v>0</v>
      </c>
      <c r="E106" s="560">
        <v>0</v>
      </c>
      <c r="F106" s="560">
        <v>0</v>
      </c>
      <c r="G106" s="560">
        <v>0</v>
      </c>
      <c r="H106" s="560">
        <v>0</v>
      </c>
      <c r="I106" s="560">
        <v>0</v>
      </c>
      <c r="J106" s="560">
        <v>0</v>
      </c>
      <c r="K106" s="560">
        <v>0</v>
      </c>
      <c r="L106" s="560">
        <v>0</v>
      </c>
      <c r="M106" s="560">
        <v>0</v>
      </c>
      <c r="N106" s="560">
        <v>0</v>
      </c>
      <c r="O106" s="560">
        <v>0</v>
      </c>
      <c r="P106" s="560">
        <v>0</v>
      </c>
      <c r="Q106" s="391"/>
      <c r="R106" s="821" t="s">
        <v>421</v>
      </c>
      <c r="S106" s="391"/>
      <c r="T106" s="560"/>
      <c r="U106" s="560"/>
      <c r="V106" s="600"/>
      <c r="W106" s="600"/>
      <c r="X106" s="600"/>
      <c r="Y106" s="600"/>
      <c r="Z106" s="600"/>
      <c r="AA106" s="600"/>
      <c r="AB106" s="600"/>
      <c r="AC106" s="600"/>
      <c r="AD106" s="600"/>
      <c r="AE106" s="600"/>
      <c r="AF106" s="600"/>
    </row>
    <row r="107" spans="1:32">
      <c r="A107" s="391"/>
      <c r="B107" s="391"/>
      <c r="C107" s="391" t="s">
        <v>200</v>
      </c>
      <c r="D107" s="560">
        <v>-572748</v>
      </c>
      <c r="E107" s="560">
        <v>-572748</v>
      </c>
      <c r="F107" s="560">
        <v>-419419</v>
      </c>
      <c r="G107" s="560">
        <v>0</v>
      </c>
      <c r="H107" s="560">
        <v>-5198</v>
      </c>
      <c r="I107" s="560">
        <v>0</v>
      </c>
      <c r="J107" s="560">
        <v>0</v>
      </c>
      <c r="K107" s="560">
        <v>0</v>
      </c>
      <c r="L107" s="560">
        <v>0</v>
      </c>
      <c r="M107" s="560">
        <v>0</v>
      </c>
      <c r="N107" s="560">
        <v>0</v>
      </c>
      <c r="O107" s="560">
        <v>0</v>
      </c>
      <c r="P107" s="560">
        <v>0</v>
      </c>
      <c r="Q107" s="391"/>
      <c r="R107" s="391"/>
      <c r="S107" s="391" t="s">
        <v>202</v>
      </c>
      <c r="T107" s="560">
        <v>335040000</v>
      </c>
      <c r="U107" s="560">
        <v>335040000</v>
      </c>
      <c r="V107" s="560">
        <v>335040000</v>
      </c>
      <c r="W107" s="560">
        <v>335040000</v>
      </c>
      <c r="X107" s="560">
        <v>335040000</v>
      </c>
      <c r="Y107" s="560">
        <v>335040000</v>
      </c>
      <c r="Z107" s="560">
        <v>335040000</v>
      </c>
      <c r="AA107" s="560">
        <v>335040000</v>
      </c>
      <c r="AB107" s="560">
        <v>335040000</v>
      </c>
      <c r="AC107" s="560">
        <v>0</v>
      </c>
      <c r="AD107" s="560">
        <v>0</v>
      </c>
      <c r="AE107" s="560">
        <v>0</v>
      </c>
      <c r="AF107" s="560">
        <v>0</v>
      </c>
    </row>
    <row r="108" spans="1:32">
      <c r="A108" s="391"/>
      <c r="B108" s="391"/>
      <c r="C108" s="391" t="s">
        <v>201</v>
      </c>
      <c r="D108" s="560">
        <v>0</v>
      </c>
      <c r="E108" s="560">
        <v>0</v>
      </c>
      <c r="F108" s="560">
        <v>0</v>
      </c>
      <c r="G108" s="560">
        <v>0</v>
      </c>
      <c r="H108" s="560">
        <v>0</v>
      </c>
      <c r="I108" s="560">
        <v>0</v>
      </c>
      <c r="J108" s="560">
        <v>0</v>
      </c>
      <c r="K108" s="560">
        <v>0</v>
      </c>
      <c r="L108" s="560">
        <v>0</v>
      </c>
      <c r="M108" s="560">
        <v>0</v>
      </c>
      <c r="N108" s="560">
        <v>0</v>
      </c>
      <c r="O108" s="560">
        <v>0</v>
      </c>
      <c r="P108" s="560">
        <v>0</v>
      </c>
      <c r="Q108" s="391"/>
      <c r="R108" s="391"/>
      <c r="S108" s="391" t="s">
        <v>204</v>
      </c>
      <c r="T108" s="560">
        <v>0</v>
      </c>
      <c r="U108" s="560">
        <v>0</v>
      </c>
      <c r="V108" s="560">
        <v>0</v>
      </c>
      <c r="W108" s="560">
        <v>0</v>
      </c>
      <c r="X108" s="560">
        <v>0</v>
      </c>
      <c r="Y108" s="560">
        <v>0</v>
      </c>
      <c r="Z108" s="560">
        <v>0</v>
      </c>
      <c r="AA108" s="560">
        <v>0</v>
      </c>
      <c r="AB108" s="560">
        <v>0</v>
      </c>
      <c r="AC108" s="560">
        <v>0</v>
      </c>
      <c r="AD108" s="560">
        <v>0</v>
      </c>
      <c r="AE108" s="560">
        <v>0</v>
      </c>
      <c r="AF108" s="560">
        <v>0</v>
      </c>
    </row>
    <row r="109" spans="1:32">
      <c r="A109" s="391"/>
      <c r="B109" s="391"/>
      <c r="C109" s="391" t="s">
        <v>203</v>
      </c>
      <c r="D109" s="560">
        <v>0</v>
      </c>
      <c r="E109" s="560">
        <v>0</v>
      </c>
      <c r="F109" s="560">
        <v>0</v>
      </c>
      <c r="G109" s="560">
        <v>0</v>
      </c>
      <c r="H109" s="560">
        <v>0</v>
      </c>
      <c r="I109" s="560">
        <v>0</v>
      </c>
      <c r="J109" s="560">
        <v>0</v>
      </c>
      <c r="K109" s="560">
        <v>0</v>
      </c>
      <c r="L109" s="560">
        <v>0</v>
      </c>
      <c r="M109" s="560">
        <v>0</v>
      </c>
      <c r="N109" s="560">
        <v>0</v>
      </c>
      <c r="O109" s="560">
        <v>0</v>
      </c>
      <c r="P109" s="560">
        <v>0</v>
      </c>
      <c r="Q109" s="391"/>
      <c r="R109" s="391"/>
      <c r="S109" s="391" t="s">
        <v>206</v>
      </c>
      <c r="T109" s="560">
        <v>0</v>
      </c>
      <c r="U109" s="560">
        <v>0</v>
      </c>
      <c r="V109" s="560">
        <v>0</v>
      </c>
      <c r="W109" s="560">
        <v>0</v>
      </c>
      <c r="X109" s="560">
        <v>0</v>
      </c>
      <c r="Y109" s="560">
        <v>0</v>
      </c>
      <c r="Z109" s="560">
        <v>0</v>
      </c>
      <c r="AA109" s="560">
        <v>0</v>
      </c>
      <c r="AB109" s="560">
        <v>0</v>
      </c>
      <c r="AC109" s="560">
        <v>0</v>
      </c>
      <c r="AD109" s="560">
        <v>0</v>
      </c>
      <c r="AE109" s="560">
        <v>0</v>
      </c>
      <c r="AF109" s="560">
        <v>0</v>
      </c>
    </row>
    <row r="110" spans="1:32">
      <c r="A110" s="391"/>
      <c r="B110" s="391"/>
      <c r="C110" s="391" t="s">
        <v>205</v>
      </c>
      <c r="D110" s="560">
        <v>0</v>
      </c>
      <c r="E110" s="560">
        <v>0</v>
      </c>
      <c r="F110" s="560">
        <v>0</v>
      </c>
      <c r="G110" s="560">
        <v>0</v>
      </c>
      <c r="H110" s="560">
        <v>0</v>
      </c>
      <c r="I110" s="560">
        <v>0</v>
      </c>
      <c r="J110" s="560">
        <v>0</v>
      </c>
      <c r="K110" s="560">
        <v>0</v>
      </c>
      <c r="L110" s="560">
        <v>0</v>
      </c>
      <c r="M110" s="560">
        <v>0</v>
      </c>
      <c r="N110" s="560">
        <v>0</v>
      </c>
      <c r="O110" s="560">
        <v>0</v>
      </c>
      <c r="P110" s="560">
        <v>0</v>
      </c>
      <c r="Q110" s="391"/>
      <c r="R110" s="391"/>
      <c r="S110" s="391" t="s">
        <v>208</v>
      </c>
      <c r="T110" s="560">
        <v>0</v>
      </c>
      <c r="U110" s="560">
        <v>0</v>
      </c>
      <c r="V110" s="560">
        <v>0</v>
      </c>
      <c r="W110" s="560">
        <v>0</v>
      </c>
      <c r="X110" s="560">
        <v>0</v>
      </c>
      <c r="Y110" s="560">
        <v>0</v>
      </c>
      <c r="Z110" s="560">
        <v>0</v>
      </c>
      <c r="AA110" s="560">
        <v>0</v>
      </c>
      <c r="AB110" s="560">
        <v>0</v>
      </c>
      <c r="AC110" s="560">
        <v>0</v>
      </c>
      <c r="AD110" s="560">
        <v>0</v>
      </c>
      <c r="AE110" s="560">
        <v>0</v>
      </c>
      <c r="AF110" s="560">
        <v>0</v>
      </c>
    </row>
    <row r="111" spans="1:32">
      <c r="A111" s="391"/>
      <c r="B111" s="391"/>
      <c r="C111" s="391" t="s">
        <v>207</v>
      </c>
      <c r="D111" s="560">
        <v>47874</v>
      </c>
      <c r="E111" s="560">
        <v>5333375</v>
      </c>
      <c r="F111" s="560">
        <v>47874</v>
      </c>
      <c r="G111" s="560">
        <v>4893395</v>
      </c>
      <c r="H111" s="560">
        <v>159</v>
      </c>
      <c r="I111" s="560">
        <v>5366020</v>
      </c>
      <c r="J111" s="560">
        <v>159</v>
      </c>
      <c r="K111" s="560">
        <v>4790045</v>
      </c>
      <c r="L111" s="560">
        <v>159</v>
      </c>
      <c r="M111" s="560">
        <v>0</v>
      </c>
      <c r="N111" s="560">
        <v>0</v>
      </c>
      <c r="O111" s="560">
        <v>0</v>
      </c>
      <c r="P111" s="560">
        <v>0</v>
      </c>
      <c r="Q111" s="391"/>
      <c r="R111" s="821" t="s">
        <v>399</v>
      </c>
      <c r="S111" s="391"/>
      <c r="T111" s="560">
        <v>335040000</v>
      </c>
      <c r="U111" s="894">
        <v>335040000</v>
      </c>
      <c r="V111" s="560">
        <v>335040000</v>
      </c>
      <c r="W111" s="560">
        <v>335040000</v>
      </c>
      <c r="X111" s="560">
        <v>335040000</v>
      </c>
      <c r="Y111" s="560">
        <v>335040000</v>
      </c>
      <c r="Z111" s="560">
        <v>335040000</v>
      </c>
      <c r="AA111" s="560">
        <v>335040000</v>
      </c>
      <c r="AB111" s="560">
        <v>335040000</v>
      </c>
      <c r="AC111" s="560">
        <v>0</v>
      </c>
      <c r="AD111" s="560">
        <v>0</v>
      </c>
      <c r="AE111" s="560">
        <v>0</v>
      </c>
      <c r="AF111" s="560">
        <v>0</v>
      </c>
    </row>
    <row r="112" spans="1:32">
      <c r="A112" s="391"/>
      <c r="B112" s="391"/>
      <c r="C112" s="391" t="s">
        <v>209</v>
      </c>
      <c r="D112" s="560">
        <v>47874</v>
      </c>
      <c r="E112" s="560">
        <v>5333375</v>
      </c>
      <c r="F112" s="560">
        <v>47874</v>
      </c>
      <c r="G112" s="560">
        <v>4893395</v>
      </c>
      <c r="H112" s="560">
        <v>159</v>
      </c>
      <c r="I112" s="560">
        <v>5366020</v>
      </c>
      <c r="J112" s="560">
        <v>159</v>
      </c>
      <c r="K112" s="560">
        <v>4790045</v>
      </c>
      <c r="L112" s="560">
        <v>159</v>
      </c>
      <c r="M112" s="560">
        <v>0</v>
      </c>
      <c r="N112" s="560">
        <v>0</v>
      </c>
      <c r="O112" s="560">
        <v>0</v>
      </c>
      <c r="P112" s="560">
        <v>0</v>
      </c>
      <c r="Q112" s="391"/>
      <c r="R112" s="821" t="s">
        <v>400</v>
      </c>
      <c r="S112" s="391"/>
      <c r="T112" s="560"/>
      <c r="U112" s="560"/>
      <c r="V112" s="600"/>
      <c r="W112" s="600"/>
      <c r="X112" s="600"/>
      <c r="Y112" s="600"/>
      <c r="Z112" s="600"/>
      <c r="AA112" s="600"/>
      <c r="AB112" s="600"/>
      <c r="AC112" s="600"/>
      <c r="AD112" s="600"/>
      <c r="AE112" s="600"/>
      <c r="AF112" s="600"/>
    </row>
    <row r="113" spans="1:32">
      <c r="A113" s="391"/>
      <c r="B113" s="391"/>
      <c r="C113" s="391" t="s">
        <v>210</v>
      </c>
      <c r="D113" s="560">
        <v>0</v>
      </c>
      <c r="E113" s="560">
        <v>0</v>
      </c>
      <c r="F113" s="560">
        <v>0</v>
      </c>
      <c r="G113" s="560">
        <v>0</v>
      </c>
      <c r="H113" s="560">
        <v>0</v>
      </c>
      <c r="I113" s="560">
        <v>0</v>
      </c>
      <c r="J113" s="560">
        <v>0</v>
      </c>
      <c r="K113" s="560">
        <v>0</v>
      </c>
      <c r="L113" s="560">
        <v>0</v>
      </c>
      <c r="M113" s="560">
        <v>0</v>
      </c>
      <c r="N113" s="560">
        <v>0</v>
      </c>
      <c r="O113" s="560">
        <v>0</v>
      </c>
      <c r="P113" s="560">
        <v>0</v>
      </c>
      <c r="Q113" s="391"/>
      <c r="R113" s="391"/>
      <c r="S113" s="391" t="s">
        <v>212</v>
      </c>
      <c r="T113" s="560">
        <v>20000</v>
      </c>
      <c r="U113" s="560">
        <v>20000</v>
      </c>
      <c r="V113" s="560">
        <v>20000</v>
      </c>
      <c r="W113" s="560">
        <v>20000</v>
      </c>
      <c r="X113" s="560">
        <v>20000</v>
      </c>
      <c r="Y113" s="560">
        <v>20000</v>
      </c>
      <c r="Z113" s="560">
        <v>20000</v>
      </c>
      <c r="AA113" s="560">
        <v>20000</v>
      </c>
      <c r="AB113" s="560">
        <v>20000</v>
      </c>
      <c r="AC113" s="560">
        <v>0</v>
      </c>
      <c r="AD113" s="560">
        <v>0</v>
      </c>
      <c r="AE113" s="560">
        <v>0</v>
      </c>
      <c r="AF113" s="560">
        <v>0</v>
      </c>
    </row>
    <row r="114" spans="1:32">
      <c r="A114" s="391"/>
      <c r="B114" s="391"/>
      <c r="C114" s="391" t="s">
        <v>211</v>
      </c>
      <c r="D114" s="560">
        <v>0</v>
      </c>
      <c r="E114" s="560">
        <v>0</v>
      </c>
      <c r="F114" s="560">
        <v>0</v>
      </c>
      <c r="G114" s="560">
        <v>0</v>
      </c>
      <c r="H114" s="560">
        <v>0</v>
      </c>
      <c r="I114" s="560">
        <v>0</v>
      </c>
      <c r="J114" s="560">
        <v>0</v>
      </c>
      <c r="K114" s="560">
        <v>0</v>
      </c>
      <c r="L114" s="560">
        <v>0</v>
      </c>
      <c r="M114" s="560">
        <v>0</v>
      </c>
      <c r="N114" s="560">
        <v>0</v>
      </c>
      <c r="O114" s="560">
        <v>0</v>
      </c>
      <c r="P114" s="560">
        <v>0</v>
      </c>
      <c r="Q114" s="391"/>
      <c r="R114" s="391"/>
      <c r="S114" s="391" t="s">
        <v>214</v>
      </c>
      <c r="T114" s="560">
        <v>20000</v>
      </c>
      <c r="U114" s="560">
        <v>20000</v>
      </c>
      <c r="V114" s="560">
        <v>20000</v>
      </c>
      <c r="W114" s="560">
        <v>20000</v>
      </c>
      <c r="X114" s="560">
        <v>20000</v>
      </c>
      <c r="Y114" s="560">
        <v>20000</v>
      </c>
      <c r="Z114" s="560">
        <v>20000</v>
      </c>
      <c r="AA114" s="560">
        <v>20000</v>
      </c>
      <c r="AB114" s="560">
        <v>20000</v>
      </c>
      <c r="AC114" s="560">
        <v>0</v>
      </c>
      <c r="AD114" s="560">
        <v>0</v>
      </c>
      <c r="AE114" s="560">
        <v>0</v>
      </c>
      <c r="AF114" s="560">
        <v>0</v>
      </c>
    </row>
    <row r="115" spans="1:32">
      <c r="A115" s="391"/>
      <c r="B115" s="391"/>
      <c r="C115" s="391" t="s">
        <v>213</v>
      </c>
      <c r="D115" s="560">
        <v>0</v>
      </c>
      <c r="E115" s="560">
        <v>0</v>
      </c>
      <c r="F115" s="560">
        <v>0</v>
      </c>
      <c r="G115" s="560">
        <v>0</v>
      </c>
      <c r="H115" s="560">
        <v>0</v>
      </c>
      <c r="I115" s="560">
        <v>0</v>
      </c>
      <c r="J115" s="560">
        <v>0</v>
      </c>
      <c r="K115" s="560">
        <v>0</v>
      </c>
      <c r="L115" s="560">
        <v>0</v>
      </c>
      <c r="M115" s="560">
        <v>0</v>
      </c>
      <c r="N115" s="560">
        <v>0</v>
      </c>
      <c r="O115" s="560">
        <v>0</v>
      </c>
      <c r="P115" s="560">
        <v>0</v>
      </c>
      <c r="Q115" s="391"/>
      <c r="R115" s="391"/>
      <c r="S115" s="391" t="s">
        <v>216</v>
      </c>
      <c r="T115" s="560">
        <v>0</v>
      </c>
      <c r="U115" s="560">
        <v>0</v>
      </c>
      <c r="V115" s="560">
        <v>0</v>
      </c>
      <c r="W115" s="560">
        <v>0</v>
      </c>
      <c r="X115" s="560">
        <v>0</v>
      </c>
      <c r="Y115" s="560">
        <v>0</v>
      </c>
      <c r="Z115" s="560">
        <v>0</v>
      </c>
      <c r="AA115" s="560">
        <v>0</v>
      </c>
      <c r="AB115" s="560">
        <v>0</v>
      </c>
      <c r="AC115" s="560">
        <v>0</v>
      </c>
      <c r="AD115" s="560">
        <v>0</v>
      </c>
      <c r="AE115" s="560">
        <v>0</v>
      </c>
      <c r="AF115" s="560">
        <v>0</v>
      </c>
    </row>
    <row r="116" spans="1:32">
      <c r="A116" s="391"/>
      <c r="B116" s="391"/>
      <c r="C116" s="391" t="s">
        <v>215</v>
      </c>
      <c r="D116" s="560">
        <v>0</v>
      </c>
      <c r="E116" s="560">
        <v>0</v>
      </c>
      <c r="F116" s="560">
        <v>0</v>
      </c>
      <c r="G116" s="560">
        <v>0</v>
      </c>
      <c r="H116" s="560">
        <v>0</v>
      </c>
      <c r="I116" s="560">
        <v>0</v>
      </c>
      <c r="J116" s="560">
        <v>0</v>
      </c>
      <c r="K116" s="560">
        <v>0</v>
      </c>
      <c r="L116" s="560">
        <v>0</v>
      </c>
      <c r="M116" s="560">
        <v>0</v>
      </c>
      <c r="N116" s="560">
        <v>0</v>
      </c>
      <c r="O116" s="560">
        <v>0</v>
      </c>
      <c r="P116" s="560">
        <v>0</v>
      </c>
      <c r="Q116" s="391"/>
      <c r="R116" s="391"/>
      <c r="S116" s="391" t="s">
        <v>218</v>
      </c>
      <c r="T116" s="560">
        <v>0</v>
      </c>
      <c r="U116" s="560">
        <v>0</v>
      </c>
      <c r="V116" s="560">
        <v>0</v>
      </c>
      <c r="W116" s="560">
        <v>0</v>
      </c>
      <c r="X116" s="560">
        <v>0</v>
      </c>
      <c r="Y116" s="560">
        <v>0</v>
      </c>
      <c r="Z116" s="560">
        <v>0</v>
      </c>
      <c r="AA116" s="560">
        <v>0</v>
      </c>
      <c r="AB116" s="560">
        <v>0</v>
      </c>
      <c r="AC116" s="560">
        <v>0</v>
      </c>
      <c r="AD116" s="560">
        <v>0</v>
      </c>
      <c r="AE116" s="560">
        <v>0</v>
      </c>
      <c r="AF116" s="560">
        <v>0</v>
      </c>
    </row>
    <row r="117" spans="1:32">
      <c r="A117" s="391"/>
      <c r="B117" s="391"/>
      <c r="C117" s="391" t="s">
        <v>217</v>
      </c>
      <c r="D117" s="560">
        <v>0</v>
      </c>
      <c r="E117" s="560">
        <v>0</v>
      </c>
      <c r="F117" s="560">
        <v>0</v>
      </c>
      <c r="G117" s="560">
        <v>0</v>
      </c>
      <c r="H117" s="560">
        <v>0</v>
      </c>
      <c r="I117" s="560">
        <v>0</v>
      </c>
      <c r="J117" s="560">
        <v>0</v>
      </c>
      <c r="K117" s="560">
        <v>0</v>
      </c>
      <c r="L117" s="560">
        <v>0</v>
      </c>
      <c r="M117" s="560">
        <v>0</v>
      </c>
      <c r="N117" s="560">
        <v>0</v>
      </c>
      <c r="O117" s="560">
        <v>0</v>
      </c>
      <c r="P117" s="560">
        <v>0</v>
      </c>
      <c r="Q117" s="391"/>
      <c r="R117" s="391"/>
      <c r="S117" s="391" t="s">
        <v>220</v>
      </c>
      <c r="T117" s="560">
        <v>0</v>
      </c>
      <c r="U117" s="560">
        <v>0</v>
      </c>
      <c r="V117" s="560">
        <v>0</v>
      </c>
      <c r="W117" s="560">
        <v>0</v>
      </c>
      <c r="X117" s="560">
        <v>0</v>
      </c>
      <c r="Y117" s="560">
        <v>0</v>
      </c>
      <c r="Z117" s="560">
        <v>0</v>
      </c>
      <c r="AA117" s="560">
        <v>0</v>
      </c>
      <c r="AB117" s="560">
        <v>0</v>
      </c>
      <c r="AC117" s="560">
        <v>0</v>
      </c>
      <c r="AD117" s="560">
        <v>0</v>
      </c>
      <c r="AE117" s="560">
        <v>0</v>
      </c>
      <c r="AF117" s="560">
        <v>0</v>
      </c>
    </row>
    <row r="118" spans="1:32">
      <c r="A118" s="391"/>
      <c r="B118" s="391"/>
      <c r="C118" s="391" t="s">
        <v>219</v>
      </c>
      <c r="D118" s="560">
        <v>0</v>
      </c>
      <c r="E118" s="560">
        <v>0</v>
      </c>
      <c r="F118" s="560">
        <v>0</v>
      </c>
      <c r="G118" s="560">
        <v>0</v>
      </c>
      <c r="H118" s="560">
        <v>0</v>
      </c>
      <c r="I118" s="560">
        <v>0</v>
      </c>
      <c r="J118" s="560">
        <v>0</v>
      </c>
      <c r="K118" s="560">
        <v>0</v>
      </c>
      <c r="L118" s="560">
        <v>0</v>
      </c>
      <c r="M118" s="560">
        <v>0</v>
      </c>
      <c r="N118" s="560">
        <v>0</v>
      </c>
      <c r="O118" s="560">
        <v>0</v>
      </c>
      <c r="P118" s="560">
        <v>0</v>
      </c>
      <c r="Q118" s="391"/>
      <c r="R118" s="391"/>
      <c r="S118" s="391" t="s">
        <v>222</v>
      </c>
      <c r="T118" s="560">
        <v>0</v>
      </c>
      <c r="U118" s="560">
        <v>0</v>
      </c>
      <c r="V118" s="560">
        <v>0</v>
      </c>
      <c r="W118" s="560">
        <v>0</v>
      </c>
      <c r="X118" s="560">
        <v>0</v>
      </c>
      <c r="Y118" s="560">
        <v>0</v>
      </c>
      <c r="Z118" s="560">
        <v>0</v>
      </c>
      <c r="AA118" s="560">
        <v>0</v>
      </c>
      <c r="AB118" s="560">
        <v>0</v>
      </c>
      <c r="AC118" s="560">
        <v>0</v>
      </c>
      <c r="AD118" s="560">
        <v>0</v>
      </c>
      <c r="AE118" s="560">
        <v>0</v>
      </c>
      <c r="AF118" s="560">
        <v>0</v>
      </c>
    </row>
    <row r="119" spans="1:32">
      <c r="A119" s="391"/>
      <c r="B119" s="391"/>
      <c r="C119" s="391" t="s">
        <v>221</v>
      </c>
      <c r="D119" s="560">
        <v>0</v>
      </c>
      <c r="E119" s="560">
        <v>0</v>
      </c>
      <c r="F119" s="560">
        <v>0</v>
      </c>
      <c r="G119" s="560">
        <v>0</v>
      </c>
      <c r="H119" s="560">
        <v>0</v>
      </c>
      <c r="I119" s="560">
        <v>0</v>
      </c>
      <c r="J119" s="560">
        <v>0</v>
      </c>
      <c r="K119" s="560">
        <v>0</v>
      </c>
      <c r="L119" s="560">
        <v>0</v>
      </c>
      <c r="M119" s="560">
        <v>0</v>
      </c>
      <c r="N119" s="560">
        <v>0</v>
      </c>
      <c r="O119" s="560">
        <v>0</v>
      </c>
      <c r="P119" s="560">
        <v>0</v>
      </c>
      <c r="Q119" s="391"/>
      <c r="R119" s="391"/>
      <c r="S119" s="391" t="s">
        <v>224</v>
      </c>
      <c r="T119" s="560">
        <v>0</v>
      </c>
      <c r="U119" s="560">
        <v>0</v>
      </c>
      <c r="V119" s="560">
        <v>0</v>
      </c>
      <c r="W119" s="560">
        <v>0</v>
      </c>
      <c r="X119" s="560">
        <v>0</v>
      </c>
      <c r="Y119" s="560">
        <v>0</v>
      </c>
      <c r="Z119" s="560">
        <v>0</v>
      </c>
      <c r="AA119" s="560">
        <v>0</v>
      </c>
      <c r="AB119" s="560">
        <v>0</v>
      </c>
      <c r="AC119" s="560">
        <v>0</v>
      </c>
      <c r="AD119" s="560">
        <v>0</v>
      </c>
      <c r="AE119" s="560">
        <v>0</v>
      </c>
      <c r="AF119" s="560">
        <v>0</v>
      </c>
    </row>
    <row r="120" spans="1:32">
      <c r="A120" s="391"/>
      <c r="B120" s="391"/>
      <c r="C120" s="391" t="s">
        <v>223</v>
      </c>
      <c r="D120" s="560">
        <v>0</v>
      </c>
      <c r="E120" s="560">
        <v>0</v>
      </c>
      <c r="F120" s="560">
        <v>0</v>
      </c>
      <c r="G120" s="560">
        <v>0</v>
      </c>
      <c r="H120" s="560">
        <v>0</v>
      </c>
      <c r="I120" s="560">
        <v>0</v>
      </c>
      <c r="J120" s="560">
        <v>0</v>
      </c>
      <c r="K120" s="560">
        <v>0</v>
      </c>
      <c r="L120" s="560">
        <v>0</v>
      </c>
      <c r="M120" s="560">
        <v>0</v>
      </c>
      <c r="N120" s="560">
        <v>0</v>
      </c>
      <c r="O120" s="560">
        <v>0</v>
      </c>
      <c r="P120" s="560">
        <v>0</v>
      </c>
      <c r="Q120" s="391"/>
      <c r="R120" s="821" t="s">
        <v>401</v>
      </c>
      <c r="S120" s="391"/>
      <c r="T120" s="560">
        <v>20000</v>
      </c>
      <c r="U120" s="894">
        <v>20000</v>
      </c>
      <c r="V120" s="560">
        <v>20000</v>
      </c>
      <c r="W120" s="560">
        <v>20000</v>
      </c>
      <c r="X120" s="560">
        <v>20000</v>
      </c>
      <c r="Y120" s="560">
        <v>20000</v>
      </c>
      <c r="Z120" s="560">
        <v>20000</v>
      </c>
      <c r="AA120" s="560">
        <v>20000</v>
      </c>
      <c r="AB120" s="560">
        <v>20000</v>
      </c>
      <c r="AC120" s="560">
        <v>0</v>
      </c>
      <c r="AD120" s="560">
        <v>0</v>
      </c>
      <c r="AE120" s="560">
        <v>0</v>
      </c>
      <c r="AF120" s="560">
        <v>0</v>
      </c>
    </row>
    <row r="121" spans="1:32">
      <c r="A121" s="391"/>
      <c r="B121" s="391"/>
      <c r="C121" s="391" t="s">
        <v>225</v>
      </c>
      <c r="D121" s="560">
        <v>108341392.23999999</v>
      </c>
      <c r="E121" s="560">
        <v>129244030.23999999</v>
      </c>
      <c r="F121" s="560">
        <v>127297267.23999999</v>
      </c>
      <c r="G121" s="560">
        <v>135637868.24000001</v>
      </c>
      <c r="H121" s="560">
        <v>145508510.24000001</v>
      </c>
      <c r="I121" s="560">
        <v>157204967.24000001</v>
      </c>
      <c r="J121" s="560">
        <v>135901104.24000001</v>
      </c>
      <c r="K121" s="560">
        <v>148178476.24000001</v>
      </c>
      <c r="L121" s="560">
        <v>150450770.24000001</v>
      </c>
      <c r="M121" s="560">
        <v>0</v>
      </c>
      <c r="N121" s="560">
        <v>0</v>
      </c>
      <c r="O121" s="560">
        <v>0</v>
      </c>
      <c r="P121" s="560">
        <v>0</v>
      </c>
      <c r="Q121" s="391"/>
      <c r="R121" s="821" t="s">
        <v>402</v>
      </c>
      <c r="S121" s="391"/>
      <c r="T121" s="560"/>
      <c r="U121" s="560"/>
      <c r="V121" s="600"/>
      <c r="W121" s="600"/>
      <c r="X121" s="600"/>
      <c r="Y121" s="600"/>
      <c r="Z121" s="600"/>
      <c r="AA121" s="600"/>
      <c r="AB121" s="600"/>
      <c r="AC121" s="600"/>
      <c r="AD121" s="600"/>
      <c r="AE121" s="600"/>
      <c r="AF121" s="600"/>
    </row>
    <row r="122" spans="1:32">
      <c r="A122" s="391"/>
      <c r="B122" s="391"/>
      <c r="C122" s="391" t="s">
        <v>226</v>
      </c>
      <c r="D122" s="560">
        <v>352133</v>
      </c>
      <c r="E122" s="560">
        <v>354126</v>
      </c>
      <c r="F122" s="560">
        <v>354126</v>
      </c>
      <c r="G122" s="560">
        <v>150039</v>
      </c>
      <c r="H122" s="560">
        <v>150039</v>
      </c>
      <c r="I122" s="560">
        <v>199539</v>
      </c>
      <c r="J122" s="560">
        <v>199539</v>
      </c>
      <c r="K122" s="560">
        <v>199539</v>
      </c>
      <c r="L122" s="560">
        <v>199539</v>
      </c>
      <c r="M122" s="560">
        <v>0</v>
      </c>
      <c r="N122" s="560">
        <v>0</v>
      </c>
      <c r="O122" s="560">
        <v>0</v>
      </c>
      <c r="P122" s="560">
        <v>0</v>
      </c>
      <c r="Q122" s="391"/>
      <c r="R122" s="391"/>
      <c r="S122" s="391" t="s">
        <v>228</v>
      </c>
      <c r="T122" s="560">
        <v>0</v>
      </c>
      <c r="U122" s="560">
        <v>0</v>
      </c>
      <c r="V122" s="560">
        <v>0</v>
      </c>
      <c r="W122" s="560">
        <v>0</v>
      </c>
      <c r="X122" s="560">
        <v>0</v>
      </c>
      <c r="Y122" s="560">
        <v>0</v>
      </c>
      <c r="Z122" s="560">
        <v>0</v>
      </c>
      <c r="AA122" s="560">
        <v>0</v>
      </c>
      <c r="AB122" s="560">
        <v>0</v>
      </c>
      <c r="AC122" s="560">
        <v>0</v>
      </c>
      <c r="AD122" s="560">
        <v>0</v>
      </c>
      <c r="AE122" s="560">
        <v>0</v>
      </c>
      <c r="AF122" s="560">
        <v>0</v>
      </c>
    </row>
    <row r="123" spans="1:32">
      <c r="A123" s="391"/>
      <c r="B123" s="391"/>
      <c r="C123" s="391" t="s">
        <v>227</v>
      </c>
      <c r="D123" s="560">
        <v>6707443</v>
      </c>
      <c r="E123" s="560">
        <v>12626785</v>
      </c>
      <c r="F123" s="560">
        <v>12187622</v>
      </c>
      <c r="G123" s="560">
        <v>18434721</v>
      </c>
      <c r="H123" s="560">
        <v>19231771</v>
      </c>
      <c r="I123" s="560">
        <v>23094945</v>
      </c>
      <c r="J123" s="560">
        <v>19863891</v>
      </c>
      <c r="K123" s="560">
        <v>20781840</v>
      </c>
      <c r="L123" s="560">
        <v>30532465</v>
      </c>
      <c r="M123" s="560">
        <v>0</v>
      </c>
      <c r="N123" s="560">
        <v>0</v>
      </c>
      <c r="O123" s="560">
        <v>0</v>
      </c>
      <c r="P123" s="560">
        <v>0</v>
      </c>
      <c r="Q123" s="391"/>
      <c r="R123" s="391"/>
      <c r="S123" s="391" t="s">
        <v>230</v>
      </c>
      <c r="T123" s="560">
        <v>0</v>
      </c>
      <c r="U123" s="560">
        <v>0</v>
      </c>
      <c r="V123" s="560">
        <v>0</v>
      </c>
      <c r="W123" s="560">
        <v>0</v>
      </c>
      <c r="X123" s="560">
        <v>0</v>
      </c>
      <c r="Y123" s="560">
        <v>0</v>
      </c>
      <c r="Z123" s="560">
        <v>0</v>
      </c>
      <c r="AA123" s="560">
        <v>0</v>
      </c>
      <c r="AB123" s="560">
        <v>0</v>
      </c>
      <c r="AC123" s="560">
        <v>0</v>
      </c>
      <c r="AD123" s="560">
        <v>0</v>
      </c>
      <c r="AE123" s="560">
        <v>0</v>
      </c>
      <c r="AF123" s="560">
        <v>0</v>
      </c>
    </row>
    <row r="124" spans="1:32">
      <c r="A124" s="391"/>
      <c r="B124" s="391"/>
      <c r="C124" s="391" t="s">
        <v>229</v>
      </c>
      <c r="D124" s="560">
        <v>67245</v>
      </c>
      <c r="E124" s="560">
        <v>67245</v>
      </c>
      <c r="F124" s="560">
        <v>74270</v>
      </c>
      <c r="G124" s="560">
        <v>313702</v>
      </c>
      <c r="H124" s="560">
        <v>682218</v>
      </c>
      <c r="I124" s="560">
        <v>677423</v>
      </c>
      <c r="J124" s="560">
        <v>889828</v>
      </c>
      <c r="K124" s="560">
        <v>440017</v>
      </c>
      <c r="L124" s="560">
        <v>334245</v>
      </c>
      <c r="M124" s="560">
        <v>0</v>
      </c>
      <c r="N124" s="560">
        <v>0</v>
      </c>
      <c r="O124" s="560">
        <v>0</v>
      </c>
      <c r="P124" s="560">
        <v>0</v>
      </c>
      <c r="Q124" s="391"/>
      <c r="R124" s="391"/>
      <c r="S124" s="391" t="s">
        <v>232</v>
      </c>
      <c r="T124" s="560">
        <v>-75978390.519999996</v>
      </c>
      <c r="U124" s="560">
        <v>-83734563.519999996</v>
      </c>
      <c r="V124" s="560">
        <v>-94707019.519999996</v>
      </c>
      <c r="W124" s="560">
        <v>-92648547.519999996</v>
      </c>
      <c r="X124" s="560">
        <v>-93548877.519999996</v>
      </c>
      <c r="Y124" s="560">
        <v>-95248521.519999996</v>
      </c>
      <c r="Z124" s="560">
        <v>-91236254.519999996</v>
      </c>
      <c r="AA124" s="560">
        <v>-91882082.519999996</v>
      </c>
      <c r="AB124" s="560">
        <v>-89592242.519999996</v>
      </c>
      <c r="AC124" s="560">
        <v>0</v>
      </c>
      <c r="AD124" s="560">
        <v>0</v>
      </c>
      <c r="AE124" s="560">
        <v>0</v>
      </c>
      <c r="AF124" s="560">
        <v>0</v>
      </c>
    </row>
    <row r="125" spans="1:32">
      <c r="A125" s="391"/>
      <c r="B125" s="391"/>
      <c r="C125" s="391" t="s">
        <v>231</v>
      </c>
      <c r="D125" s="560">
        <v>30479971.239999998</v>
      </c>
      <c r="E125" s="560">
        <v>30677286.239999998</v>
      </c>
      <c r="F125" s="560">
        <v>30540446.239999998</v>
      </c>
      <c r="G125" s="560">
        <v>32374919.239999998</v>
      </c>
      <c r="H125" s="560">
        <v>31075695.239999998</v>
      </c>
      <c r="I125" s="560">
        <v>43784749.240000002</v>
      </c>
      <c r="J125" s="560">
        <v>35930703.240000002</v>
      </c>
      <c r="K125" s="560">
        <v>32877028.239999998</v>
      </c>
      <c r="L125" s="560">
        <v>34239687.240000002</v>
      </c>
      <c r="M125" s="560">
        <v>0</v>
      </c>
      <c r="N125" s="560">
        <v>0</v>
      </c>
      <c r="O125" s="560">
        <v>0</v>
      </c>
      <c r="P125" s="560">
        <v>0</v>
      </c>
      <c r="Q125" s="391"/>
      <c r="R125" s="391"/>
      <c r="S125" s="391" t="s">
        <v>234</v>
      </c>
      <c r="T125" s="560">
        <v>-109565749.52</v>
      </c>
      <c r="U125" s="560">
        <v>-75978390.519999996</v>
      </c>
      <c r="V125" s="560">
        <v>-75978390.519999996</v>
      </c>
      <c r="W125" s="560">
        <v>-75978390.519999996</v>
      </c>
      <c r="X125" s="560">
        <v>-75978390.519999996</v>
      </c>
      <c r="Y125" s="560">
        <v>-75978390.519999996</v>
      </c>
      <c r="Z125" s="560">
        <v>-75978390.519999996</v>
      </c>
      <c r="AA125" s="560">
        <v>-75978390.519999996</v>
      </c>
      <c r="AB125" s="560">
        <v>-75978390.519999996</v>
      </c>
      <c r="AC125" s="560">
        <v>0</v>
      </c>
      <c r="AD125" s="560">
        <v>0</v>
      </c>
      <c r="AE125" s="560">
        <v>0</v>
      </c>
      <c r="AF125" s="560">
        <v>0</v>
      </c>
    </row>
    <row r="126" spans="1:32">
      <c r="A126" s="391"/>
      <c r="B126" s="391"/>
      <c r="C126" s="915" t="s">
        <v>233</v>
      </c>
      <c r="D126" s="1042">
        <v>91470436</v>
      </c>
      <c r="E126" s="560">
        <v>108372251</v>
      </c>
      <c r="F126" s="560">
        <v>113757211</v>
      </c>
      <c r="G126" s="560">
        <v>105267862</v>
      </c>
      <c r="H126" s="560">
        <v>113288653</v>
      </c>
      <c r="I126" s="560">
        <v>112385911</v>
      </c>
      <c r="J126" s="560">
        <v>99552435</v>
      </c>
      <c r="K126" s="560">
        <v>108807256</v>
      </c>
      <c r="L126" s="560">
        <v>104585105</v>
      </c>
      <c r="M126" s="560">
        <v>0</v>
      </c>
      <c r="N126" s="560">
        <v>0</v>
      </c>
      <c r="O126" s="560">
        <v>0</v>
      </c>
      <c r="P126" s="560">
        <v>0</v>
      </c>
      <c r="Q126" s="391"/>
      <c r="R126" s="391"/>
      <c r="S126" s="391" t="s">
        <v>236</v>
      </c>
      <c r="T126" s="560">
        <v>0</v>
      </c>
      <c r="U126" s="560">
        <v>0</v>
      </c>
      <c r="V126" s="560">
        <v>0</v>
      </c>
      <c r="W126" s="560">
        <v>0</v>
      </c>
      <c r="X126" s="560">
        <v>0</v>
      </c>
      <c r="Y126" s="560">
        <v>0</v>
      </c>
      <c r="Z126" s="560">
        <v>0</v>
      </c>
      <c r="AA126" s="560">
        <v>0</v>
      </c>
      <c r="AB126" s="560">
        <v>0</v>
      </c>
      <c r="AC126" s="560">
        <v>0</v>
      </c>
      <c r="AD126" s="560">
        <v>0</v>
      </c>
      <c r="AE126" s="560">
        <v>0</v>
      </c>
      <c r="AF126" s="560">
        <v>0</v>
      </c>
    </row>
    <row r="127" spans="1:32">
      <c r="A127" s="391"/>
      <c r="B127" s="391"/>
      <c r="C127" s="391" t="s">
        <v>235</v>
      </c>
      <c r="D127" s="560">
        <v>91470436</v>
      </c>
      <c r="E127" s="560">
        <v>108372251</v>
      </c>
      <c r="F127" s="560">
        <v>113757211</v>
      </c>
      <c r="G127" s="560">
        <v>105267862</v>
      </c>
      <c r="H127" s="560">
        <v>113288653</v>
      </c>
      <c r="I127" s="560">
        <v>112385911</v>
      </c>
      <c r="J127" s="560">
        <v>99552435</v>
      </c>
      <c r="K127" s="560">
        <v>108807256</v>
      </c>
      <c r="L127" s="560">
        <v>104585105</v>
      </c>
      <c r="M127" s="560">
        <v>0</v>
      </c>
      <c r="N127" s="560">
        <v>0</v>
      </c>
      <c r="O127" s="560">
        <v>0</v>
      </c>
      <c r="P127" s="560">
        <v>0</v>
      </c>
      <c r="Q127" s="391"/>
      <c r="R127" s="391"/>
      <c r="S127" s="391" t="s">
        <v>238</v>
      </c>
      <c r="T127" s="560">
        <v>33587359</v>
      </c>
      <c r="U127" s="560">
        <v>-7756173</v>
      </c>
      <c r="V127" s="560">
        <v>-18728629</v>
      </c>
      <c r="W127" s="560">
        <v>-16670157</v>
      </c>
      <c r="X127" s="560">
        <v>-17570487</v>
      </c>
      <c r="Y127" s="560">
        <v>-19270131</v>
      </c>
      <c r="Z127" s="560">
        <v>-15257864</v>
      </c>
      <c r="AA127" s="560">
        <v>-15903692</v>
      </c>
      <c r="AB127" s="560">
        <v>-13613852</v>
      </c>
      <c r="AC127" s="560">
        <v>0</v>
      </c>
      <c r="AD127" s="560">
        <v>0</v>
      </c>
      <c r="AE127" s="560">
        <v>0</v>
      </c>
      <c r="AF127" s="560">
        <v>0</v>
      </c>
    </row>
    <row r="128" spans="1:32">
      <c r="A128" s="391"/>
      <c r="B128" s="391"/>
      <c r="C128" s="391" t="s">
        <v>237</v>
      </c>
      <c r="D128" s="560">
        <v>0</v>
      </c>
      <c r="E128" s="560">
        <v>0</v>
      </c>
      <c r="F128" s="560">
        <v>0</v>
      </c>
      <c r="G128" s="560">
        <v>0</v>
      </c>
      <c r="H128" s="560">
        <v>0</v>
      </c>
      <c r="I128" s="560">
        <v>0</v>
      </c>
      <c r="J128" s="560">
        <v>0</v>
      </c>
      <c r="K128" s="560">
        <v>0</v>
      </c>
      <c r="L128" s="560">
        <v>0</v>
      </c>
      <c r="M128" s="560">
        <v>0</v>
      </c>
      <c r="N128" s="560">
        <v>0</v>
      </c>
      <c r="O128" s="560">
        <v>0</v>
      </c>
      <c r="P128" s="560">
        <v>0</v>
      </c>
      <c r="Q128" s="391"/>
      <c r="R128" s="821" t="s">
        <v>403</v>
      </c>
      <c r="S128" s="391"/>
      <c r="T128" s="560">
        <v>-75978390.519999996</v>
      </c>
      <c r="U128" s="894">
        <v>-83734563.519999996</v>
      </c>
      <c r="V128" s="560">
        <v>-94707019.519999996</v>
      </c>
      <c r="W128" s="560">
        <v>-92648547.519999996</v>
      </c>
      <c r="X128" s="560">
        <v>-93548877.519999996</v>
      </c>
      <c r="Y128" s="560">
        <v>-95248521.519999996</v>
      </c>
      <c r="Z128" s="560">
        <v>-91236254.519999996</v>
      </c>
      <c r="AA128" s="560">
        <v>-91882082.519999996</v>
      </c>
      <c r="AB128" s="560">
        <v>-89592242.519999996</v>
      </c>
      <c r="AC128" s="560">
        <v>0</v>
      </c>
      <c r="AD128" s="560">
        <v>0</v>
      </c>
      <c r="AE128" s="560">
        <v>0</v>
      </c>
      <c r="AF128" s="560">
        <v>0</v>
      </c>
    </row>
    <row r="129" spans="1:32">
      <c r="A129" s="391"/>
      <c r="B129" s="391"/>
      <c r="C129" s="391" t="s">
        <v>239</v>
      </c>
      <c r="D129" s="560">
        <v>0</v>
      </c>
      <c r="E129" s="560">
        <v>0</v>
      </c>
      <c r="F129" s="560">
        <v>0</v>
      </c>
      <c r="G129" s="560">
        <v>0</v>
      </c>
      <c r="H129" s="560">
        <v>0</v>
      </c>
      <c r="I129" s="560">
        <v>0</v>
      </c>
      <c r="J129" s="560">
        <v>0</v>
      </c>
      <c r="K129" s="560">
        <v>0</v>
      </c>
      <c r="L129" s="560">
        <v>0</v>
      </c>
      <c r="M129" s="560">
        <v>0</v>
      </c>
      <c r="N129" s="560">
        <v>0</v>
      </c>
      <c r="O129" s="560">
        <v>0</v>
      </c>
      <c r="P129" s="560">
        <v>0</v>
      </c>
      <c r="Q129" s="391"/>
      <c r="R129" s="821" t="s">
        <v>404</v>
      </c>
      <c r="S129" s="391"/>
      <c r="T129" s="560"/>
      <c r="U129" s="560"/>
      <c r="V129" s="600"/>
      <c r="W129" s="600"/>
      <c r="X129" s="600"/>
      <c r="Y129" s="600"/>
      <c r="Z129" s="600"/>
      <c r="AA129" s="600"/>
      <c r="AB129" s="600"/>
      <c r="AC129" s="600"/>
      <c r="AD129" s="600"/>
      <c r="AE129" s="600"/>
      <c r="AF129" s="600"/>
    </row>
    <row r="130" spans="1:32">
      <c r="A130" s="391"/>
      <c r="B130" s="391"/>
      <c r="C130" s="915" t="s">
        <v>2</v>
      </c>
      <c r="D130" s="1042">
        <v>3557557</v>
      </c>
      <c r="E130" s="560">
        <v>4314479</v>
      </c>
      <c r="F130" s="560">
        <v>315205</v>
      </c>
      <c r="G130" s="560">
        <v>1571683</v>
      </c>
      <c r="H130" s="560">
        <v>2963274</v>
      </c>
      <c r="I130" s="560">
        <v>0</v>
      </c>
      <c r="J130" s="560">
        <v>931586</v>
      </c>
      <c r="K130" s="560">
        <v>4508092</v>
      </c>
      <c r="L130" s="560">
        <v>19009</v>
      </c>
      <c r="M130" s="560">
        <v>0</v>
      </c>
      <c r="N130" s="560">
        <v>0</v>
      </c>
      <c r="O130" s="560">
        <v>0</v>
      </c>
      <c r="P130" s="560">
        <v>0</v>
      </c>
      <c r="Q130" s="391"/>
      <c r="R130" s="391"/>
      <c r="S130" s="391" t="s">
        <v>242</v>
      </c>
      <c r="T130" s="560">
        <v>0</v>
      </c>
      <c r="U130" s="560">
        <v>0</v>
      </c>
      <c r="V130" s="560">
        <v>0</v>
      </c>
      <c r="W130" s="560">
        <v>0</v>
      </c>
      <c r="X130" s="560">
        <v>0</v>
      </c>
      <c r="Y130" s="560">
        <v>0</v>
      </c>
      <c r="Z130" s="560">
        <v>0</v>
      </c>
      <c r="AA130" s="560">
        <v>0</v>
      </c>
      <c r="AB130" s="560">
        <v>0</v>
      </c>
      <c r="AC130" s="560">
        <v>0</v>
      </c>
      <c r="AD130" s="560">
        <v>0</v>
      </c>
      <c r="AE130" s="560">
        <v>0</v>
      </c>
      <c r="AF130" s="560">
        <v>0</v>
      </c>
    </row>
    <row r="131" spans="1:32">
      <c r="A131" s="391"/>
      <c r="B131" s="391"/>
      <c r="C131" s="391" t="s">
        <v>3</v>
      </c>
      <c r="D131" s="560">
        <v>3557557</v>
      </c>
      <c r="E131" s="560">
        <v>4314479</v>
      </c>
      <c r="F131" s="560">
        <v>315205</v>
      </c>
      <c r="G131" s="560">
        <v>1571683</v>
      </c>
      <c r="H131" s="560">
        <v>2963274</v>
      </c>
      <c r="I131" s="560">
        <v>0</v>
      </c>
      <c r="J131" s="560">
        <v>931586</v>
      </c>
      <c r="K131" s="560">
        <v>4508092</v>
      </c>
      <c r="L131" s="560">
        <v>19009</v>
      </c>
      <c r="M131" s="560">
        <v>0</v>
      </c>
      <c r="N131" s="560">
        <v>0</v>
      </c>
      <c r="O131" s="560">
        <v>0</v>
      </c>
      <c r="P131" s="560">
        <v>0</v>
      </c>
      <c r="Q131" s="391"/>
      <c r="R131" s="391"/>
      <c r="S131" s="391" t="s">
        <v>244</v>
      </c>
      <c r="T131" s="560">
        <v>0</v>
      </c>
      <c r="U131" s="560">
        <v>0</v>
      </c>
      <c r="V131" s="560">
        <v>0</v>
      </c>
      <c r="W131" s="560">
        <v>0</v>
      </c>
      <c r="X131" s="560">
        <v>0</v>
      </c>
      <c r="Y131" s="560">
        <v>0</v>
      </c>
      <c r="Z131" s="560">
        <v>0</v>
      </c>
      <c r="AA131" s="560">
        <v>0</v>
      </c>
      <c r="AB131" s="560">
        <v>0</v>
      </c>
      <c r="AC131" s="560">
        <v>0</v>
      </c>
      <c r="AD131" s="560">
        <v>0</v>
      </c>
      <c r="AE131" s="560">
        <v>0</v>
      </c>
      <c r="AF131" s="560">
        <v>0</v>
      </c>
    </row>
    <row r="132" spans="1:32">
      <c r="A132" s="391"/>
      <c r="B132" s="391"/>
      <c r="C132" s="915" t="s">
        <v>240</v>
      </c>
      <c r="D132" s="1042">
        <v>-24293393</v>
      </c>
      <c r="E132" s="560">
        <v>-27168142</v>
      </c>
      <c r="F132" s="560">
        <v>-29931613</v>
      </c>
      <c r="G132" s="560">
        <v>-22475058</v>
      </c>
      <c r="H132" s="560">
        <v>-21883140</v>
      </c>
      <c r="I132" s="560">
        <v>-22937600</v>
      </c>
      <c r="J132" s="560">
        <v>-21466878</v>
      </c>
      <c r="K132" s="560">
        <v>-19435296</v>
      </c>
      <c r="L132" s="560">
        <v>-19459280</v>
      </c>
      <c r="M132" s="560">
        <v>0</v>
      </c>
      <c r="N132" s="560">
        <v>0</v>
      </c>
      <c r="O132" s="560">
        <v>0</v>
      </c>
      <c r="P132" s="560">
        <v>0</v>
      </c>
      <c r="Q132" s="391"/>
      <c r="R132" s="391"/>
      <c r="S132" s="391" t="s">
        <v>246</v>
      </c>
      <c r="T132" s="560">
        <v>0</v>
      </c>
      <c r="U132" s="560">
        <v>0</v>
      </c>
      <c r="V132" s="560">
        <v>0</v>
      </c>
      <c r="W132" s="560">
        <v>0</v>
      </c>
      <c r="X132" s="560">
        <v>0</v>
      </c>
      <c r="Y132" s="560">
        <v>0</v>
      </c>
      <c r="Z132" s="560">
        <v>0</v>
      </c>
      <c r="AA132" s="560">
        <v>0</v>
      </c>
      <c r="AB132" s="560">
        <v>0</v>
      </c>
      <c r="AC132" s="560">
        <v>0</v>
      </c>
      <c r="AD132" s="560">
        <v>0</v>
      </c>
      <c r="AE132" s="560">
        <v>0</v>
      </c>
      <c r="AF132" s="560">
        <v>0</v>
      </c>
    </row>
    <row r="133" spans="1:32">
      <c r="A133" s="391"/>
      <c r="B133" s="391"/>
      <c r="C133" s="391" t="s">
        <v>241</v>
      </c>
      <c r="D133" s="560">
        <v>876869</v>
      </c>
      <c r="E133" s="560">
        <v>1105138</v>
      </c>
      <c r="F133" s="560">
        <v>995217</v>
      </c>
      <c r="G133" s="560">
        <v>890353</v>
      </c>
      <c r="H133" s="560">
        <v>1099716</v>
      </c>
      <c r="I133" s="560">
        <v>1039429</v>
      </c>
      <c r="J133" s="560">
        <v>619261</v>
      </c>
      <c r="K133" s="560">
        <v>462973</v>
      </c>
      <c r="L133" s="560">
        <v>485063</v>
      </c>
      <c r="M133" s="560">
        <v>0</v>
      </c>
      <c r="N133" s="560">
        <v>0</v>
      </c>
      <c r="O133" s="560">
        <v>0</v>
      </c>
      <c r="P133" s="560">
        <v>0</v>
      </c>
      <c r="Q133" s="391"/>
      <c r="R133" s="391"/>
      <c r="S133" s="391" t="s">
        <v>248</v>
      </c>
      <c r="T133" s="560">
        <v>0</v>
      </c>
      <c r="U133" s="560">
        <v>0</v>
      </c>
      <c r="V133" s="560">
        <v>0</v>
      </c>
      <c r="W133" s="560">
        <v>0</v>
      </c>
      <c r="X133" s="560">
        <v>0</v>
      </c>
      <c r="Y133" s="560">
        <v>0</v>
      </c>
      <c r="Z133" s="560">
        <v>0</v>
      </c>
      <c r="AA133" s="560">
        <v>0</v>
      </c>
      <c r="AB133" s="560">
        <v>0</v>
      </c>
      <c r="AC133" s="560">
        <v>0</v>
      </c>
      <c r="AD133" s="560">
        <v>0</v>
      </c>
      <c r="AE133" s="560">
        <v>0</v>
      </c>
      <c r="AF133" s="560">
        <v>0</v>
      </c>
    </row>
    <row r="134" spans="1:32">
      <c r="A134" s="391"/>
      <c r="B134" s="391"/>
      <c r="C134" s="391" t="s">
        <v>243</v>
      </c>
      <c r="D134" s="560">
        <v>0</v>
      </c>
      <c r="E134" s="560">
        <v>0</v>
      </c>
      <c r="F134" s="560">
        <v>0</v>
      </c>
      <c r="G134" s="560">
        <v>0</v>
      </c>
      <c r="H134" s="560">
        <v>0</v>
      </c>
      <c r="I134" s="560">
        <v>0</v>
      </c>
      <c r="J134" s="560">
        <v>0</v>
      </c>
      <c r="K134" s="560">
        <v>0</v>
      </c>
      <c r="L134" s="560">
        <v>0</v>
      </c>
      <c r="M134" s="560">
        <v>0</v>
      </c>
      <c r="N134" s="560">
        <v>0</v>
      </c>
      <c r="O134" s="560">
        <v>0</v>
      </c>
      <c r="P134" s="560">
        <v>0</v>
      </c>
      <c r="Q134" s="391"/>
      <c r="R134" s="391"/>
      <c r="S134" s="391" t="s">
        <v>250</v>
      </c>
      <c r="T134" s="560">
        <v>0</v>
      </c>
      <c r="U134" s="560">
        <v>0</v>
      </c>
      <c r="V134" s="560">
        <v>0</v>
      </c>
      <c r="W134" s="560">
        <v>0</v>
      </c>
      <c r="X134" s="560">
        <v>0</v>
      </c>
      <c r="Y134" s="560">
        <v>0</v>
      </c>
      <c r="Z134" s="560">
        <v>0</v>
      </c>
      <c r="AA134" s="560">
        <v>0</v>
      </c>
      <c r="AB134" s="560">
        <v>0</v>
      </c>
      <c r="AC134" s="560">
        <v>0</v>
      </c>
      <c r="AD134" s="560">
        <v>0</v>
      </c>
      <c r="AE134" s="560">
        <v>0</v>
      </c>
      <c r="AF134" s="560">
        <v>0</v>
      </c>
    </row>
    <row r="135" spans="1:32">
      <c r="A135" s="391"/>
      <c r="B135" s="391"/>
      <c r="C135" s="391" t="s">
        <v>245</v>
      </c>
      <c r="D135" s="560">
        <v>21525</v>
      </c>
      <c r="E135" s="560">
        <v>13667</v>
      </c>
      <c r="F135" s="560">
        <v>6834</v>
      </c>
      <c r="G135" s="560">
        <v>21525</v>
      </c>
      <c r="H135" s="560">
        <v>13667</v>
      </c>
      <c r="I135" s="560">
        <v>6834</v>
      </c>
      <c r="J135" s="560">
        <v>21525</v>
      </c>
      <c r="K135" s="560">
        <v>13667</v>
      </c>
      <c r="L135" s="560">
        <v>6834</v>
      </c>
      <c r="M135" s="560">
        <v>0</v>
      </c>
      <c r="N135" s="560">
        <v>0</v>
      </c>
      <c r="O135" s="560">
        <v>0</v>
      </c>
      <c r="P135" s="560">
        <v>0</v>
      </c>
      <c r="Q135" s="391"/>
      <c r="R135" s="821" t="s">
        <v>404</v>
      </c>
      <c r="S135" s="391"/>
      <c r="T135" s="560">
        <v>0</v>
      </c>
      <c r="U135" s="894">
        <v>0</v>
      </c>
      <c r="V135" s="560">
        <v>0</v>
      </c>
      <c r="W135" s="560">
        <v>0</v>
      </c>
      <c r="X135" s="560">
        <v>0</v>
      </c>
      <c r="Y135" s="560">
        <v>0</v>
      </c>
      <c r="Z135" s="560">
        <v>0</v>
      </c>
      <c r="AA135" s="560">
        <v>0</v>
      </c>
      <c r="AB135" s="560">
        <v>0</v>
      </c>
      <c r="AC135" s="560">
        <v>0</v>
      </c>
      <c r="AD135" s="560">
        <v>0</v>
      </c>
      <c r="AE135" s="560">
        <v>0</v>
      </c>
      <c r="AF135" s="560">
        <v>0</v>
      </c>
    </row>
    <row r="136" spans="1:32">
      <c r="A136" s="391"/>
      <c r="B136" s="391"/>
      <c r="C136" s="391" t="s">
        <v>247</v>
      </c>
      <c r="D136" s="560">
        <v>451682</v>
      </c>
      <c r="E136" s="560">
        <v>409516</v>
      </c>
      <c r="F136" s="560">
        <v>365124</v>
      </c>
      <c r="G136" s="560">
        <v>332261</v>
      </c>
      <c r="H136" s="560">
        <v>282745</v>
      </c>
      <c r="I136" s="560">
        <v>237072</v>
      </c>
      <c r="J136" s="560">
        <v>298583</v>
      </c>
      <c r="K136" s="560">
        <v>235039</v>
      </c>
      <c r="L136" s="560">
        <v>171495</v>
      </c>
      <c r="M136" s="560">
        <v>0</v>
      </c>
      <c r="N136" s="560">
        <v>0</v>
      </c>
      <c r="O136" s="560">
        <v>0</v>
      </c>
      <c r="P136" s="560">
        <v>0</v>
      </c>
      <c r="Q136" s="391"/>
      <c r="R136" s="821" t="s">
        <v>405</v>
      </c>
      <c r="S136" s="391"/>
      <c r="T136" s="560"/>
      <c r="U136" s="560"/>
      <c r="V136" s="600"/>
      <c r="W136" s="600"/>
      <c r="X136" s="600"/>
      <c r="Y136" s="600"/>
      <c r="Z136" s="600"/>
      <c r="AA136" s="600"/>
      <c r="AB136" s="600"/>
      <c r="AC136" s="600"/>
      <c r="AD136" s="600"/>
      <c r="AE136" s="600"/>
      <c r="AF136" s="600"/>
    </row>
    <row r="137" spans="1:32">
      <c r="A137" s="391"/>
      <c r="B137" s="391"/>
      <c r="C137" s="391" t="s">
        <v>249</v>
      </c>
      <c r="D137" s="560">
        <v>0</v>
      </c>
      <c r="E137" s="560">
        <v>0</v>
      </c>
      <c r="F137" s="560">
        <v>0</v>
      </c>
      <c r="G137" s="560">
        <v>0</v>
      </c>
      <c r="H137" s="560">
        <v>0</v>
      </c>
      <c r="I137" s="560">
        <v>0</v>
      </c>
      <c r="J137" s="560">
        <v>0</v>
      </c>
      <c r="K137" s="560">
        <v>0</v>
      </c>
      <c r="L137" s="560">
        <v>0</v>
      </c>
      <c r="M137" s="560">
        <v>0</v>
      </c>
      <c r="N137" s="560">
        <v>0</v>
      </c>
      <c r="O137" s="560">
        <v>0</v>
      </c>
      <c r="P137" s="560">
        <v>0</v>
      </c>
      <c r="Q137" s="391"/>
      <c r="R137" s="391"/>
      <c r="S137" s="391" t="s">
        <v>254</v>
      </c>
      <c r="T137" s="560">
        <v>0</v>
      </c>
      <c r="U137" s="560">
        <v>0</v>
      </c>
      <c r="V137" s="560">
        <v>0</v>
      </c>
      <c r="W137" s="560">
        <v>0</v>
      </c>
      <c r="X137" s="560">
        <v>0</v>
      </c>
      <c r="Y137" s="560">
        <v>0</v>
      </c>
      <c r="Z137" s="560">
        <v>0</v>
      </c>
      <c r="AA137" s="560">
        <v>0</v>
      </c>
      <c r="AB137" s="560">
        <v>0</v>
      </c>
      <c r="AC137" s="560">
        <v>0</v>
      </c>
      <c r="AD137" s="560">
        <v>0</v>
      </c>
      <c r="AE137" s="560">
        <v>0</v>
      </c>
      <c r="AF137" s="560">
        <v>0</v>
      </c>
    </row>
    <row r="138" spans="1:32">
      <c r="A138" s="391"/>
      <c r="B138" s="391"/>
      <c r="C138" s="391" t="s">
        <v>251</v>
      </c>
      <c r="D138" s="560">
        <v>0</v>
      </c>
      <c r="E138" s="560">
        <v>0</v>
      </c>
      <c r="F138" s="560">
        <v>0</v>
      </c>
      <c r="G138" s="560">
        <v>0</v>
      </c>
      <c r="H138" s="560">
        <v>0</v>
      </c>
      <c r="I138" s="560">
        <v>0</v>
      </c>
      <c r="J138" s="560">
        <v>2399</v>
      </c>
      <c r="K138" s="560">
        <v>2399</v>
      </c>
      <c r="L138" s="560">
        <v>2399</v>
      </c>
      <c r="M138" s="560">
        <v>0</v>
      </c>
      <c r="N138" s="560">
        <v>0</v>
      </c>
      <c r="O138" s="560">
        <v>0</v>
      </c>
      <c r="P138" s="560">
        <v>0</v>
      </c>
      <c r="Q138" s="391"/>
      <c r="R138" s="821" t="s">
        <v>406</v>
      </c>
      <c r="S138" s="391"/>
      <c r="T138" s="560">
        <v>0</v>
      </c>
      <c r="U138" s="894">
        <v>0</v>
      </c>
      <c r="V138" s="560">
        <v>0</v>
      </c>
      <c r="W138" s="560">
        <v>0</v>
      </c>
      <c r="X138" s="560">
        <v>0</v>
      </c>
      <c r="Y138" s="560">
        <v>0</v>
      </c>
      <c r="Z138" s="560">
        <v>0</v>
      </c>
      <c r="AA138" s="560">
        <v>0</v>
      </c>
      <c r="AB138" s="560">
        <v>0</v>
      </c>
      <c r="AC138" s="560">
        <v>0</v>
      </c>
      <c r="AD138" s="560">
        <v>0</v>
      </c>
      <c r="AE138" s="560">
        <v>0</v>
      </c>
      <c r="AF138" s="560">
        <v>0</v>
      </c>
    </row>
    <row r="139" spans="1:32">
      <c r="A139" s="391"/>
      <c r="B139" s="391"/>
      <c r="C139" s="391" t="s">
        <v>252</v>
      </c>
      <c r="D139" s="560">
        <v>249000</v>
      </c>
      <c r="E139" s="560">
        <v>246500</v>
      </c>
      <c r="F139" s="560">
        <v>244000</v>
      </c>
      <c r="G139" s="560">
        <v>271500</v>
      </c>
      <c r="H139" s="560">
        <v>391500</v>
      </c>
      <c r="I139" s="560">
        <v>389000</v>
      </c>
      <c r="J139" s="560">
        <v>20000</v>
      </c>
      <c r="K139" s="560">
        <v>17500</v>
      </c>
      <c r="L139" s="560">
        <v>15000</v>
      </c>
      <c r="M139" s="560">
        <v>0</v>
      </c>
      <c r="N139" s="560">
        <v>0</v>
      </c>
      <c r="O139" s="560">
        <v>0</v>
      </c>
      <c r="P139" s="560">
        <v>0</v>
      </c>
      <c r="Q139" s="821" t="s">
        <v>407</v>
      </c>
      <c r="R139" s="391"/>
      <c r="S139" s="391"/>
      <c r="T139" s="560">
        <v>259081609.47999999</v>
      </c>
      <c r="U139" s="894">
        <v>251325436.47999999</v>
      </c>
      <c r="V139" s="560">
        <v>240352980.47999999</v>
      </c>
      <c r="W139" s="560">
        <v>242411452.47999999</v>
      </c>
      <c r="X139" s="560">
        <v>241511122.47999999</v>
      </c>
      <c r="Y139" s="560">
        <v>239811478.47999999</v>
      </c>
      <c r="Z139" s="560">
        <v>243823745.47999999</v>
      </c>
      <c r="AA139" s="560">
        <v>243177917.47999999</v>
      </c>
      <c r="AB139" s="560">
        <v>245467757.47999999</v>
      </c>
      <c r="AC139" s="560">
        <v>0</v>
      </c>
      <c r="AD139" s="560">
        <v>0</v>
      </c>
      <c r="AE139" s="560">
        <v>0</v>
      </c>
      <c r="AF139" s="560">
        <v>0</v>
      </c>
    </row>
    <row r="140" spans="1:32">
      <c r="A140" s="391"/>
      <c r="B140" s="391"/>
      <c r="C140" s="391" t="s">
        <v>253</v>
      </c>
      <c r="D140" s="560">
        <v>154662</v>
      </c>
      <c r="E140" s="560">
        <v>435455</v>
      </c>
      <c r="F140" s="560">
        <v>379259</v>
      </c>
      <c r="G140" s="560">
        <v>265067</v>
      </c>
      <c r="H140" s="560">
        <v>411804</v>
      </c>
      <c r="I140" s="560">
        <v>406523</v>
      </c>
      <c r="J140" s="560">
        <v>276754</v>
      </c>
      <c r="K140" s="560">
        <v>194368</v>
      </c>
      <c r="L140" s="560">
        <v>289335</v>
      </c>
      <c r="M140" s="560">
        <v>0</v>
      </c>
      <c r="N140" s="560">
        <v>0</v>
      </c>
      <c r="O140" s="560">
        <v>0</v>
      </c>
      <c r="P140" s="560">
        <v>0</v>
      </c>
      <c r="Q140" s="391"/>
      <c r="R140" s="391"/>
      <c r="S140" s="391"/>
      <c r="T140" s="391"/>
      <c r="U140" s="560"/>
    </row>
    <row r="141" spans="1:32">
      <c r="A141" s="391"/>
      <c r="B141" s="391"/>
      <c r="C141" s="391" t="s">
        <v>255</v>
      </c>
      <c r="D141" s="560">
        <v>0</v>
      </c>
      <c r="E141" s="560">
        <v>171738</v>
      </c>
      <c r="F141" s="560">
        <v>0</v>
      </c>
      <c r="G141" s="560">
        <v>0</v>
      </c>
      <c r="H141" s="560">
        <v>0</v>
      </c>
      <c r="I141" s="560">
        <v>0</v>
      </c>
      <c r="J141" s="560">
        <v>0</v>
      </c>
      <c r="K141" s="560">
        <v>0</v>
      </c>
      <c r="L141" s="560">
        <v>0</v>
      </c>
      <c r="M141" s="560">
        <v>0</v>
      </c>
      <c r="N141" s="560">
        <v>0</v>
      </c>
      <c r="O141" s="560">
        <v>0</v>
      </c>
      <c r="P141" s="560">
        <v>0</v>
      </c>
      <c r="Q141" s="391"/>
      <c r="R141" s="391"/>
      <c r="S141" s="391"/>
      <c r="T141" s="391"/>
      <c r="U141" s="560"/>
    </row>
    <row r="142" spans="1:32">
      <c r="A142" s="391"/>
      <c r="B142" s="391"/>
      <c r="C142" s="391" t="s">
        <v>256</v>
      </c>
      <c r="D142" s="560">
        <v>0</v>
      </c>
      <c r="E142" s="560">
        <v>171738</v>
      </c>
      <c r="F142" s="560">
        <v>0</v>
      </c>
      <c r="G142" s="560">
        <v>0</v>
      </c>
      <c r="H142" s="560">
        <v>0</v>
      </c>
      <c r="I142" s="560">
        <v>0</v>
      </c>
      <c r="J142" s="560">
        <v>0</v>
      </c>
      <c r="K142" s="560">
        <v>0</v>
      </c>
      <c r="L142" s="560">
        <v>0</v>
      </c>
      <c r="M142" s="560">
        <v>0</v>
      </c>
      <c r="N142" s="560">
        <v>0</v>
      </c>
      <c r="O142" s="560">
        <v>0</v>
      </c>
      <c r="P142" s="560">
        <v>0</v>
      </c>
      <c r="Q142" s="391"/>
      <c r="R142" s="391"/>
      <c r="S142" s="391"/>
      <c r="T142" s="391"/>
      <c r="U142" s="560"/>
    </row>
    <row r="143" spans="1:32">
      <c r="A143" s="391"/>
      <c r="B143" s="391"/>
      <c r="C143" s="391" t="s">
        <v>257</v>
      </c>
      <c r="D143" s="560">
        <v>0</v>
      </c>
      <c r="E143" s="560">
        <v>171738</v>
      </c>
      <c r="F143" s="560">
        <v>0</v>
      </c>
      <c r="G143" s="560">
        <v>0</v>
      </c>
      <c r="H143" s="560">
        <v>0</v>
      </c>
      <c r="I143" s="560">
        <v>0</v>
      </c>
      <c r="J143" s="560">
        <v>0</v>
      </c>
      <c r="K143" s="560">
        <v>0</v>
      </c>
      <c r="L143" s="560">
        <v>0</v>
      </c>
      <c r="M143" s="560">
        <v>0</v>
      </c>
      <c r="N143" s="560">
        <v>0</v>
      </c>
      <c r="O143" s="560">
        <v>0</v>
      </c>
      <c r="P143" s="560">
        <v>0</v>
      </c>
      <c r="Q143" s="391"/>
      <c r="R143" s="391"/>
      <c r="S143" s="391"/>
      <c r="T143" s="391"/>
      <c r="U143" s="560"/>
    </row>
    <row r="144" spans="1:32">
      <c r="A144" s="391"/>
      <c r="B144" s="391"/>
      <c r="C144" s="391" t="s">
        <v>258</v>
      </c>
      <c r="D144" s="560">
        <v>0</v>
      </c>
      <c r="E144" s="560">
        <v>0</v>
      </c>
      <c r="F144" s="560">
        <v>0</v>
      </c>
      <c r="G144" s="560">
        <v>0</v>
      </c>
      <c r="H144" s="560">
        <v>0</v>
      </c>
      <c r="I144" s="560">
        <v>0</v>
      </c>
      <c r="J144" s="560">
        <v>0</v>
      </c>
      <c r="K144" s="560">
        <v>0</v>
      </c>
      <c r="L144" s="560">
        <v>0</v>
      </c>
      <c r="M144" s="560">
        <v>0</v>
      </c>
      <c r="N144" s="560">
        <v>0</v>
      </c>
      <c r="O144" s="560">
        <v>0</v>
      </c>
      <c r="P144" s="560">
        <v>0</v>
      </c>
      <c r="Q144" s="391"/>
      <c r="R144" s="391"/>
      <c r="S144" s="391"/>
      <c r="T144" s="391"/>
      <c r="U144" s="560"/>
    </row>
    <row r="145" spans="1:21">
      <c r="A145" s="391"/>
      <c r="B145" s="391"/>
      <c r="C145" s="391" t="s">
        <v>259</v>
      </c>
      <c r="D145" s="560">
        <v>5895376</v>
      </c>
      <c r="E145" s="560">
        <v>3277672</v>
      </c>
      <c r="F145" s="560">
        <v>5476985</v>
      </c>
      <c r="G145" s="560">
        <v>2845940</v>
      </c>
      <c r="H145" s="560">
        <v>5801871</v>
      </c>
      <c r="I145" s="560">
        <v>2757763</v>
      </c>
      <c r="J145" s="560">
        <v>5543686</v>
      </c>
      <c r="K145" s="560">
        <v>4113305</v>
      </c>
      <c r="L145" s="560">
        <v>7636640</v>
      </c>
      <c r="M145" s="560">
        <v>0</v>
      </c>
      <c r="N145" s="560">
        <v>0</v>
      </c>
      <c r="O145" s="560">
        <v>0</v>
      </c>
      <c r="P145" s="560">
        <v>0</v>
      </c>
      <c r="Q145" s="391"/>
      <c r="R145" s="391"/>
      <c r="S145" s="391"/>
      <c r="T145" s="391"/>
      <c r="U145" s="560"/>
    </row>
    <row r="146" spans="1:21">
      <c r="A146" s="391"/>
      <c r="B146" s="391"/>
      <c r="C146" s="391" t="s">
        <v>260</v>
      </c>
      <c r="D146" s="560">
        <v>0</v>
      </c>
      <c r="E146" s="560">
        <v>0</v>
      </c>
      <c r="F146" s="560">
        <v>0</v>
      </c>
      <c r="G146" s="560">
        <v>0</v>
      </c>
      <c r="H146" s="560">
        <v>0</v>
      </c>
      <c r="I146" s="560">
        <v>0</v>
      </c>
      <c r="J146" s="560">
        <v>0</v>
      </c>
      <c r="K146" s="560">
        <v>0</v>
      </c>
      <c r="L146" s="560">
        <v>0</v>
      </c>
      <c r="M146" s="560">
        <v>0</v>
      </c>
      <c r="N146" s="560">
        <v>0</v>
      </c>
      <c r="O146" s="560">
        <v>0</v>
      </c>
      <c r="P146" s="560">
        <v>0</v>
      </c>
      <c r="Q146" s="391"/>
      <c r="R146" s="391"/>
      <c r="S146" s="391"/>
      <c r="T146" s="391"/>
      <c r="U146" s="560"/>
    </row>
    <row r="147" spans="1:21">
      <c r="A147" s="391"/>
      <c r="B147" s="391"/>
      <c r="C147" s="391" t="s">
        <v>261</v>
      </c>
      <c r="D147" s="560">
        <v>0</v>
      </c>
      <c r="E147" s="560">
        <v>0</v>
      </c>
      <c r="F147" s="560">
        <v>0</v>
      </c>
      <c r="G147" s="560">
        <v>0</v>
      </c>
      <c r="H147" s="560">
        <v>0</v>
      </c>
      <c r="I147" s="560">
        <v>0</v>
      </c>
      <c r="J147" s="560">
        <v>0</v>
      </c>
      <c r="K147" s="560">
        <v>0</v>
      </c>
      <c r="L147" s="560">
        <v>0</v>
      </c>
      <c r="M147" s="560">
        <v>0</v>
      </c>
      <c r="N147" s="560">
        <v>0</v>
      </c>
      <c r="O147" s="560">
        <v>0</v>
      </c>
      <c r="P147" s="560">
        <v>0</v>
      </c>
      <c r="Q147" s="391"/>
      <c r="R147" s="391"/>
      <c r="S147" s="391"/>
      <c r="T147" s="391"/>
      <c r="U147" s="560"/>
    </row>
    <row r="148" spans="1:21">
      <c r="A148" s="391"/>
      <c r="B148" s="391"/>
      <c r="C148" s="391" t="s">
        <v>262</v>
      </c>
      <c r="D148" s="560">
        <v>19580487</v>
      </c>
      <c r="E148" s="560">
        <v>4122021</v>
      </c>
      <c r="F148" s="560">
        <v>4121221</v>
      </c>
      <c r="G148" s="560">
        <v>4113061</v>
      </c>
      <c r="H148" s="560">
        <v>4107361</v>
      </c>
      <c r="I148" s="560">
        <v>4105061</v>
      </c>
      <c r="J148" s="560">
        <v>4105061</v>
      </c>
      <c r="K148" s="560">
        <v>4106661</v>
      </c>
      <c r="L148" s="560">
        <v>4107861</v>
      </c>
      <c r="M148" s="560">
        <v>0</v>
      </c>
      <c r="N148" s="560">
        <v>0</v>
      </c>
      <c r="O148" s="560">
        <v>0</v>
      </c>
      <c r="P148" s="560">
        <v>0</v>
      </c>
      <c r="Q148" s="391"/>
      <c r="R148" s="391"/>
      <c r="S148" s="391"/>
      <c r="T148" s="391"/>
      <c r="U148" s="560"/>
    </row>
    <row r="149" spans="1:21">
      <c r="A149" s="391"/>
      <c r="B149" s="391"/>
      <c r="C149" s="391" t="s">
        <v>263</v>
      </c>
      <c r="D149" s="560">
        <v>1600</v>
      </c>
      <c r="E149" s="560">
        <v>17760</v>
      </c>
      <c r="F149" s="560">
        <v>16960</v>
      </c>
      <c r="G149" s="560">
        <v>8800</v>
      </c>
      <c r="H149" s="560">
        <v>3100</v>
      </c>
      <c r="I149" s="560">
        <v>800</v>
      </c>
      <c r="J149" s="560">
        <v>800</v>
      </c>
      <c r="K149" s="560">
        <v>2400</v>
      </c>
      <c r="L149" s="560">
        <v>3600</v>
      </c>
      <c r="M149" s="560">
        <v>0</v>
      </c>
      <c r="N149" s="560">
        <v>0</v>
      </c>
      <c r="O149" s="560">
        <v>0</v>
      </c>
      <c r="P149" s="560">
        <v>0</v>
      </c>
      <c r="Q149" s="391"/>
      <c r="R149" s="391"/>
      <c r="S149" s="391"/>
      <c r="T149" s="391"/>
      <c r="U149" s="560"/>
    </row>
    <row r="150" spans="1:21">
      <c r="A150" s="391"/>
      <c r="B150" s="391"/>
      <c r="C150" s="391" t="s">
        <v>264</v>
      </c>
      <c r="D150" s="560">
        <v>1934</v>
      </c>
      <c r="E150" s="560">
        <v>1934</v>
      </c>
      <c r="F150" s="560">
        <v>1934</v>
      </c>
      <c r="G150" s="560">
        <v>1934</v>
      </c>
      <c r="H150" s="560">
        <v>1934</v>
      </c>
      <c r="I150" s="560">
        <v>1934</v>
      </c>
      <c r="J150" s="560">
        <v>1934</v>
      </c>
      <c r="K150" s="560">
        <v>1934</v>
      </c>
      <c r="L150" s="560">
        <v>1934</v>
      </c>
      <c r="M150" s="560">
        <v>0</v>
      </c>
      <c r="N150" s="560">
        <v>0</v>
      </c>
      <c r="O150" s="560">
        <v>0</v>
      </c>
      <c r="P150" s="560">
        <v>0</v>
      </c>
      <c r="Q150" s="391"/>
      <c r="R150" s="391"/>
      <c r="S150" s="391"/>
      <c r="T150" s="391"/>
      <c r="U150" s="560"/>
    </row>
    <row r="151" spans="1:21">
      <c r="A151" s="391"/>
      <c r="B151" s="391"/>
      <c r="C151" s="391" t="s">
        <v>265</v>
      </c>
      <c r="D151" s="560">
        <v>0</v>
      </c>
      <c r="E151" s="560">
        <v>0</v>
      </c>
      <c r="F151" s="560">
        <v>0</v>
      </c>
      <c r="G151" s="560">
        <v>0</v>
      </c>
      <c r="H151" s="560">
        <v>0</v>
      </c>
      <c r="I151" s="560">
        <v>0</v>
      </c>
      <c r="J151" s="560">
        <v>0</v>
      </c>
      <c r="K151" s="560">
        <v>0</v>
      </c>
      <c r="L151" s="560">
        <v>0</v>
      </c>
      <c r="M151" s="560">
        <v>0</v>
      </c>
      <c r="N151" s="560">
        <v>0</v>
      </c>
      <c r="O151" s="560">
        <v>0</v>
      </c>
      <c r="P151" s="560">
        <v>0</v>
      </c>
      <c r="Q151" s="391"/>
      <c r="R151" s="391"/>
      <c r="S151" s="391"/>
      <c r="T151" s="391"/>
      <c r="U151" s="560"/>
    </row>
    <row r="152" spans="1:21">
      <c r="A152" s="391"/>
      <c r="B152" s="391"/>
      <c r="C152" s="391" t="s">
        <v>266</v>
      </c>
      <c r="D152" s="560">
        <v>4102327</v>
      </c>
      <c r="E152" s="560">
        <v>4102327</v>
      </c>
      <c r="F152" s="560">
        <v>4102327</v>
      </c>
      <c r="G152" s="560">
        <v>4102327</v>
      </c>
      <c r="H152" s="560">
        <v>4102327</v>
      </c>
      <c r="I152" s="560">
        <v>4102327</v>
      </c>
      <c r="J152" s="560">
        <v>4102327</v>
      </c>
      <c r="K152" s="560">
        <v>4102327</v>
      </c>
      <c r="L152" s="560">
        <v>4102327</v>
      </c>
      <c r="M152" s="560">
        <v>0</v>
      </c>
      <c r="N152" s="560">
        <v>0</v>
      </c>
      <c r="O152" s="560">
        <v>0</v>
      </c>
      <c r="P152" s="560">
        <v>0</v>
      </c>
      <c r="Q152" s="391"/>
      <c r="R152" s="391"/>
      <c r="S152" s="391"/>
      <c r="T152" s="391"/>
      <c r="U152" s="560"/>
    </row>
    <row r="153" spans="1:21">
      <c r="A153" s="391"/>
      <c r="B153" s="391"/>
      <c r="C153" s="391" t="s">
        <v>267</v>
      </c>
      <c r="D153" s="560">
        <v>15474626</v>
      </c>
      <c r="E153" s="560">
        <v>0</v>
      </c>
      <c r="F153" s="560">
        <v>0</v>
      </c>
      <c r="G153" s="560">
        <v>0</v>
      </c>
      <c r="H153" s="560">
        <v>0</v>
      </c>
      <c r="I153" s="560">
        <v>0</v>
      </c>
      <c r="J153" s="560">
        <v>0</v>
      </c>
      <c r="K153" s="560">
        <v>0</v>
      </c>
      <c r="L153" s="560">
        <v>0</v>
      </c>
      <c r="M153" s="560">
        <v>0</v>
      </c>
      <c r="N153" s="560">
        <v>0</v>
      </c>
      <c r="O153" s="560">
        <v>0</v>
      </c>
      <c r="P153" s="560">
        <v>0</v>
      </c>
      <c r="Q153" s="391"/>
      <c r="R153" s="391"/>
      <c r="S153" s="391"/>
      <c r="T153" s="391"/>
      <c r="U153" s="560"/>
    </row>
    <row r="154" spans="1:21">
      <c r="A154" s="391"/>
      <c r="B154" s="391"/>
      <c r="C154" s="391" t="s">
        <v>268</v>
      </c>
      <c r="D154" s="560">
        <v>0</v>
      </c>
      <c r="E154" s="560">
        <v>0</v>
      </c>
      <c r="F154" s="560">
        <v>0</v>
      </c>
      <c r="G154" s="560">
        <v>0</v>
      </c>
      <c r="H154" s="560">
        <v>0</v>
      </c>
      <c r="I154" s="560">
        <v>0</v>
      </c>
      <c r="J154" s="560">
        <v>0</v>
      </c>
      <c r="K154" s="560">
        <v>0</v>
      </c>
      <c r="L154" s="560">
        <v>0</v>
      </c>
      <c r="M154" s="560">
        <v>0</v>
      </c>
      <c r="N154" s="560">
        <v>0</v>
      </c>
      <c r="O154" s="560">
        <v>0</v>
      </c>
      <c r="P154" s="560">
        <v>0</v>
      </c>
      <c r="Q154" s="391"/>
      <c r="R154" s="391"/>
      <c r="S154" s="391"/>
      <c r="T154" s="391"/>
      <c r="U154" s="560"/>
    </row>
    <row r="155" spans="1:21">
      <c r="A155" s="391"/>
      <c r="B155" s="391"/>
      <c r="C155" s="391" t="s">
        <v>269</v>
      </c>
      <c r="D155" s="560">
        <v>0</v>
      </c>
      <c r="E155" s="560">
        <v>0</v>
      </c>
      <c r="F155" s="560">
        <v>0</v>
      </c>
      <c r="G155" s="560">
        <v>0</v>
      </c>
      <c r="H155" s="560">
        <v>0</v>
      </c>
      <c r="I155" s="560">
        <v>0</v>
      </c>
      <c r="J155" s="560">
        <v>0</v>
      </c>
      <c r="K155" s="560">
        <v>0</v>
      </c>
      <c r="L155" s="560">
        <v>0</v>
      </c>
      <c r="M155" s="560">
        <v>0</v>
      </c>
      <c r="N155" s="560">
        <v>0</v>
      </c>
      <c r="O155" s="560">
        <v>0</v>
      </c>
      <c r="P155" s="560">
        <v>0</v>
      </c>
      <c r="Q155" s="391"/>
      <c r="R155" s="391"/>
      <c r="S155" s="391"/>
      <c r="T155" s="391"/>
      <c r="U155" s="560"/>
    </row>
    <row r="156" spans="1:21">
      <c r="A156" s="391"/>
      <c r="B156" s="391"/>
      <c r="C156" s="391" t="s">
        <v>270</v>
      </c>
      <c r="D156" s="560">
        <v>0</v>
      </c>
      <c r="E156" s="560">
        <v>0</v>
      </c>
      <c r="F156" s="560">
        <v>0</v>
      </c>
      <c r="G156" s="560">
        <v>0</v>
      </c>
      <c r="H156" s="560">
        <v>0</v>
      </c>
      <c r="I156" s="560">
        <v>0</v>
      </c>
      <c r="J156" s="560">
        <v>0</v>
      </c>
      <c r="K156" s="560">
        <v>0</v>
      </c>
      <c r="L156" s="560">
        <v>0</v>
      </c>
      <c r="M156" s="560">
        <v>0</v>
      </c>
      <c r="N156" s="560">
        <v>0</v>
      </c>
      <c r="O156" s="560">
        <v>0</v>
      </c>
      <c r="P156" s="560">
        <v>0</v>
      </c>
      <c r="Q156" s="391"/>
      <c r="R156" s="391"/>
      <c r="S156" s="391"/>
      <c r="T156" s="391"/>
      <c r="U156" s="560"/>
    </row>
    <row r="157" spans="1:21">
      <c r="A157" s="391"/>
      <c r="B157" s="391"/>
      <c r="C157" s="391" t="s">
        <v>271</v>
      </c>
      <c r="D157" s="560">
        <v>0</v>
      </c>
      <c r="E157" s="560">
        <v>0</v>
      </c>
      <c r="F157" s="560">
        <v>0</v>
      </c>
      <c r="G157" s="560">
        <v>0</v>
      </c>
      <c r="H157" s="560">
        <v>0</v>
      </c>
      <c r="I157" s="560">
        <v>0</v>
      </c>
      <c r="J157" s="560">
        <v>0</v>
      </c>
      <c r="K157" s="560">
        <v>0</v>
      </c>
      <c r="L157" s="560">
        <v>0</v>
      </c>
      <c r="M157" s="560">
        <v>0</v>
      </c>
      <c r="N157" s="560">
        <v>0</v>
      </c>
      <c r="O157" s="560">
        <v>0</v>
      </c>
      <c r="P157" s="560">
        <v>0</v>
      </c>
      <c r="Q157" s="391"/>
      <c r="R157" s="391"/>
      <c r="S157" s="391"/>
      <c r="T157" s="391"/>
      <c r="U157" s="560"/>
    </row>
    <row r="158" spans="1:21">
      <c r="A158" s="391"/>
      <c r="B158" s="391"/>
      <c r="C158" s="391" t="s">
        <v>272</v>
      </c>
      <c r="D158" s="560">
        <v>0</v>
      </c>
      <c r="E158" s="560">
        <v>0</v>
      </c>
      <c r="F158" s="560">
        <v>0</v>
      </c>
      <c r="G158" s="560">
        <v>0</v>
      </c>
      <c r="H158" s="560">
        <v>0</v>
      </c>
      <c r="I158" s="560">
        <v>0</v>
      </c>
      <c r="J158" s="560">
        <v>0</v>
      </c>
      <c r="K158" s="560">
        <v>0</v>
      </c>
      <c r="L158" s="560">
        <v>0</v>
      </c>
      <c r="M158" s="560">
        <v>0</v>
      </c>
      <c r="N158" s="560">
        <v>0</v>
      </c>
      <c r="O158" s="560">
        <v>0</v>
      </c>
      <c r="P158" s="560">
        <v>0</v>
      </c>
      <c r="Q158" s="391"/>
      <c r="R158" s="391"/>
      <c r="S158" s="391"/>
      <c r="T158" s="391"/>
      <c r="U158" s="560"/>
    </row>
    <row r="159" spans="1:21">
      <c r="A159" s="391"/>
      <c r="B159" s="391"/>
      <c r="C159" s="391" t="s">
        <v>273</v>
      </c>
      <c r="D159" s="560">
        <v>0</v>
      </c>
      <c r="E159" s="560">
        <v>0</v>
      </c>
      <c r="F159" s="560">
        <v>0</v>
      </c>
      <c r="G159" s="560">
        <v>0</v>
      </c>
      <c r="H159" s="560">
        <v>0</v>
      </c>
      <c r="I159" s="560">
        <v>0</v>
      </c>
      <c r="J159" s="560">
        <v>0</v>
      </c>
      <c r="K159" s="560">
        <v>0</v>
      </c>
      <c r="L159" s="560">
        <v>0</v>
      </c>
      <c r="M159" s="560">
        <v>0</v>
      </c>
      <c r="N159" s="560">
        <v>0</v>
      </c>
      <c r="O159" s="560">
        <v>0</v>
      </c>
      <c r="P159" s="560">
        <v>0</v>
      </c>
      <c r="Q159" s="391"/>
      <c r="R159" s="391"/>
      <c r="S159" s="391"/>
      <c r="T159" s="391"/>
      <c r="U159" s="560"/>
    </row>
    <row r="160" spans="1:21">
      <c r="A160" s="391"/>
      <c r="B160" s="391"/>
      <c r="C160" s="391" t="s">
        <v>274</v>
      </c>
      <c r="D160" s="560">
        <v>0</v>
      </c>
      <c r="E160" s="560">
        <v>0</v>
      </c>
      <c r="F160" s="560">
        <v>0</v>
      </c>
      <c r="G160" s="560">
        <v>0</v>
      </c>
      <c r="H160" s="560">
        <v>0</v>
      </c>
      <c r="I160" s="560">
        <v>0</v>
      </c>
      <c r="J160" s="560">
        <v>0</v>
      </c>
      <c r="K160" s="560">
        <v>0</v>
      </c>
      <c r="L160" s="560">
        <v>0</v>
      </c>
      <c r="M160" s="560">
        <v>0</v>
      </c>
      <c r="N160" s="560">
        <v>0</v>
      </c>
      <c r="O160" s="560">
        <v>0</v>
      </c>
      <c r="P160" s="560">
        <v>0</v>
      </c>
      <c r="Q160" s="391"/>
      <c r="R160" s="391"/>
      <c r="S160" s="391"/>
      <c r="T160" s="391"/>
      <c r="U160" s="560"/>
    </row>
    <row r="161" spans="1:21">
      <c r="A161" s="391"/>
      <c r="B161" s="391"/>
      <c r="C161" s="391" t="s">
        <v>275</v>
      </c>
      <c r="D161" s="560">
        <v>0</v>
      </c>
      <c r="E161" s="560">
        <v>0</v>
      </c>
      <c r="F161" s="560">
        <v>0</v>
      </c>
      <c r="G161" s="560">
        <v>0</v>
      </c>
      <c r="H161" s="560">
        <v>0</v>
      </c>
      <c r="I161" s="560">
        <v>0</v>
      </c>
      <c r="J161" s="560">
        <v>0</v>
      </c>
      <c r="K161" s="560">
        <v>0</v>
      </c>
      <c r="L161" s="560">
        <v>0</v>
      </c>
      <c r="M161" s="560">
        <v>0</v>
      </c>
      <c r="N161" s="560">
        <v>0</v>
      </c>
      <c r="O161" s="560">
        <v>0</v>
      </c>
      <c r="P161" s="560">
        <v>0</v>
      </c>
      <c r="Q161" s="391"/>
      <c r="R161" s="391"/>
      <c r="S161" s="391"/>
      <c r="T161" s="391"/>
      <c r="U161" s="560"/>
    </row>
    <row r="162" spans="1:21">
      <c r="A162" s="391"/>
      <c r="B162" s="391"/>
      <c r="C162" s="391" t="s">
        <v>276</v>
      </c>
      <c r="D162" s="560">
        <v>0</v>
      </c>
      <c r="E162" s="560">
        <v>0</v>
      </c>
      <c r="F162" s="560">
        <v>0</v>
      </c>
      <c r="G162" s="560">
        <v>0</v>
      </c>
      <c r="H162" s="560">
        <v>0</v>
      </c>
      <c r="I162" s="560">
        <v>0</v>
      </c>
      <c r="J162" s="560">
        <v>0</v>
      </c>
      <c r="K162" s="560">
        <v>0</v>
      </c>
      <c r="L162" s="560">
        <v>0</v>
      </c>
      <c r="M162" s="560">
        <v>0</v>
      </c>
      <c r="N162" s="560">
        <v>0</v>
      </c>
      <c r="O162" s="560">
        <v>0</v>
      </c>
      <c r="P162" s="560">
        <v>0</v>
      </c>
      <c r="Q162" s="391"/>
      <c r="R162" s="391"/>
      <c r="S162" s="391"/>
      <c r="T162" s="391"/>
      <c r="U162" s="560"/>
    </row>
    <row r="163" spans="1:21">
      <c r="A163" s="391"/>
      <c r="B163" s="391"/>
      <c r="C163" s="391" t="s">
        <v>277</v>
      </c>
      <c r="D163" s="560">
        <v>0</v>
      </c>
      <c r="E163" s="560">
        <v>0</v>
      </c>
      <c r="F163" s="560">
        <v>0</v>
      </c>
      <c r="G163" s="560">
        <v>0</v>
      </c>
      <c r="H163" s="560">
        <v>0</v>
      </c>
      <c r="I163" s="560">
        <v>0</v>
      </c>
      <c r="J163" s="560">
        <v>0</v>
      </c>
      <c r="K163" s="560">
        <v>0</v>
      </c>
      <c r="L163" s="560">
        <v>0</v>
      </c>
      <c r="M163" s="560">
        <v>0</v>
      </c>
      <c r="N163" s="560">
        <v>0</v>
      </c>
      <c r="O163" s="560">
        <v>0</v>
      </c>
      <c r="P163" s="560">
        <v>0</v>
      </c>
      <c r="Q163" s="391"/>
      <c r="R163" s="391"/>
      <c r="S163" s="391"/>
      <c r="T163" s="391"/>
      <c r="U163" s="560"/>
    </row>
    <row r="164" spans="1:21">
      <c r="A164" s="391"/>
      <c r="B164" s="391"/>
      <c r="C164" s="391" t="s">
        <v>278</v>
      </c>
      <c r="D164" s="560">
        <v>0</v>
      </c>
      <c r="E164" s="560">
        <v>0</v>
      </c>
      <c r="F164" s="560">
        <v>0</v>
      </c>
      <c r="G164" s="560">
        <v>0</v>
      </c>
      <c r="H164" s="560">
        <v>0</v>
      </c>
      <c r="I164" s="560">
        <v>0</v>
      </c>
      <c r="J164" s="560">
        <v>0</v>
      </c>
      <c r="K164" s="560">
        <v>0</v>
      </c>
      <c r="L164" s="560">
        <v>0</v>
      </c>
      <c r="M164" s="560">
        <v>0</v>
      </c>
      <c r="N164" s="560">
        <v>0</v>
      </c>
      <c r="O164" s="560">
        <v>0</v>
      </c>
      <c r="P164" s="560">
        <v>0</v>
      </c>
      <c r="Q164" s="391"/>
      <c r="R164" s="391"/>
      <c r="S164" s="391"/>
      <c r="T164" s="391"/>
      <c r="U164" s="560"/>
    </row>
    <row r="165" spans="1:21">
      <c r="A165" s="391"/>
      <c r="B165" s="391"/>
      <c r="C165" s="391" t="s">
        <v>279</v>
      </c>
      <c r="D165" s="560">
        <v>0</v>
      </c>
      <c r="E165" s="560">
        <v>0</v>
      </c>
      <c r="F165" s="560">
        <v>0</v>
      </c>
      <c r="G165" s="560">
        <v>0</v>
      </c>
      <c r="H165" s="560">
        <v>0</v>
      </c>
      <c r="I165" s="560">
        <v>0</v>
      </c>
      <c r="J165" s="560">
        <v>0</v>
      </c>
      <c r="K165" s="560">
        <v>0</v>
      </c>
      <c r="L165" s="600">
        <v>0</v>
      </c>
      <c r="M165" s="560">
        <v>0</v>
      </c>
      <c r="N165" s="560">
        <v>0</v>
      </c>
      <c r="O165" s="560">
        <v>0</v>
      </c>
      <c r="P165" s="560">
        <v>0</v>
      </c>
      <c r="Q165" s="391"/>
      <c r="R165" s="391"/>
      <c r="S165" s="391"/>
      <c r="T165" s="391"/>
      <c r="U165" s="560"/>
    </row>
    <row r="166" spans="1:21">
      <c r="A166" s="391"/>
      <c r="B166" s="391"/>
      <c r="C166" s="391" t="s">
        <v>280</v>
      </c>
      <c r="D166" s="560">
        <v>0</v>
      </c>
      <c r="E166" s="560">
        <v>0</v>
      </c>
      <c r="F166" s="560">
        <v>0</v>
      </c>
      <c r="G166" s="560">
        <v>0</v>
      </c>
      <c r="H166" s="560">
        <v>0</v>
      </c>
      <c r="I166" s="560">
        <v>0</v>
      </c>
      <c r="J166" s="560">
        <v>0</v>
      </c>
      <c r="K166" s="560">
        <v>0</v>
      </c>
      <c r="L166" s="560">
        <v>0</v>
      </c>
      <c r="M166" s="560">
        <v>0</v>
      </c>
      <c r="N166" s="560">
        <v>0</v>
      </c>
      <c r="O166" s="560">
        <v>0</v>
      </c>
      <c r="P166" s="560">
        <v>0</v>
      </c>
      <c r="Q166" s="391"/>
      <c r="R166" s="391"/>
      <c r="S166" s="391"/>
      <c r="T166" s="391"/>
      <c r="U166" s="560"/>
    </row>
    <row r="167" spans="1:21">
      <c r="A167" s="391"/>
      <c r="B167" s="821" t="s">
        <v>408</v>
      </c>
      <c r="C167" s="391"/>
      <c r="D167" s="560">
        <v>378097937.36000001</v>
      </c>
      <c r="E167" s="894">
        <v>448881214.36000001</v>
      </c>
      <c r="F167" s="560">
        <v>432700515.36000001</v>
      </c>
      <c r="G167" s="560">
        <v>384294532.36000001</v>
      </c>
      <c r="H167" s="560">
        <v>427575732.36000001</v>
      </c>
      <c r="I167" s="560">
        <v>396566773.36000001</v>
      </c>
      <c r="J167" s="560">
        <v>377299308.36000001</v>
      </c>
      <c r="K167" s="560">
        <v>443920056.36000001</v>
      </c>
      <c r="L167" s="560">
        <v>442850546.36000001</v>
      </c>
      <c r="M167" s="560">
        <v>0</v>
      </c>
      <c r="N167" s="560">
        <v>0</v>
      </c>
      <c r="O167" s="560">
        <v>0</v>
      </c>
      <c r="P167" s="560">
        <v>0</v>
      </c>
      <c r="Q167" s="391"/>
      <c r="R167" s="391"/>
      <c r="S167" s="391"/>
      <c r="T167" s="391"/>
      <c r="U167" s="560"/>
    </row>
    <row r="168" spans="1:21">
      <c r="A168" s="391"/>
      <c r="B168" s="821" t="s">
        <v>409</v>
      </c>
      <c r="C168" s="391"/>
      <c r="D168" s="560"/>
      <c r="E168" s="560"/>
      <c r="F168" s="600"/>
      <c r="G168" s="600"/>
      <c r="H168" s="600"/>
      <c r="I168" s="600"/>
      <c r="J168" s="600"/>
      <c r="K168" s="600"/>
      <c r="L168" s="560"/>
      <c r="M168" s="600"/>
      <c r="N168" s="600"/>
      <c r="O168" s="600"/>
      <c r="P168" s="600"/>
      <c r="Q168" s="391"/>
      <c r="R168" s="391"/>
      <c r="S168" s="391"/>
      <c r="T168" s="391"/>
      <c r="U168" s="560"/>
    </row>
    <row r="169" spans="1:21">
      <c r="A169" s="391"/>
      <c r="B169" s="391"/>
      <c r="C169" s="391" t="s">
        <v>281</v>
      </c>
      <c r="D169" s="560">
        <v>0</v>
      </c>
      <c r="E169" s="560">
        <v>0</v>
      </c>
      <c r="F169" s="560">
        <v>0</v>
      </c>
      <c r="G169" s="560">
        <v>0</v>
      </c>
      <c r="H169" s="560">
        <v>0</v>
      </c>
      <c r="I169" s="560">
        <v>0</v>
      </c>
      <c r="J169" s="560">
        <v>0</v>
      </c>
      <c r="K169" s="560">
        <v>0</v>
      </c>
      <c r="L169" s="560">
        <v>0</v>
      </c>
      <c r="M169" s="560">
        <v>0</v>
      </c>
      <c r="N169" s="560">
        <v>0</v>
      </c>
      <c r="O169" s="560">
        <v>0</v>
      </c>
      <c r="P169" s="560">
        <v>0</v>
      </c>
      <c r="Q169" s="391"/>
      <c r="R169" s="391"/>
      <c r="S169" s="391"/>
      <c r="T169" s="391"/>
      <c r="U169" s="560"/>
    </row>
    <row r="170" spans="1:21">
      <c r="A170" s="391"/>
      <c r="B170" s="391"/>
      <c r="C170" s="391" t="s">
        <v>282</v>
      </c>
      <c r="D170" s="560">
        <v>0</v>
      </c>
      <c r="E170" s="560">
        <v>0</v>
      </c>
      <c r="F170" s="560">
        <v>0</v>
      </c>
      <c r="G170" s="560">
        <v>0</v>
      </c>
      <c r="H170" s="560">
        <v>0</v>
      </c>
      <c r="I170" s="560">
        <v>0</v>
      </c>
      <c r="J170" s="560">
        <v>0</v>
      </c>
      <c r="K170" s="560">
        <v>0</v>
      </c>
      <c r="L170" s="560">
        <v>0</v>
      </c>
      <c r="M170" s="560">
        <v>0</v>
      </c>
      <c r="N170" s="560">
        <v>0</v>
      </c>
      <c r="O170" s="560">
        <v>0</v>
      </c>
      <c r="P170" s="560">
        <v>0</v>
      </c>
      <c r="Q170" s="391"/>
      <c r="R170" s="391"/>
      <c r="S170" s="391"/>
      <c r="T170" s="391"/>
      <c r="U170" s="560"/>
    </row>
    <row r="171" spans="1:21">
      <c r="A171" s="391"/>
      <c r="B171" s="391"/>
      <c r="C171" s="391" t="s">
        <v>283</v>
      </c>
      <c r="D171" s="560">
        <v>0</v>
      </c>
      <c r="E171" s="560">
        <v>0</v>
      </c>
      <c r="F171" s="560">
        <v>0</v>
      </c>
      <c r="G171" s="560">
        <v>0</v>
      </c>
      <c r="H171" s="560">
        <v>0</v>
      </c>
      <c r="I171" s="560">
        <v>0</v>
      </c>
      <c r="J171" s="560">
        <v>0</v>
      </c>
      <c r="K171" s="560">
        <v>0</v>
      </c>
      <c r="L171" s="560">
        <v>0</v>
      </c>
      <c r="M171" s="560">
        <v>0</v>
      </c>
      <c r="N171" s="560">
        <v>0</v>
      </c>
      <c r="O171" s="560">
        <v>0</v>
      </c>
      <c r="P171" s="560">
        <v>0</v>
      </c>
      <c r="Q171" s="391"/>
      <c r="R171" s="391"/>
      <c r="S171" s="391"/>
      <c r="T171" s="391"/>
      <c r="U171" s="560"/>
    </row>
    <row r="172" spans="1:21">
      <c r="A172" s="391"/>
      <c r="B172" s="391"/>
      <c r="C172" s="391" t="s">
        <v>284</v>
      </c>
      <c r="D172" s="560">
        <v>0</v>
      </c>
      <c r="E172" s="560">
        <v>0</v>
      </c>
      <c r="F172" s="560">
        <v>0</v>
      </c>
      <c r="G172" s="560">
        <v>0</v>
      </c>
      <c r="H172" s="560">
        <v>0</v>
      </c>
      <c r="I172" s="560">
        <v>0</v>
      </c>
      <c r="J172" s="560">
        <v>0</v>
      </c>
      <c r="K172" s="560">
        <v>0</v>
      </c>
      <c r="L172" s="560">
        <v>0</v>
      </c>
      <c r="M172" s="560">
        <v>0</v>
      </c>
      <c r="N172" s="560">
        <v>0</v>
      </c>
      <c r="O172" s="560">
        <v>0</v>
      </c>
      <c r="P172" s="560">
        <v>0</v>
      </c>
      <c r="Q172" s="391"/>
      <c r="R172" s="391"/>
      <c r="S172" s="391"/>
      <c r="T172" s="391"/>
      <c r="U172" s="560"/>
    </row>
    <row r="173" spans="1:21">
      <c r="A173" s="391"/>
      <c r="B173" s="391"/>
      <c r="C173" s="391" t="s">
        <v>285</v>
      </c>
      <c r="D173" s="560">
        <v>0</v>
      </c>
      <c r="E173" s="560">
        <v>0</v>
      </c>
      <c r="F173" s="560">
        <v>0</v>
      </c>
      <c r="G173" s="560">
        <v>0</v>
      </c>
      <c r="H173" s="560">
        <v>0</v>
      </c>
      <c r="I173" s="560">
        <v>0</v>
      </c>
      <c r="J173" s="560">
        <v>0</v>
      </c>
      <c r="K173" s="560">
        <v>0</v>
      </c>
      <c r="L173" s="560">
        <v>0</v>
      </c>
      <c r="M173" s="560">
        <v>0</v>
      </c>
      <c r="N173" s="560">
        <v>0</v>
      </c>
      <c r="O173" s="560">
        <v>0</v>
      </c>
      <c r="P173" s="560">
        <v>0</v>
      </c>
      <c r="Q173" s="391"/>
      <c r="R173" s="391"/>
      <c r="S173" s="391"/>
      <c r="T173" s="391"/>
      <c r="U173" s="560"/>
    </row>
    <row r="174" spans="1:21">
      <c r="A174" s="391"/>
      <c r="B174" s="391"/>
      <c r="C174" s="391" t="s">
        <v>286</v>
      </c>
      <c r="D174" s="560">
        <v>0</v>
      </c>
      <c r="E174" s="560">
        <v>0</v>
      </c>
      <c r="F174" s="560">
        <v>0</v>
      </c>
      <c r="G174" s="560">
        <v>0</v>
      </c>
      <c r="H174" s="560">
        <v>0</v>
      </c>
      <c r="I174" s="560">
        <v>0</v>
      </c>
      <c r="J174" s="560">
        <v>0</v>
      </c>
      <c r="K174" s="560">
        <v>0</v>
      </c>
      <c r="L174" s="560">
        <v>0</v>
      </c>
      <c r="M174" s="560">
        <v>0</v>
      </c>
      <c r="N174" s="560">
        <v>0</v>
      </c>
      <c r="O174" s="560">
        <v>0</v>
      </c>
      <c r="P174" s="560">
        <v>0</v>
      </c>
      <c r="Q174" s="391"/>
      <c r="R174" s="391"/>
      <c r="S174" s="391"/>
      <c r="T174" s="391"/>
      <c r="U174" s="560"/>
    </row>
    <row r="175" spans="1:21">
      <c r="A175" s="391"/>
      <c r="B175" s="391"/>
      <c r="C175" s="391" t="s">
        <v>287</v>
      </c>
      <c r="D175" s="560">
        <v>0</v>
      </c>
      <c r="E175" s="560">
        <v>0</v>
      </c>
      <c r="F175" s="560">
        <v>0</v>
      </c>
      <c r="G175" s="560">
        <v>0</v>
      </c>
      <c r="H175" s="560">
        <v>0</v>
      </c>
      <c r="I175" s="560">
        <v>0</v>
      </c>
      <c r="J175" s="560">
        <v>0</v>
      </c>
      <c r="K175" s="560">
        <v>0</v>
      </c>
      <c r="L175" s="560">
        <v>0</v>
      </c>
      <c r="M175" s="560">
        <v>0</v>
      </c>
      <c r="N175" s="560">
        <v>0</v>
      </c>
      <c r="O175" s="560">
        <v>0</v>
      </c>
      <c r="P175" s="560">
        <v>0</v>
      </c>
      <c r="Q175" s="391"/>
      <c r="R175" s="391"/>
      <c r="S175" s="391"/>
      <c r="T175" s="391"/>
      <c r="U175" s="560"/>
    </row>
    <row r="176" spans="1:21">
      <c r="A176" s="391"/>
      <c r="B176" s="391"/>
      <c r="C176" s="391" t="s">
        <v>288</v>
      </c>
      <c r="D176" s="560">
        <v>0</v>
      </c>
      <c r="E176" s="560">
        <v>0</v>
      </c>
      <c r="F176" s="560">
        <v>0</v>
      </c>
      <c r="G176" s="560">
        <v>0</v>
      </c>
      <c r="H176" s="560">
        <v>0</v>
      </c>
      <c r="I176" s="560">
        <v>0</v>
      </c>
      <c r="J176" s="560">
        <v>0</v>
      </c>
      <c r="K176" s="560">
        <v>0</v>
      </c>
      <c r="L176" s="560">
        <v>0</v>
      </c>
      <c r="M176" s="560">
        <v>0</v>
      </c>
      <c r="N176" s="560">
        <v>0</v>
      </c>
      <c r="O176" s="560">
        <v>0</v>
      </c>
      <c r="P176" s="560">
        <v>0</v>
      </c>
      <c r="Q176" s="391"/>
      <c r="R176" s="391"/>
      <c r="S176" s="391"/>
      <c r="T176" s="391"/>
      <c r="U176" s="560"/>
    </row>
    <row r="177" spans="1:21">
      <c r="A177" s="391"/>
      <c r="B177" s="391"/>
      <c r="C177" s="391" t="s">
        <v>289</v>
      </c>
      <c r="D177" s="560">
        <v>0</v>
      </c>
      <c r="E177" s="560">
        <v>0</v>
      </c>
      <c r="F177" s="560">
        <v>0</v>
      </c>
      <c r="G177" s="560">
        <v>0</v>
      </c>
      <c r="H177" s="560">
        <v>0</v>
      </c>
      <c r="I177" s="560">
        <v>0</v>
      </c>
      <c r="J177" s="560">
        <v>0</v>
      </c>
      <c r="K177" s="560">
        <v>0</v>
      </c>
      <c r="L177" s="560">
        <v>0</v>
      </c>
      <c r="M177" s="560">
        <v>0</v>
      </c>
      <c r="N177" s="560">
        <v>0</v>
      </c>
      <c r="O177" s="560">
        <v>0</v>
      </c>
      <c r="P177" s="560">
        <v>0</v>
      </c>
      <c r="Q177" s="391"/>
      <c r="R177" s="391"/>
      <c r="S177" s="391"/>
      <c r="T177" s="391"/>
      <c r="U177" s="560"/>
    </row>
    <row r="178" spans="1:21">
      <c r="A178" s="391"/>
      <c r="B178" s="391"/>
      <c r="C178" s="391" t="s">
        <v>290</v>
      </c>
      <c r="D178" s="560">
        <v>0</v>
      </c>
      <c r="E178" s="560">
        <v>0</v>
      </c>
      <c r="F178" s="560">
        <v>0</v>
      </c>
      <c r="G178" s="560">
        <v>0</v>
      </c>
      <c r="H178" s="560">
        <v>0</v>
      </c>
      <c r="I178" s="560">
        <v>0</v>
      </c>
      <c r="J178" s="560">
        <v>0</v>
      </c>
      <c r="K178" s="560">
        <v>0</v>
      </c>
      <c r="L178" s="560">
        <v>0</v>
      </c>
      <c r="M178" s="560">
        <v>0</v>
      </c>
      <c r="N178" s="560">
        <v>0</v>
      </c>
      <c r="O178" s="560">
        <v>0</v>
      </c>
      <c r="P178" s="560">
        <v>0</v>
      </c>
      <c r="Q178" s="391"/>
      <c r="R178" s="391"/>
      <c r="S178" s="391"/>
      <c r="T178" s="391"/>
      <c r="U178" s="560"/>
    </row>
    <row r="179" spans="1:21">
      <c r="A179" s="391"/>
      <c r="B179" s="391"/>
      <c r="C179" s="391" t="s">
        <v>291</v>
      </c>
      <c r="D179" s="560">
        <v>0</v>
      </c>
      <c r="E179" s="560">
        <v>0</v>
      </c>
      <c r="F179" s="560">
        <v>0</v>
      </c>
      <c r="G179" s="560">
        <v>0</v>
      </c>
      <c r="H179" s="560">
        <v>0</v>
      </c>
      <c r="I179" s="560">
        <v>0</v>
      </c>
      <c r="J179" s="560">
        <v>0</v>
      </c>
      <c r="K179" s="560">
        <v>0</v>
      </c>
      <c r="L179" s="560">
        <v>0</v>
      </c>
      <c r="M179" s="560">
        <v>0</v>
      </c>
      <c r="N179" s="560">
        <v>0</v>
      </c>
      <c r="O179" s="560">
        <v>0</v>
      </c>
      <c r="P179" s="560">
        <v>0</v>
      </c>
      <c r="Q179" s="391"/>
      <c r="R179" s="391"/>
      <c r="S179" s="391"/>
      <c r="T179" s="391"/>
      <c r="U179" s="560"/>
    </row>
    <row r="180" spans="1:21">
      <c r="A180" s="391"/>
      <c r="B180" s="391"/>
      <c r="C180" s="391" t="s">
        <v>292</v>
      </c>
      <c r="D180" s="560">
        <v>0</v>
      </c>
      <c r="E180" s="560">
        <v>0</v>
      </c>
      <c r="F180" s="560">
        <v>0</v>
      </c>
      <c r="G180" s="560">
        <v>0</v>
      </c>
      <c r="H180" s="560">
        <v>0</v>
      </c>
      <c r="I180" s="560">
        <v>0</v>
      </c>
      <c r="J180" s="560">
        <v>0</v>
      </c>
      <c r="K180" s="560">
        <v>0</v>
      </c>
      <c r="L180" s="560">
        <v>0</v>
      </c>
      <c r="M180" s="560">
        <v>0</v>
      </c>
      <c r="N180" s="560">
        <v>0</v>
      </c>
      <c r="O180" s="560">
        <v>0</v>
      </c>
      <c r="P180" s="560">
        <v>0</v>
      </c>
      <c r="Q180" s="391"/>
      <c r="R180" s="391"/>
      <c r="S180" s="391"/>
      <c r="T180" s="391"/>
      <c r="U180" s="560"/>
    </row>
    <row r="181" spans="1:21">
      <c r="A181" s="391"/>
      <c r="B181" s="391"/>
      <c r="C181" s="391" t="s">
        <v>293</v>
      </c>
      <c r="D181" s="560">
        <v>0</v>
      </c>
      <c r="E181" s="560">
        <v>0</v>
      </c>
      <c r="F181" s="560">
        <v>0</v>
      </c>
      <c r="G181" s="560">
        <v>0</v>
      </c>
      <c r="H181" s="560">
        <v>0</v>
      </c>
      <c r="I181" s="560">
        <v>0</v>
      </c>
      <c r="J181" s="560">
        <v>0</v>
      </c>
      <c r="K181" s="560">
        <v>0</v>
      </c>
      <c r="L181" s="560">
        <v>0</v>
      </c>
      <c r="M181" s="560">
        <v>0</v>
      </c>
      <c r="N181" s="560">
        <v>0</v>
      </c>
      <c r="O181" s="560">
        <v>0</v>
      </c>
      <c r="P181" s="560">
        <v>0</v>
      </c>
      <c r="Q181" s="391"/>
      <c r="R181" s="391"/>
      <c r="S181" s="391"/>
      <c r="T181" s="391"/>
      <c r="U181" s="560"/>
    </row>
    <row r="182" spans="1:21">
      <c r="A182" s="391"/>
      <c r="B182" s="391"/>
      <c r="C182" s="391" t="s">
        <v>294</v>
      </c>
      <c r="D182" s="560">
        <v>0</v>
      </c>
      <c r="E182" s="560">
        <v>0</v>
      </c>
      <c r="F182" s="560">
        <v>0</v>
      </c>
      <c r="G182" s="560">
        <v>0</v>
      </c>
      <c r="H182" s="560">
        <v>0</v>
      </c>
      <c r="I182" s="560">
        <v>0</v>
      </c>
      <c r="J182" s="560">
        <v>0</v>
      </c>
      <c r="K182" s="560">
        <v>0</v>
      </c>
      <c r="L182" s="600">
        <v>0</v>
      </c>
      <c r="M182" s="560">
        <v>0</v>
      </c>
      <c r="N182" s="560">
        <v>0</v>
      </c>
      <c r="O182" s="560">
        <v>0</v>
      </c>
      <c r="P182" s="560">
        <v>0</v>
      </c>
      <c r="Q182" s="391"/>
      <c r="R182" s="391"/>
      <c r="S182" s="391"/>
      <c r="T182" s="391"/>
      <c r="U182" s="560"/>
    </row>
    <row r="183" spans="1:21">
      <c r="A183" s="391"/>
      <c r="B183" s="391"/>
      <c r="C183" s="391" t="s">
        <v>295</v>
      </c>
      <c r="D183" s="560">
        <v>0</v>
      </c>
      <c r="E183" s="560">
        <v>0</v>
      </c>
      <c r="F183" s="560">
        <v>0</v>
      </c>
      <c r="G183" s="560">
        <v>0</v>
      </c>
      <c r="H183" s="560">
        <v>0</v>
      </c>
      <c r="I183" s="560">
        <v>0</v>
      </c>
      <c r="J183" s="560">
        <v>0</v>
      </c>
      <c r="K183" s="560">
        <v>0</v>
      </c>
      <c r="L183" s="560">
        <v>0</v>
      </c>
      <c r="M183" s="560">
        <v>0</v>
      </c>
      <c r="N183" s="560">
        <v>0</v>
      </c>
      <c r="O183" s="560">
        <v>0</v>
      </c>
      <c r="P183" s="560">
        <v>0</v>
      </c>
      <c r="Q183" s="391"/>
      <c r="R183" s="391"/>
      <c r="S183" s="391"/>
      <c r="T183" s="391"/>
      <c r="U183" s="560"/>
    </row>
    <row r="184" spans="1:21">
      <c r="A184" s="391"/>
      <c r="B184" s="821" t="s">
        <v>410</v>
      </c>
      <c r="C184" s="391"/>
      <c r="D184" s="560">
        <v>0</v>
      </c>
      <c r="E184" s="894">
        <v>0</v>
      </c>
      <c r="F184" s="560">
        <v>0</v>
      </c>
      <c r="G184" s="560">
        <v>0</v>
      </c>
      <c r="H184" s="560">
        <v>0</v>
      </c>
      <c r="I184" s="560">
        <v>0</v>
      </c>
      <c r="J184" s="560">
        <v>0</v>
      </c>
      <c r="K184" s="560">
        <v>0</v>
      </c>
      <c r="L184" s="560">
        <v>0</v>
      </c>
      <c r="M184" s="560">
        <v>0</v>
      </c>
      <c r="N184" s="560">
        <v>0</v>
      </c>
      <c r="O184" s="560">
        <v>0</v>
      </c>
      <c r="P184" s="560">
        <v>0</v>
      </c>
      <c r="Q184" s="391"/>
      <c r="R184" s="391"/>
      <c r="S184" s="391"/>
      <c r="T184" s="391"/>
      <c r="U184" s="560"/>
    </row>
    <row r="185" spans="1:21">
      <c r="A185" s="391"/>
      <c r="B185" s="821" t="s">
        <v>411</v>
      </c>
      <c r="C185" s="391"/>
      <c r="D185" s="560"/>
      <c r="E185" s="560"/>
      <c r="F185" s="600"/>
      <c r="G185" s="600"/>
      <c r="H185" s="600"/>
      <c r="I185" s="600"/>
      <c r="J185" s="600"/>
      <c r="K185" s="600"/>
      <c r="L185" s="560"/>
      <c r="M185" s="600"/>
      <c r="N185" s="600"/>
      <c r="O185" s="600"/>
      <c r="P185" s="600"/>
      <c r="Q185" s="391"/>
      <c r="R185" s="391"/>
      <c r="S185" s="391"/>
      <c r="T185" s="391"/>
      <c r="U185" s="560"/>
    </row>
    <row r="186" spans="1:21">
      <c r="A186" s="391"/>
      <c r="B186" s="391"/>
      <c r="C186" s="391" t="s">
        <v>296</v>
      </c>
      <c r="D186" s="560">
        <v>21000000</v>
      </c>
      <c r="E186" s="560">
        <v>21000000</v>
      </c>
      <c r="F186" s="560">
        <v>21000000</v>
      </c>
      <c r="G186" s="560">
        <v>21000000</v>
      </c>
      <c r="H186" s="560">
        <v>21000000</v>
      </c>
      <c r="I186" s="560">
        <v>21000000</v>
      </c>
      <c r="J186" s="560">
        <v>21000000</v>
      </c>
      <c r="K186" s="560">
        <v>21000000</v>
      </c>
      <c r="L186" s="560">
        <v>21000000</v>
      </c>
      <c r="M186" s="560">
        <v>0</v>
      </c>
      <c r="N186" s="560">
        <v>0</v>
      </c>
      <c r="O186" s="560">
        <v>0</v>
      </c>
      <c r="P186" s="560">
        <v>0</v>
      </c>
      <c r="Q186" s="391"/>
      <c r="R186" s="391"/>
      <c r="S186" s="391"/>
      <c r="T186" s="391"/>
      <c r="U186" s="560"/>
    </row>
    <row r="187" spans="1:21">
      <c r="A187" s="391"/>
      <c r="B187" s="391"/>
      <c r="C187" s="391" t="s">
        <v>297</v>
      </c>
      <c r="D187" s="560">
        <v>13333333</v>
      </c>
      <c r="E187" s="560">
        <v>13333333</v>
      </c>
      <c r="F187" s="560">
        <v>13333333</v>
      </c>
      <c r="G187" s="560">
        <v>13333333</v>
      </c>
      <c r="H187" s="560">
        <v>13333333</v>
      </c>
      <c r="I187" s="560">
        <v>13333333</v>
      </c>
      <c r="J187" s="560">
        <v>13333333</v>
      </c>
      <c r="K187" s="560">
        <v>13333333</v>
      </c>
      <c r="L187" s="560">
        <v>13333333</v>
      </c>
      <c r="M187" s="560">
        <v>0</v>
      </c>
      <c r="N187" s="560">
        <v>0</v>
      </c>
      <c r="O187" s="560">
        <v>0</v>
      </c>
      <c r="P187" s="560">
        <v>0</v>
      </c>
      <c r="Q187" s="391"/>
      <c r="R187" s="391"/>
      <c r="S187" s="391"/>
      <c r="T187" s="391"/>
      <c r="U187" s="560"/>
    </row>
    <row r="188" spans="1:21">
      <c r="A188" s="391"/>
      <c r="B188" s="391"/>
      <c r="C188" s="391" t="s">
        <v>298</v>
      </c>
      <c r="D188" s="560">
        <v>-2658187</v>
      </c>
      <c r="E188" s="560">
        <v>-2679973</v>
      </c>
      <c r="F188" s="560">
        <v>-2701759</v>
      </c>
      <c r="G188" s="560">
        <v>-2723545</v>
      </c>
      <c r="H188" s="560">
        <v>-2745331</v>
      </c>
      <c r="I188" s="560">
        <v>-2767117</v>
      </c>
      <c r="J188" s="560">
        <v>-2788903</v>
      </c>
      <c r="K188" s="560">
        <v>-2810689</v>
      </c>
      <c r="L188" s="560">
        <v>-2832475</v>
      </c>
      <c r="M188" s="560">
        <v>0</v>
      </c>
      <c r="N188" s="560">
        <v>0</v>
      </c>
      <c r="O188" s="560">
        <v>0</v>
      </c>
      <c r="P188" s="560">
        <v>0</v>
      </c>
      <c r="Q188" s="391"/>
      <c r="R188" s="391"/>
      <c r="S188" s="391"/>
      <c r="T188" s="391"/>
      <c r="U188" s="560"/>
    </row>
    <row r="189" spans="1:21">
      <c r="A189" s="391"/>
      <c r="B189" s="391"/>
      <c r="C189" s="391" t="s">
        <v>299</v>
      </c>
      <c r="D189" s="560">
        <v>5211496</v>
      </c>
      <c r="E189" s="560">
        <v>5211496</v>
      </c>
      <c r="F189" s="560">
        <v>5211496</v>
      </c>
      <c r="G189" s="560">
        <v>5211496</v>
      </c>
      <c r="H189" s="560">
        <v>5211496</v>
      </c>
      <c r="I189" s="560">
        <v>5211496</v>
      </c>
      <c r="J189" s="560">
        <v>5211496</v>
      </c>
      <c r="K189" s="560">
        <v>5211496</v>
      </c>
      <c r="L189" s="560">
        <v>5211496</v>
      </c>
      <c r="M189" s="560">
        <v>0</v>
      </c>
      <c r="N189" s="560">
        <v>0</v>
      </c>
      <c r="O189" s="560">
        <v>0</v>
      </c>
      <c r="P189" s="560">
        <v>0</v>
      </c>
      <c r="Q189" s="391"/>
      <c r="R189" s="391"/>
      <c r="S189" s="391"/>
      <c r="T189" s="391"/>
      <c r="U189" s="560"/>
    </row>
    <row r="190" spans="1:21">
      <c r="A190" s="391"/>
      <c r="B190" s="391"/>
      <c r="C190" s="391" t="s">
        <v>300</v>
      </c>
      <c r="D190" s="560">
        <v>-3342977</v>
      </c>
      <c r="E190" s="560">
        <v>-3457947</v>
      </c>
      <c r="F190" s="560">
        <v>-3572916</v>
      </c>
      <c r="G190" s="560">
        <v>-3687886</v>
      </c>
      <c r="H190" s="560">
        <v>-3802855</v>
      </c>
      <c r="I190" s="560">
        <v>-3917825</v>
      </c>
      <c r="J190" s="560">
        <v>-4032794</v>
      </c>
      <c r="K190" s="560">
        <v>-4147763</v>
      </c>
      <c r="L190" s="560">
        <v>-4262732</v>
      </c>
      <c r="M190" s="560">
        <v>0</v>
      </c>
      <c r="N190" s="560">
        <v>0</v>
      </c>
      <c r="O190" s="560">
        <v>0</v>
      </c>
      <c r="P190" s="560">
        <v>0</v>
      </c>
      <c r="Q190" s="391"/>
      <c r="R190" s="391"/>
      <c r="S190" s="391"/>
      <c r="T190" s="391"/>
      <c r="U190" s="560"/>
    </row>
    <row r="191" spans="1:21">
      <c r="A191" s="391"/>
      <c r="B191" s="391"/>
      <c r="C191" s="391" t="s">
        <v>301</v>
      </c>
      <c r="D191" s="560">
        <v>69200363</v>
      </c>
      <c r="E191" s="560">
        <v>69200363</v>
      </c>
      <c r="F191" s="560">
        <v>69200363</v>
      </c>
      <c r="G191" s="560">
        <v>69200363</v>
      </c>
      <c r="H191" s="560">
        <v>69940363</v>
      </c>
      <c r="I191" s="560">
        <v>70730363</v>
      </c>
      <c r="J191" s="560">
        <v>72079363</v>
      </c>
      <c r="K191" s="560">
        <v>72124363</v>
      </c>
      <c r="L191" s="560">
        <v>72214363</v>
      </c>
      <c r="M191" s="560">
        <v>0</v>
      </c>
      <c r="N191" s="560">
        <v>0</v>
      </c>
      <c r="O191" s="560">
        <v>0</v>
      </c>
      <c r="P191" s="560">
        <v>0</v>
      </c>
      <c r="Q191" s="391"/>
      <c r="R191" s="391"/>
      <c r="S191" s="391"/>
      <c r="T191" s="391"/>
      <c r="U191" s="560"/>
    </row>
    <row r="192" spans="1:21">
      <c r="A192" s="391"/>
      <c r="B192" s="391"/>
      <c r="C192" s="391" t="s">
        <v>302</v>
      </c>
      <c r="D192" s="560">
        <v>-57823781</v>
      </c>
      <c r="E192" s="560">
        <v>-59226068</v>
      </c>
      <c r="F192" s="560">
        <v>-60560821</v>
      </c>
      <c r="G192" s="560">
        <v>-61858774</v>
      </c>
      <c r="H192" s="560">
        <v>-63098744</v>
      </c>
      <c r="I192" s="560">
        <v>-64280016</v>
      </c>
      <c r="J192" s="560">
        <v>-65474961</v>
      </c>
      <c r="K192" s="560">
        <v>-66601961</v>
      </c>
      <c r="L192" s="560">
        <v>-67589782</v>
      </c>
      <c r="M192" s="560">
        <v>0</v>
      </c>
      <c r="N192" s="560">
        <v>0</v>
      </c>
      <c r="O192" s="560">
        <v>0</v>
      </c>
      <c r="P192" s="560">
        <v>0</v>
      </c>
      <c r="Q192" s="391"/>
      <c r="R192" s="391"/>
      <c r="S192" s="391"/>
      <c r="T192" s="391"/>
      <c r="U192" s="560"/>
    </row>
    <row r="193" spans="1:21">
      <c r="A193" s="391"/>
      <c r="B193" s="391"/>
      <c r="C193" s="391" t="s">
        <v>303</v>
      </c>
      <c r="D193" s="560">
        <v>0</v>
      </c>
      <c r="E193" s="560">
        <v>0</v>
      </c>
      <c r="F193" s="560">
        <v>0</v>
      </c>
      <c r="G193" s="560">
        <v>0</v>
      </c>
      <c r="H193" s="560">
        <v>0</v>
      </c>
      <c r="I193" s="560">
        <v>0</v>
      </c>
      <c r="J193" s="560">
        <v>0</v>
      </c>
      <c r="K193" s="560">
        <v>0</v>
      </c>
      <c r="L193" s="560">
        <v>0</v>
      </c>
      <c r="M193" s="560">
        <v>0</v>
      </c>
      <c r="N193" s="560">
        <v>0</v>
      </c>
      <c r="O193" s="560">
        <v>0</v>
      </c>
      <c r="P193" s="560">
        <v>0</v>
      </c>
      <c r="Q193" s="391"/>
      <c r="R193" s="391"/>
      <c r="S193" s="391"/>
      <c r="T193" s="391"/>
      <c r="U193" s="560"/>
    </row>
    <row r="194" spans="1:21">
      <c r="A194" s="391"/>
      <c r="B194" s="391"/>
      <c r="C194" s="391" t="s">
        <v>304</v>
      </c>
      <c r="D194" s="560">
        <v>0</v>
      </c>
      <c r="E194" s="560">
        <v>0</v>
      </c>
      <c r="F194" s="560">
        <v>0</v>
      </c>
      <c r="G194" s="560">
        <v>0</v>
      </c>
      <c r="H194" s="560">
        <v>0</v>
      </c>
      <c r="I194" s="560">
        <v>0</v>
      </c>
      <c r="J194" s="560">
        <v>0</v>
      </c>
      <c r="K194" s="560">
        <v>0</v>
      </c>
      <c r="L194" s="560">
        <v>0</v>
      </c>
      <c r="M194" s="560">
        <v>0</v>
      </c>
      <c r="N194" s="560">
        <v>0</v>
      </c>
      <c r="O194" s="560">
        <v>0</v>
      </c>
      <c r="P194" s="560">
        <v>0</v>
      </c>
      <c r="Q194" s="391"/>
      <c r="R194" s="391"/>
      <c r="S194" s="391"/>
      <c r="T194" s="391"/>
      <c r="U194" s="560"/>
    </row>
    <row r="195" spans="1:21">
      <c r="A195" s="391"/>
      <c r="B195" s="391"/>
      <c r="C195" s="391" t="s">
        <v>305</v>
      </c>
      <c r="D195" s="560">
        <v>1921174</v>
      </c>
      <c r="E195" s="560">
        <v>1921174</v>
      </c>
      <c r="F195" s="560">
        <v>1921174</v>
      </c>
      <c r="G195" s="560">
        <v>1921174</v>
      </c>
      <c r="H195" s="560">
        <v>1921174</v>
      </c>
      <c r="I195" s="560">
        <v>1921174</v>
      </c>
      <c r="J195" s="560">
        <v>1921174</v>
      </c>
      <c r="K195" s="560">
        <v>1921174</v>
      </c>
      <c r="L195" s="560">
        <v>1921174</v>
      </c>
      <c r="M195" s="560">
        <v>0</v>
      </c>
      <c r="N195" s="560">
        <v>0</v>
      </c>
      <c r="O195" s="560">
        <v>0</v>
      </c>
      <c r="P195" s="560">
        <v>0</v>
      </c>
      <c r="Q195" s="391"/>
      <c r="R195" s="391"/>
      <c r="S195" s="391"/>
      <c r="T195" s="391"/>
      <c r="U195" s="560"/>
    </row>
    <row r="196" spans="1:21">
      <c r="A196" s="391"/>
      <c r="B196" s="391"/>
      <c r="C196" s="391" t="s">
        <v>306</v>
      </c>
      <c r="D196" s="560">
        <v>-1598799</v>
      </c>
      <c r="E196" s="560">
        <v>-1614864</v>
      </c>
      <c r="F196" s="560">
        <v>-1630926</v>
      </c>
      <c r="G196" s="560">
        <v>-1646991</v>
      </c>
      <c r="H196" s="560">
        <v>-1663057</v>
      </c>
      <c r="I196" s="560">
        <v>-1674521</v>
      </c>
      <c r="J196" s="560">
        <v>-1685995</v>
      </c>
      <c r="K196" s="560">
        <v>-1697459</v>
      </c>
      <c r="L196" s="560">
        <v>-1708933</v>
      </c>
      <c r="M196" s="560">
        <v>0</v>
      </c>
      <c r="N196" s="560">
        <v>0</v>
      </c>
      <c r="O196" s="560">
        <v>0</v>
      </c>
      <c r="P196" s="560">
        <v>0</v>
      </c>
      <c r="Q196" s="391"/>
      <c r="R196" s="391"/>
      <c r="S196" s="391"/>
      <c r="T196" s="391"/>
      <c r="U196" s="560"/>
    </row>
    <row r="197" spans="1:21">
      <c r="A197" s="391"/>
      <c r="B197" s="391"/>
      <c r="C197" s="391" t="s">
        <v>307</v>
      </c>
      <c r="D197" s="560">
        <v>23141</v>
      </c>
      <c r="E197" s="560">
        <v>23141</v>
      </c>
      <c r="F197" s="560">
        <v>23141</v>
      </c>
      <c r="G197" s="560">
        <v>23141</v>
      </c>
      <c r="H197" s="560">
        <v>23141</v>
      </c>
      <c r="I197" s="560">
        <v>23141</v>
      </c>
      <c r="J197" s="560">
        <v>23141</v>
      </c>
      <c r="K197" s="560">
        <v>23141</v>
      </c>
      <c r="L197" s="560">
        <v>23141</v>
      </c>
      <c r="M197" s="560">
        <v>0</v>
      </c>
      <c r="N197" s="560">
        <v>0</v>
      </c>
      <c r="O197" s="560">
        <v>0</v>
      </c>
      <c r="P197" s="560">
        <v>0</v>
      </c>
      <c r="Q197" s="391"/>
      <c r="R197" s="391"/>
      <c r="S197" s="391"/>
      <c r="T197" s="391"/>
      <c r="U197" s="560"/>
    </row>
    <row r="198" spans="1:21">
      <c r="A198" s="391"/>
      <c r="B198" s="391"/>
      <c r="C198" s="391" t="s">
        <v>308</v>
      </c>
      <c r="D198" s="560">
        <v>-23141</v>
      </c>
      <c r="E198" s="560">
        <v>-23141</v>
      </c>
      <c r="F198" s="560">
        <v>-23141</v>
      </c>
      <c r="G198" s="560">
        <v>-23141</v>
      </c>
      <c r="H198" s="560">
        <v>-23141</v>
      </c>
      <c r="I198" s="560">
        <v>-23141</v>
      </c>
      <c r="J198" s="560">
        <v>-23141</v>
      </c>
      <c r="K198" s="560">
        <v>-23141</v>
      </c>
      <c r="L198" s="560">
        <v>-23141</v>
      </c>
      <c r="M198" s="560">
        <v>0</v>
      </c>
      <c r="N198" s="560">
        <v>0</v>
      </c>
      <c r="O198" s="560">
        <v>0</v>
      </c>
      <c r="P198" s="560">
        <v>0</v>
      </c>
      <c r="Q198" s="391"/>
      <c r="R198" s="391"/>
      <c r="S198" s="391"/>
      <c r="T198" s="391"/>
      <c r="U198" s="560"/>
    </row>
    <row r="199" spans="1:21">
      <c r="A199" s="391"/>
      <c r="B199" s="391"/>
      <c r="C199" s="391" t="s">
        <v>309</v>
      </c>
      <c r="D199" s="560">
        <v>671951</v>
      </c>
      <c r="E199" s="560">
        <v>671951</v>
      </c>
      <c r="F199" s="560">
        <v>671951</v>
      </c>
      <c r="G199" s="560">
        <v>671951</v>
      </c>
      <c r="H199" s="560">
        <v>737608</v>
      </c>
      <c r="I199" s="560">
        <v>737608</v>
      </c>
      <c r="J199" s="560">
        <v>737608</v>
      </c>
      <c r="K199" s="560">
        <v>737608</v>
      </c>
      <c r="L199" s="560">
        <v>737608</v>
      </c>
      <c r="M199" s="560">
        <v>0</v>
      </c>
      <c r="N199" s="560">
        <v>0</v>
      </c>
      <c r="O199" s="560">
        <v>0</v>
      </c>
      <c r="P199" s="560">
        <v>0</v>
      </c>
      <c r="Q199" s="391"/>
      <c r="R199" s="391"/>
      <c r="S199" s="391"/>
      <c r="T199" s="391"/>
      <c r="U199" s="560"/>
    </row>
    <row r="200" spans="1:21">
      <c r="A200" s="391"/>
      <c r="B200" s="391"/>
      <c r="C200" s="391" t="s">
        <v>310</v>
      </c>
      <c r="D200" s="560">
        <v>-648050</v>
      </c>
      <c r="E200" s="560">
        <v>-650523</v>
      </c>
      <c r="F200" s="560">
        <v>-652995</v>
      </c>
      <c r="G200" s="560">
        <v>-655468</v>
      </c>
      <c r="H200" s="560">
        <v>-658560</v>
      </c>
      <c r="I200" s="560">
        <v>-662127</v>
      </c>
      <c r="J200" s="560">
        <v>-665693</v>
      </c>
      <c r="K200" s="560">
        <v>-669260</v>
      </c>
      <c r="L200" s="560">
        <v>-672826</v>
      </c>
      <c r="M200" s="560">
        <v>0</v>
      </c>
      <c r="N200" s="560">
        <v>0</v>
      </c>
      <c r="O200" s="560">
        <v>0</v>
      </c>
      <c r="P200" s="560">
        <v>0</v>
      </c>
      <c r="Q200" s="391"/>
      <c r="R200" s="391"/>
      <c r="S200" s="391"/>
      <c r="T200" s="391"/>
      <c r="U200" s="560"/>
    </row>
    <row r="201" spans="1:21">
      <c r="A201" s="391"/>
      <c r="B201" s="391"/>
      <c r="C201" s="391" t="s">
        <v>311</v>
      </c>
      <c r="D201" s="560">
        <v>0</v>
      </c>
      <c r="E201" s="560">
        <v>324000</v>
      </c>
      <c r="F201" s="560">
        <v>411000</v>
      </c>
      <c r="G201" s="560">
        <v>840000</v>
      </c>
      <c r="H201" s="560">
        <v>1661484</v>
      </c>
      <c r="I201" s="560">
        <v>1391484</v>
      </c>
      <c r="J201" s="560">
        <v>1007484</v>
      </c>
      <c r="K201" s="560">
        <v>1007484</v>
      </c>
      <c r="L201" s="560">
        <v>1211484</v>
      </c>
      <c r="M201" s="560">
        <v>0</v>
      </c>
      <c r="N201" s="560">
        <v>0</v>
      </c>
      <c r="O201" s="560">
        <v>0</v>
      </c>
      <c r="P201" s="560">
        <v>0</v>
      </c>
      <c r="Q201" s="391"/>
      <c r="R201" s="391"/>
      <c r="S201" s="391"/>
      <c r="T201" s="391"/>
      <c r="U201" s="560"/>
    </row>
    <row r="202" spans="1:21">
      <c r="A202" s="391"/>
      <c r="B202" s="391"/>
      <c r="C202" s="391" t="s">
        <v>312</v>
      </c>
      <c r="D202" s="560">
        <v>0</v>
      </c>
      <c r="E202" s="560">
        <v>0</v>
      </c>
      <c r="F202" s="560">
        <v>0</v>
      </c>
      <c r="G202" s="560">
        <v>0</v>
      </c>
      <c r="H202" s="560">
        <v>0</v>
      </c>
      <c r="I202" s="560">
        <v>0</v>
      </c>
      <c r="J202" s="560">
        <v>0</v>
      </c>
      <c r="K202" s="560">
        <v>0</v>
      </c>
      <c r="L202" s="600">
        <v>0</v>
      </c>
      <c r="M202" s="560">
        <v>0</v>
      </c>
      <c r="N202" s="560">
        <v>0</v>
      </c>
      <c r="O202" s="560">
        <v>0</v>
      </c>
      <c r="P202" s="560">
        <v>0</v>
      </c>
      <c r="Q202" s="391"/>
      <c r="R202" s="391"/>
      <c r="S202" s="391"/>
      <c r="T202" s="391"/>
      <c r="U202" s="560"/>
    </row>
    <row r="203" spans="1:21">
      <c r="A203" s="391"/>
      <c r="B203" s="821" t="s">
        <v>412</v>
      </c>
      <c r="C203" s="391"/>
      <c r="D203" s="560">
        <v>45266523</v>
      </c>
      <c r="E203" s="894">
        <v>44032942</v>
      </c>
      <c r="F203" s="560">
        <v>42629900</v>
      </c>
      <c r="G203" s="560">
        <v>41605653</v>
      </c>
      <c r="H203" s="560">
        <v>41836911</v>
      </c>
      <c r="I203" s="560">
        <v>41023852</v>
      </c>
      <c r="J203" s="560">
        <v>40642112</v>
      </c>
      <c r="K203" s="560">
        <v>39408326</v>
      </c>
      <c r="L203" s="560">
        <v>38562710</v>
      </c>
      <c r="M203" s="560">
        <v>0</v>
      </c>
      <c r="N203" s="560">
        <v>0</v>
      </c>
      <c r="O203" s="560">
        <v>0</v>
      </c>
      <c r="P203" s="560">
        <v>0</v>
      </c>
      <c r="Q203" s="391"/>
      <c r="R203" s="391"/>
      <c r="S203" s="391"/>
      <c r="T203" s="391"/>
      <c r="U203" s="560"/>
    </row>
    <row r="204" spans="1:21">
      <c r="A204" s="391"/>
      <c r="B204" s="391"/>
      <c r="C204" s="391" t="s">
        <v>313</v>
      </c>
      <c r="D204" s="560">
        <v>0</v>
      </c>
      <c r="E204" s="560">
        <v>0</v>
      </c>
      <c r="F204" s="560">
        <v>0</v>
      </c>
      <c r="G204" s="560">
        <v>0</v>
      </c>
      <c r="H204" s="560">
        <v>0</v>
      </c>
      <c r="I204" s="560">
        <v>0</v>
      </c>
      <c r="J204" s="560">
        <v>0</v>
      </c>
      <c r="K204" s="560">
        <v>0</v>
      </c>
      <c r="L204" s="560">
        <v>0</v>
      </c>
      <c r="M204" s="560">
        <v>0</v>
      </c>
      <c r="N204" s="560">
        <v>0</v>
      </c>
      <c r="O204" s="560">
        <v>0</v>
      </c>
      <c r="P204" s="560">
        <v>0</v>
      </c>
      <c r="Q204" s="391"/>
      <c r="R204" s="391"/>
      <c r="S204" s="391"/>
      <c r="T204" s="391"/>
      <c r="U204" s="560"/>
    </row>
    <row r="205" spans="1:21">
      <c r="A205" s="391"/>
      <c r="B205" s="821" t="s">
        <v>396</v>
      </c>
      <c r="C205" s="391"/>
      <c r="D205" s="560"/>
      <c r="E205" s="560"/>
      <c r="F205" s="600"/>
      <c r="G205" s="600"/>
      <c r="H205" s="600"/>
      <c r="I205" s="600"/>
      <c r="J205" s="600"/>
      <c r="K205" s="600"/>
      <c r="L205" s="560"/>
      <c r="M205" s="600"/>
      <c r="N205" s="600"/>
      <c r="O205" s="600"/>
      <c r="P205" s="600"/>
      <c r="Q205" s="391"/>
      <c r="R205" s="391"/>
      <c r="S205" s="391"/>
      <c r="T205" s="391"/>
      <c r="U205" s="560"/>
    </row>
    <row r="206" spans="1:21">
      <c r="A206" s="391"/>
      <c r="B206" s="391"/>
      <c r="C206" s="391" t="s">
        <v>539</v>
      </c>
      <c r="D206" s="560">
        <v>0</v>
      </c>
      <c r="E206" s="560">
        <v>0</v>
      </c>
      <c r="F206" s="560">
        <v>0</v>
      </c>
      <c r="G206" s="560">
        <v>0</v>
      </c>
      <c r="H206" s="560">
        <v>0</v>
      </c>
      <c r="I206" s="560">
        <v>0</v>
      </c>
      <c r="J206" s="560">
        <v>0</v>
      </c>
      <c r="K206" s="560">
        <v>0</v>
      </c>
      <c r="L206" s="600">
        <v>0</v>
      </c>
      <c r="M206" s="560">
        <v>0</v>
      </c>
      <c r="N206" s="560">
        <v>0</v>
      </c>
      <c r="O206" s="560">
        <v>0</v>
      </c>
      <c r="P206" s="560">
        <v>0</v>
      </c>
      <c r="Q206" s="391"/>
      <c r="R206" s="391"/>
      <c r="S206" s="391"/>
      <c r="T206" s="391"/>
      <c r="U206" s="560"/>
    </row>
    <row r="207" spans="1:21">
      <c r="A207" s="391"/>
      <c r="B207" s="391"/>
      <c r="C207" s="391" t="s">
        <v>314</v>
      </c>
      <c r="D207" s="560">
        <v>0</v>
      </c>
      <c r="E207" s="560">
        <v>0</v>
      </c>
      <c r="F207" s="560">
        <v>0</v>
      </c>
      <c r="G207" s="560">
        <v>0</v>
      </c>
      <c r="H207" s="560">
        <v>0</v>
      </c>
      <c r="I207" s="560">
        <v>0</v>
      </c>
      <c r="J207" s="560">
        <v>0</v>
      </c>
      <c r="K207" s="560">
        <v>0</v>
      </c>
      <c r="L207" s="560">
        <v>0</v>
      </c>
      <c r="M207" s="560">
        <v>0</v>
      </c>
      <c r="N207" s="560">
        <v>0</v>
      </c>
      <c r="O207" s="560">
        <v>0</v>
      </c>
      <c r="P207" s="560">
        <v>0</v>
      </c>
      <c r="Q207" s="391"/>
      <c r="R207" s="391"/>
      <c r="S207" s="391"/>
      <c r="T207" s="391"/>
      <c r="U207" s="560"/>
    </row>
    <row r="208" spans="1:21">
      <c r="A208" s="391"/>
      <c r="B208" s="821" t="s">
        <v>397</v>
      </c>
      <c r="C208" s="391"/>
      <c r="D208" s="560">
        <v>0</v>
      </c>
      <c r="E208" s="894">
        <v>0</v>
      </c>
      <c r="F208" s="560">
        <v>0</v>
      </c>
      <c r="G208" s="560">
        <v>0</v>
      </c>
      <c r="H208" s="560">
        <v>0</v>
      </c>
      <c r="I208" s="560">
        <v>0</v>
      </c>
      <c r="J208" s="560">
        <v>0</v>
      </c>
      <c r="K208" s="560">
        <v>0</v>
      </c>
      <c r="L208" s="560">
        <v>0</v>
      </c>
      <c r="M208" s="560">
        <v>0</v>
      </c>
      <c r="N208" s="560">
        <v>0</v>
      </c>
      <c r="O208" s="560">
        <v>0</v>
      </c>
      <c r="P208" s="560">
        <v>0</v>
      </c>
      <c r="Q208" s="391"/>
      <c r="R208" s="391"/>
      <c r="S208" s="391"/>
      <c r="T208" s="391"/>
      <c r="U208" s="560"/>
    </row>
    <row r="209" spans="1:21">
      <c r="A209" s="391"/>
      <c r="B209" s="821" t="s">
        <v>413</v>
      </c>
      <c r="C209" s="391"/>
      <c r="D209" s="560"/>
      <c r="E209" s="560"/>
      <c r="F209" s="600"/>
      <c r="G209" s="600"/>
      <c r="H209" s="600"/>
      <c r="I209" s="600"/>
      <c r="J209" s="600"/>
      <c r="K209" s="600"/>
      <c r="L209" s="560"/>
      <c r="M209" s="600"/>
      <c r="N209" s="600"/>
      <c r="O209" s="600"/>
      <c r="P209" s="600"/>
      <c r="Q209" s="391"/>
      <c r="R209" s="391"/>
      <c r="S209" s="391"/>
      <c r="T209" s="391"/>
      <c r="U209" s="560"/>
    </row>
    <row r="210" spans="1:21">
      <c r="A210" s="391"/>
      <c r="B210" s="391"/>
      <c r="C210" s="391" t="s">
        <v>315</v>
      </c>
      <c r="D210" s="560">
        <v>12500</v>
      </c>
      <c r="E210" s="560">
        <v>82500</v>
      </c>
      <c r="F210" s="560">
        <v>82500</v>
      </c>
      <c r="G210" s="560">
        <v>82500</v>
      </c>
      <c r="H210" s="560">
        <v>82500</v>
      </c>
      <c r="I210" s="560">
        <v>82500</v>
      </c>
      <c r="J210" s="560">
        <v>82500</v>
      </c>
      <c r="K210" s="560">
        <v>82500</v>
      </c>
      <c r="L210" s="560">
        <v>82500</v>
      </c>
      <c r="M210" s="560">
        <v>0</v>
      </c>
      <c r="N210" s="560">
        <v>0</v>
      </c>
      <c r="O210" s="560">
        <v>0</v>
      </c>
      <c r="P210" s="560">
        <v>0</v>
      </c>
      <c r="Q210" s="391"/>
      <c r="R210" s="391"/>
      <c r="S210" s="391"/>
      <c r="T210" s="391"/>
      <c r="U210" s="560"/>
    </row>
    <row r="211" spans="1:21">
      <c r="A211" s="391"/>
      <c r="B211" s="391"/>
      <c r="C211" s="391" t="s">
        <v>316</v>
      </c>
      <c r="D211" s="560">
        <v>1897002</v>
      </c>
      <c r="E211" s="560">
        <v>1679757</v>
      </c>
      <c r="F211" s="560">
        <v>1462512</v>
      </c>
      <c r="G211" s="560">
        <v>1420741</v>
      </c>
      <c r="H211" s="560">
        <v>1292445</v>
      </c>
      <c r="I211" s="560">
        <v>1191893</v>
      </c>
      <c r="J211" s="560">
        <v>1107550</v>
      </c>
      <c r="K211" s="560">
        <v>1023561</v>
      </c>
      <c r="L211" s="560">
        <v>1376465</v>
      </c>
      <c r="M211" s="560">
        <v>0</v>
      </c>
      <c r="N211" s="560">
        <v>0</v>
      </c>
      <c r="O211" s="560">
        <v>0</v>
      </c>
      <c r="P211" s="560">
        <v>0</v>
      </c>
      <c r="Q211" s="391"/>
      <c r="R211" s="391"/>
      <c r="S211" s="391"/>
      <c r="T211" s="391"/>
      <c r="U211" s="560"/>
    </row>
    <row r="212" spans="1:21">
      <c r="A212" s="391"/>
      <c r="B212" s="391"/>
      <c r="C212" s="391" t="s">
        <v>317</v>
      </c>
      <c r="D212" s="560">
        <v>0</v>
      </c>
      <c r="E212" s="560">
        <v>0</v>
      </c>
      <c r="F212" s="560">
        <v>0</v>
      </c>
      <c r="G212" s="560">
        <v>0</v>
      </c>
      <c r="H212" s="560">
        <v>0</v>
      </c>
      <c r="I212" s="560">
        <v>0</v>
      </c>
      <c r="J212" s="560">
        <v>0</v>
      </c>
      <c r="K212" s="560">
        <v>0</v>
      </c>
      <c r="L212" s="560">
        <v>0</v>
      </c>
      <c r="M212" s="560">
        <v>0</v>
      </c>
      <c r="N212" s="560">
        <v>0</v>
      </c>
      <c r="O212" s="560">
        <v>0</v>
      </c>
      <c r="P212" s="560">
        <v>0</v>
      </c>
      <c r="Q212" s="391"/>
      <c r="R212" s="391"/>
      <c r="S212" s="391"/>
      <c r="T212" s="391"/>
      <c r="U212" s="560"/>
    </row>
    <row r="213" spans="1:21">
      <c r="A213" s="391"/>
      <c r="B213" s="391"/>
      <c r="C213" s="391" t="s">
        <v>318</v>
      </c>
      <c r="D213" s="560">
        <v>0</v>
      </c>
      <c r="E213" s="560">
        <v>0</v>
      </c>
      <c r="F213" s="560">
        <v>0</v>
      </c>
      <c r="G213" s="560">
        <v>0</v>
      </c>
      <c r="H213" s="560">
        <v>0</v>
      </c>
      <c r="I213" s="560">
        <v>0</v>
      </c>
      <c r="J213" s="560">
        <v>0</v>
      </c>
      <c r="K213" s="560">
        <v>0</v>
      </c>
      <c r="L213" s="560">
        <v>0</v>
      </c>
      <c r="M213" s="560">
        <v>0</v>
      </c>
      <c r="N213" s="560">
        <v>0</v>
      </c>
      <c r="O213" s="560">
        <v>0</v>
      </c>
      <c r="P213" s="560">
        <v>0</v>
      </c>
      <c r="Q213" s="391"/>
      <c r="R213" s="391"/>
      <c r="S213" s="391"/>
      <c r="T213" s="391"/>
      <c r="U213" s="560"/>
    </row>
    <row r="214" spans="1:21">
      <c r="A214" s="391"/>
      <c r="B214" s="391"/>
      <c r="C214" s="391" t="s">
        <v>319</v>
      </c>
      <c r="D214" s="560">
        <v>1897002</v>
      </c>
      <c r="E214" s="560">
        <v>1679757</v>
      </c>
      <c r="F214" s="560">
        <v>1462512</v>
      </c>
      <c r="G214" s="560">
        <v>1420741</v>
      </c>
      <c r="H214" s="560">
        <v>1292445</v>
      </c>
      <c r="I214" s="560">
        <v>1191893</v>
      </c>
      <c r="J214" s="560">
        <v>1107550</v>
      </c>
      <c r="K214" s="560">
        <v>1023561</v>
      </c>
      <c r="L214" s="560">
        <v>1376465</v>
      </c>
      <c r="M214" s="560">
        <v>0</v>
      </c>
      <c r="N214" s="560">
        <v>0</v>
      </c>
      <c r="O214" s="560">
        <v>0</v>
      </c>
      <c r="P214" s="560">
        <v>0</v>
      </c>
      <c r="Q214" s="391"/>
      <c r="R214" s="391"/>
      <c r="S214" s="391"/>
      <c r="T214" s="391"/>
      <c r="U214" s="560"/>
    </row>
    <row r="215" spans="1:21">
      <c r="A215" s="391"/>
      <c r="B215" s="391"/>
      <c r="C215" s="391" t="s">
        <v>320</v>
      </c>
      <c r="D215" s="560">
        <v>0</v>
      </c>
      <c r="E215" s="560">
        <v>0</v>
      </c>
      <c r="F215" s="560">
        <v>0</v>
      </c>
      <c r="G215" s="560">
        <v>0</v>
      </c>
      <c r="H215" s="560">
        <v>0</v>
      </c>
      <c r="I215" s="560">
        <v>0</v>
      </c>
      <c r="J215" s="560">
        <v>0</v>
      </c>
      <c r="K215" s="560">
        <v>0</v>
      </c>
      <c r="L215" s="560">
        <v>0</v>
      </c>
      <c r="M215" s="560">
        <v>0</v>
      </c>
      <c r="N215" s="560">
        <v>0</v>
      </c>
      <c r="O215" s="560">
        <v>0</v>
      </c>
      <c r="P215" s="560">
        <v>0</v>
      </c>
      <c r="Q215" s="391"/>
      <c r="R215" s="391"/>
      <c r="S215" s="391"/>
      <c r="T215" s="391"/>
      <c r="U215" s="560"/>
    </row>
    <row r="216" spans="1:21">
      <c r="A216" s="391"/>
      <c r="B216" s="391"/>
      <c r="C216" s="391" t="s">
        <v>321</v>
      </c>
      <c r="D216" s="560">
        <v>0</v>
      </c>
      <c r="E216" s="560">
        <v>0</v>
      </c>
      <c r="F216" s="560">
        <v>0</v>
      </c>
      <c r="G216" s="560">
        <v>0</v>
      </c>
      <c r="H216" s="560">
        <v>0</v>
      </c>
      <c r="I216" s="560">
        <v>0</v>
      </c>
      <c r="J216" s="560">
        <v>0</v>
      </c>
      <c r="K216" s="560">
        <v>0</v>
      </c>
      <c r="L216" s="560">
        <v>0</v>
      </c>
      <c r="M216" s="560">
        <v>0</v>
      </c>
      <c r="N216" s="560">
        <v>0</v>
      </c>
      <c r="O216" s="560">
        <v>0</v>
      </c>
      <c r="P216" s="560">
        <v>0</v>
      </c>
      <c r="Q216" s="391"/>
      <c r="R216" s="391"/>
      <c r="S216" s="391"/>
      <c r="T216" s="391"/>
      <c r="U216" s="560"/>
    </row>
    <row r="217" spans="1:21">
      <c r="A217" s="391"/>
      <c r="B217" s="391"/>
      <c r="C217" s="391" t="s">
        <v>322</v>
      </c>
      <c r="D217" s="560">
        <v>0</v>
      </c>
      <c r="E217" s="560">
        <v>0</v>
      </c>
      <c r="F217" s="560">
        <v>0</v>
      </c>
      <c r="G217" s="560">
        <v>0</v>
      </c>
      <c r="H217" s="560">
        <v>0</v>
      </c>
      <c r="I217" s="560">
        <v>0</v>
      </c>
      <c r="J217" s="560">
        <v>0</v>
      </c>
      <c r="K217" s="560">
        <v>0</v>
      </c>
      <c r="L217" s="560">
        <v>0</v>
      </c>
      <c r="M217" s="560">
        <v>0</v>
      </c>
      <c r="N217" s="560">
        <v>0</v>
      </c>
      <c r="O217" s="560">
        <v>0</v>
      </c>
      <c r="P217" s="560">
        <v>0</v>
      </c>
      <c r="Q217" s="391"/>
      <c r="R217" s="391"/>
      <c r="S217" s="391"/>
      <c r="T217" s="391"/>
      <c r="U217" s="560"/>
    </row>
    <row r="218" spans="1:21">
      <c r="A218" s="391"/>
      <c r="B218" s="391"/>
      <c r="C218" s="391" t="s">
        <v>323</v>
      </c>
      <c r="D218" s="560">
        <v>0</v>
      </c>
      <c r="E218" s="560">
        <v>0</v>
      </c>
      <c r="F218" s="560">
        <v>0</v>
      </c>
      <c r="G218" s="560">
        <v>0</v>
      </c>
      <c r="H218" s="560">
        <v>0</v>
      </c>
      <c r="I218" s="560">
        <v>0</v>
      </c>
      <c r="J218" s="560">
        <v>0</v>
      </c>
      <c r="K218" s="560">
        <v>0</v>
      </c>
      <c r="L218" s="560">
        <v>0</v>
      </c>
      <c r="M218" s="560">
        <v>0</v>
      </c>
      <c r="N218" s="560">
        <v>0</v>
      </c>
      <c r="O218" s="560">
        <v>0</v>
      </c>
      <c r="P218" s="560">
        <v>0</v>
      </c>
      <c r="Q218" s="391"/>
      <c r="R218" s="391"/>
      <c r="S218" s="391"/>
      <c r="T218" s="391"/>
      <c r="U218" s="560"/>
    </row>
    <row r="219" spans="1:21">
      <c r="A219" s="391"/>
      <c r="B219" s="391"/>
      <c r="C219" s="391" t="s">
        <v>324</v>
      </c>
      <c r="D219" s="560">
        <v>4744466</v>
      </c>
      <c r="E219" s="560">
        <v>4744466</v>
      </c>
      <c r="F219" s="560">
        <v>4744466</v>
      </c>
      <c r="G219" s="560">
        <v>4744466</v>
      </c>
      <c r="H219" s="560">
        <v>4744466</v>
      </c>
      <c r="I219" s="560">
        <v>4744466</v>
      </c>
      <c r="J219" s="560">
        <v>4744466</v>
      </c>
      <c r="K219" s="560">
        <v>4744466</v>
      </c>
      <c r="L219" s="560">
        <v>4744466</v>
      </c>
      <c r="M219" s="560">
        <v>0</v>
      </c>
      <c r="N219" s="560">
        <v>0</v>
      </c>
      <c r="O219" s="560">
        <v>0</v>
      </c>
      <c r="P219" s="560">
        <v>0</v>
      </c>
      <c r="Q219" s="391"/>
      <c r="R219" s="391"/>
      <c r="S219" s="391"/>
      <c r="T219" s="391"/>
      <c r="U219" s="560"/>
    </row>
    <row r="220" spans="1:21">
      <c r="A220" s="391"/>
      <c r="B220" s="391"/>
      <c r="C220" s="391" t="s">
        <v>325</v>
      </c>
      <c r="D220" s="560">
        <v>0</v>
      </c>
      <c r="E220" s="560">
        <v>0</v>
      </c>
      <c r="F220" s="560">
        <v>0</v>
      </c>
      <c r="G220" s="560">
        <v>0</v>
      </c>
      <c r="H220" s="560">
        <v>0</v>
      </c>
      <c r="I220" s="560">
        <v>0</v>
      </c>
      <c r="J220" s="560">
        <v>0</v>
      </c>
      <c r="K220" s="560">
        <v>0</v>
      </c>
      <c r="L220" s="560">
        <v>0</v>
      </c>
      <c r="M220" s="560">
        <v>0</v>
      </c>
      <c r="N220" s="560">
        <v>0</v>
      </c>
      <c r="O220" s="560">
        <v>0</v>
      </c>
      <c r="P220" s="560">
        <v>0</v>
      </c>
      <c r="Q220" s="391"/>
      <c r="R220" s="391"/>
      <c r="S220" s="391"/>
      <c r="T220" s="391"/>
      <c r="U220" s="560"/>
    </row>
    <row r="221" spans="1:21">
      <c r="A221" s="391"/>
      <c r="B221" s="391"/>
      <c r="C221" s="391" t="s">
        <v>326</v>
      </c>
      <c r="D221" s="560">
        <v>0</v>
      </c>
      <c r="E221" s="560">
        <v>0</v>
      </c>
      <c r="F221" s="560">
        <v>0</v>
      </c>
      <c r="G221" s="560">
        <v>0</v>
      </c>
      <c r="H221" s="560">
        <v>0</v>
      </c>
      <c r="I221" s="560">
        <v>0</v>
      </c>
      <c r="J221" s="560">
        <v>0</v>
      </c>
      <c r="K221" s="560">
        <v>0</v>
      </c>
      <c r="L221" s="560">
        <v>0</v>
      </c>
      <c r="M221" s="560">
        <v>0</v>
      </c>
      <c r="N221" s="560">
        <v>0</v>
      </c>
      <c r="O221" s="560">
        <v>0</v>
      </c>
      <c r="P221" s="560">
        <v>0</v>
      </c>
      <c r="Q221" s="391"/>
      <c r="R221" s="391"/>
      <c r="S221" s="391"/>
      <c r="T221" s="391"/>
      <c r="U221" s="560"/>
    </row>
    <row r="222" spans="1:21">
      <c r="A222" s="391"/>
      <c r="B222" s="391"/>
      <c r="C222" s="391" t="s">
        <v>327</v>
      </c>
      <c r="D222" s="560">
        <v>0</v>
      </c>
      <c r="E222" s="560">
        <v>0</v>
      </c>
      <c r="F222" s="560">
        <v>0</v>
      </c>
      <c r="G222" s="560">
        <v>0</v>
      </c>
      <c r="H222" s="560">
        <v>0</v>
      </c>
      <c r="I222" s="560">
        <v>0</v>
      </c>
      <c r="J222" s="560">
        <v>0</v>
      </c>
      <c r="K222" s="560">
        <v>0</v>
      </c>
      <c r="L222" s="560">
        <v>0</v>
      </c>
      <c r="M222" s="560">
        <v>0</v>
      </c>
      <c r="N222" s="560">
        <v>0</v>
      </c>
      <c r="O222" s="560">
        <v>0</v>
      </c>
      <c r="P222" s="560">
        <v>0</v>
      </c>
      <c r="Q222" s="391"/>
      <c r="R222" s="391"/>
      <c r="S222" s="391"/>
      <c r="T222" s="391"/>
      <c r="U222" s="560"/>
    </row>
    <row r="223" spans="1:21">
      <c r="A223" s="391"/>
      <c r="B223" s="391"/>
      <c r="C223" s="391" t="s">
        <v>328</v>
      </c>
      <c r="D223" s="560">
        <v>0</v>
      </c>
      <c r="E223" s="560">
        <v>0</v>
      </c>
      <c r="F223" s="560">
        <v>0</v>
      </c>
      <c r="G223" s="560">
        <v>0</v>
      </c>
      <c r="H223" s="560">
        <v>0</v>
      </c>
      <c r="I223" s="560">
        <v>0</v>
      </c>
      <c r="J223" s="560">
        <v>0</v>
      </c>
      <c r="K223" s="560">
        <v>0</v>
      </c>
      <c r="L223" s="600">
        <v>0</v>
      </c>
      <c r="M223" s="560">
        <v>0</v>
      </c>
      <c r="N223" s="560">
        <v>0</v>
      </c>
      <c r="O223" s="560">
        <v>0</v>
      </c>
      <c r="P223" s="560">
        <v>0</v>
      </c>
      <c r="Q223" s="391"/>
      <c r="R223" s="391"/>
      <c r="S223" s="391"/>
      <c r="T223" s="391"/>
      <c r="U223" s="560"/>
    </row>
    <row r="224" spans="1:21">
      <c r="A224" s="391"/>
      <c r="B224" s="391"/>
      <c r="C224" s="391" t="s">
        <v>329</v>
      </c>
      <c r="D224" s="560">
        <v>0</v>
      </c>
      <c r="E224" s="560">
        <v>0</v>
      </c>
      <c r="F224" s="560">
        <v>0</v>
      </c>
      <c r="G224" s="560">
        <v>0</v>
      </c>
      <c r="H224" s="560">
        <v>0</v>
      </c>
      <c r="I224" s="560">
        <v>0</v>
      </c>
      <c r="J224" s="560">
        <v>0</v>
      </c>
      <c r="K224" s="560">
        <v>0</v>
      </c>
      <c r="L224" s="560">
        <v>0</v>
      </c>
      <c r="M224" s="560">
        <v>0</v>
      </c>
      <c r="N224" s="560">
        <v>0</v>
      </c>
      <c r="O224" s="560">
        <v>0</v>
      </c>
      <c r="P224" s="560">
        <v>0</v>
      </c>
      <c r="Q224" s="391"/>
      <c r="R224" s="391"/>
      <c r="S224" s="391"/>
      <c r="T224" s="391"/>
      <c r="U224" s="560"/>
    </row>
    <row r="225" spans="1:32">
      <c r="A225" s="391"/>
      <c r="B225" s="821" t="s">
        <v>414</v>
      </c>
      <c r="C225" s="391"/>
      <c r="D225" s="560">
        <v>6653968</v>
      </c>
      <c r="E225" s="894">
        <v>6506723</v>
      </c>
      <c r="F225" s="560">
        <v>6289478</v>
      </c>
      <c r="G225" s="560">
        <v>6247707</v>
      </c>
      <c r="H225" s="560">
        <v>6119411</v>
      </c>
      <c r="I225" s="560">
        <v>6018859</v>
      </c>
      <c r="J225" s="560">
        <v>5934516</v>
      </c>
      <c r="K225" s="560">
        <v>5850527</v>
      </c>
      <c r="L225" s="560">
        <v>6203431</v>
      </c>
      <c r="M225" s="560">
        <v>0</v>
      </c>
      <c r="N225" s="560">
        <v>0</v>
      </c>
      <c r="O225" s="560">
        <v>0</v>
      </c>
      <c r="P225" s="560">
        <v>0</v>
      </c>
      <c r="Q225" s="391"/>
      <c r="R225" s="391"/>
      <c r="S225" s="391"/>
      <c r="T225" s="391"/>
      <c r="U225" s="560"/>
    </row>
    <row r="226" spans="1:32">
      <c r="A226" s="391"/>
      <c r="B226" s="821" t="s">
        <v>330</v>
      </c>
      <c r="C226" s="391"/>
      <c r="D226" s="560"/>
      <c r="E226" s="560"/>
      <c r="F226" s="600"/>
      <c r="G226" s="600"/>
      <c r="H226" s="600"/>
      <c r="I226" s="600"/>
      <c r="J226" s="600"/>
      <c r="K226" s="600"/>
      <c r="L226" s="560"/>
      <c r="M226" s="600"/>
      <c r="N226" s="600"/>
      <c r="O226" s="600"/>
      <c r="P226" s="600"/>
      <c r="Q226" s="391"/>
      <c r="R226" s="391"/>
      <c r="S226" s="391"/>
      <c r="T226" s="391"/>
      <c r="U226" s="560"/>
    </row>
    <row r="227" spans="1:32">
      <c r="A227" s="391"/>
      <c r="B227" s="391"/>
      <c r="C227" s="391" t="s">
        <v>331</v>
      </c>
      <c r="D227" s="560">
        <v>0</v>
      </c>
      <c r="E227" s="560">
        <v>0</v>
      </c>
      <c r="F227" s="560">
        <v>0</v>
      </c>
      <c r="G227" s="560">
        <v>0</v>
      </c>
      <c r="H227" s="560">
        <v>0</v>
      </c>
      <c r="I227" s="560">
        <v>0</v>
      </c>
      <c r="J227" s="560">
        <v>0</v>
      </c>
      <c r="K227" s="560">
        <v>0</v>
      </c>
      <c r="L227" s="600">
        <v>0</v>
      </c>
      <c r="M227" s="560">
        <v>0</v>
      </c>
      <c r="N227" s="560">
        <v>0</v>
      </c>
      <c r="O227" s="560">
        <v>0</v>
      </c>
      <c r="P227" s="560">
        <v>0</v>
      </c>
      <c r="Q227" s="391"/>
      <c r="R227" s="391"/>
      <c r="S227" s="391"/>
      <c r="T227" s="391"/>
      <c r="U227" s="560"/>
    </row>
    <row r="228" spans="1:32">
      <c r="A228" s="391"/>
      <c r="B228" s="391"/>
      <c r="C228" s="391" t="s">
        <v>332</v>
      </c>
      <c r="D228" s="560">
        <v>0</v>
      </c>
      <c r="E228" s="560">
        <v>0</v>
      </c>
      <c r="F228" s="560">
        <v>0</v>
      </c>
      <c r="G228" s="560">
        <v>0</v>
      </c>
      <c r="H228" s="560">
        <v>0</v>
      </c>
      <c r="I228" s="560">
        <v>0</v>
      </c>
      <c r="J228" s="560">
        <v>0</v>
      </c>
      <c r="K228" s="560">
        <v>0</v>
      </c>
      <c r="L228" s="600">
        <v>0</v>
      </c>
      <c r="M228" s="560">
        <v>0</v>
      </c>
      <c r="N228" s="560">
        <v>0</v>
      </c>
      <c r="O228" s="560">
        <v>0</v>
      </c>
      <c r="P228" s="560">
        <v>0</v>
      </c>
      <c r="Q228" s="391"/>
      <c r="R228" s="391"/>
      <c r="S228" s="391"/>
      <c r="T228" s="391"/>
      <c r="U228" s="560"/>
    </row>
    <row r="229" spans="1:32">
      <c r="A229" s="391"/>
      <c r="B229" s="821" t="s">
        <v>330</v>
      </c>
      <c r="C229" s="391"/>
      <c r="D229" s="560">
        <v>0</v>
      </c>
      <c r="E229" s="894">
        <v>0</v>
      </c>
      <c r="F229" s="560">
        <v>0</v>
      </c>
      <c r="G229" s="560">
        <v>0</v>
      </c>
      <c r="H229" s="560">
        <v>0</v>
      </c>
      <c r="I229" s="560">
        <v>0</v>
      </c>
      <c r="J229" s="560">
        <v>0</v>
      </c>
      <c r="K229" s="560">
        <v>0</v>
      </c>
      <c r="L229" s="600">
        <v>0</v>
      </c>
      <c r="M229" s="560">
        <v>0</v>
      </c>
      <c r="N229" s="560">
        <v>0</v>
      </c>
      <c r="O229" s="560">
        <v>0</v>
      </c>
      <c r="P229" s="560">
        <v>0</v>
      </c>
      <c r="Q229" s="391"/>
      <c r="R229" s="391"/>
      <c r="S229" s="391"/>
      <c r="T229" s="391"/>
      <c r="U229" s="560"/>
    </row>
    <row r="230" spans="1:32">
      <c r="A230" s="391"/>
      <c r="B230" s="391"/>
      <c r="C230" s="391"/>
      <c r="D230" s="560"/>
      <c r="E230" s="560"/>
      <c r="F230" s="600"/>
      <c r="G230" s="600"/>
      <c r="H230" s="600"/>
      <c r="I230" s="600"/>
      <c r="J230" s="600"/>
      <c r="K230" s="600"/>
      <c r="L230" s="560"/>
      <c r="M230" s="600"/>
      <c r="N230" s="600"/>
      <c r="O230" s="600"/>
      <c r="P230" s="600"/>
      <c r="Q230" s="391"/>
      <c r="R230" s="391"/>
      <c r="S230" s="391"/>
      <c r="T230" s="391"/>
      <c r="U230" s="560"/>
    </row>
    <row r="231" spans="1:32">
      <c r="A231" s="391"/>
      <c r="B231" s="391"/>
      <c r="C231" s="391"/>
      <c r="D231" s="560"/>
      <c r="E231" s="560"/>
      <c r="F231" s="600"/>
      <c r="G231" s="600"/>
      <c r="H231" s="600"/>
      <c r="I231" s="600"/>
      <c r="J231" s="600"/>
      <c r="K231" s="600"/>
      <c r="M231" s="600"/>
      <c r="N231" s="600"/>
      <c r="O231" s="600"/>
      <c r="P231" s="600"/>
      <c r="Q231" s="391"/>
      <c r="R231" s="391"/>
      <c r="S231" s="391"/>
      <c r="T231" s="391"/>
      <c r="U231" s="560"/>
    </row>
    <row r="232" spans="1:32">
      <c r="A232" s="391"/>
      <c r="B232" s="391"/>
      <c r="C232" s="391"/>
      <c r="D232" s="560"/>
      <c r="E232" s="560"/>
      <c r="F232" s="600"/>
      <c r="G232" s="600"/>
      <c r="H232" s="600"/>
      <c r="I232" s="600"/>
      <c r="J232" s="600"/>
      <c r="K232" s="600"/>
      <c r="M232" s="600"/>
      <c r="N232" s="600"/>
      <c r="O232" s="600"/>
      <c r="P232" s="600"/>
      <c r="Q232" s="391"/>
      <c r="R232" s="391"/>
      <c r="S232" s="391"/>
      <c r="T232" s="391"/>
      <c r="U232" s="560"/>
    </row>
    <row r="233" spans="1:32">
      <c r="A233" s="821" t="s">
        <v>415</v>
      </c>
      <c r="B233" s="391"/>
      <c r="C233" s="391"/>
      <c r="D233" s="560">
        <v>430018428.36000001</v>
      </c>
      <c r="E233" s="894">
        <v>499420879.36000001</v>
      </c>
      <c r="F233" s="560">
        <v>481619893.36000001</v>
      </c>
      <c r="G233" s="560">
        <v>432147892.36000001</v>
      </c>
      <c r="H233" s="560">
        <v>475532054.36000001</v>
      </c>
      <c r="I233" s="560">
        <v>443609484.36000001</v>
      </c>
      <c r="J233" s="560">
        <v>423875936.36000001</v>
      </c>
      <c r="K233" s="560">
        <v>489178909.36000001</v>
      </c>
      <c r="L233" s="404">
        <v>487616687.36000001</v>
      </c>
      <c r="M233" s="560">
        <v>0</v>
      </c>
      <c r="N233" s="560">
        <v>0</v>
      </c>
      <c r="O233" s="560">
        <v>0</v>
      </c>
      <c r="P233" s="560">
        <v>0</v>
      </c>
      <c r="Q233" s="821" t="s">
        <v>333</v>
      </c>
      <c r="R233" s="391"/>
      <c r="S233" s="391"/>
      <c r="T233" s="391">
        <v>430018428.36000001</v>
      </c>
      <c r="U233" s="894">
        <v>499420879.36000001</v>
      </c>
      <c r="V233" s="560">
        <v>481619893.36000001</v>
      </c>
      <c r="W233" s="560">
        <v>432147892.36000001</v>
      </c>
      <c r="X233" s="560">
        <v>475532054.36000001</v>
      </c>
      <c r="Y233" s="560">
        <v>443609484.36000001</v>
      </c>
      <c r="Z233" s="560">
        <v>423875936.36000001</v>
      </c>
      <c r="AA233" s="560">
        <v>489178909.36000001</v>
      </c>
      <c r="AB233" s="404">
        <v>487616687.36000001</v>
      </c>
      <c r="AC233" s="560">
        <v>0</v>
      </c>
      <c r="AD233" s="560">
        <v>0</v>
      </c>
      <c r="AE233" s="560">
        <v>0</v>
      </c>
      <c r="AF233" s="560">
        <v>0</v>
      </c>
    </row>
    <row r="234" spans="1:32">
      <c r="A234" s="391"/>
      <c r="B234" s="391"/>
      <c r="C234" s="391"/>
      <c r="D234" s="391"/>
      <c r="E234" s="519"/>
      <c r="Q234" s="391"/>
      <c r="R234" s="391"/>
      <c r="S234" s="391"/>
      <c r="T234" s="391"/>
      <c r="U234" s="519"/>
    </row>
    <row r="235" spans="1:32">
      <c r="A235" s="391"/>
      <c r="B235" s="391"/>
      <c r="C235" s="391"/>
      <c r="D235" s="391"/>
      <c r="E235" s="519"/>
      <c r="Q235" s="391"/>
      <c r="R235" s="391"/>
      <c r="S235" s="391"/>
      <c r="T235" s="391"/>
      <c r="U235" s="519"/>
    </row>
    <row r="236" spans="1:32">
      <c r="A236" s="391"/>
      <c r="B236" s="391"/>
      <c r="C236" s="391"/>
      <c r="D236" s="391"/>
      <c r="E236" s="519"/>
      <c r="Q236" s="391"/>
      <c r="R236" s="391"/>
      <c r="S236" s="391"/>
      <c r="T236" s="391"/>
      <c r="U236" s="519"/>
    </row>
    <row r="237" spans="1:32">
      <c r="A237" s="391"/>
      <c r="B237" s="391"/>
      <c r="C237" s="391"/>
      <c r="D237" s="391"/>
      <c r="E237" s="519"/>
      <c r="Q237" s="391"/>
      <c r="R237" s="391"/>
      <c r="S237" s="391"/>
      <c r="T237" s="391"/>
      <c r="U237" s="519"/>
    </row>
    <row r="238" spans="1:32">
      <c r="A238" s="391"/>
      <c r="B238" s="391"/>
      <c r="C238" s="391"/>
      <c r="D238" s="391"/>
      <c r="E238" s="519"/>
      <c r="Q238" s="391"/>
      <c r="R238" s="391"/>
      <c r="S238" s="391"/>
      <c r="T238" s="391"/>
      <c r="U238" s="519"/>
    </row>
    <row r="239" spans="1:32">
      <c r="A239" s="391"/>
      <c r="B239" s="391"/>
      <c r="C239" s="391"/>
      <c r="D239" s="391"/>
      <c r="E239" s="519"/>
      <c r="Q239" s="391"/>
      <c r="R239" s="391"/>
      <c r="S239" s="391"/>
      <c r="T239" s="391"/>
      <c r="U239" s="519"/>
    </row>
    <row r="240" spans="1:32">
      <c r="A240" s="391"/>
      <c r="B240" s="391"/>
      <c r="C240" s="391"/>
      <c r="D240" s="391"/>
      <c r="E240" s="519"/>
      <c r="Q240" s="391"/>
      <c r="R240" s="391"/>
      <c r="S240" s="391"/>
      <c r="T240" s="391"/>
      <c r="U240" s="519"/>
    </row>
    <row r="241" spans="1:21">
      <c r="A241" s="391"/>
      <c r="B241" s="391"/>
      <c r="C241" s="391"/>
      <c r="D241" s="391"/>
      <c r="E241" s="519"/>
      <c r="Q241" s="391"/>
      <c r="R241" s="391"/>
      <c r="S241" s="391"/>
      <c r="T241" s="391"/>
      <c r="U241" s="519"/>
    </row>
    <row r="242" spans="1:21">
      <c r="A242" s="391"/>
      <c r="B242" s="391"/>
      <c r="C242" s="391"/>
      <c r="D242" s="391"/>
      <c r="E242" s="519"/>
      <c r="Q242" s="391"/>
      <c r="R242" s="391"/>
      <c r="S242" s="391"/>
      <c r="T242" s="391"/>
      <c r="U242" s="519"/>
    </row>
    <row r="243" spans="1:21">
      <c r="A243" s="391"/>
      <c r="B243" s="391"/>
      <c r="C243" s="391"/>
      <c r="D243" s="391"/>
      <c r="E243" s="519"/>
      <c r="Q243" s="391"/>
      <c r="R243" s="391"/>
      <c r="S243" s="391"/>
      <c r="T243" s="391"/>
      <c r="U243" s="519"/>
    </row>
    <row r="244" spans="1:21">
      <c r="A244" s="391"/>
      <c r="B244" s="391"/>
      <c r="C244" s="391"/>
      <c r="D244" s="391"/>
      <c r="E244" s="519"/>
      <c r="Q244" s="391"/>
      <c r="R244" s="391"/>
      <c r="S244" s="391"/>
      <c r="T244" s="391"/>
      <c r="U244" s="519"/>
    </row>
    <row r="245" spans="1:21">
      <c r="A245" s="391"/>
      <c r="B245" s="391"/>
      <c r="C245" s="391"/>
      <c r="D245" s="391"/>
      <c r="E245" s="519"/>
      <c r="Q245" s="391"/>
      <c r="R245" s="391"/>
      <c r="S245" s="391"/>
      <c r="T245" s="391"/>
      <c r="U245" s="519"/>
    </row>
    <row r="246" spans="1:21">
      <c r="A246" s="391"/>
      <c r="B246" s="391"/>
      <c r="C246" s="391"/>
      <c r="D246" s="391"/>
      <c r="E246" s="519"/>
      <c r="Q246" s="391"/>
      <c r="R246" s="391"/>
      <c r="S246" s="391"/>
      <c r="T246" s="391"/>
      <c r="U246" s="519"/>
    </row>
    <row r="247" spans="1:21">
      <c r="A247" s="391"/>
      <c r="B247" s="391"/>
      <c r="C247" s="391"/>
      <c r="D247" s="391"/>
      <c r="E247" s="519"/>
      <c r="Q247" s="391"/>
      <c r="R247" s="391"/>
      <c r="S247" s="391"/>
      <c r="T247" s="391"/>
      <c r="U247" s="519"/>
    </row>
    <row r="248" spans="1:21">
      <c r="A248" s="391"/>
      <c r="B248" s="391"/>
      <c r="C248" s="391"/>
      <c r="D248" s="391"/>
      <c r="E248" s="519"/>
      <c r="Q248" s="391"/>
      <c r="R248" s="391"/>
      <c r="S248" s="391"/>
      <c r="T248" s="391"/>
      <c r="U248" s="519"/>
    </row>
    <row r="249" spans="1:21">
      <c r="A249" s="391"/>
      <c r="B249" s="391"/>
      <c r="C249" s="391"/>
      <c r="D249" s="391"/>
      <c r="E249" s="519"/>
      <c r="Q249" s="391"/>
      <c r="R249" s="391"/>
      <c r="S249" s="391"/>
      <c r="T249" s="391"/>
      <c r="U249" s="519"/>
    </row>
    <row r="250" spans="1:21">
      <c r="A250" s="391"/>
      <c r="B250" s="391"/>
      <c r="C250" s="391"/>
      <c r="D250" s="391"/>
      <c r="E250" s="519"/>
      <c r="Q250" s="391"/>
      <c r="R250" s="391"/>
      <c r="S250" s="391"/>
      <c r="T250" s="391"/>
      <c r="U250" s="519"/>
    </row>
    <row r="251" spans="1:21">
      <c r="A251" s="391"/>
      <c r="B251" s="391"/>
      <c r="C251" s="391"/>
      <c r="D251" s="391"/>
      <c r="E251" s="519"/>
      <c r="Q251" s="391"/>
      <c r="R251" s="391"/>
      <c r="S251" s="391"/>
      <c r="T251" s="391"/>
      <c r="U251" s="519"/>
    </row>
    <row r="252" spans="1:21">
      <c r="A252" s="391"/>
      <c r="B252" s="391"/>
      <c r="C252" s="391"/>
      <c r="D252" s="391"/>
      <c r="E252" s="519"/>
      <c r="Q252" s="391"/>
      <c r="R252" s="391"/>
      <c r="S252" s="391"/>
      <c r="T252" s="391"/>
      <c r="U252" s="519"/>
    </row>
    <row r="253" spans="1:21">
      <c r="A253" s="391"/>
      <c r="B253" s="391"/>
      <c r="C253" s="391"/>
      <c r="D253" s="391"/>
      <c r="E253" s="519"/>
      <c r="Q253" s="391"/>
      <c r="R253" s="391"/>
      <c r="S253" s="391"/>
      <c r="T253" s="391"/>
      <c r="U253" s="519"/>
    </row>
    <row r="254" spans="1:21">
      <c r="A254" s="391"/>
      <c r="B254" s="391"/>
      <c r="C254" s="391"/>
      <c r="D254" s="391"/>
      <c r="E254" s="519"/>
      <c r="Q254" s="391"/>
      <c r="R254" s="391"/>
      <c r="S254" s="391"/>
      <c r="T254" s="391"/>
      <c r="U254" s="519"/>
    </row>
    <row r="255" spans="1:21">
      <c r="A255" s="391"/>
      <c r="B255" s="391"/>
      <c r="C255" s="391"/>
      <c r="D255" s="391"/>
      <c r="E255" s="519"/>
      <c r="Q255" s="391"/>
      <c r="R255" s="391"/>
      <c r="S255" s="391"/>
      <c r="T255" s="391"/>
      <c r="U255" s="519"/>
    </row>
    <row r="256" spans="1:21">
      <c r="A256" s="391"/>
      <c r="B256" s="391"/>
      <c r="C256" s="391"/>
      <c r="D256" s="391"/>
      <c r="E256" s="519"/>
      <c r="Q256" s="391"/>
      <c r="R256" s="391"/>
      <c r="S256" s="391"/>
      <c r="T256" s="391"/>
      <c r="U256" s="519"/>
    </row>
    <row r="257" spans="1:21">
      <c r="A257" s="517"/>
      <c r="B257" s="517"/>
      <c r="C257" s="517"/>
      <c r="D257" s="517"/>
      <c r="E257" s="518"/>
      <c r="Q257" s="517"/>
      <c r="R257" s="517"/>
      <c r="S257" s="517"/>
      <c r="T257" s="517"/>
      <c r="U257" s="518"/>
    </row>
    <row r="258" spans="1:21">
      <c r="A258" s="517"/>
      <c r="B258" s="517"/>
      <c r="C258" s="517"/>
      <c r="D258" s="517"/>
      <c r="E258" s="518"/>
      <c r="Q258" s="517"/>
      <c r="R258" s="517"/>
      <c r="S258" s="517"/>
      <c r="T258" s="517"/>
      <c r="U258" s="518"/>
    </row>
    <row r="259" spans="1:21">
      <c r="A259" s="517"/>
      <c r="B259" s="517"/>
      <c r="C259" s="517"/>
      <c r="D259" s="517"/>
      <c r="E259" s="518"/>
      <c r="Q259" s="517"/>
      <c r="R259" s="517"/>
      <c r="S259" s="517"/>
      <c r="T259" s="517"/>
      <c r="U259" s="518"/>
    </row>
    <row r="260" spans="1:21">
      <c r="A260" s="517"/>
      <c r="B260" s="517"/>
      <c r="C260" s="517"/>
      <c r="D260" s="517"/>
      <c r="E260" s="518"/>
      <c r="Q260" s="517"/>
      <c r="R260" s="517"/>
      <c r="S260" s="517"/>
      <c r="T260" s="517"/>
      <c r="U260" s="518"/>
    </row>
    <row r="261" spans="1:21">
      <c r="A261" s="517"/>
      <c r="B261" s="517"/>
      <c r="C261" s="517"/>
      <c r="D261" s="517"/>
      <c r="E261" s="518"/>
      <c r="Q261" s="517"/>
      <c r="R261" s="517"/>
      <c r="S261" s="517"/>
      <c r="T261" s="517"/>
      <c r="U261" s="518"/>
    </row>
    <row r="262" spans="1:21">
      <c r="A262" s="517"/>
      <c r="B262" s="517"/>
      <c r="C262" s="517"/>
      <c r="D262" s="517"/>
      <c r="E262" s="518"/>
      <c r="Q262" s="517"/>
      <c r="R262" s="517"/>
      <c r="S262" s="517"/>
      <c r="T262" s="517"/>
      <c r="U262" s="518"/>
    </row>
    <row r="263" spans="1:21">
      <c r="A263" s="517"/>
      <c r="B263" s="517"/>
      <c r="C263" s="517"/>
      <c r="D263" s="517"/>
      <c r="E263" s="518"/>
      <c r="Q263" s="517"/>
      <c r="R263" s="517"/>
      <c r="S263" s="517"/>
      <c r="T263" s="517"/>
      <c r="U263" s="518"/>
    </row>
    <row r="264" spans="1:21">
      <c r="A264" s="517"/>
      <c r="B264" s="517"/>
      <c r="C264" s="517"/>
      <c r="D264" s="517"/>
      <c r="E264" s="518"/>
      <c r="Q264" s="517"/>
      <c r="R264" s="517"/>
      <c r="S264" s="517"/>
      <c r="T264" s="517"/>
      <c r="U264" s="518"/>
    </row>
    <row r="265" spans="1:21">
      <c r="A265" s="517"/>
      <c r="B265" s="517"/>
      <c r="C265" s="517"/>
      <c r="D265" s="517"/>
      <c r="E265" s="518"/>
      <c r="Q265" s="517"/>
      <c r="R265" s="517"/>
      <c r="S265" s="517"/>
      <c r="T265" s="517"/>
      <c r="U265" s="518"/>
    </row>
    <row r="266" spans="1:21">
      <c r="A266" s="517"/>
      <c r="B266" s="517"/>
      <c r="C266" s="517"/>
      <c r="D266" s="517"/>
      <c r="E266" s="518"/>
      <c r="Q266" s="517"/>
      <c r="R266" s="517"/>
      <c r="S266" s="517"/>
      <c r="T266" s="517"/>
      <c r="U266" s="518"/>
    </row>
    <row r="267" spans="1:21">
      <c r="A267" s="517"/>
      <c r="B267" s="517"/>
      <c r="C267" s="517"/>
      <c r="D267" s="517"/>
      <c r="E267" s="518"/>
      <c r="Q267" s="517"/>
      <c r="R267" s="517"/>
      <c r="S267" s="517"/>
      <c r="T267" s="517"/>
      <c r="U267" s="518"/>
    </row>
    <row r="268" spans="1:21">
      <c r="A268" s="517"/>
      <c r="B268" s="517"/>
      <c r="C268" s="517"/>
      <c r="D268" s="517"/>
      <c r="E268" s="518"/>
      <c r="Q268" s="517"/>
      <c r="R268" s="517"/>
      <c r="S268" s="517"/>
      <c r="T268" s="517"/>
      <c r="U268" s="518"/>
    </row>
    <row r="269" spans="1:21">
      <c r="A269" s="517"/>
      <c r="B269" s="517"/>
      <c r="C269" s="517"/>
      <c r="D269" s="517"/>
      <c r="E269" s="518"/>
      <c r="Q269" s="517"/>
      <c r="R269" s="517"/>
      <c r="S269" s="517"/>
      <c r="T269" s="517"/>
      <c r="U269" s="518"/>
    </row>
    <row r="270" spans="1:21">
      <c r="A270" s="517"/>
      <c r="B270" s="517"/>
      <c r="C270" s="517"/>
      <c r="D270" s="517"/>
      <c r="E270" s="518"/>
      <c r="Q270" s="517"/>
      <c r="R270" s="517"/>
      <c r="S270" s="517"/>
      <c r="T270" s="517"/>
      <c r="U270" s="518"/>
    </row>
    <row r="271" spans="1:21">
      <c r="A271" s="517"/>
      <c r="B271" s="517"/>
      <c r="C271" s="517"/>
      <c r="D271" s="517"/>
      <c r="E271" s="518"/>
      <c r="Q271" s="517"/>
      <c r="R271" s="517"/>
      <c r="S271" s="517"/>
      <c r="T271" s="517"/>
      <c r="U271" s="518"/>
    </row>
    <row r="272" spans="1:21">
      <c r="A272" s="517"/>
      <c r="B272" s="517"/>
      <c r="C272" s="517"/>
      <c r="D272" s="517"/>
      <c r="E272" s="518"/>
      <c r="Q272" s="517"/>
      <c r="R272" s="517"/>
      <c r="S272" s="517"/>
      <c r="T272" s="517"/>
      <c r="U272" s="518"/>
    </row>
    <row r="273" spans="1:21">
      <c r="A273" s="517"/>
      <c r="B273" s="517"/>
      <c r="C273" s="517"/>
      <c r="D273" s="517"/>
      <c r="E273" s="518"/>
      <c r="Q273" s="517"/>
      <c r="R273" s="517"/>
      <c r="S273" s="517"/>
      <c r="T273" s="517"/>
      <c r="U273" s="518"/>
    </row>
    <row r="274" spans="1:21">
      <c r="A274" s="517"/>
      <c r="B274" s="517"/>
      <c r="C274" s="517"/>
      <c r="D274" s="517"/>
      <c r="E274" s="518"/>
      <c r="Q274" s="517"/>
      <c r="R274" s="517"/>
      <c r="S274" s="517"/>
      <c r="T274" s="517"/>
      <c r="U274" s="518"/>
    </row>
    <row r="275" spans="1:21">
      <c r="A275" s="517"/>
      <c r="B275" s="517"/>
      <c r="C275" s="517"/>
      <c r="D275" s="517"/>
      <c r="E275" s="518"/>
      <c r="Q275" s="517"/>
      <c r="R275" s="517"/>
      <c r="S275" s="517"/>
      <c r="T275" s="517"/>
      <c r="U275" s="518"/>
    </row>
    <row r="276" spans="1:21">
      <c r="A276" s="517"/>
      <c r="B276" s="517"/>
      <c r="C276" s="517"/>
      <c r="D276" s="517"/>
      <c r="E276" s="518"/>
      <c r="Q276" s="517"/>
      <c r="R276" s="517"/>
      <c r="S276" s="517"/>
      <c r="T276" s="517"/>
      <c r="U276" s="518"/>
    </row>
    <row r="277" spans="1:21">
      <c r="A277" s="517"/>
      <c r="B277" s="517"/>
      <c r="C277" s="517"/>
      <c r="D277" s="517"/>
      <c r="E277" s="518"/>
      <c r="Q277" s="517"/>
      <c r="R277" s="517"/>
      <c r="S277" s="517"/>
      <c r="T277" s="517"/>
      <c r="U277" s="518"/>
    </row>
    <row r="278" spans="1:21">
      <c r="A278" s="517"/>
      <c r="B278" s="517"/>
      <c r="C278" s="517"/>
      <c r="D278" s="517"/>
      <c r="E278" s="518"/>
      <c r="Q278" s="517"/>
      <c r="R278" s="517"/>
      <c r="S278" s="517"/>
      <c r="T278" s="517"/>
      <c r="U278" s="518"/>
    </row>
    <row r="279" spans="1:21">
      <c r="A279" s="517"/>
      <c r="B279" s="517"/>
      <c r="C279" s="517"/>
      <c r="D279" s="517"/>
      <c r="E279" s="518"/>
      <c r="Q279" s="517"/>
      <c r="R279" s="517"/>
      <c r="S279" s="517"/>
      <c r="T279" s="517"/>
      <c r="U279" s="518"/>
    </row>
    <row r="280" spans="1:21">
      <c r="A280" s="517"/>
      <c r="B280" s="517"/>
      <c r="C280" s="517"/>
      <c r="D280" s="517"/>
      <c r="E280" s="518"/>
      <c r="Q280" s="517"/>
      <c r="R280" s="517"/>
      <c r="S280" s="517"/>
      <c r="T280" s="517"/>
      <c r="U280" s="518"/>
    </row>
    <row r="281" spans="1:21">
      <c r="A281" s="517"/>
      <c r="B281" s="517"/>
      <c r="C281" s="517"/>
      <c r="D281" s="517"/>
      <c r="E281" s="518"/>
      <c r="Q281" s="517"/>
      <c r="R281" s="517"/>
      <c r="S281" s="517"/>
      <c r="T281" s="517"/>
      <c r="U281" s="518"/>
    </row>
    <row r="282" spans="1:21">
      <c r="A282" s="517"/>
      <c r="B282" s="517"/>
      <c r="C282" s="517"/>
      <c r="D282" s="517"/>
      <c r="E282" s="518"/>
      <c r="Q282" s="517"/>
      <c r="R282" s="517"/>
      <c r="S282" s="517"/>
      <c r="T282" s="517"/>
      <c r="U282" s="518"/>
    </row>
    <row r="283" spans="1:21">
      <c r="A283" s="517"/>
      <c r="B283" s="517"/>
      <c r="C283" s="517"/>
      <c r="D283" s="517"/>
      <c r="E283" s="518"/>
      <c r="Q283" s="517"/>
      <c r="R283" s="517"/>
      <c r="S283" s="517"/>
      <c r="T283" s="517"/>
      <c r="U283" s="518"/>
    </row>
    <row r="284" spans="1:21">
      <c r="A284" s="517"/>
      <c r="B284" s="517"/>
      <c r="C284" s="517"/>
      <c r="D284" s="517"/>
      <c r="E284" s="518"/>
      <c r="Q284" s="517"/>
      <c r="R284" s="517"/>
      <c r="S284" s="517"/>
      <c r="T284" s="517"/>
      <c r="U284" s="518"/>
    </row>
    <row r="285" spans="1:21">
      <c r="A285" s="517"/>
      <c r="B285" s="517"/>
      <c r="C285" s="517"/>
      <c r="D285" s="517"/>
      <c r="E285" s="518"/>
      <c r="Q285" s="517"/>
      <c r="R285" s="517"/>
      <c r="S285" s="517"/>
      <c r="T285" s="517"/>
      <c r="U285" s="518"/>
    </row>
    <row r="286" spans="1:21">
      <c r="A286" s="517"/>
      <c r="B286" s="517"/>
      <c r="C286" s="517"/>
      <c r="D286" s="517"/>
      <c r="E286" s="518"/>
      <c r="Q286" s="517"/>
      <c r="R286" s="517"/>
      <c r="S286" s="517"/>
      <c r="T286" s="517"/>
      <c r="U286" s="518"/>
    </row>
    <row r="287" spans="1:21">
      <c r="A287" s="517"/>
      <c r="B287" s="517"/>
      <c r="C287" s="517"/>
      <c r="D287" s="517"/>
      <c r="E287" s="518"/>
      <c r="Q287" s="517"/>
      <c r="R287" s="517"/>
      <c r="S287" s="517"/>
      <c r="T287" s="517"/>
      <c r="U287" s="518"/>
    </row>
    <row r="288" spans="1:21">
      <c r="A288" s="517"/>
      <c r="B288" s="517"/>
      <c r="C288" s="517"/>
      <c r="D288" s="517"/>
      <c r="E288" s="518"/>
      <c r="Q288" s="517"/>
      <c r="R288" s="517"/>
      <c r="S288" s="517"/>
      <c r="T288" s="517"/>
      <c r="U288" s="518"/>
    </row>
    <row r="289" spans="1:21">
      <c r="A289" s="517"/>
      <c r="B289" s="517"/>
      <c r="C289" s="517"/>
      <c r="D289" s="517"/>
      <c r="E289" s="518"/>
      <c r="Q289" s="517"/>
      <c r="R289" s="517"/>
      <c r="S289" s="517"/>
      <c r="T289" s="517"/>
      <c r="U289" s="518"/>
    </row>
    <row r="290" spans="1:21">
      <c r="A290" s="517"/>
      <c r="B290" s="517"/>
      <c r="C290" s="517"/>
      <c r="D290" s="517"/>
      <c r="E290" s="518"/>
      <c r="Q290" s="517"/>
      <c r="R290" s="517"/>
      <c r="S290" s="517"/>
      <c r="T290" s="517"/>
      <c r="U290" s="518"/>
    </row>
    <row r="291" spans="1:21">
      <c r="A291" s="517"/>
      <c r="B291" s="517"/>
      <c r="C291" s="517"/>
      <c r="D291" s="517"/>
      <c r="E291" s="518"/>
      <c r="Q291" s="517"/>
      <c r="R291" s="517"/>
      <c r="S291" s="517"/>
      <c r="T291" s="517"/>
      <c r="U291" s="518"/>
    </row>
    <row r="292" spans="1:21">
      <c r="A292" s="517"/>
      <c r="B292" s="517"/>
      <c r="C292" s="517"/>
      <c r="D292" s="517"/>
      <c r="E292" s="518"/>
      <c r="Q292" s="517"/>
      <c r="R292" s="517"/>
      <c r="S292" s="517"/>
      <c r="T292" s="517"/>
      <c r="U292" s="518"/>
    </row>
    <row r="293" spans="1:21">
      <c r="A293" s="517"/>
      <c r="B293" s="517"/>
      <c r="C293" s="517"/>
      <c r="D293" s="517"/>
      <c r="E293" s="518"/>
      <c r="Q293" s="517"/>
      <c r="R293" s="517"/>
      <c r="S293" s="517"/>
      <c r="T293" s="517"/>
      <c r="U293" s="518"/>
    </row>
    <row r="294" spans="1:21">
      <c r="A294" s="517"/>
      <c r="B294" s="517"/>
      <c r="C294" s="517"/>
      <c r="D294" s="517"/>
      <c r="E294" s="518"/>
      <c r="Q294" s="517"/>
      <c r="R294" s="517"/>
      <c r="S294" s="517"/>
      <c r="T294" s="517"/>
      <c r="U294" s="518"/>
    </row>
    <row r="295" spans="1:21">
      <c r="A295" s="517"/>
      <c r="B295" s="517"/>
      <c r="C295" s="517"/>
      <c r="D295" s="517"/>
      <c r="E295" s="518"/>
      <c r="Q295" s="517"/>
      <c r="R295" s="517"/>
      <c r="S295" s="517"/>
      <c r="T295" s="517"/>
      <c r="U295" s="518"/>
    </row>
    <row r="296" spans="1:21">
      <c r="A296" s="517"/>
      <c r="B296" s="517"/>
      <c r="C296" s="517"/>
      <c r="D296" s="517"/>
      <c r="E296" s="518"/>
      <c r="Q296" s="517"/>
      <c r="R296" s="517"/>
      <c r="S296" s="517"/>
      <c r="T296" s="517"/>
      <c r="U296" s="518"/>
    </row>
    <row r="297" spans="1:21">
      <c r="A297" s="517"/>
      <c r="B297" s="517"/>
      <c r="C297" s="517"/>
      <c r="D297" s="517"/>
      <c r="E297" s="518"/>
      <c r="Q297" s="517"/>
      <c r="R297" s="517"/>
      <c r="S297" s="517"/>
      <c r="T297" s="517"/>
      <c r="U297" s="518"/>
    </row>
    <row r="298" spans="1:21">
      <c r="A298" s="517"/>
      <c r="B298" s="517"/>
      <c r="C298" s="517"/>
      <c r="D298" s="517"/>
      <c r="E298" s="518"/>
      <c r="Q298" s="517"/>
      <c r="R298" s="517"/>
      <c r="S298" s="517"/>
      <c r="T298" s="517"/>
      <c r="U298" s="518"/>
    </row>
    <row r="299" spans="1:21">
      <c r="A299" s="517"/>
      <c r="B299" s="517"/>
      <c r="C299" s="517"/>
      <c r="D299" s="517"/>
      <c r="E299" s="518"/>
      <c r="Q299" s="517"/>
      <c r="R299" s="517"/>
      <c r="S299" s="517"/>
      <c r="T299" s="517"/>
      <c r="U299" s="518"/>
    </row>
    <row r="300" spans="1:21">
      <c r="A300" s="517"/>
      <c r="B300" s="517"/>
      <c r="C300" s="517"/>
      <c r="D300" s="517"/>
      <c r="E300" s="518"/>
      <c r="Q300" s="517"/>
      <c r="R300" s="517"/>
      <c r="S300" s="517"/>
      <c r="T300" s="517"/>
      <c r="U300" s="518"/>
    </row>
    <row r="301" spans="1:21">
      <c r="A301" s="517"/>
      <c r="B301" s="517"/>
      <c r="C301" s="517"/>
      <c r="D301" s="517"/>
      <c r="E301" s="518"/>
      <c r="Q301" s="517"/>
      <c r="R301" s="517"/>
      <c r="S301" s="517"/>
      <c r="T301" s="517"/>
      <c r="U301" s="518"/>
    </row>
    <row r="302" spans="1:21">
      <c r="A302" s="517"/>
      <c r="B302" s="517"/>
      <c r="C302" s="517"/>
      <c r="D302" s="517"/>
      <c r="E302" s="518"/>
      <c r="Q302" s="517"/>
      <c r="R302" s="517"/>
      <c r="S302" s="517"/>
      <c r="T302" s="517"/>
      <c r="U302" s="518"/>
    </row>
    <row r="303" spans="1:21">
      <c r="A303" s="517"/>
      <c r="B303" s="517"/>
      <c r="C303" s="517"/>
      <c r="D303" s="517"/>
      <c r="E303" s="518"/>
      <c r="Q303" s="517"/>
      <c r="R303" s="517"/>
      <c r="S303" s="517"/>
      <c r="T303" s="517"/>
      <c r="U303" s="518"/>
    </row>
    <row r="304" spans="1:21">
      <c r="A304" s="517"/>
      <c r="B304" s="517"/>
      <c r="C304" s="517"/>
      <c r="D304" s="517"/>
      <c r="E304" s="518"/>
      <c r="Q304" s="517"/>
      <c r="R304" s="517"/>
      <c r="S304" s="517"/>
      <c r="T304" s="517"/>
      <c r="U304" s="518"/>
    </row>
    <row r="305" spans="1:21">
      <c r="A305" s="517"/>
      <c r="B305" s="517"/>
      <c r="C305" s="517"/>
      <c r="D305" s="517"/>
      <c r="E305" s="518"/>
      <c r="Q305" s="517"/>
      <c r="R305" s="517"/>
      <c r="S305" s="517"/>
      <c r="T305" s="517"/>
      <c r="U305" s="518"/>
    </row>
    <row r="306" spans="1:21">
      <c r="A306" s="517"/>
      <c r="B306" s="517"/>
      <c r="C306" s="517"/>
      <c r="D306" s="517"/>
      <c r="E306" s="518"/>
      <c r="Q306" s="517"/>
      <c r="R306" s="517"/>
      <c r="S306" s="517"/>
      <c r="T306" s="517"/>
      <c r="U306" s="518"/>
    </row>
    <row r="307" spans="1:21">
      <c r="A307" s="517"/>
      <c r="B307" s="517"/>
      <c r="C307" s="517"/>
      <c r="D307" s="517"/>
      <c r="E307" s="518"/>
      <c r="Q307" s="517"/>
      <c r="R307" s="517"/>
      <c r="S307" s="517"/>
      <c r="T307" s="517"/>
      <c r="U307" s="518"/>
    </row>
    <row r="308" spans="1:21">
      <c r="A308" s="517"/>
      <c r="B308" s="517"/>
      <c r="C308" s="517"/>
      <c r="D308" s="517"/>
      <c r="E308" s="518"/>
      <c r="Q308" s="517"/>
      <c r="R308" s="517"/>
      <c r="S308" s="517"/>
      <c r="T308" s="517"/>
      <c r="U308" s="518"/>
    </row>
    <row r="309" spans="1:21">
      <c r="A309" s="517"/>
      <c r="B309" s="517"/>
      <c r="C309" s="517"/>
      <c r="D309" s="517"/>
      <c r="E309" s="518"/>
      <c r="Q309" s="517"/>
      <c r="R309" s="517"/>
      <c r="S309" s="517"/>
      <c r="T309" s="517"/>
      <c r="U309" s="518"/>
    </row>
    <row r="310" spans="1:21">
      <c r="A310" s="517"/>
      <c r="B310" s="517"/>
      <c r="C310" s="517"/>
      <c r="D310" s="517"/>
      <c r="E310" s="518"/>
      <c r="Q310" s="517"/>
      <c r="R310" s="517"/>
      <c r="S310" s="517"/>
      <c r="T310" s="517"/>
      <c r="U310" s="518"/>
    </row>
    <row r="311" spans="1:21">
      <c r="A311" s="517"/>
      <c r="B311" s="517"/>
      <c r="C311" s="517"/>
      <c r="D311" s="517"/>
      <c r="E311" s="518"/>
      <c r="Q311" s="517"/>
      <c r="R311" s="517"/>
      <c r="S311" s="517"/>
      <c r="T311" s="517"/>
      <c r="U311" s="518"/>
    </row>
    <row r="312" spans="1:21">
      <c r="A312" s="517"/>
      <c r="B312" s="517"/>
      <c r="C312" s="517"/>
      <c r="D312" s="517"/>
      <c r="E312" s="518"/>
      <c r="Q312" s="517"/>
      <c r="R312" s="517"/>
      <c r="S312" s="517"/>
      <c r="T312" s="517"/>
      <c r="U312" s="518"/>
    </row>
    <row r="313" spans="1:21">
      <c r="A313" s="517"/>
      <c r="B313" s="517"/>
      <c r="C313" s="517"/>
      <c r="D313" s="517"/>
      <c r="E313" s="518"/>
      <c r="Q313" s="517"/>
      <c r="R313" s="517"/>
      <c r="S313" s="517"/>
      <c r="T313" s="517"/>
      <c r="U313" s="518"/>
    </row>
    <row r="314" spans="1:21">
      <c r="A314" s="517"/>
      <c r="B314" s="517"/>
      <c r="C314" s="517"/>
      <c r="D314" s="517"/>
      <c r="E314" s="518"/>
      <c r="Q314" s="517"/>
      <c r="R314" s="517"/>
      <c r="S314" s="517"/>
      <c r="T314" s="517"/>
      <c r="U314" s="518"/>
    </row>
    <row r="315" spans="1:21">
      <c r="A315" s="517"/>
      <c r="B315" s="517"/>
      <c r="C315" s="517"/>
      <c r="D315" s="517"/>
      <c r="E315" s="518"/>
      <c r="Q315" s="517"/>
      <c r="R315" s="517"/>
      <c r="S315" s="517"/>
      <c r="T315" s="517"/>
      <c r="U315" s="518"/>
    </row>
    <row r="316" spans="1:21">
      <c r="A316" s="517"/>
      <c r="B316" s="517"/>
      <c r="C316" s="517"/>
      <c r="D316" s="517"/>
      <c r="E316" s="518"/>
      <c r="Q316" s="517"/>
      <c r="R316" s="517"/>
      <c r="S316" s="517"/>
      <c r="T316" s="517"/>
      <c r="U316" s="518"/>
    </row>
    <row r="317" spans="1:21">
      <c r="A317" s="517"/>
      <c r="B317" s="517"/>
      <c r="C317" s="517"/>
      <c r="D317" s="517"/>
      <c r="E317" s="518"/>
      <c r="Q317" s="517"/>
      <c r="R317" s="517"/>
      <c r="S317" s="517"/>
      <c r="T317" s="517"/>
      <c r="U317" s="518"/>
    </row>
    <row r="318" spans="1:21">
      <c r="A318" s="517"/>
      <c r="B318" s="517"/>
      <c r="C318" s="517"/>
      <c r="D318" s="517"/>
      <c r="E318" s="518"/>
      <c r="Q318" s="517"/>
      <c r="R318" s="517"/>
      <c r="S318" s="517"/>
      <c r="T318" s="517"/>
      <c r="U318" s="518"/>
    </row>
    <row r="319" spans="1:21">
      <c r="A319" s="517"/>
      <c r="B319" s="517"/>
      <c r="C319" s="517"/>
      <c r="D319" s="517"/>
      <c r="E319" s="518"/>
      <c r="Q319" s="517"/>
      <c r="R319" s="517"/>
      <c r="S319" s="517"/>
      <c r="T319" s="517"/>
      <c r="U319" s="518"/>
    </row>
    <row r="320" spans="1:21">
      <c r="A320" s="517"/>
      <c r="B320" s="517"/>
      <c r="C320" s="517"/>
      <c r="D320" s="517"/>
      <c r="E320" s="518"/>
      <c r="Q320" s="517"/>
      <c r="R320" s="517"/>
      <c r="S320" s="517"/>
      <c r="T320" s="517"/>
      <c r="U320" s="518"/>
    </row>
    <row r="321" spans="1:21">
      <c r="A321" s="517"/>
      <c r="B321" s="517"/>
      <c r="C321" s="517"/>
      <c r="D321" s="517"/>
      <c r="E321" s="518"/>
      <c r="Q321" s="517"/>
      <c r="R321" s="517"/>
      <c r="S321" s="517"/>
      <c r="T321" s="517"/>
      <c r="U321" s="518"/>
    </row>
    <row r="322" spans="1:21">
      <c r="A322" s="517"/>
      <c r="B322" s="517"/>
      <c r="C322" s="517"/>
      <c r="D322" s="517"/>
      <c r="E322" s="518"/>
      <c r="Q322" s="517"/>
      <c r="R322" s="517"/>
      <c r="S322" s="517"/>
      <c r="T322" s="517"/>
      <c r="U322" s="518"/>
    </row>
    <row r="323" spans="1:21">
      <c r="A323" s="517"/>
      <c r="B323" s="517"/>
      <c r="C323" s="517"/>
      <c r="D323" s="517"/>
      <c r="E323" s="518"/>
      <c r="Q323" s="517"/>
      <c r="R323" s="517"/>
      <c r="S323" s="517"/>
      <c r="T323" s="517"/>
      <c r="U323" s="518"/>
    </row>
    <row r="324" spans="1:21">
      <c r="A324" s="517"/>
      <c r="B324" s="517"/>
      <c r="C324" s="517"/>
      <c r="D324" s="517"/>
      <c r="E324" s="518"/>
      <c r="Q324" s="517"/>
      <c r="R324" s="517"/>
      <c r="S324" s="517"/>
      <c r="T324" s="517"/>
      <c r="U324" s="518"/>
    </row>
    <row r="325" spans="1:21">
      <c r="A325" s="517"/>
      <c r="B325" s="517"/>
      <c r="C325" s="517"/>
      <c r="D325" s="517"/>
      <c r="E325" s="518"/>
      <c r="Q325" s="517"/>
      <c r="R325" s="517"/>
      <c r="S325" s="517"/>
      <c r="T325" s="517"/>
      <c r="U325" s="518"/>
    </row>
    <row r="326" spans="1:21">
      <c r="A326" s="517"/>
      <c r="B326" s="517"/>
      <c r="C326" s="517"/>
      <c r="D326" s="517"/>
      <c r="E326" s="518"/>
      <c r="Q326" s="517"/>
      <c r="R326" s="517"/>
      <c r="S326" s="517"/>
      <c r="T326" s="517"/>
      <c r="U326" s="518"/>
    </row>
    <row r="327" spans="1:21">
      <c r="A327" s="517"/>
      <c r="B327" s="517"/>
      <c r="C327" s="517"/>
      <c r="D327" s="517"/>
      <c r="E327" s="518"/>
      <c r="Q327" s="517"/>
      <c r="R327" s="517"/>
      <c r="S327" s="517"/>
      <c r="T327" s="517"/>
      <c r="U327" s="518"/>
    </row>
    <row r="328" spans="1:21">
      <c r="A328" s="517"/>
      <c r="B328" s="517"/>
      <c r="C328" s="517"/>
      <c r="D328" s="517"/>
      <c r="E328" s="518"/>
      <c r="Q328" s="517"/>
      <c r="R328" s="517"/>
      <c r="S328" s="517"/>
      <c r="T328" s="517"/>
      <c r="U328" s="518"/>
    </row>
    <row r="329" spans="1:21">
      <c r="A329" s="517"/>
      <c r="B329" s="517"/>
      <c r="C329" s="517"/>
      <c r="D329" s="517"/>
      <c r="E329" s="518"/>
      <c r="Q329" s="517"/>
      <c r="R329" s="517"/>
      <c r="S329" s="517"/>
      <c r="T329" s="517"/>
      <c r="U329" s="518"/>
    </row>
    <row r="330" spans="1:21">
      <c r="A330" s="517"/>
      <c r="B330" s="517"/>
      <c r="C330" s="517"/>
      <c r="D330" s="517"/>
      <c r="E330" s="518"/>
      <c r="Q330" s="517"/>
      <c r="R330" s="517"/>
      <c r="S330" s="517"/>
      <c r="T330" s="517"/>
      <c r="U330" s="518"/>
    </row>
    <row r="331" spans="1:21">
      <c r="A331" s="517"/>
      <c r="B331" s="517"/>
      <c r="C331" s="517"/>
      <c r="D331" s="517"/>
      <c r="E331" s="518"/>
      <c r="Q331" s="517"/>
      <c r="R331" s="517"/>
      <c r="S331" s="517"/>
      <c r="T331" s="517"/>
      <c r="U331" s="518"/>
    </row>
    <row r="332" spans="1:21">
      <c r="A332" s="517"/>
      <c r="B332" s="517"/>
      <c r="C332" s="517"/>
      <c r="D332" s="517"/>
      <c r="E332" s="518"/>
      <c r="Q332" s="517"/>
      <c r="R332" s="517"/>
      <c r="S332" s="517"/>
      <c r="T332" s="517"/>
      <c r="U332" s="518"/>
    </row>
    <row r="333" spans="1:21">
      <c r="A333" s="517"/>
      <c r="B333" s="517"/>
      <c r="C333" s="517"/>
      <c r="D333" s="517"/>
      <c r="E333" s="518"/>
      <c r="Q333" s="517"/>
      <c r="R333" s="517"/>
      <c r="S333" s="517"/>
      <c r="T333" s="517"/>
      <c r="U333" s="518"/>
    </row>
    <row r="334" spans="1:21">
      <c r="A334" s="517"/>
      <c r="B334" s="517"/>
      <c r="C334" s="517"/>
      <c r="D334" s="517"/>
      <c r="E334" s="518"/>
      <c r="Q334" s="517"/>
      <c r="R334" s="517"/>
      <c r="S334" s="517"/>
      <c r="T334" s="517"/>
      <c r="U334" s="518"/>
    </row>
    <row r="335" spans="1:21">
      <c r="A335" s="517"/>
      <c r="B335" s="517"/>
      <c r="C335" s="517"/>
      <c r="D335" s="517"/>
      <c r="E335" s="518"/>
      <c r="Q335" s="517"/>
      <c r="R335" s="517"/>
      <c r="S335" s="517"/>
      <c r="T335" s="517"/>
      <c r="U335" s="518"/>
    </row>
    <row r="336" spans="1:21">
      <c r="A336" s="517"/>
      <c r="B336" s="517"/>
      <c r="C336" s="517"/>
      <c r="D336" s="517"/>
      <c r="E336" s="518"/>
      <c r="Q336" s="517"/>
      <c r="R336" s="517"/>
      <c r="S336" s="517"/>
      <c r="T336" s="517"/>
      <c r="U336" s="518"/>
    </row>
    <row r="337" spans="1:21">
      <c r="A337" s="517"/>
      <c r="B337" s="517"/>
      <c r="C337" s="517"/>
      <c r="D337" s="517"/>
      <c r="E337" s="518"/>
      <c r="Q337" s="517"/>
      <c r="R337" s="517"/>
      <c r="S337" s="517"/>
      <c r="T337" s="517"/>
      <c r="U337" s="518"/>
    </row>
    <row r="338" spans="1:21">
      <c r="A338" s="517"/>
      <c r="B338" s="517"/>
      <c r="C338" s="517"/>
      <c r="D338" s="517"/>
      <c r="E338" s="518"/>
      <c r="Q338" s="517"/>
      <c r="R338" s="517"/>
      <c r="S338" s="517"/>
      <c r="T338" s="517"/>
      <c r="U338" s="518"/>
    </row>
    <row r="339" spans="1:21">
      <c r="A339" s="517"/>
      <c r="B339" s="517"/>
      <c r="C339" s="517"/>
      <c r="D339" s="517"/>
      <c r="E339" s="518"/>
      <c r="Q339" s="517"/>
      <c r="R339" s="517"/>
      <c r="S339" s="517"/>
      <c r="T339" s="517"/>
      <c r="U339" s="518"/>
    </row>
    <row r="340" spans="1:21">
      <c r="A340" s="517"/>
      <c r="B340" s="517"/>
      <c r="C340" s="517"/>
      <c r="D340" s="517"/>
      <c r="E340" s="518"/>
      <c r="Q340" s="517"/>
      <c r="R340" s="517"/>
      <c r="S340" s="517"/>
      <c r="T340" s="517"/>
      <c r="U340" s="518"/>
    </row>
    <row r="341" spans="1:21">
      <c r="A341" s="517"/>
      <c r="B341" s="517"/>
      <c r="C341" s="517"/>
      <c r="D341" s="517"/>
      <c r="E341" s="518"/>
      <c r="Q341" s="517"/>
      <c r="R341" s="517"/>
      <c r="S341" s="517"/>
      <c r="T341" s="517"/>
      <c r="U341" s="518"/>
    </row>
    <row r="342" spans="1:21">
      <c r="A342" s="517"/>
      <c r="B342" s="517"/>
      <c r="C342" s="517"/>
      <c r="D342" s="517"/>
      <c r="E342" s="518"/>
      <c r="Q342" s="517"/>
      <c r="R342" s="517"/>
      <c r="S342" s="517"/>
      <c r="T342" s="517"/>
      <c r="U342" s="518"/>
    </row>
    <row r="343" spans="1:21">
      <c r="A343" s="517"/>
      <c r="B343" s="517"/>
      <c r="C343" s="517"/>
      <c r="D343" s="517"/>
      <c r="E343" s="518"/>
      <c r="Q343" s="517"/>
      <c r="R343" s="517"/>
      <c r="S343" s="517"/>
      <c r="T343" s="517"/>
      <c r="U343" s="518"/>
    </row>
    <row r="344" spans="1:21">
      <c r="A344" s="517"/>
      <c r="B344" s="517"/>
      <c r="C344" s="517"/>
      <c r="D344" s="517"/>
      <c r="E344" s="518"/>
      <c r="Q344" s="517"/>
      <c r="R344" s="517"/>
      <c r="S344" s="517"/>
      <c r="T344" s="517"/>
      <c r="U344" s="518"/>
    </row>
    <row r="345" spans="1:21">
      <c r="A345" s="517"/>
      <c r="B345" s="517"/>
      <c r="C345" s="517"/>
      <c r="D345" s="517"/>
      <c r="E345" s="518"/>
      <c r="Q345" s="517"/>
      <c r="R345" s="517"/>
      <c r="S345" s="517"/>
      <c r="T345" s="517"/>
      <c r="U345" s="518"/>
    </row>
    <row r="346" spans="1:21">
      <c r="A346" s="517"/>
      <c r="B346" s="517"/>
      <c r="C346" s="517"/>
      <c r="D346" s="517"/>
      <c r="E346" s="518"/>
      <c r="Q346" s="517"/>
      <c r="R346" s="517"/>
      <c r="S346" s="517"/>
      <c r="T346" s="517"/>
      <c r="U346" s="518"/>
    </row>
    <row r="347" spans="1:21">
      <c r="A347" s="517"/>
      <c r="B347" s="517"/>
      <c r="C347" s="517"/>
      <c r="D347" s="517"/>
      <c r="E347" s="518"/>
      <c r="Q347" s="517"/>
      <c r="R347" s="517"/>
      <c r="S347" s="517"/>
      <c r="T347" s="517"/>
      <c r="U347" s="518"/>
    </row>
    <row r="348" spans="1:21">
      <c r="A348" s="517"/>
      <c r="B348" s="517"/>
      <c r="C348" s="517"/>
      <c r="D348" s="517"/>
      <c r="E348" s="518"/>
      <c r="Q348" s="517"/>
      <c r="R348" s="517"/>
      <c r="S348" s="517"/>
      <c r="T348" s="517"/>
      <c r="U348" s="518"/>
    </row>
    <row r="349" spans="1:21">
      <c r="A349" s="517"/>
      <c r="B349" s="517"/>
      <c r="C349" s="517"/>
      <c r="D349" s="517"/>
      <c r="E349" s="518"/>
      <c r="Q349" s="517"/>
      <c r="R349" s="517"/>
      <c r="S349" s="517"/>
      <c r="T349" s="517"/>
      <c r="U349" s="518"/>
    </row>
    <row r="350" spans="1:21">
      <c r="A350" s="517"/>
      <c r="B350" s="517"/>
      <c r="C350" s="517"/>
      <c r="D350" s="517"/>
      <c r="E350" s="518"/>
      <c r="Q350" s="517"/>
      <c r="R350" s="517"/>
      <c r="S350" s="517"/>
      <c r="T350" s="517"/>
      <c r="U350" s="518"/>
    </row>
    <row r="351" spans="1:21">
      <c r="A351" s="517"/>
      <c r="B351" s="517"/>
      <c r="C351" s="517"/>
      <c r="D351" s="517"/>
      <c r="E351" s="518"/>
      <c r="Q351" s="517"/>
      <c r="R351" s="517"/>
      <c r="S351" s="517"/>
      <c r="T351" s="517"/>
      <c r="U351" s="518"/>
    </row>
    <row r="352" spans="1:21">
      <c r="A352" s="517"/>
      <c r="B352" s="517"/>
      <c r="C352" s="517"/>
      <c r="D352" s="517"/>
      <c r="E352" s="518"/>
      <c r="Q352" s="517"/>
      <c r="R352" s="517"/>
      <c r="S352" s="517"/>
      <c r="T352" s="517"/>
      <c r="U352" s="518"/>
    </row>
    <row r="353" spans="1:21">
      <c r="A353" s="517"/>
      <c r="B353" s="517"/>
      <c r="C353" s="517"/>
      <c r="D353" s="517"/>
      <c r="E353" s="518"/>
      <c r="Q353" s="517"/>
      <c r="R353" s="517"/>
      <c r="S353" s="517"/>
      <c r="T353" s="517"/>
      <c r="U353" s="518"/>
    </row>
    <row r="354" spans="1:21">
      <c r="A354" s="517"/>
      <c r="B354" s="517"/>
      <c r="C354" s="517"/>
      <c r="D354" s="517"/>
      <c r="E354" s="518"/>
      <c r="Q354" s="517"/>
      <c r="R354" s="517"/>
      <c r="S354" s="517"/>
      <c r="T354" s="517"/>
      <c r="U354" s="518"/>
    </row>
    <row r="355" spans="1:21">
      <c r="A355" s="517"/>
      <c r="B355" s="517"/>
      <c r="C355" s="517"/>
      <c r="D355" s="517"/>
      <c r="E355" s="518"/>
      <c r="Q355" s="517"/>
      <c r="R355" s="517"/>
      <c r="S355" s="517"/>
      <c r="T355" s="517"/>
      <c r="U355" s="518"/>
    </row>
    <row r="356" spans="1:21">
      <c r="A356" s="517"/>
      <c r="B356" s="517"/>
      <c r="C356" s="517"/>
      <c r="D356" s="517"/>
      <c r="E356" s="518"/>
      <c r="Q356" s="517"/>
      <c r="R356" s="517"/>
      <c r="S356" s="517"/>
      <c r="T356" s="517"/>
      <c r="U356" s="518"/>
    </row>
    <row r="357" spans="1:21">
      <c r="A357" s="517"/>
      <c r="B357" s="517"/>
      <c r="C357" s="517"/>
      <c r="D357" s="517"/>
      <c r="E357" s="518"/>
      <c r="Q357" s="517"/>
      <c r="R357" s="517"/>
      <c r="S357" s="517"/>
      <c r="T357" s="517"/>
      <c r="U357" s="518"/>
    </row>
    <row r="358" spans="1:21">
      <c r="A358" s="517"/>
      <c r="B358" s="517"/>
      <c r="C358" s="517"/>
      <c r="D358" s="517"/>
      <c r="E358" s="518"/>
      <c r="Q358" s="517"/>
      <c r="R358" s="517"/>
      <c r="S358" s="517"/>
      <c r="T358" s="517"/>
      <c r="U358" s="518"/>
    </row>
    <row r="359" spans="1:21">
      <c r="A359" s="517"/>
      <c r="B359" s="517"/>
      <c r="C359" s="517"/>
      <c r="D359" s="517"/>
      <c r="E359" s="518"/>
      <c r="Q359" s="517"/>
      <c r="R359" s="517"/>
      <c r="S359" s="517"/>
      <c r="T359" s="517"/>
      <c r="U359" s="518"/>
    </row>
    <row r="360" spans="1:21">
      <c r="A360" s="517"/>
      <c r="B360" s="517"/>
      <c r="C360" s="517"/>
      <c r="D360" s="517"/>
      <c r="E360" s="518"/>
      <c r="Q360" s="517"/>
      <c r="R360" s="517"/>
      <c r="S360" s="517"/>
      <c r="T360" s="517"/>
      <c r="U360" s="518"/>
    </row>
    <row r="361" spans="1:21">
      <c r="A361" s="517"/>
      <c r="B361" s="517"/>
      <c r="C361" s="517"/>
      <c r="D361" s="517"/>
      <c r="E361" s="518"/>
      <c r="Q361" s="517"/>
      <c r="R361" s="517"/>
      <c r="S361" s="517"/>
      <c r="T361" s="517"/>
      <c r="U361" s="518"/>
    </row>
    <row r="362" spans="1:21">
      <c r="A362" s="517"/>
      <c r="B362" s="517"/>
      <c r="C362" s="517"/>
      <c r="D362" s="517"/>
      <c r="E362" s="518"/>
      <c r="Q362" s="517"/>
      <c r="R362" s="517"/>
      <c r="S362" s="517"/>
      <c r="T362" s="517"/>
      <c r="U362" s="518"/>
    </row>
    <row r="363" spans="1:21">
      <c r="A363" s="517"/>
      <c r="B363" s="517"/>
      <c r="C363" s="517"/>
      <c r="D363" s="517"/>
      <c r="E363" s="518"/>
      <c r="Q363" s="517"/>
      <c r="R363" s="517"/>
      <c r="S363" s="517"/>
      <c r="T363" s="517"/>
      <c r="U363" s="518"/>
    </row>
    <row r="364" spans="1:21">
      <c r="A364" s="517"/>
      <c r="B364" s="517"/>
      <c r="C364" s="517"/>
      <c r="D364" s="517"/>
      <c r="E364" s="518"/>
      <c r="Q364" s="517"/>
      <c r="R364" s="517"/>
      <c r="S364" s="517"/>
      <c r="T364" s="517"/>
      <c r="U364" s="518"/>
    </row>
    <row r="365" spans="1:21">
      <c r="A365" s="517"/>
      <c r="B365" s="517"/>
      <c r="C365" s="517"/>
      <c r="D365" s="517"/>
      <c r="E365" s="518"/>
      <c r="Q365" s="517"/>
      <c r="R365" s="517"/>
      <c r="S365" s="517"/>
      <c r="T365" s="517"/>
      <c r="U365" s="518"/>
    </row>
    <row r="366" spans="1:21">
      <c r="A366" s="517"/>
      <c r="B366" s="517"/>
      <c r="C366" s="517"/>
      <c r="D366" s="517"/>
      <c r="E366" s="518"/>
      <c r="Q366" s="517"/>
      <c r="R366" s="517"/>
      <c r="S366" s="517"/>
      <c r="T366" s="517"/>
      <c r="U366" s="518"/>
    </row>
    <row r="367" spans="1:21">
      <c r="A367" s="517"/>
      <c r="B367" s="517"/>
      <c r="C367" s="517"/>
      <c r="D367" s="517"/>
      <c r="E367" s="518"/>
      <c r="Q367" s="517"/>
      <c r="R367" s="517"/>
      <c r="S367" s="517"/>
      <c r="T367" s="517"/>
      <c r="U367" s="518"/>
    </row>
    <row r="368" spans="1:21">
      <c r="A368" s="517"/>
      <c r="B368" s="517"/>
      <c r="C368" s="517"/>
      <c r="D368" s="517"/>
      <c r="E368" s="518"/>
      <c r="Q368" s="517"/>
      <c r="R368" s="517"/>
      <c r="S368" s="517"/>
      <c r="T368" s="517"/>
      <c r="U368" s="518"/>
    </row>
    <row r="369" spans="1:21">
      <c r="A369" s="517"/>
      <c r="B369" s="517"/>
      <c r="C369" s="517"/>
      <c r="D369" s="517"/>
      <c r="E369" s="518"/>
      <c r="Q369" s="517"/>
      <c r="R369" s="517"/>
      <c r="S369" s="517"/>
      <c r="T369" s="517"/>
      <c r="U369" s="518"/>
    </row>
    <row r="370" spans="1:21">
      <c r="A370" s="517"/>
      <c r="B370" s="517"/>
      <c r="C370" s="517"/>
      <c r="D370" s="517"/>
      <c r="E370" s="518"/>
      <c r="Q370" s="517"/>
      <c r="R370" s="517"/>
      <c r="S370" s="517"/>
      <c r="T370" s="517"/>
      <c r="U370" s="518"/>
    </row>
    <row r="371" spans="1:21">
      <c r="A371" s="517"/>
      <c r="B371" s="517"/>
      <c r="C371" s="517"/>
      <c r="D371" s="517"/>
      <c r="E371" s="518"/>
      <c r="Q371" s="517"/>
      <c r="R371" s="517"/>
      <c r="S371" s="517"/>
      <c r="T371" s="517"/>
      <c r="U371" s="518"/>
    </row>
    <row r="372" spans="1:21">
      <c r="A372" s="517"/>
      <c r="B372" s="517"/>
      <c r="C372" s="517"/>
      <c r="D372" s="517"/>
      <c r="E372" s="518"/>
      <c r="Q372" s="517"/>
      <c r="R372" s="517"/>
      <c r="S372" s="517"/>
      <c r="T372" s="517"/>
      <c r="U372" s="518"/>
    </row>
    <row r="373" spans="1:21">
      <c r="A373" s="517"/>
      <c r="B373" s="517"/>
      <c r="C373" s="517"/>
      <c r="D373" s="517"/>
      <c r="E373" s="518"/>
      <c r="Q373" s="517"/>
      <c r="R373" s="517"/>
      <c r="S373" s="517"/>
      <c r="T373" s="517"/>
      <c r="U373" s="518"/>
    </row>
    <row r="374" spans="1:21">
      <c r="A374" s="517"/>
      <c r="B374" s="517"/>
      <c r="C374" s="517"/>
      <c r="D374" s="517"/>
      <c r="E374" s="518"/>
      <c r="Q374" s="517"/>
      <c r="R374" s="517"/>
      <c r="S374" s="517"/>
      <c r="T374" s="517"/>
      <c r="U374" s="518"/>
    </row>
    <row r="375" spans="1:21">
      <c r="A375" s="517"/>
      <c r="B375" s="517"/>
      <c r="C375" s="517"/>
      <c r="D375" s="517"/>
      <c r="E375" s="518"/>
      <c r="Q375" s="517"/>
      <c r="R375" s="517"/>
      <c r="S375" s="517"/>
      <c r="T375" s="517"/>
      <c r="U375" s="518"/>
    </row>
    <row r="376" spans="1:21">
      <c r="A376" s="517"/>
      <c r="B376" s="517"/>
      <c r="C376" s="517"/>
      <c r="D376" s="517"/>
      <c r="E376" s="518"/>
      <c r="Q376" s="517"/>
      <c r="R376" s="517"/>
      <c r="S376" s="517"/>
      <c r="T376" s="517"/>
      <c r="U376" s="518"/>
    </row>
    <row r="377" spans="1:21">
      <c r="A377" s="517"/>
      <c r="B377" s="517"/>
      <c r="C377" s="517"/>
      <c r="D377" s="517"/>
      <c r="E377" s="518"/>
      <c r="Q377" s="517"/>
      <c r="R377" s="517"/>
      <c r="S377" s="517"/>
      <c r="T377" s="517"/>
      <c r="U377" s="518"/>
    </row>
    <row r="378" spans="1:21">
      <c r="A378" s="517"/>
      <c r="B378" s="517"/>
      <c r="C378" s="517"/>
      <c r="D378" s="517"/>
      <c r="E378" s="518"/>
      <c r="Q378" s="517"/>
      <c r="R378" s="517"/>
      <c r="S378" s="517"/>
      <c r="T378" s="517"/>
      <c r="U378" s="518"/>
    </row>
    <row r="379" spans="1:21">
      <c r="A379" s="517"/>
      <c r="B379" s="517"/>
      <c r="C379" s="517"/>
      <c r="D379" s="517"/>
      <c r="E379" s="518"/>
      <c r="Q379" s="517"/>
      <c r="R379" s="517"/>
      <c r="S379" s="517"/>
      <c r="T379" s="517"/>
      <c r="U379" s="518"/>
    </row>
    <row r="380" spans="1:21">
      <c r="A380" s="517"/>
      <c r="B380" s="517"/>
      <c r="C380" s="517"/>
      <c r="D380" s="517"/>
      <c r="E380" s="518"/>
      <c r="Q380" s="517"/>
      <c r="R380" s="517"/>
      <c r="S380" s="517"/>
      <c r="T380" s="517"/>
      <c r="U380" s="518"/>
    </row>
    <row r="381" spans="1:21">
      <c r="A381" s="517"/>
      <c r="B381" s="517"/>
      <c r="C381" s="517"/>
      <c r="D381" s="517"/>
      <c r="E381" s="518"/>
      <c r="Q381" s="517"/>
      <c r="R381" s="517"/>
      <c r="S381" s="517"/>
      <c r="T381" s="517"/>
      <c r="U381" s="518"/>
    </row>
    <row r="382" spans="1:21">
      <c r="A382" s="517"/>
      <c r="B382" s="517"/>
      <c r="C382" s="517"/>
      <c r="D382" s="517"/>
      <c r="E382" s="518"/>
      <c r="Q382" s="517"/>
      <c r="R382" s="517"/>
      <c r="S382" s="517"/>
      <c r="T382" s="517"/>
      <c r="U382" s="518"/>
    </row>
    <row r="383" spans="1:21">
      <c r="A383" s="517"/>
      <c r="B383" s="517"/>
      <c r="C383" s="517"/>
      <c r="D383" s="517"/>
      <c r="E383" s="518"/>
      <c r="Q383" s="517"/>
      <c r="R383" s="517"/>
      <c r="S383" s="517"/>
      <c r="T383" s="517"/>
      <c r="U383" s="518"/>
    </row>
    <row r="384" spans="1:21">
      <c r="A384" s="517"/>
      <c r="B384" s="517"/>
      <c r="C384" s="517"/>
      <c r="D384" s="517"/>
      <c r="E384" s="518"/>
      <c r="Q384" s="517"/>
      <c r="R384" s="517"/>
      <c r="S384" s="517"/>
      <c r="T384" s="517"/>
      <c r="U384" s="518"/>
    </row>
    <row r="385" spans="1:21">
      <c r="A385" s="517"/>
      <c r="B385" s="517"/>
      <c r="C385" s="517"/>
      <c r="D385" s="517"/>
      <c r="E385" s="518"/>
      <c r="Q385" s="517"/>
      <c r="R385" s="517"/>
      <c r="S385" s="517"/>
      <c r="T385" s="517"/>
      <c r="U385" s="518"/>
    </row>
    <row r="386" spans="1:21">
      <c r="A386" s="517"/>
      <c r="B386" s="517"/>
      <c r="C386" s="517"/>
      <c r="D386" s="517"/>
      <c r="E386" s="518"/>
      <c r="Q386" s="517"/>
      <c r="R386" s="517"/>
      <c r="S386" s="517"/>
      <c r="T386" s="517"/>
      <c r="U386" s="518"/>
    </row>
    <row r="387" spans="1:21">
      <c r="A387" s="517"/>
      <c r="B387" s="517"/>
      <c r="C387" s="517"/>
      <c r="D387" s="517"/>
      <c r="E387" s="518"/>
      <c r="Q387" s="517"/>
      <c r="R387" s="517"/>
      <c r="S387" s="517"/>
      <c r="T387" s="517"/>
      <c r="U387" s="518"/>
    </row>
    <row r="388" spans="1:21">
      <c r="A388" s="517"/>
      <c r="B388" s="517"/>
      <c r="C388" s="517"/>
      <c r="D388" s="517"/>
      <c r="E388" s="518"/>
      <c r="Q388" s="517"/>
      <c r="R388" s="517"/>
      <c r="S388" s="517"/>
      <c r="T388" s="517"/>
      <c r="U388" s="518"/>
    </row>
    <row r="389" spans="1:21">
      <c r="A389" s="517"/>
      <c r="B389" s="517"/>
      <c r="C389" s="517"/>
      <c r="D389" s="517"/>
      <c r="E389" s="518"/>
      <c r="Q389" s="517"/>
      <c r="R389" s="517"/>
      <c r="S389" s="517"/>
      <c r="T389" s="517"/>
      <c r="U389" s="518"/>
    </row>
    <row r="390" spans="1:21">
      <c r="A390" s="517"/>
      <c r="B390" s="517"/>
      <c r="C390" s="517"/>
      <c r="D390" s="517"/>
      <c r="E390" s="518"/>
      <c r="Q390" s="517"/>
      <c r="R390" s="517"/>
      <c r="S390" s="517"/>
      <c r="T390" s="517"/>
      <c r="U390" s="518"/>
    </row>
    <row r="391" spans="1:21">
      <c r="A391" s="517"/>
      <c r="B391" s="517"/>
      <c r="C391" s="517"/>
      <c r="D391" s="517"/>
      <c r="E391" s="518"/>
      <c r="Q391" s="517"/>
      <c r="R391" s="517"/>
      <c r="S391" s="517"/>
      <c r="T391" s="517"/>
      <c r="U391" s="518"/>
    </row>
    <row r="392" spans="1:21">
      <c r="A392" s="517"/>
      <c r="B392" s="517"/>
      <c r="C392" s="517"/>
      <c r="D392" s="517"/>
      <c r="E392" s="518"/>
      <c r="Q392" s="517"/>
      <c r="R392" s="517"/>
      <c r="S392" s="517"/>
      <c r="T392" s="517"/>
      <c r="U392" s="518"/>
    </row>
    <row r="393" spans="1:21">
      <c r="A393" s="517"/>
      <c r="B393" s="517"/>
      <c r="C393" s="517"/>
      <c r="D393" s="517"/>
      <c r="E393" s="518"/>
      <c r="Q393" s="517"/>
      <c r="R393" s="517"/>
      <c r="S393" s="517"/>
      <c r="T393" s="517"/>
      <c r="U393" s="518"/>
    </row>
    <row r="394" spans="1:21">
      <c r="A394" s="517"/>
      <c r="B394" s="517"/>
      <c r="C394" s="517"/>
      <c r="D394" s="517"/>
      <c r="E394" s="518"/>
      <c r="Q394" s="517"/>
      <c r="R394" s="517"/>
      <c r="S394" s="517"/>
      <c r="T394" s="517"/>
      <c r="U394" s="518"/>
    </row>
    <row r="395" spans="1:21">
      <c r="A395" s="517"/>
      <c r="B395" s="517"/>
      <c r="C395" s="517"/>
      <c r="D395" s="517"/>
      <c r="E395" s="518"/>
      <c r="Q395" s="517"/>
      <c r="R395" s="517"/>
      <c r="S395" s="517"/>
      <c r="T395" s="517"/>
      <c r="U395" s="518"/>
    </row>
    <row r="396" spans="1:21">
      <c r="A396" s="517"/>
      <c r="B396" s="517"/>
      <c r="C396" s="517"/>
      <c r="D396" s="517"/>
      <c r="E396" s="518"/>
      <c r="Q396" s="517"/>
      <c r="R396" s="517"/>
      <c r="S396" s="517"/>
      <c r="T396" s="517"/>
      <c r="U396" s="518"/>
    </row>
    <row r="397" spans="1:21">
      <c r="A397" s="517"/>
      <c r="B397" s="517"/>
      <c r="C397" s="517"/>
      <c r="D397" s="517"/>
      <c r="E397" s="518"/>
      <c r="Q397" s="517"/>
      <c r="R397" s="517"/>
      <c r="S397" s="517"/>
      <c r="T397" s="517"/>
      <c r="U397" s="518"/>
    </row>
    <row r="398" spans="1:21">
      <c r="A398" s="517"/>
      <c r="B398" s="517"/>
      <c r="C398" s="517"/>
      <c r="D398" s="517"/>
      <c r="E398" s="518"/>
      <c r="Q398" s="517"/>
      <c r="R398" s="517"/>
      <c r="S398" s="517"/>
      <c r="T398" s="517"/>
      <c r="U398" s="518"/>
    </row>
    <row r="399" spans="1:21">
      <c r="A399" s="517"/>
      <c r="B399" s="517"/>
      <c r="C399" s="517"/>
      <c r="D399" s="517"/>
      <c r="E399" s="518"/>
      <c r="Q399" s="517"/>
      <c r="R399" s="517"/>
      <c r="S399" s="517"/>
      <c r="T399" s="517"/>
      <c r="U399" s="518"/>
    </row>
    <row r="400" spans="1:21">
      <c r="A400" s="517"/>
      <c r="B400" s="517"/>
      <c r="C400" s="517"/>
      <c r="D400" s="517"/>
      <c r="E400" s="518"/>
      <c r="Q400" s="517"/>
      <c r="R400" s="517"/>
      <c r="S400" s="517"/>
      <c r="T400" s="517"/>
      <c r="U400" s="518"/>
    </row>
    <row r="401" spans="1:21">
      <c r="A401" s="517"/>
      <c r="B401" s="517"/>
      <c r="C401" s="517"/>
      <c r="D401" s="517"/>
      <c r="E401" s="518"/>
      <c r="Q401" s="517"/>
      <c r="R401" s="517"/>
      <c r="S401" s="517"/>
      <c r="T401" s="517"/>
      <c r="U401" s="518"/>
    </row>
    <row r="402" spans="1:21">
      <c r="A402" s="517"/>
      <c r="B402" s="517"/>
      <c r="C402" s="517"/>
      <c r="D402" s="517"/>
      <c r="E402" s="518"/>
      <c r="Q402" s="517"/>
      <c r="R402" s="517"/>
      <c r="S402" s="517"/>
      <c r="T402" s="517"/>
      <c r="U402" s="518"/>
    </row>
    <row r="403" spans="1:21">
      <c r="A403" s="517"/>
      <c r="B403" s="517"/>
      <c r="C403" s="517"/>
      <c r="D403" s="517"/>
      <c r="E403" s="518"/>
      <c r="Q403" s="517"/>
      <c r="R403" s="517"/>
      <c r="S403" s="517"/>
      <c r="T403" s="517"/>
      <c r="U403" s="518"/>
    </row>
    <row r="404" spans="1:21">
      <c r="A404" s="517"/>
      <c r="B404" s="517"/>
      <c r="C404" s="517"/>
      <c r="D404" s="517"/>
      <c r="E404" s="518"/>
      <c r="Q404" s="517"/>
      <c r="R404" s="517"/>
      <c r="S404" s="517"/>
      <c r="T404" s="517"/>
      <c r="U404" s="518"/>
    </row>
    <row r="405" spans="1:21">
      <c r="A405" s="517"/>
      <c r="B405" s="517"/>
      <c r="C405" s="517"/>
      <c r="D405" s="517"/>
      <c r="E405" s="518"/>
      <c r="Q405" s="517"/>
      <c r="R405" s="517"/>
      <c r="S405" s="517"/>
      <c r="T405" s="517"/>
      <c r="U405" s="518"/>
    </row>
    <row r="406" spans="1:21">
      <c r="A406" s="517"/>
      <c r="B406" s="517"/>
      <c r="C406" s="517"/>
      <c r="D406" s="517"/>
      <c r="E406" s="518"/>
      <c r="Q406" s="517"/>
      <c r="R406" s="517"/>
      <c r="S406" s="517"/>
      <c r="T406" s="517"/>
      <c r="U406" s="518"/>
    </row>
    <row r="407" spans="1:21">
      <c r="A407" s="517"/>
      <c r="B407" s="517"/>
      <c r="C407" s="517"/>
      <c r="D407" s="517"/>
      <c r="E407" s="518"/>
      <c r="Q407" s="517"/>
      <c r="R407" s="517"/>
      <c r="S407" s="517"/>
      <c r="T407" s="517"/>
      <c r="U407" s="518"/>
    </row>
    <row r="408" spans="1:21">
      <c r="A408" s="517"/>
      <c r="B408" s="517"/>
      <c r="C408" s="517"/>
      <c r="D408" s="517"/>
      <c r="E408" s="518"/>
      <c r="Q408" s="517"/>
      <c r="R408" s="517"/>
      <c r="S408" s="517"/>
      <c r="T408" s="517"/>
      <c r="U408" s="518"/>
    </row>
    <row r="409" spans="1:21">
      <c r="A409" s="517"/>
      <c r="B409" s="517"/>
      <c r="C409" s="517"/>
      <c r="D409" s="517"/>
      <c r="E409" s="518"/>
      <c r="Q409" s="517"/>
      <c r="R409" s="517"/>
      <c r="S409" s="517"/>
      <c r="T409" s="517"/>
      <c r="U409" s="518"/>
    </row>
    <row r="410" spans="1:21">
      <c r="A410" s="517"/>
      <c r="B410" s="517"/>
      <c r="C410" s="517"/>
      <c r="D410" s="517"/>
      <c r="E410" s="518"/>
      <c r="Q410" s="517"/>
      <c r="R410" s="517"/>
      <c r="S410" s="517"/>
      <c r="T410" s="517"/>
      <c r="U410" s="518"/>
    </row>
    <row r="411" spans="1:21">
      <c r="A411" s="517"/>
      <c r="B411" s="517"/>
      <c r="C411" s="517"/>
      <c r="D411" s="517"/>
      <c r="E411" s="518"/>
      <c r="Q411" s="517"/>
      <c r="R411" s="517"/>
      <c r="S411" s="517"/>
      <c r="T411" s="517"/>
      <c r="U411" s="518"/>
    </row>
    <row r="412" spans="1:21">
      <c r="A412" s="517"/>
      <c r="B412" s="517"/>
      <c r="C412" s="517"/>
      <c r="D412" s="517"/>
      <c r="E412" s="518"/>
      <c r="Q412" s="517"/>
      <c r="R412" s="517"/>
      <c r="S412" s="517"/>
      <c r="T412" s="517"/>
      <c r="U412" s="518"/>
    </row>
    <row r="413" spans="1:21">
      <c r="A413" s="517"/>
      <c r="B413" s="517"/>
      <c r="C413" s="517"/>
      <c r="D413" s="517"/>
      <c r="E413" s="518"/>
      <c r="Q413" s="517"/>
      <c r="R413" s="517"/>
      <c r="S413" s="517"/>
      <c r="T413" s="517"/>
      <c r="U413" s="518"/>
    </row>
    <row r="414" spans="1:21">
      <c r="A414" s="517"/>
      <c r="B414" s="517"/>
      <c r="C414" s="517"/>
      <c r="D414" s="517"/>
      <c r="E414" s="518"/>
      <c r="Q414" s="517"/>
      <c r="R414" s="517"/>
      <c r="S414" s="517"/>
      <c r="T414" s="517"/>
      <c r="U414" s="518"/>
    </row>
    <row r="415" spans="1:21">
      <c r="A415" s="517"/>
      <c r="B415" s="517"/>
      <c r="C415" s="517"/>
      <c r="D415" s="517"/>
      <c r="E415" s="518"/>
      <c r="Q415" s="517"/>
      <c r="R415" s="517"/>
      <c r="S415" s="517"/>
      <c r="T415" s="517"/>
      <c r="U415" s="518"/>
    </row>
    <row r="416" spans="1:21">
      <c r="A416" s="517"/>
      <c r="B416" s="517"/>
      <c r="C416" s="517"/>
      <c r="D416" s="517"/>
      <c r="E416" s="518"/>
      <c r="Q416" s="517"/>
      <c r="R416" s="517"/>
      <c r="S416" s="517"/>
      <c r="T416" s="517"/>
      <c r="U416" s="518"/>
    </row>
    <row r="417" spans="1:21">
      <c r="A417" s="517"/>
      <c r="B417" s="517"/>
      <c r="C417" s="517"/>
      <c r="D417" s="517"/>
      <c r="E417" s="518"/>
      <c r="Q417" s="517"/>
      <c r="R417" s="517"/>
      <c r="S417" s="517"/>
      <c r="T417" s="517"/>
      <c r="U417" s="518"/>
    </row>
    <row r="418" spans="1:21">
      <c r="A418" s="517"/>
      <c r="B418" s="517"/>
      <c r="C418" s="517"/>
      <c r="D418" s="517"/>
      <c r="E418" s="518"/>
      <c r="Q418" s="517"/>
      <c r="R418" s="517"/>
      <c r="S418" s="517"/>
      <c r="T418" s="517"/>
      <c r="U418" s="518"/>
    </row>
    <row r="419" spans="1:21">
      <c r="A419" s="517"/>
      <c r="B419" s="517"/>
      <c r="C419" s="517"/>
      <c r="D419" s="517"/>
      <c r="E419" s="518"/>
      <c r="Q419" s="517"/>
      <c r="R419" s="517"/>
      <c r="S419" s="517"/>
      <c r="T419" s="517"/>
      <c r="U419" s="518"/>
    </row>
    <row r="420" spans="1:21">
      <c r="A420" s="517"/>
      <c r="B420" s="517"/>
      <c r="C420" s="517"/>
      <c r="D420" s="517"/>
      <c r="E420" s="518"/>
      <c r="Q420" s="517"/>
      <c r="R420" s="517"/>
      <c r="S420" s="517"/>
      <c r="T420" s="517"/>
      <c r="U420" s="518"/>
    </row>
    <row r="421" spans="1:21">
      <c r="A421" s="517"/>
      <c r="B421" s="517"/>
      <c r="C421" s="517"/>
      <c r="D421" s="517"/>
      <c r="E421" s="518"/>
      <c r="Q421" s="517"/>
      <c r="R421" s="517"/>
      <c r="S421" s="517"/>
      <c r="T421" s="517"/>
      <c r="U421" s="518"/>
    </row>
    <row r="422" spans="1:21">
      <c r="A422" s="517"/>
      <c r="B422" s="517"/>
      <c r="C422" s="517"/>
      <c r="D422" s="517"/>
      <c r="E422" s="518"/>
      <c r="Q422" s="517"/>
      <c r="R422" s="517"/>
      <c r="S422" s="517"/>
      <c r="T422" s="517"/>
      <c r="U422" s="518"/>
    </row>
    <row r="423" spans="1:21">
      <c r="A423" s="517"/>
      <c r="B423" s="517"/>
      <c r="C423" s="517"/>
      <c r="D423" s="517"/>
      <c r="E423" s="518"/>
      <c r="Q423" s="517"/>
      <c r="R423" s="517"/>
      <c r="S423" s="517"/>
      <c r="T423" s="517"/>
      <c r="U423" s="518"/>
    </row>
    <row r="424" spans="1:21">
      <c r="A424" s="517"/>
      <c r="B424" s="517"/>
      <c r="C424" s="517"/>
      <c r="D424" s="517"/>
      <c r="E424" s="518"/>
      <c r="Q424" s="517"/>
      <c r="R424" s="517"/>
      <c r="S424" s="517"/>
      <c r="T424" s="517"/>
      <c r="U424" s="518"/>
    </row>
    <row r="425" spans="1:21">
      <c r="A425" s="517"/>
      <c r="B425" s="517"/>
      <c r="C425" s="517"/>
      <c r="D425" s="517"/>
      <c r="E425" s="518"/>
      <c r="Q425" s="517"/>
      <c r="R425" s="517"/>
      <c r="S425" s="517"/>
      <c r="T425" s="517"/>
      <c r="U425" s="518"/>
    </row>
    <row r="426" spans="1:21">
      <c r="A426" s="517"/>
      <c r="B426" s="517"/>
      <c r="C426" s="517"/>
      <c r="D426" s="517"/>
      <c r="E426" s="518"/>
      <c r="Q426" s="517"/>
      <c r="R426" s="517"/>
      <c r="S426" s="517"/>
      <c r="T426" s="517"/>
      <c r="U426" s="518"/>
    </row>
    <row r="427" spans="1:21">
      <c r="A427" s="517"/>
      <c r="B427" s="517"/>
      <c r="C427" s="517"/>
      <c r="D427" s="517"/>
      <c r="E427" s="518"/>
      <c r="Q427" s="517"/>
      <c r="R427" s="517"/>
      <c r="S427" s="517"/>
      <c r="T427" s="517"/>
      <c r="U427" s="518"/>
    </row>
    <row r="428" spans="1:21">
      <c r="A428" s="517"/>
      <c r="B428" s="517"/>
      <c r="C428" s="517"/>
      <c r="D428" s="517"/>
      <c r="E428" s="518"/>
      <c r="Q428" s="517"/>
      <c r="R428" s="517"/>
      <c r="S428" s="517"/>
      <c r="T428" s="517"/>
      <c r="U428" s="518"/>
    </row>
    <row r="429" spans="1:21">
      <c r="A429" s="517"/>
      <c r="B429" s="517"/>
      <c r="C429" s="517"/>
      <c r="D429" s="517"/>
      <c r="E429" s="518"/>
      <c r="Q429" s="517"/>
      <c r="R429" s="517"/>
      <c r="S429" s="517"/>
      <c r="T429" s="517"/>
      <c r="U429" s="518"/>
    </row>
    <row r="430" spans="1:21">
      <c r="A430" s="517"/>
      <c r="B430" s="517"/>
      <c r="C430" s="517"/>
      <c r="D430" s="517"/>
      <c r="E430" s="518"/>
      <c r="Q430" s="517"/>
      <c r="R430" s="517"/>
      <c r="S430" s="517"/>
      <c r="T430" s="517"/>
      <c r="U430" s="518"/>
    </row>
    <row r="431" spans="1:21">
      <c r="A431" s="517"/>
      <c r="B431" s="517"/>
      <c r="C431" s="517"/>
      <c r="D431" s="517"/>
      <c r="E431" s="518"/>
      <c r="Q431" s="517"/>
      <c r="R431" s="517"/>
      <c r="S431" s="517"/>
      <c r="T431" s="517"/>
      <c r="U431" s="518"/>
    </row>
    <row r="432" spans="1:21">
      <c r="A432" s="517"/>
      <c r="B432" s="517"/>
      <c r="C432" s="517"/>
      <c r="D432" s="517"/>
      <c r="E432" s="518"/>
      <c r="Q432" s="517"/>
      <c r="R432" s="517"/>
      <c r="S432" s="517"/>
      <c r="T432" s="517"/>
      <c r="U432" s="518"/>
    </row>
    <row r="433" spans="1:21">
      <c r="A433" s="517"/>
      <c r="B433" s="517"/>
      <c r="C433" s="517"/>
      <c r="D433" s="517"/>
      <c r="E433" s="518"/>
      <c r="Q433" s="517"/>
      <c r="R433" s="517"/>
      <c r="S433" s="517"/>
      <c r="T433" s="517"/>
      <c r="U433" s="518"/>
    </row>
    <row r="434" spans="1:21">
      <c r="A434" s="517"/>
      <c r="B434" s="517"/>
      <c r="C434" s="517"/>
      <c r="D434" s="517"/>
      <c r="E434" s="518"/>
      <c r="Q434" s="517"/>
      <c r="R434" s="517"/>
      <c r="S434" s="517"/>
      <c r="T434" s="517"/>
      <c r="U434" s="518"/>
    </row>
    <row r="435" spans="1:21">
      <c r="A435" s="517"/>
      <c r="B435" s="517"/>
      <c r="C435" s="517"/>
      <c r="D435" s="517"/>
      <c r="E435" s="518"/>
      <c r="Q435" s="517"/>
      <c r="R435" s="517"/>
      <c r="S435" s="517"/>
      <c r="T435" s="517"/>
      <c r="U435" s="518"/>
    </row>
    <row r="436" spans="1:21">
      <c r="A436" s="517"/>
      <c r="B436" s="517"/>
      <c r="C436" s="517"/>
      <c r="D436" s="517"/>
      <c r="E436" s="518"/>
      <c r="Q436" s="517"/>
      <c r="R436" s="517"/>
      <c r="S436" s="517"/>
      <c r="T436" s="517"/>
      <c r="U436" s="518"/>
    </row>
    <row r="437" spans="1:21">
      <c r="A437" s="517"/>
      <c r="B437" s="517"/>
      <c r="C437" s="517"/>
      <c r="D437" s="517"/>
      <c r="E437" s="518"/>
      <c r="Q437" s="517"/>
      <c r="R437" s="517"/>
      <c r="S437" s="517"/>
      <c r="T437" s="517"/>
      <c r="U437" s="518"/>
    </row>
    <row r="438" spans="1:21">
      <c r="A438" s="517"/>
      <c r="B438" s="517"/>
      <c r="C438" s="517"/>
      <c r="D438" s="517"/>
      <c r="E438" s="518"/>
      <c r="Q438" s="517"/>
      <c r="R438" s="517"/>
      <c r="S438" s="517"/>
      <c r="T438" s="517"/>
      <c r="U438" s="518"/>
    </row>
    <row r="439" spans="1:21">
      <c r="A439" s="517"/>
      <c r="B439" s="517"/>
      <c r="C439" s="517"/>
      <c r="D439" s="517"/>
      <c r="E439" s="518"/>
      <c r="Q439" s="517"/>
      <c r="R439" s="517"/>
      <c r="S439" s="517"/>
      <c r="T439" s="517"/>
      <c r="U439" s="518"/>
    </row>
    <row r="440" spans="1:21">
      <c r="A440" s="517"/>
      <c r="B440" s="517"/>
      <c r="C440" s="517"/>
      <c r="D440" s="517"/>
      <c r="E440" s="518"/>
      <c r="Q440" s="517"/>
      <c r="R440" s="517"/>
      <c r="S440" s="517"/>
      <c r="T440" s="517"/>
      <c r="U440" s="518"/>
    </row>
    <row r="441" spans="1:21">
      <c r="A441" s="517"/>
      <c r="B441" s="517"/>
      <c r="C441" s="517"/>
      <c r="D441" s="517"/>
      <c r="E441" s="518"/>
      <c r="Q441" s="517"/>
      <c r="R441" s="517"/>
      <c r="S441" s="517"/>
      <c r="T441" s="517"/>
      <c r="U441" s="518"/>
    </row>
    <row r="442" spans="1:21">
      <c r="A442" s="517"/>
      <c r="B442" s="517"/>
      <c r="C442" s="517"/>
      <c r="D442" s="517"/>
      <c r="E442" s="518"/>
      <c r="Q442" s="517"/>
      <c r="R442" s="517"/>
      <c r="S442" s="517"/>
      <c r="T442" s="517"/>
      <c r="U442" s="518"/>
    </row>
    <row r="443" spans="1:21">
      <c r="A443" s="517"/>
      <c r="B443" s="517"/>
      <c r="C443" s="517"/>
      <c r="D443" s="517"/>
      <c r="E443" s="518"/>
      <c r="Q443" s="517"/>
      <c r="R443" s="517"/>
      <c r="S443" s="517"/>
      <c r="T443" s="517"/>
      <c r="U443" s="518"/>
    </row>
    <row r="444" spans="1:21">
      <c r="A444" s="517"/>
      <c r="B444" s="517"/>
      <c r="C444" s="517"/>
      <c r="D444" s="517"/>
      <c r="E444" s="518"/>
      <c r="Q444" s="517"/>
      <c r="R444" s="517"/>
      <c r="S444" s="517"/>
      <c r="T444" s="517"/>
      <c r="U444" s="518"/>
    </row>
    <row r="445" spans="1:21">
      <c r="A445" s="517"/>
      <c r="B445" s="517"/>
      <c r="C445" s="517"/>
      <c r="D445" s="517"/>
      <c r="E445" s="518"/>
      <c r="Q445" s="517"/>
      <c r="R445" s="517"/>
      <c r="S445" s="517"/>
      <c r="T445" s="517"/>
      <c r="U445" s="518"/>
    </row>
    <row r="446" spans="1:21">
      <c r="A446" s="517"/>
      <c r="B446" s="517"/>
      <c r="C446" s="517"/>
      <c r="D446" s="517"/>
      <c r="E446" s="518"/>
      <c r="Q446" s="517"/>
      <c r="R446" s="517"/>
      <c r="S446" s="517"/>
      <c r="T446" s="517"/>
      <c r="U446" s="518"/>
    </row>
    <row r="447" spans="1:21">
      <c r="A447" s="517"/>
      <c r="B447" s="517"/>
      <c r="C447" s="517"/>
      <c r="D447" s="517"/>
      <c r="E447" s="518"/>
      <c r="Q447" s="517"/>
      <c r="R447" s="517"/>
      <c r="S447" s="517"/>
      <c r="T447" s="517"/>
      <c r="U447" s="518"/>
    </row>
    <row r="448" spans="1:21">
      <c r="A448" s="517"/>
      <c r="B448" s="517"/>
      <c r="C448" s="517"/>
      <c r="D448" s="517"/>
      <c r="E448" s="518"/>
      <c r="Q448" s="517"/>
      <c r="R448" s="517"/>
      <c r="S448" s="517"/>
      <c r="T448" s="517"/>
      <c r="U448" s="518"/>
    </row>
    <row r="449" spans="1:21">
      <c r="A449" s="517"/>
      <c r="B449" s="517"/>
      <c r="C449" s="517"/>
      <c r="D449" s="517"/>
      <c r="E449" s="518"/>
      <c r="Q449" s="517"/>
      <c r="R449" s="517"/>
      <c r="S449" s="517"/>
      <c r="T449" s="517"/>
      <c r="U449" s="518"/>
    </row>
    <row r="450" spans="1:21">
      <c r="A450" s="517"/>
      <c r="B450" s="517"/>
      <c r="C450" s="517"/>
      <c r="D450" s="517"/>
      <c r="E450" s="518"/>
      <c r="Q450" s="517"/>
      <c r="R450" s="517"/>
      <c r="S450" s="517"/>
      <c r="T450" s="517"/>
      <c r="U450" s="518"/>
    </row>
    <row r="451" spans="1:21">
      <c r="A451" s="517"/>
      <c r="B451" s="517"/>
      <c r="C451" s="517"/>
      <c r="D451" s="517"/>
      <c r="E451" s="518"/>
      <c r="Q451" s="517"/>
      <c r="R451" s="517"/>
      <c r="S451" s="517"/>
      <c r="T451" s="517"/>
      <c r="U451" s="518"/>
    </row>
    <row r="452" spans="1:21">
      <c r="A452" s="517"/>
      <c r="B452" s="517"/>
      <c r="C452" s="517"/>
      <c r="D452" s="517"/>
      <c r="E452" s="518"/>
      <c r="Q452" s="517"/>
      <c r="R452" s="517"/>
      <c r="S452" s="517"/>
      <c r="T452" s="517"/>
      <c r="U452" s="518"/>
    </row>
    <row r="453" spans="1:21">
      <c r="A453" s="517"/>
      <c r="B453" s="517"/>
      <c r="C453" s="517"/>
      <c r="D453" s="517"/>
      <c r="E453" s="518"/>
      <c r="Q453" s="517"/>
      <c r="R453" s="517"/>
      <c r="S453" s="517"/>
      <c r="T453" s="517"/>
      <c r="U453" s="518"/>
    </row>
    <row r="454" spans="1:21">
      <c r="A454" s="517"/>
      <c r="B454" s="517"/>
      <c r="C454" s="517"/>
      <c r="D454" s="517"/>
      <c r="E454" s="518"/>
      <c r="Q454" s="517"/>
      <c r="R454" s="517"/>
      <c r="S454" s="517"/>
      <c r="T454" s="517"/>
      <c r="U454" s="518"/>
    </row>
    <row r="455" spans="1:21">
      <c r="A455" s="517"/>
      <c r="B455" s="517"/>
      <c r="C455" s="517"/>
      <c r="D455" s="517"/>
      <c r="E455" s="518"/>
      <c r="Q455" s="517"/>
      <c r="R455" s="517"/>
      <c r="S455" s="517"/>
      <c r="T455" s="517"/>
      <c r="U455" s="518"/>
    </row>
    <row r="456" spans="1:21">
      <c r="A456" s="517"/>
      <c r="B456" s="517"/>
      <c r="C456" s="517"/>
      <c r="D456" s="517"/>
      <c r="E456" s="518"/>
      <c r="Q456" s="517"/>
      <c r="R456" s="517"/>
      <c r="S456" s="517"/>
      <c r="T456" s="517"/>
      <c r="U456" s="518"/>
    </row>
    <row r="457" spans="1:21">
      <c r="A457" s="517"/>
      <c r="B457" s="517"/>
      <c r="C457" s="517"/>
      <c r="D457" s="517"/>
      <c r="E457" s="518"/>
      <c r="Q457" s="517"/>
      <c r="R457" s="517"/>
      <c r="S457" s="517"/>
      <c r="T457" s="517"/>
      <c r="U457" s="518"/>
    </row>
    <row r="458" spans="1:21">
      <c r="A458" s="517"/>
      <c r="B458" s="517"/>
      <c r="C458" s="517"/>
      <c r="D458" s="517"/>
      <c r="E458" s="518"/>
      <c r="Q458" s="517"/>
      <c r="R458" s="517"/>
      <c r="S458" s="517"/>
      <c r="T458" s="517"/>
      <c r="U458" s="518"/>
    </row>
    <row r="459" spans="1:21">
      <c r="A459" s="517"/>
      <c r="B459" s="517"/>
      <c r="C459" s="517"/>
      <c r="D459" s="517"/>
      <c r="E459" s="518"/>
      <c r="Q459" s="517"/>
      <c r="R459" s="517"/>
      <c r="S459" s="517"/>
      <c r="T459" s="517"/>
      <c r="U459" s="518"/>
    </row>
    <row r="460" spans="1:21">
      <c r="A460" s="517"/>
      <c r="B460" s="517"/>
      <c r="C460" s="517"/>
      <c r="D460" s="517"/>
      <c r="E460" s="518"/>
      <c r="Q460" s="517"/>
      <c r="R460" s="517"/>
      <c r="S460" s="517"/>
      <c r="T460" s="517"/>
      <c r="U460" s="518"/>
    </row>
    <row r="461" spans="1:21">
      <c r="A461" s="517"/>
      <c r="B461" s="517"/>
      <c r="C461" s="517"/>
      <c r="D461" s="517"/>
      <c r="E461" s="518"/>
      <c r="Q461" s="517"/>
      <c r="R461" s="517"/>
      <c r="S461" s="517"/>
      <c r="T461" s="517"/>
      <c r="U461" s="518"/>
    </row>
    <row r="462" spans="1:21">
      <c r="A462" s="517"/>
      <c r="B462" s="517"/>
      <c r="C462" s="517"/>
      <c r="D462" s="517"/>
      <c r="E462" s="518"/>
      <c r="Q462" s="517"/>
      <c r="R462" s="517"/>
      <c r="S462" s="517"/>
      <c r="T462" s="517"/>
      <c r="U462" s="518"/>
    </row>
    <row r="463" spans="1:21">
      <c r="A463" s="517"/>
      <c r="B463" s="517"/>
      <c r="C463" s="517"/>
      <c r="D463" s="517"/>
      <c r="E463" s="518"/>
      <c r="Q463" s="517"/>
      <c r="R463" s="517"/>
      <c r="S463" s="517"/>
      <c r="T463" s="517"/>
      <c r="U463" s="518"/>
    </row>
    <row r="464" spans="1:21">
      <c r="A464" s="517"/>
      <c r="B464" s="517"/>
      <c r="C464" s="517"/>
      <c r="D464" s="517"/>
      <c r="E464" s="518"/>
      <c r="Q464" s="517"/>
      <c r="R464" s="517"/>
      <c r="S464" s="517"/>
      <c r="T464" s="517"/>
      <c r="U464" s="518"/>
    </row>
    <row r="465" spans="1:21">
      <c r="A465" s="517"/>
      <c r="B465" s="517"/>
      <c r="C465" s="517"/>
      <c r="D465" s="517"/>
      <c r="E465" s="518"/>
      <c r="Q465" s="517"/>
      <c r="R465" s="517"/>
      <c r="S465" s="517"/>
      <c r="T465" s="517"/>
      <c r="U465" s="518"/>
    </row>
    <row r="466" spans="1:21">
      <c r="A466" s="517"/>
      <c r="B466" s="517"/>
      <c r="C466" s="517"/>
      <c r="D466" s="517"/>
      <c r="E466" s="518"/>
      <c r="Q466" s="517"/>
      <c r="R466" s="517"/>
      <c r="S466" s="517"/>
      <c r="T466" s="517"/>
      <c r="U466" s="518"/>
    </row>
    <row r="467" spans="1:21">
      <c r="A467" s="517"/>
      <c r="B467" s="517"/>
      <c r="C467" s="517"/>
      <c r="D467" s="517"/>
      <c r="E467" s="518"/>
      <c r="Q467" s="517"/>
      <c r="R467" s="517"/>
      <c r="S467" s="517"/>
      <c r="T467" s="517"/>
      <c r="U467" s="518"/>
    </row>
    <row r="468" spans="1:21">
      <c r="A468" s="517"/>
      <c r="B468" s="517"/>
      <c r="C468" s="517"/>
      <c r="D468" s="517"/>
      <c r="E468" s="518"/>
      <c r="Q468" s="517"/>
      <c r="R468" s="517"/>
      <c r="S468" s="517"/>
      <c r="T468" s="517"/>
      <c r="U468" s="518"/>
    </row>
    <row r="469" spans="1:21">
      <c r="A469" s="517"/>
      <c r="B469" s="517"/>
      <c r="C469" s="517"/>
      <c r="D469" s="517"/>
      <c r="E469" s="518"/>
      <c r="Q469" s="517"/>
      <c r="R469" s="517"/>
      <c r="S469" s="517"/>
      <c r="T469" s="517"/>
      <c r="U469" s="518"/>
    </row>
    <row r="470" spans="1:21">
      <c r="A470" s="517"/>
      <c r="B470" s="517"/>
      <c r="C470" s="517"/>
      <c r="D470" s="517"/>
      <c r="E470" s="518"/>
      <c r="Q470" s="517"/>
      <c r="R470" s="517"/>
      <c r="S470" s="517"/>
      <c r="T470" s="517"/>
      <c r="U470" s="518"/>
    </row>
    <row r="471" spans="1:21">
      <c r="A471" s="517"/>
      <c r="B471" s="517"/>
      <c r="C471" s="517"/>
      <c r="D471" s="517"/>
      <c r="E471" s="518"/>
      <c r="Q471" s="517"/>
      <c r="R471" s="517"/>
      <c r="S471" s="517"/>
      <c r="T471" s="517"/>
      <c r="U471" s="518"/>
    </row>
    <row r="472" spans="1:21">
      <c r="A472" s="517"/>
      <c r="B472" s="517"/>
      <c r="C472" s="517"/>
      <c r="D472" s="517"/>
      <c r="E472" s="518"/>
      <c r="Q472" s="517"/>
      <c r="R472" s="517"/>
      <c r="S472" s="517"/>
      <c r="T472" s="517"/>
      <c r="U472" s="518"/>
    </row>
    <row r="473" spans="1:21">
      <c r="A473" s="517"/>
      <c r="B473" s="517"/>
      <c r="C473" s="517"/>
      <c r="D473" s="517"/>
      <c r="E473" s="518"/>
      <c r="Q473" s="517"/>
      <c r="R473" s="517"/>
      <c r="S473" s="517"/>
      <c r="T473" s="517"/>
      <c r="U473" s="518"/>
    </row>
    <row r="474" spans="1:21">
      <c r="A474" s="517"/>
      <c r="B474" s="517"/>
      <c r="C474" s="517"/>
      <c r="D474" s="517"/>
      <c r="E474" s="518"/>
      <c r="Q474" s="517"/>
      <c r="R474" s="517"/>
      <c r="S474" s="517"/>
      <c r="T474" s="517"/>
      <c r="U474" s="518"/>
    </row>
    <row r="475" spans="1:21">
      <c r="A475" s="517"/>
      <c r="B475" s="517"/>
      <c r="C475" s="517"/>
      <c r="D475" s="517"/>
      <c r="E475" s="518"/>
      <c r="Q475" s="517"/>
      <c r="R475" s="517"/>
      <c r="S475" s="517"/>
      <c r="T475" s="517"/>
      <c r="U475" s="518"/>
    </row>
    <row r="476" spans="1:21">
      <c r="A476" s="517"/>
      <c r="B476" s="517"/>
      <c r="C476" s="517"/>
      <c r="D476" s="517"/>
      <c r="E476" s="518"/>
      <c r="Q476" s="517"/>
      <c r="R476" s="517"/>
      <c r="S476" s="517"/>
      <c r="T476" s="517"/>
      <c r="U476" s="518"/>
    </row>
    <row r="477" spans="1:21">
      <c r="A477" s="517"/>
      <c r="B477" s="517"/>
      <c r="C477" s="517"/>
      <c r="D477" s="517"/>
      <c r="E477" s="518"/>
      <c r="Q477" s="517"/>
      <c r="R477" s="517"/>
      <c r="S477" s="517"/>
      <c r="T477" s="517"/>
      <c r="U477" s="518"/>
    </row>
    <row r="478" spans="1:21">
      <c r="A478" s="517"/>
      <c r="B478" s="517"/>
      <c r="C478" s="517"/>
      <c r="D478" s="517"/>
      <c r="E478" s="518"/>
      <c r="Q478" s="517"/>
      <c r="R478" s="517"/>
      <c r="S478" s="517"/>
      <c r="T478" s="517"/>
      <c r="U478" s="518"/>
    </row>
    <row r="479" spans="1:21">
      <c r="A479" s="517"/>
      <c r="B479" s="517"/>
      <c r="C479" s="517"/>
      <c r="D479" s="517"/>
      <c r="E479" s="518"/>
      <c r="Q479" s="517"/>
      <c r="R479" s="517"/>
      <c r="S479" s="517"/>
      <c r="T479" s="517"/>
      <c r="U479" s="518"/>
    </row>
    <row r="480" spans="1:21">
      <c r="A480" s="517"/>
      <c r="B480" s="517"/>
      <c r="C480" s="517"/>
      <c r="D480" s="517"/>
      <c r="E480" s="518"/>
      <c r="Q480" s="517"/>
      <c r="R480" s="517"/>
      <c r="S480" s="517"/>
      <c r="T480" s="517"/>
      <c r="U480" s="518"/>
    </row>
    <row r="481" spans="1:21">
      <c r="A481" s="517"/>
      <c r="B481" s="517"/>
      <c r="C481" s="517"/>
      <c r="D481" s="517"/>
      <c r="E481" s="518"/>
      <c r="Q481" s="517"/>
      <c r="R481" s="517"/>
      <c r="S481" s="517"/>
      <c r="T481" s="517"/>
      <c r="U481" s="518"/>
    </row>
    <row r="482" spans="1:21">
      <c r="A482" s="517"/>
      <c r="B482" s="517"/>
      <c r="C482" s="517"/>
      <c r="D482" s="517"/>
      <c r="E482" s="518"/>
      <c r="Q482" s="517"/>
      <c r="R482" s="517"/>
      <c r="S482" s="517"/>
      <c r="T482" s="517"/>
      <c r="U482" s="518"/>
    </row>
    <row r="483" spans="1:21">
      <c r="A483" s="517"/>
      <c r="B483" s="517"/>
      <c r="C483" s="517"/>
      <c r="D483" s="517"/>
      <c r="E483" s="518"/>
      <c r="Q483" s="517"/>
      <c r="R483" s="517"/>
      <c r="S483" s="517"/>
      <c r="T483" s="517"/>
      <c r="U483" s="518"/>
    </row>
    <row r="484" spans="1:21">
      <c r="A484" s="517"/>
      <c r="B484" s="517"/>
      <c r="C484" s="517"/>
      <c r="D484" s="517"/>
      <c r="E484" s="518"/>
      <c r="Q484" s="517"/>
      <c r="R484" s="517"/>
      <c r="S484" s="517"/>
      <c r="T484" s="517"/>
      <c r="U484" s="518"/>
    </row>
    <row r="485" spans="1:21">
      <c r="A485" s="517"/>
      <c r="B485" s="517"/>
      <c r="C485" s="517"/>
      <c r="D485" s="517"/>
      <c r="E485" s="518"/>
      <c r="Q485" s="517"/>
      <c r="R485" s="517"/>
      <c r="S485" s="517"/>
      <c r="T485" s="517"/>
      <c r="U485" s="518"/>
    </row>
    <row r="486" spans="1:21">
      <c r="A486" s="517"/>
      <c r="B486" s="517"/>
      <c r="C486" s="517"/>
      <c r="D486" s="517"/>
      <c r="E486" s="518"/>
      <c r="Q486" s="517"/>
      <c r="R486" s="517"/>
      <c r="S486" s="517"/>
      <c r="T486" s="517"/>
      <c r="U486" s="518"/>
    </row>
    <row r="487" spans="1:21">
      <c r="A487" s="517"/>
      <c r="B487" s="517"/>
      <c r="C487" s="517"/>
      <c r="D487" s="517"/>
      <c r="E487" s="518"/>
      <c r="Q487" s="517"/>
      <c r="R487" s="517"/>
      <c r="S487" s="517"/>
      <c r="T487" s="517"/>
      <c r="U487" s="518"/>
    </row>
    <row r="488" spans="1:21">
      <c r="A488" s="517"/>
      <c r="B488" s="517"/>
      <c r="C488" s="517"/>
      <c r="D488" s="517"/>
      <c r="E488" s="518"/>
      <c r="Q488" s="517"/>
      <c r="R488" s="517"/>
      <c r="S488" s="517"/>
      <c r="T488" s="517"/>
      <c r="U488" s="518"/>
    </row>
    <row r="489" spans="1:21">
      <c r="A489" s="517"/>
      <c r="B489" s="517"/>
      <c r="C489" s="517"/>
      <c r="D489" s="517"/>
      <c r="E489" s="518"/>
      <c r="Q489" s="517"/>
      <c r="R489" s="517"/>
      <c r="S489" s="517"/>
      <c r="T489" s="517"/>
      <c r="U489" s="518"/>
    </row>
    <row r="490" spans="1:21">
      <c r="A490" s="517"/>
      <c r="B490" s="517"/>
      <c r="C490" s="517"/>
      <c r="D490" s="517"/>
      <c r="E490" s="518"/>
      <c r="Q490" s="517"/>
      <c r="R490" s="517"/>
      <c r="S490" s="517"/>
      <c r="T490" s="517"/>
      <c r="U490" s="518"/>
    </row>
    <row r="491" spans="1:21">
      <c r="A491" s="517"/>
      <c r="B491" s="517"/>
      <c r="C491" s="517"/>
      <c r="D491" s="517"/>
      <c r="E491" s="518"/>
      <c r="Q491" s="517"/>
      <c r="R491" s="517"/>
      <c r="S491" s="517"/>
      <c r="T491" s="517"/>
      <c r="U491" s="518"/>
    </row>
    <row r="492" spans="1:21">
      <c r="A492" s="517"/>
      <c r="B492" s="517"/>
      <c r="C492" s="517"/>
      <c r="D492" s="517"/>
      <c r="E492" s="518"/>
      <c r="Q492" s="517"/>
      <c r="R492" s="517"/>
      <c r="S492" s="517"/>
      <c r="T492" s="517"/>
      <c r="U492" s="518"/>
    </row>
    <row r="493" spans="1:21">
      <c r="A493" s="517"/>
      <c r="B493" s="517"/>
      <c r="C493" s="517"/>
      <c r="D493" s="517"/>
      <c r="E493" s="518"/>
      <c r="Q493" s="517"/>
      <c r="R493" s="517"/>
      <c r="S493" s="517"/>
      <c r="T493" s="517"/>
      <c r="U493" s="518"/>
    </row>
    <row r="494" spans="1:21">
      <c r="A494" s="517"/>
      <c r="B494" s="517"/>
      <c r="C494" s="517"/>
      <c r="D494" s="517"/>
      <c r="E494" s="518"/>
      <c r="Q494" s="517"/>
      <c r="R494" s="517"/>
      <c r="S494" s="517"/>
      <c r="T494" s="517"/>
      <c r="U494" s="518"/>
    </row>
    <row r="495" spans="1:21">
      <c r="A495" s="517"/>
      <c r="B495" s="517"/>
      <c r="C495" s="517"/>
      <c r="D495" s="517"/>
      <c r="E495" s="518"/>
      <c r="Q495" s="517"/>
      <c r="R495" s="517"/>
      <c r="S495" s="517"/>
      <c r="T495" s="517"/>
      <c r="U495" s="518"/>
    </row>
    <row r="496" spans="1:21">
      <c r="A496" s="517"/>
      <c r="B496" s="517"/>
      <c r="C496" s="517"/>
      <c r="D496" s="517"/>
      <c r="E496" s="518"/>
      <c r="Q496" s="517"/>
      <c r="R496" s="517"/>
      <c r="S496" s="517"/>
      <c r="T496" s="517"/>
      <c r="U496" s="518"/>
    </row>
    <row r="497" spans="1:21">
      <c r="A497" s="517"/>
      <c r="B497" s="517"/>
      <c r="C497" s="517"/>
      <c r="D497" s="517"/>
      <c r="E497" s="518"/>
      <c r="Q497" s="517"/>
      <c r="R497" s="517"/>
      <c r="S497" s="517"/>
      <c r="T497" s="517"/>
      <c r="U497" s="518"/>
    </row>
    <row r="498" spans="1:21">
      <c r="A498" s="517"/>
      <c r="B498" s="517"/>
      <c r="C498" s="517"/>
      <c r="D498" s="517"/>
      <c r="E498" s="518"/>
      <c r="Q498" s="517"/>
      <c r="R498" s="517"/>
      <c r="S498" s="517"/>
      <c r="T498" s="517"/>
      <c r="U498" s="518"/>
    </row>
    <row r="499" spans="1:21">
      <c r="A499" s="517"/>
      <c r="B499" s="517"/>
      <c r="C499" s="517"/>
      <c r="D499" s="517"/>
      <c r="E499" s="518"/>
      <c r="Q499" s="517"/>
      <c r="R499" s="517"/>
      <c r="S499" s="517"/>
      <c r="T499" s="517"/>
      <c r="U499" s="518"/>
    </row>
    <row r="500" spans="1:21">
      <c r="A500" s="517"/>
      <c r="B500" s="517"/>
      <c r="C500" s="517"/>
      <c r="D500" s="517"/>
      <c r="E500" s="518"/>
      <c r="Q500" s="517"/>
      <c r="R500" s="517"/>
      <c r="S500" s="517"/>
      <c r="T500" s="517"/>
      <c r="U500" s="518"/>
    </row>
    <row r="501" spans="1:21">
      <c r="A501" s="517"/>
      <c r="B501" s="517"/>
      <c r="C501" s="517"/>
      <c r="D501" s="517"/>
      <c r="E501" s="518"/>
      <c r="Q501" s="517"/>
      <c r="R501" s="517"/>
      <c r="S501" s="517"/>
      <c r="T501" s="517"/>
      <c r="U501" s="518"/>
    </row>
    <row r="502" spans="1:21">
      <c r="A502" s="517"/>
      <c r="B502" s="517"/>
      <c r="C502" s="517"/>
      <c r="D502" s="517"/>
      <c r="E502" s="518"/>
      <c r="Q502" s="517"/>
      <c r="R502" s="517"/>
      <c r="S502" s="517"/>
      <c r="T502" s="517"/>
      <c r="U502" s="518"/>
    </row>
    <row r="503" spans="1:21">
      <c r="A503" s="517"/>
      <c r="B503" s="517"/>
      <c r="C503" s="517"/>
      <c r="D503" s="517"/>
      <c r="E503" s="518"/>
      <c r="Q503" s="517"/>
      <c r="R503" s="517"/>
      <c r="S503" s="517"/>
      <c r="T503" s="517"/>
      <c r="U503" s="518"/>
    </row>
    <row r="504" spans="1:21">
      <c r="A504" s="517"/>
      <c r="B504" s="517"/>
      <c r="C504" s="517"/>
      <c r="D504" s="517"/>
      <c r="E504" s="518"/>
      <c r="Q504" s="517"/>
      <c r="R504" s="517"/>
      <c r="S504" s="517"/>
      <c r="T504" s="517"/>
      <c r="U504" s="518"/>
    </row>
    <row r="505" spans="1:21">
      <c r="A505" s="517"/>
      <c r="B505" s="517"/>
      <c r="C505" s="517"/>
      <c r="D505" s="517"/>
      <c r="E505" s="518"/>
      <c r="Q505" s="517"/>
      <c r="R505" s="517"/>
      <c r="S505" s="517"/>
      <c r="T505" s="517"/>
      <c r="U505" s="518"/>
    </row>
    <row r="506" spans="1:21">
      <c r="A506" s="517"/>
      <c r="B506" s="517"/>
      <c r="C506" s="517"/>
      <c r="D506" s="517"/>
      <c r="E506" s="518"/>
      <c r="Q506" s="517"/>
      <c r="R506" s="517"/>
      <c r="S506" s="517"/>
      <c r="T506" s="517"/>
      <c r="U506" s="518"/>
    </row>
    <row r="507" spans="1:21">
      <c r="A507" s="517"/>
      <c r="B507" s="517"/>
      <c r="C507" s="517"/>
      <c r="D507" s="517"/>
      <c r="E507" s="518"/>
      <c r="Q507" s="517"/>
      <c r="R507" s="517"/>
      <c r="S507" s="517"/>
      <c r="T507" s="517"/>
      <c r="U507" s="518"/>
    </row>
    <row r="508" spans="1:21">
      <c r="A508" s="517"/>
      <c r="B508" s="517"/>
      <c r="C508" s="517"/>
      <c r="D508" s="517"/>
      <c r="E508" s="518"/>
      <c r="Q508" s="517"/>
      <c r="R508" s="517"/>
      <c r="S508" s="517"/>
      <c r="T508" s="517"/>
      <c r="U508" s="518"/>
    </row>
    <row r="509" spans="1:21">
      <c r="A509" s="517"/>
      <c r="B509" s="517"/>
      <c r="C509" s="517"/>
      <c r="D509" s="517"/>
      <c r="E509" s="518"/>
      <c r="Q509" s="517"/>
      <c r="R509" s="517"/>
      <c r="S509" s="517"/>
      <c r="T509" s="517"/>
      <c r="U509" s="518"/>
    </row>
    <row r="510" spans="1:21">
      <c r="A510" s="517"/>
      <c r="B510" s="517"/>
      <c r="C510" s="517"/>
      <c r="D510" s="517"/>
      <c r="E510" s="518"/>
      <c r="Q510" s="517"/>
      <c r="R510" s="517"/>
      <c r="S510" s="517"/>
      <c r="T510" s="517"/>
      <c r="U510" s="518"/>
    </row>
    <row r="511" spans="1:21">
      <c r="A511" s="517"/>
      <c r="B511" s="517"/>
      <c r="C511" s="517"/>
      <c r="D511" s="517"/>
      <c r="E511" s="518"/>
      <c r="Q511" s="517"/>
      <c r="R511" s="517"/>
      <c r="S511" s="517"/>
      <c r="T511" s="517"/>
      <c r="U511" s="518"/>
    </row>
    <row r="512" spans="1:21">
      <c r="A512" s="517"/>
      <c r="B512" s="517"/>
      <c r="C512" s="517"/>
      <c r="D512" s="517"/>
      <c r="E512" s="518"/>
      <c r="Q512" s="517"/>
      <c r="R512" s="517"/>
      <c r="S512" s="517"/>
      <c r="T512" s="517"/>
      <c r="U512" s="518"/>
    </row>
    <row r="513" spans="1:21">
      <c r="A513" s="517"/>
      <c r="B513" s="517"/>
      <c r="C513" s="517"/>
      <c r="D513" s="517"/>
      <c r="E513" s="518"/>
      <c r="Q513" s="517"/>
      <c r="R513" s="517"/>
      <c r="S513" s="517"/>
      <c r="T513" s="517"/>
      <c r="U513" s="518"/>
    </row>
    <row r="514" spans="1:21">
      <c r="A514" s="517"/>
      <c r="B514" s="517"/>
      <c r="C514" s="517"/>
      <c r="D514" s="517"/>
      <c r="E514" s="518"/>
      <c r="Q514" s="517"/>
      <c r="R514" s="517"/>
      <c r="S514" s="517"/>
      <c r="T514" s="517"/>
      <c r="U514" s="518"/>
    </row>
    <row r="515" spans="1:21">
      <c r="A515" s="517"/>
      <c r="B515" s="517"/>
      <c r="C515" s="517"/>
      <c r="D515" s="517"/>
      <c r="E515" s="518"/>
      <c r="Q515" s="517"/>
      <c r="R515" s="517"/>
      <c r="S515" s="517"/>
      <c r="T515" s="517"/>
      <c r="U515" s="518"/>
    </row>
    <row r="516" spans="1:21">
      <c r="A516" s="517"/>
      <c r="B516" s="517"/>
      <c r="C516" s="517"/>
      <c r="D516" s="517"/>
      <c r="E516" s="518"/>
      <c r="Q516" s="517"/>
      <c r="R516" s="517"/>
      <c r="S516" s="517"/>
      <c r="T516" s="517"/>
      <c r="U516" s="518"/>
    </row>
    <row r="517" spans="1:21">
      <c r="A517" s="517"/>
      <c r="B517" s="517"/>
      <c r="C517" s="517"/>
      <c r="D517" s="517"/>
      <c r="E517" s="518"/>
      <c r="Q517" s="517"/>
      <c r="R517" s="517"/>
      <c r="S517" s="517"/>
      <c r="T517" s="517"/>
      <c r="U517" s="518"/>
    </row>
    <row r="518" spans="1:21">
      <c r="A518" s="517"/>
      <c r="B518" s="517"/>
      <c r="C518" s="517"/>
      <c r="D518" s="517"/>
      <c r="E518" s="518"/>
      <c r="Q518" s="517"/>
      <c r="R518" s="517"/>
      <c r="S518" s="517"/>
      <c r="T518" s="517"/>
      <c r="U518" s="518"/>
    </row>
    <row r="519" spans="1:21">
      <c r="A519" s="517"/>
      <c r="B519" s="517"/>
      <c r="C519" s="517"/>
      <c r="D519" s="517"/>
      <c r="E519" s="518"/>
      <c r="Q519" s="517"/>
      <c r="R519" s="517"/>
      <c r="S519" s="517"/>
      <c r="T519" s="517"/>
      <c r="U519" s="518"/>
    </row>
    <row r="520" spans="1:21">
      <c r="A520" s="517"/>
      <c r="B520" s="517"/>
      <c r="C520" s="517"/>
      <c r="D520" s="517"/>
      <c r="E520" s="518"/>
      <c r="Q520" s="517"/>
      <c r="R520" s="517"/>
      <c r="S520" s="517"/>
      <c r="T520" s="517"/>
      <c r="U520" s="518"/>
    </row>
    <row r="521" spans="1:21">
      <c r="A521" s="517"/>
      <c r="B521" s="517"/>
      <c r="C521" s="517"/>
      <c r="D521" s="517"/>
      <c r="E521" s="518"/>
      <c r="Q521" s="517"/>
      <c r="R521" s="517"/>
      <c r="S521" s="517"/>
      <c r="T521" s="517"/>
      <c r="U521" s="518"/>
    </row>
    <row r="522" spans="1:21">
      <c r="A522" s="517"/>
      <c r="B522" s="517"/>
      <c r="C522" s="517"/>
      <c r="D522" s="517"/>
      <c r="E522" s="518"/>
      <c r="Q522" s="517"/>
      <c r="R522" s="517"/>
      <c r="S522" s="517"/>
      <c r="T522" s="517"/>
      <c r="U522" s="518"/>
    </row>
    <row r="523" spans="1:21">
      <c r="A523" s="517"/>
      <c r="B523" s="517"/>
      <c r="C523" s="517"/>
      <c r="D523" s="517"/>
      <c r="E523" s="518"/>
      <c r="Q523" s="517"/>
      <c r="R523" s="517"/>
      <c r="S523" s="517"/>
      <c r="T523" s="517"/>
      <c r="U523" s="518"/>
    </row>
    <row r="524" spans="1:21">
      <c r="A524" s="517"/>
      <c r="B524" s="517"/>
      <c r="C524" s="517"/>
      <c r="D524" s="517"/>
      <c r="E524" s="518"/>
      <c r="Q524" s="517"/>
      <c r="R524" s="517"/>
      <c r="S524" s="517"/>
      <c r="T524" s="517"/>
      <c r="U524" s="518"/>
    </row>
    <row r="525" spans="1:21">
      <c r="A525" s="517"/>
      <c r="B525" s="517"/>
      <c r="C525" s="517"/>
      <c r="D525" s="517"/>
      <c r="E525" s="518"/>
      <c r="Q525" s="517"/>
      <c r="R525" s="517"/>
      <c r="S525" s="517"/>
      <c r="T525" s="517"/>
      <c r="U525" s="518"/>
    </row>
    <row r="526" spans="1:21">
      <c r="A526" s="517"/>
      <c r="B526" s="517"/>
      <c r="C526" s="517"/>
      <c r="D526" s="517"/>
      <c r="E526" s="518"/>
      <c r="Q526" s="517"/>
      <c r="R526" s="517"/>
      <c r="S526" s="517"/>
      <c r="T526" s="517"/>
      <c r="U526" s="518"/>
    </row>
    <row r="527" spans="1:21">
      <c r="A527" s="517"/>
      <c r="B527" s="517"/>
      <c r="C527" s="517"/>
      <c r="D527" s="517"/>
      <c r="E527" s="518"/>
      <c r="Q527" s="517"/>
      <c r="R527" s="517"/>
      <c r="S527" s="517"/>
      <c r="T527" s="517"/>
      <c r="U527" s="518"/>
    </row>
    <row r="528" spans="1:21">
      <c r="A528" s="517"/>
      <c r="B528" s="517"/>
      <c r="C528" s="517"/>
      <c r="D528" s="517"/>
      <c r="E528" s="518"/>
      <c r="Q528" s="517"/>
      <c r="R528" s="517"/>
      <c r="S528" s="517"/>
      <c r="T528" s="517"/>
      <c r="U528" s="518"/>
    </row>
    <row r="529" spans="1:21">
      <c r="A529" s="517"/>
      <c r="B529" s="517"/>
      <c r="C529" s="517"/>
      <c r="D529" s="517"/>
      <c r="E529" s="518"/>
      <c r="Q529" s="517"/>
      <c r="R529" s="517"/>
      <c r="S529" s="517"/>
      <c r="T529" s="517"/>
      <c r="U529" s="518"/>
    </row>
    <row r="530" spans="1:21">
      <c r="A530" s="517"/>
      <c r="B530" s="517"/>
      <c r="C530" s="517"/>
      <c r="D530" s="517"/>
      <c r="E530" s="518"/>
      <c r="Q530" s="517"/>
      <c r="R530" s="517"/>
      <c r="S530" s="517"/>
      <c r="T530" s="517"/>
      <c r="U530" s="518"/>
    </row>
    <row r="531" spans="1:21">
      <c r="A531" s="517"/>
      <c r="B531" s="517"/>
      <c r="C531" s="517"/>
      <c r="D531" s="517"/>
      <c r="E531" s="518"/>
      <c r="Q531" s="517"/>
      <c r="R531" s="517"/>
      <c r="S531" s="517"/>
      <c r="T531" s="517"/>
      <c r="U531" s="518"/>
    </row>
    <row r="532" spans="1:21">
      <c r="A532" s="517"/>
      <c r="B532" s="517"/>
      <c r="C532" s="517"/>
      <c r="D532" s="517"/>
      <c r="E532" s="518"/>
      <c r="Q532" s="517"/>
      <c r="R532" s="517"/>
      <c r="S532" s="517"/>
      <c r="T532" s="517"/>
      <c r="U532" s="518"/>
    </row>
    <row r="533" spans="1:21">
      <c r="A533" s="517"/>
      <c r="B533" s="517"/>
      <c r="C533" s="517"/>
      <c r="D533" s="517"/>
      <c r="E533" s="518"/>
      <c r="Q533" s="517"/>
      <c r="R533" s="517"/>
      <c r="S533" s="517"/>
      <c r="T533" s="517"/>
      <c r="U533" s="518"/>
    </row>
    <row r="534" spans="1:21">
      <c r="A534" s="517"/>
      <c r="B534" s="517"/>
      <c r="C534" s="517"/>
      <c r="D534" s="517"/>
      <c r="E534" s="518"/>
      <c r="Q534" s="517"/>
      <c r="R534" s="517"/>
      <c r="S534" s="517"/>
      <c r="T534" s="517"/>
      <c r="U534" s="518"/>
    </row>
    <row r="535" spans="1:21">
      <c r="A535" s="517"/>
      <c r="B535" s="517"/>
      <c r="C535" s="517"/>
      <c r="D535" s="517"/>
      <c r="E535" s="518"/>
      <c r="Q535" s="517"/>
      <c r="R535" s="517"/>
      <c r="S535" s="517"/>
      <c r="T535" s="517"/>
      <c r="U535" s="518"/>
    </row>
    <row r="536" spans="1:21">
      <c r="A536" s="517"/>
      <c r="B536" s="517"/>
      <c r="C536" s="517"/>
      <c r="D536" s="517"/>
      <c r="E536" s="518"/>
      <c r="Q536" s="517"/>
      <c r="R536" s="517"/>
      <c r="S536" s="517"/>
      <c r="T536" s="517"/>
      <c r="U536" s="518"/>
    </row>
    <row r="537" spans="1:21">
      <c r="A537" s="517"/>
      <c r="B537" s="517"/>
      <c r="C537" s="517"/>
      <c r="D537" s="517"/>
      <c r="E537" s="518"/>
      <c r="Q537" s="517"/>
      <c r="R537" s="517"/>
      <c r="S537" s="517"/>
      <c r="T537" s="517"/>
      <c r="U537" s="518"/>
    </row>
    <row r="538" spans="1:21">
      <c r="A538" s="517"/>
      <c r="B538" s="517"/>
      <c r="C538" s="517"/>
      <c r="D538" s="517"/>
      <c r="E538" s="518"/>
      <c r="Q538" s="517"/>
      <c r="R538" s="517"/>
      <c r="S538" s="517"/>
      <c r="T538" s="517"/>
      <c r="U538" s="518"/>
    </row>
    <row r="539" spans="1:21">
      <c r="A539" s="517"/>
      <c r="B539" s="517"/>
      <c r="C539" s="517"/>
      <c r="D539" s="517"/>
      <c r="E539" s="518"/>
      <c r="Q539" s="517"/>
      <c r="R539" s="517"/>
      <c r="S539" s="517"/>
      <c r="T539" s="517"/>
      <c r="U539" s="518"/>
    </row>
    <row r="540" spans="1:21">
      <c r="A540" s="517"/>
      <c r="B540" s="517"/>
      <c r="C540" s="517"/>
      <c r="D540" s="517"/>
      <c r="E540" s="518"/>
      <c r="Q540" s="517"/>
      <c r="R540" s="517"/>
      <c r="S540" s="517"/>
      <c r="T540" s="517"/>
      <c r="U540" s="518"/>
    </row>
    <row r="541" spans="1:21">
      <c r="A541" s="517"/>
      <c r="B541" s="517"/>
      <c r="C541" s="517"/>
      <c r="D541" s="517"/>
      <c r="E541" s="518"/>
      <c r="Q541" s="517"/>
      <c r="R541" s="517"/>
      <c r="S541" s="517"/>
      <c r="T541" s="517"/>
      <c r="U541" s="518"/>
    </row>
    <row r="542" spans="1:21">
      <c r="A542" s="517"/>
      <c r="B542" s="517"/>
      <c r="C542" s="517"/>
      <c r="D542" s="517"/>
      <c r="E542" s="518"/>
      <c r="Q542" s="517"/>
      <c r="R542" s="517"/>
      <c r="S542" s="517"/>
      <c r="T542" s="517"/>
      <c r="U542" s="518"/>
    </row>
    <row r="543" spans="1:21">
      <c r="A543" s="517"/>
      <c r="B543" s="517"/>
      <c r="C543" s="517"/>
      <c r="D543" s="517"/>
      <c r="E543" s="518"/>
      <c r="Q543" s="517"/>
      <c r="R543" s="517"/>
      <c r="S543" s="517"/>
      <c r="T543" s="517"/>
      <c r="U543" s="518"/>
    </row>
    <row r="544" spans="1:21">
      <c r="A544" s="517"/>
      <c r="B544" s="517"/>
      <c r="C544" s="517"/>
      <c r="D544" s="517"/>
      <c r="E544" s="518"/>
      <c r="Q544" s="517"/>
      <c r="R544" s="517"/>
      <c r="S544" s="517"/>
      <c r="T544" s="517"/>
      <c r="U544" s="518"/>
    </row>
    <row r="545" spans="1:21">
      <c r="A545" s="517"/>
      <c r="B545" s="517"/>
      <c r="C545" s="517"/>
      <c r="D545" s="517"/>
      <c r="E545" s="518"/>
      <c r="Q545" s="517"/>
      <c r="R545" s="517"/>
      <c r="S545" s="517"/>
      <c r="T545" s="517"/>
      <c r="U545" s="518"/>
    </row>
    <row r="546" spans="1:21">
      <c r="A546" s="517"/>
      <c r="B546" s="517"/>
      <c r="C546" s="517"/>
      <c r="D546" s="517"/>
      <c r="E546" s="518"/>
      <c r="Q546" s="517"/>
      <c r="R546" s="517"/>
      <c r="S546" s="517"/>
      <c r="T546" s="517"/>
      <c r="U546" s="518"/>
    </row>
    <row r="547" spans="1:21">
      <c r="A547" s="517"/>
      <c r="B547" s="517"/>
      <c r="C547" s="517"/>
      <c r="D547" s="517"/>
      <c r="E547" s="518"/>
      <c r="Q547" s="517"/>
      <c r="R547" s="517"/>
      <c r="S547" s="517"/>
      <c r="T547" s="517"/>
      <c r="U547" s="518"/>
    </row>
    <row r="548" spans="1:21">
      <c r="A548" s="517"/>
      <c r="B548" s="517"/>
      <c r="C548" s="517"/>
      <c r="D548" s="517"/>
      <c r="E548" s="518"/>
      <c r="Q548" s="517"/>
      <c r="R548" s="517"/>
      <c r="S548" s="517"/>
      <c r="T548" s="517"/>
      <c r="U548" s="518"/>
    </row>
    <row r="549" spans="1:21">
      <c r="A549" s="517"/>
      <c r="B549" s="517"/>
      <c r="C549" s="517"/>
      <c r="D549" s="517"/>
      <c r="E549" s="518"/>
      <c r="Q549" s="517"/>
      <c r="R549" s="517"/>
      <c r="S549" s="517"/>
      <c r="T549" s="517"/>
      <c r="U549" s="518"/>
    </row>
    <row r="550" spans="1:21">
      <c r="A550" s="517"/>
      <c r="B550" s="517"/>
      <c r="C550" s="517"/>
      <c r="D550" s="517"/>
      <c r="E550" s="518"/>
      <c r="Q550" s="517"/>
      <c r="R550" s="517"/>
      <c r="S550" s="517"/>
      <c r="T550" s="517"/>
      <c r="U550" s="518"/>
    </row>
    <row r="551" spans="1:21">
      <c r="A551" s="517"/>
      <c r="B551" s="517"/>
      <c r="C551" s="517"/>
      <c r="D551" s="517"/>
      <c r="E551" s="518"/>
      <c r="Q551" s="517"/>
      <c r="R551" s="517"/>
      <c r="S551" s="517"/>
      <c r="T551" s="517"/>
      <c r="U551" s="518"/>
    </row>
    <row r="552" spans="1:21">
      <c r="A552" s="517"/>
      <c r="B552" s="517"/>
      <c r="C552" s="517"/>
      <c r="D552" s="517"/>
      <c r="E552" s="518"/>
      <c r="Q552" s="517"/>
      <c r="R552" s="517"/>
      <c r="S552" s="517"/>
      <c r="T552" s="517"/>
      <c r="U552" s="518"/>
    </row>
    <row r="553" spans="1:21">
      <c r="A553" s="517"/>
      <c r="B553" s="517"/>
      <c r="C553" s="517"/>
      <c r="D553" s="517"/>
      <c r="E553" s="518"/>
      <c r="Q553" s="517"/>
      <c r="R553" s="517"/>
      <c r="S553" s="517"/>
      <c r="T553" s="517"/>
      <c r="U553" s="518"/>
    </row>
    <row r="554" spans="1:21">
      <c r="A554" s="517"/>
      <c r="B554" s="517"/>
      <c r="C554" s="517"/>
      <c r="D554" s="517"/>
      <c r="E554" s="518"/>
      <c r="Q554" s="517"/>
      <c r="R554" s="517"/>
      <c r="S554" s="517"/>
      <c r="T554" s="517"/>
      <c r="U554" s="518"/>
    </row>
    <row r="555" spans="1:21">
      <c r="A555" s="517"/>
      <c r="B555" s="517"/>
      <c r="C555" s="517"/>
      <c r="D555" s="517"/>
      <c r="E555" s="518"/>
      <c r="Q555" s="517"/>
      <c r="R555" s="517"/>
      <c r="S555" s="517"/>
      <c r="T555" s="517"/>
      <c r="U555" s="518"/>
    </row>
    <row r="556" spans="1:21">
      <c r="A556" s="517"/>
      <c r="B556" s="517"/>
      <c r="C556" s="517"/>
      <c r="D556" s="517"/>
      <c r="E556" s="518"/>
      <c r="Q556" s="517"/>
      <c r="R556" s="517"/>
      <c r="S556" s="517"/>
      <c r="T556" s="517"/>
      <c r="U556" s="518"/>
    </row>
    <row r="557" spans="1:21">
      <c r="A557" s="517"/>
      <c r="B557" s="517"/>
      <c r="C557" s="517"/>
      <c r="D557" s="517"/>
      <c r="E557" s="518"/>
      <c r="Q557" s="517"/>
      <c r="R557" s="517"/>
      <c r="S557" s="517"/>
      <c r="T557" s="517"/>
      <c r="U557" s="518"/>
    </row>
    <row r="558" spans="1:21">
      <c r="A558" s="517"/>
      <c r="B558" s="517"/>
      <c r="C558" s="517"/>
      <c r="D558" s="517"/>
      <c r="E558" s="518"/>
      <c r="Q558" s="517"/>
      <c r="R558" s="517"/>
      <c r="S558" s="517"/>
      <c r="T558" s="517"/>
      <c r="U558" s="518"/>
    </row>
    <row r="559" spans="1:21">
      <c r="A559" s="517"/>
      <c r="B559" s="517"/>
      <c r="C559" s="517"/>
      <c r="D559" s="517"/>
      <c r="E559" s="518"/>
      <c r="Q559" s="517"/>
      <c r="R559" s="517"/>
      <c r="S559" s="517"/>
      <c r="T559" s="517"/>
      <c r="U559" s="518"/>
    </row>
    <row r="560" spans="1:21">
      <c r="A560" s="517"/>
      <c r="B560" s="517"/>
      <c r="C560" s="517"/>
      <c r="D560" s="517"/>
      <c r="E560" s="518"/>
      <c r="Q560" s="517"/>
      <c r="R560" s="517"/>
      <c r="S560" s="517"/>
      <c r="T560" s="517"/>
      <c r="U560" s="518"/>
    </row>
    <row r="561" spans="1:21">
      <c r="A561" s="517"/>
      <c r="B561" s="517"/>
      <c r="C561" s="517"/>
      <c r="D561" s="517"/>
      <c r="E561" s="518"/>
      <c r="Q561" s="517"/>
      <c r="R561" s="517"/>
      <c r="S561" s="517"/>
      <c r="T561" s="517"/>
      <c r="U561" s="518"/>
    </row>
    <row r="562" spans="1:21">
      <c r="A562" s="517"/>
      <c r="B562" s="517"/>
      <c r="C562" s="517"/>
      <c r="D562" s="517"/>
      <c r="E562" s="518"/>
      <c r="Q562" s="517"/>
      <c r="R562" s="517"/>
      <c r="S562" s="517"/>
      <c r="T562" s="517"/>
      <c r="U562" s="518"/>
    </row>
    <row r="563" spans="1:21">
      <c r="A563" s="517"/>
      <c r="B563" s="517"/>
      <c r="C563" s="517"/>
      <c r="D563" s="517"/>
      <c r="E563" s="518"/>
      <c r="Q563" s="517"/>
      <c r="R563" s="517"/>
      <c r="S563" s="517"/>
      <c r="T563" s="517"/>
      <c r="U563" s="518"/>
    </row>
    <row r="564" spans="1:21">
      <c r="A564" s="517"/>
      <c r="B564" s="517"/>
      <c r="C564" s="517"/>
      <c r="D564" s="517"/>
      <c r="E564" s="518"/>
      <c r="Q564" s="517"/>
      <c r="R564" s="517"/>
      <c r="S564" s="517"/>
      <c r="T564" s="517"/>
      <c r="U564" s="518"/>
    </row>
    <row r="565" spans="1:21">
      <c r="A565" s="517"/>
      <c r="B565" s="517"/>
      <c r="C565" s="517"/>
      <c r="D565" s="517"/>
      <c r="E565" s="518"/>
      <c r="Q565" s="517"/>
      <c r="R565" s="517"/>
      <c r="S565" s="517"/>
      <c r="T565" s="517"/>
      <c r="U565" s="518"/>
    </row>
    <row r="566" spans="1:21">
      <c r="A566" s="517"/>
      <c r="B566" s="517"/>
      <c r="C566" s="517"/>
      <c r="D566" s="517"/>
      <c r="E566" s="518"/>
      <c r="Q566" s="517"/>
      <c r="R566" s="517"/>
      <c r="S566" s="517"/>
      <c r="T566" s="517"/>
      <c r="U566" s="518"/>
    </row>
    <row r="567" spans="1:21">
      <c r="A567" s="517"/>
      <c r="B567" s="517"/>
      <c r="C567" s="517"/>
      <c r="D567" s="517"/>
      <c r="E567" s="518"/>
      <c r="Q567" s="517"/>
      <c r="R567" s="517"/>
      <c r="S567" s="517"/>
      <c r="T567" s="517"/>
      <c r="U567" s="518"/>
    </row>
    <row r="568" spans="1:21">
      <c r="A568" s="517"/>
      <c r="B568" s="517"/>
      <c r="C568" s="517"/>
      <c r="D568" s="517"/>
      <c r="E568" s="518"/>
      <c r="Q568" s="517"/>
      <c r="R568" s="517"/>
      <c r="S568" s="517"/>
      <c r="T568" s="517"/>
      <c r="U568" s="518"/>
    </row>
    <row r="569" spans="1:21">
      <c r="A569" s="517"/>
      <c r="B569" s="517"/>
      <c r="C569" s="517"/>
      <c r="D569" s="517"/>
      <c r="E569" s="518"/>
      <c r="Q569" s="517"/>
      <c r="R569" s="517"/>
      <c r="S569" s="517"/>
      <c r="T569" s="517"/>
      <c r="U569" s="518"/>
    </row>
    <row r="570" spans="1:21">
      <c r="A570" s="517"/>
      <c r="B570" s="517"/>
      <c r="C570" s="517"/>
      <c r="D570" s="517"/>
      <c r="E570" s="518"/>
      <c r="Q570" s="517"/>
      <c r="R570" s="517"/>
      <c r="S570" s="517"/>
      <c r="T570" s="517"/>
      <c r="U570" s="518"/>
    </row>
    <row r="571" spans="1:21">
      <c r="A571" s="517"/>
      <c r="B571" s="517"/>
      <c r="C571" s="517"/>
      <c r="D571" s="517"/>
      <c r="E571" s="518"/>
      <c r="Q571" s="517"/>
      <c r="R571" s="517"/>
      <c r="S571" s="517"/>
      <c r="T571" s="517"/>
      <c r="U571" s="518"/>
    </row>
    <row r="572" spans="1:21">
      <c r="A572" s="517"/>
      <c r="B572" s="517"/>
      <c r="C572" s="517"/>
      <c r="D572" s="517"/>
      <c r="E572" s="518"/>
      <c r="Q572" s="517"/>
      <c r="R572" s="517"/>
      <c r="S572" s="517"/>
      <c r="T572" s="517"/>
      <c r="U572" s="518"/>
    </row>
    <row r="573" spans="1:21">
      <c r="A573" s="517"/>
      <c r="B573" s="517"/>
      <c r="C573" s="517"/>
      <c r="D573" s="517"/>
      <c r="E573" s="518"/>
      <c r="Q573" s="517"/>
      <c r="R573" s="517"/>
      <c r="S573" s="517"/>
      <c r="T573" s="517"/>
      <c r="U573" s="518"/>
    </row>
    <row r="574" spans="1:21">
      <c r="A574" s="517"/>
      <c r="B574" s="517"/>
      <c r="C574" s="517"/>
      <c r="D574" s="517"/>
      <c r="E574" s="518"/>
      <c r="Q574" s="517"/>
      <c r="R574" s="517"/>
      <c r="S574" s="517"/>
      <c r="T574" s="517"/>
      <c r="U574" s="518"/>
    </row>
    <row r="575" spans="1:21">
      <c r="A575" s="517"/>
      <c r="B575" s="517"/>
      <c r="C575" s="517"/>
      <c r="D575" s="517"/>
      <c r="E575" s="518"/>
      <c r="Q575" s="517"/>
      <c r="R575" s="517"/>
      <c r="S575" s="517"/>
      <c r="T575" s="517"/>
      <c r="U575" s="518"/>
    </row>
    <row r="576" spans="1:21">
      <c r="A576" s="517"/>
      <c r="B576" s="517"/>
      <c r="C576" s="517"/>
      <c r="D576" s="517"/>
      <c r="E576" s="518"/>
      <c r="Q576" s="517"/>
      <c r="R576" s="517"/>
      <c r="S576" s="517"/>
      <c r="T576" s="517"/>
      <c r="U576" s="518"/>
    </row>
    <row r="577" spans="1:21">
      <c r="A577" s="517"/>
      <c r="B577" s="517"/>
      <c r="C577" s="517"/>
      <c r="D577" s="517"/>
      <c r="E577" s="518"/>
      <c r="Q577" s="517"/>
      <c r="R577" s="517"/>
      <c r="S577" s="517"/>
      <c r="T577" s="517"/>
      <c r="U577" s="518"/>
    </row>
    <row r="578" spans="1:21">
      <c r="A578" s="517"/>
      <c r="B578" s="517"/>
      <c r="C578" s="517"/>
      <c r="D578" s="517"/>
      <c r="E578" s="518"/>
      <c r="Q578" s="517"/>
      <c r="R578" s="517"/>
      <c r="S578" s="517"/>
      <c r="T578" s="517"/>
      <c r="U578" s="518"/>
    </row>
    <row r="579" spans="1:21">
      <c r="A579" s="517"/>
      <c r="B579" s="517"/>
      <c r="C579" s="517"/>
      <c r="D579" s="517"/>
      <c r="E579" s="518"/>
      <c r="Q579" s="517"/>
      <c r="R579" s="517"/>
      <c r="S579" s="517"/>
      <c r="T579" s="517"/>
      <c r="U579" s="518"/>
    </row>
    <row r="580" spans="1:21">
      <c r="A580" s="517"/>
      <c r="B580" s="517"/>
      <c r="C580" s="517"/>
      <c r="D580" s="517"/>
      <c r="E580" s="518"/>
      <c r="Q580" s="517"/>
      <c r="R580" s="517"/>
      <c r="S580" s="517"/>
      <c r="T580" s="517"/>
      <c r="U580" s="518"/>
    </row>
    <row r="581" spans="1:21">
      <c r="A581" s="517"/>
      <c r="B581" s="517"/>
      <c r="C581" s="517"/>
      <c r="D581" s="517"/>
      <c r="E581" s="518"/>
      <c r="Q581" s="517"/>
      <c r="R581" s="517"/>
      <c r="S581" s="517"/>
      <c r="T581" s="517"/>
      <c r="U581" s="518"/>
    </row>
    <row r="582" spans="1:21">
      <c r="A582" s="517"/>
      <c r="B582" s="517"/>
      <c r="C582" s="517"/>
      <c r="D582" s="517"/>
      <c r="E582" s="518"/>
      <c r="Q582" s="517"/>
      <c r="R582" s="517"/>
      <c r="S582" s="517"/>
      <c r="T582" s="517"/>
      <c r="U582" s="518"/>
    </row>
    <row r="583" spans="1:21">
      <c r="A583" s="517"/>
      <c r="B583" s="517"/>
      <c r="C583" s="517"/>
      <c r="D583" s="517"/>
      <c r="E583" s="518"/>
      <c r="Q583" s="517"/>
      <c r="R583" s="517"/>
      <c r="S583" s="517"/>
      <c r="T583" s="517"/>
      <c r="U583" s="518"/>
    </row>
    <row r="584" spans="1:21">
      <c r="A584" s="517"/>
      <c r="B584" s="517"/>
      <c r="C584" s="517"/>
      <c r="D584" s="517"/>
      <c r="E584" s="518"/>
      <c r="Q584" s="517"/>
      <c r="R584" s="517"/>
      <c r="S584" s="517"/>
      <c r="T584" s="517"/>
      <c r="U584" s="518"/>
    </row>
    <row r="585" spans="1:21">
      <c r="A585" s="517"/>
      <c r="B585" s="517"/>
      <c r="C585" s="517"/>
      <c r="D585" s="517"/>
      <c r="E585" s="518"/>
      <c r="Q585" s="517"/>
      <c r="R585" s="517"/>
      <c r="S585" s="517"/>
      <c r="T585" s="517"/>
      <c r="U585" s="518"/>
    </row>
    <row r="586" spans="1:21">
      <c r="A586" s="517"/>
      <c r="B586" s="517"/>
      <c r="C586" s="517"/>
      <c r="D586" s="517"/>
      <c r="E586" s="518"/>
      <c r="Q586" s="517"/>
      <c r="R586" s="517"/>
      <c r="S586" s="517"/>
      <c r="T586" s="517"/>
      <c r="U586" s="518"/>
    </row>
    <row r="587" spans="1:21">
      <c r="A587" s="517"/>
      <c r="B587" s="517"/>
      <c r="C587" s="517"/>
      <c r="D587" s="517"/>
      <c r="E587" s="518"/>
      <c r="Q587" s="517"/>
      <c r="R587" s="517"/>
      <c r="S587" s="517"/>
      <c r="T587" s="517"/>
      <c r="U587" s="518"/>
    </row>
    <row r="588" spans="1:21">
      <c r="A588" s="517"/>
      <c r="B588" s="517"/>
      <c r="C588" s="517"/>
      <c r="D588" s="517"/>
      <c r="E588" s="518"/>
      <c r="Q588" s="517"/>
      <c r="R588" s="517"/>
      <c r="S588" s="517"/>
      <c r="T588" s="517"/>
      <c r="U588" s="518"/>
    </row>
    <row r="589" spans="1:21">
      <c r="A589" s="517"/>
      <c r="B589" s="517"/>
      <c r="C589" s="517"/>
      <c r="D589" s="517"/>
      <c r="E589" s="518"/>
      <c r="Q589" s="517"/>
      <c r="R589" s="517"/>
      <c r="S589" s="517"/>
      <c r="T589" s="517"/>
      <c r="U589" s="518"/>
    </row>
    <row r="590" spans="1:21">
      <c r="A590" s="517"/>
      <c r="B590" s="517"/>
      <c r="C590" s="517"/>
      <c r="D590" s="517"/>
      <c r="E590" s="518"/>
      <c r="Q590" s="517"/>
      <c r="R590" s="517"/>
      <c r="S590" s="517"/>
      <c r="T590" s="517"/>
      <c r="U590" s="518"/>
    </row>
    <row r="591" spans="1:21">
      <c r="A591" s="517"/>
      <c r="B591" s="517"/>
      <c r="C591" s="517"/>
      <c r="D591" s="517"/>
      <c r="E591" s="518"/>
      <c r="Q591" s="517"/>
      <c r="R591" s="517"/>
      <c r="S591" s="517"/>
      <c r="T591" s="517"/>
      <c r="U591" s="518"/>
    </row>
    <row r="592" spans="1:21">
      <c r="A592" s="517"/>
      <c r="B592" s="517"/>
      <c r="C592" s="517"/>
      <c r="D592" s="517"/>
      <c r="E592" s="518"/>
      <c r="Q592" s="517"/>
      <c r="R592" s="517"/>
      <c r="S592" s="517"/>
      <c r="T592" s="517"/>
      <c r="U592" s="518"/>
    </row>
    <row r="593" spans="1:21">
      <c r="A593" s="517"/>
      <c r="B593" s="517"/>
      <c r="C593" s="517"/>
      <c r="D593" s="517"/>
      <c r="E593" s="518"/>
      <c r="Q593" s="517"/>
      <c r="R593" s="517"/>
      <c r="S593" s="517"/>
      <c r="T593" s="517"/>
      <c r="U593" s="518"/>
    </row>
    <row r="594" spans="1:21">
      <c r="A594" s="517"/>
      <c r="B594" s="517"/>
      <c r="C594" s="517"/>
      <c r="D594" s="517"/>
      <c r="E594" s="518"/>
      <c r="Q594" s="517"/>
      <c r="R594" s="517"/>
      <c r="S594" s="517"/>
      <c r="T594" s="517"/>
      <c r="U594" s="518"/>
    </row>
    <row r="595" spans="1:21">
      <c r="A595" s="517"/>
      <c r="B595" s="517"/>
      <c r="C595" s="517"/>
      <c r="D595" s="517"/>
      <c r="E595" s="518"/>
      <c r="Q595" s="517"/>
      <c r="R595" s="517"/>
      <c r="S595" s="517"/>
      <c r="T595" s="517"/>
      <c r="U595" s="518"/>
    </row>
    <row r="596" spans="1:21">
      <c r="A596" s="517"/>
      <c r="B596" s="517"/>
      <c r="C596" s="517"/>
      <c r="D596" s="517"/>
      <c r="E596" s="518"/>
      <c r="Q596" s="517"/>
      <c r="R596" s="517"/>
      <c r="S596" s="517"/>
      <c r="T596" s="517"/>
      <c r="U596" s="518"/>
    </row>
    <row r="597" spans="1:21">
      <c r="A597" s="517"/>
      <c r="B597" s="517"/>
      <c r="C597" s="517"/>
      <c r="D597" s="517"/>
      <c r="E597" s="518"/>
      <c r="Q597" s="517"/>
      <c r="R597" s="517"/>
      <c r="S597" s="517"/>
      <c r="T597" s="517"/>
      <c r="U597" s="518"/>
    </row>
    <row r="598" spans="1:21">
      <c r="A598" s="517"/>
      <c r="B598" s="517"/>
      <c r="C598" s="517"/>
      <c r="D598" s="517"/>
      <c r="E598" s="518"/>
      <c r="Q598" s="517"/>
      <c r="R598" s="517"/>
      <c r="S598" s="517"/>
      <c r="T598" s="517"/>
      <c r="U598" s="518"/>
    </row>
    <row r="599" spans="1:21">
      <c r="A599" s="517"/>
      <c r="B599" s="517"/>
      <c r="C599" s="517"/>
      <c r="D599" s="517"/>
      <c r="E599" s="518"/>
      <c r="Q599" s="517"/>
      <c r="R599" s="517"/>
      <c r="S599" s="517"/>
      <c r="T599" s="517"/>
      <c r="U599" s="518"/>
    </row>
    <row r="600" spans="1:21">
      <c r="A600" s="517"/>
      <c r="B600" s="517"/>
      <c r="C600" s="517"/>
      <c r="D600" s="517"/>
      <c r="E600" s="518"/>
      <c r="Q600" s="517"/>
      <c r="R600" s="517"/>
      <c r="S600" s="517"/>
      <c r="T600" s="517"/>
      <c r="U600" s="518"/>
    </row>
    <row r="601" spans="1:21">
      <c r="A601" s="517"/>
      <c r="B601" s="517"/>
      <c r="C601" s="517"/>
      <c r="D601" s="517"/>
      <c r="E601" s="518"/>
      <c r="Q601" s="517"/>
      <c r="R601" s="517"/>
      <c r="S601" s="517"/>
      <c r="T601" s="517"/>
      <c r="U601" s="518"/>
    </row>
    <row r="602" spans="1:21">
      <c r="A602" s="517"/>
      <c r="B602" s="517"/>
      <c r="C602" s="517"/>
      <c r="D602" s="517"/>
      <c r="E602" s="518"/>
      <c r="Q602" s="517"/>
      <c r="R602" s="517"/>
      <c r="S602" s="517"/>
      <c r="T602" s="517"/>
      <c r="U602" s="518"/>
    </row>
    <row r="603" spans="1:21">
      <c r="A603" s="517"/>
      <c r="B603" s="517"/>
      <c r="C603" s="517"/>
      <c r="D603" s="517"/>
      <c r="E603" s="518"/>
      <c r="Q603" s="517"/>
      <c r="R603" s="517"/>
      <c r="S603" s="517"/>
      <c r="T603" s="517"/>
      <c r="U603" s="518"/>
    </row>
    <row r="604" spans="1:21">
      <c r="A604" s="517"/>
      <c r="B604" s="517"/>
      <c r="C604" s="517"/>
      <c r="D604" s="517"/>
      <c r="E604" s="518"/>
      <c r="Q604" s="517"/>
      <c r="R604" s="517"/>
      <c r="S604" s="517"/>
      <c r="T604" s="517"/>
      <c r="U604" s="518"/>
    </row>
    <row r="605" spans="1:21">
      <c r="A605" s="517"/>
      <c r="B605" s="517"/>
      <c r="C605" s="517"/>
      <c r="D605" s="517"/>
      <c r="E605" s="518"/>
      <c r="Q605" s="517"/>
      <c r="R605" s="517"/>
      <c r="S605" s="517"/>
      <c r="T605" s="517"/>
      <c r="U605" s="518"/>
    </row>
    <row r="606" spans="1:21">
      <c r="A606" s="517"/>
      <c r="B606" s="517"/>
      <c r="C606" s="517"/>
      <c r="D606" s="517"/>
      <c r="E606" s="518"/>
      <c r="Q606" s="517"/>
      <c r="R606" s="517"/>
      <c r="S606" s="517"/>
      <c r="T606" s="517"/>
      <c r="U606" s="518"/>
    </row>
    <row r="607" spans="1:21">
      <c r="A607" s="517"/>
      <c r="B607" s="517"/>
      <c r="C607" s="517"/>
      <c r="D607" s="517"/>
      <c r="E607" s="518"/>
      <c r="Q607" s="517"/>
      <c r="R607" s="517"/>
      <c r="S607" s="517"/>
      <c r="T607" s="517"/>
      <c r="U607" s="518"/>
    </row>
    <row r="608" spans="1:21">
      <c r="A608" s="517"/>
      <c r="B608" s="517"/>
      <c r="C608" s="517"/>
      <c r="D608" s="517"/>
      <c r="E608" s="518"/>
      <c r="Q608" s="517"/>
      <c r="R608" s="517"/>
      <c r="S608" s="517"/>
      <c r="T608" s="517"/>
      <c r="U608" s="518"/>
    </row>
    <row r="609" spans="1:21">
      <c r="A609" s="517"/>
      <c r="B609" s="517"/>
      <c r="C609" s="517"/>
      <c r="D609" s="517"/>
      <c r="E609" s="518"/>
      <c r="Q609" s="517"/>
      <c r="R609" s="517"/>
      <c r="S609" s="517"/>
      <c r="T609" s="517"/>
      <c r="U609" s="518"/>
    </row>
    <row r="610" spans="1:21">
      <c r="A610" s="517"/>
      <c r="B610" s="517"/>
      <c r="C610" s="517"/>
      <c r="D610" s="517"/>
      <c r="E610" s="518"/>
      <c r="Q610" s="517"/>
      <c r="R610" s="517"/>
      <c r="S610" s="517"/>
      <c r="T610" s="517"/>
      <c r="U610" s="518"/>
    </row>
    <row r="611" spans="1:21">
      <c r="A611" s="517"/>
      <c r="B611" s="517"/>
      <c r="C611" s="517"/>
      <c r="D611" s="517"/>
      <c r="E611" s="518"/>
      <c r="Q611" s="517"/>
      <c r="R611" s="517"/>
      <c r="S611" s="517"/>
      <c r="T611" s="517"/>
      <c r="U611" s="518"/>
    </row>
    <row r="612" spans="1:21">
      <c r="A612" s="517"/>
      <c r="B612" s="517"/>
      <c r="C612" s="517"/>
      <c r="D612" s="517"/>
      <c r="E612" s="518"/>
      <c r="Q612" s="517"/>
      <c r="R612" s="517"/>
      <c r="S612" s="517"/>
      <c r="T612" s="517"/>
      <c r="U612" s="518"/>
    </row>
    <row r="613" spans="1:21">
      <c r="A613" s="517"/>
      <c r="B613" s="517"/>
      <c r="C613" s="517"/>
      <c r="D613" s="517"/>
      <c r="E613" s="518"/>
      <c r="Q613" s="517"/>
      <c r="R613" s="517"/>
      <c r="S613" s="517"/>
      <c r="T613" s="517"/>
      <c r="U613" s="518"/>
    </row>
    <row r="614" spans="1:21">
      <c r="A614" s="517"/>
      <c r="B614" s="517"/>
      <c r="C614" s="517"/>
      <c r="D614" s="517"/>
      <c r="E614" s="518"/>
      <c r="Q614" s="517"/>
      <c r="R614" s="517"/>
      <c r="S614" s="517"/>
      <c r="T614" s="517"/>
      <c r="U614" s="518"/>
    </row>
    <row r="615" spans="1:21">
      <c r="A615" s="517"/>
      <c r="B615" s="517"/>
      <c r="C615" s="517"/>
      <c r="D615" s="517"/>
      <c r="E615" s="518"/>
      <c r="Q615" s="517"/>
      <c r="R615" s="517"/>
      <c r="S615" s="517"/>
      <c r="T615" s="517"/>
      <c r="U615" s="518"/>
    </row>
    <row r="616" spans="1:21">
      <c r="A616" s="517"/>
      <c r="B616" s="517"/>
      <c r="C616" s="517"/>
      <c r="D616" s="517"/>
      <c r="E616" s="518"/>
      <c r="Q616" s="517"/>
      <c r="R616" s="517"/>
      <c r="S616" s="517"/>
      <c r="T616" s="517"/>
      <c r="U616" s="518"/>
    </row>
    <row r="617" spans="1:21">
      <c r="A617" s="517"/>
      <c r="B617" s="517"/>
      <c r="C617" s="517"/>
      <c r="D617" s="517"/>
      <c r="E617" s="518"/>
      <c r="Q617" s="517"/>
      <c r="R617" s="517"/>
      <c r="S617" s="517"/>
      <c r="T617" s="517"/>
      <c r="U617" s="518"/>
    </row>
    <row r="618" spans="1:21">
      <c r="A618" s="517"/>
      <c r="B618" s="517"/>
      <c r="C618" s="517"/>
      <c r="D618" s="517"/>
      <c r="E618" s="518"/>
      <c r="Q618" s="517"/>
      <c r="R618" s="517"/>
      <c r="S618" s="517"/>
      <c r="T618" s="517"/>
      <c r="U618" s="518"/>
    </row>
    <row r="619" spans="1:21">
      <c r="A619" s="517"/>
      <c r="B619" s="517"/>
      <c r="C619" s="517"/>
      <c r="D619" s="517"/>
      <c r="E619" s="518"/>
      <c r="Q619" s="517"/>
      <c r="R619" s="517"/>
      <c r="S619" s="517"/>
      <c r="T619" s="517"/>
      <c r="U619" s="518"/>
    </row>
    <row r="620" spans="1:21">
      <c r="A620" s="517"/>
      <c r="B620" s="517"/>
      <c r="C620" s="517"/>
      <c r="D620" s="517"/>
      <c r="E620" s="518"/>
      <c r="Q620" s="517"/>
      <c r="R620" s="517"/>
      <c r="S620" s="517"/>
      <c r="T620" s="517"/>
      <c r="U620" s="518"/>
    </row>
    <row r="621" spans="1:21">
      <c r="A621" s="517"/>
      <c r="B621" s="517"/>
      <c r="C621" s="517"/>
      <c r="D621" s="517"/>
      <c r="E621" s="518"/>
      <c r="Q621" s="517"/>
      <c r="R621" s="517"/>
      <c r="S621" s="517"/>
      <c r="T621" s="517"/>
      <c r="U621" s="518"/>
    </row>
    <row r="622" spans="1:21">
      <c r="A622" s="517"/>
      <c r="B622" s="517"/>
      <c r="C622" s="517"/>
      <c r="D622" s="517"/>
      <c r="E622" s="518"/>
      <c r="Q622" s="517"/>
      <c r="R622" s="517"/>
      <c r="S622" s="517"/>
      <c r="T622" s="517"/>
      <c r="U622" s="518"/>
    </row>
    <row r="623" spans="1:21">
      <c r="A623" s="517"/>
      <c r="B623" s="517"/>
      <c r="C623" s="517"/>
      <c r="D623" s="517"/>
      <c r="E623" s="518"/>
      <c r="Q623" s="517"/>
      <c r="R623" s="517"/>
      <c r="S623" s="517"/>
      <c r="T623" s="517"/>
      <c r="U623" s="518"/>
    </row>
    <row r="624" spans="1:21">
      <c r="A624" s="517"/>
      <c r="B624" s="517"/>
      <c r="C624" s="517"/>
      <c r="D624" s="517"/>
      <c r="E624" s="518"/>
      <c r="Q624" s="517"/>
      <c r="R624" s="517"/>
      <c r="S624" s="517"/>
      <c r="T624" s="517"/>
      <c r="U624" s="518"/>
    </row>
    <row r="625" spans="1:21">
      <c r="A625" s="517"/>
      <c r="B625" s="517"/>
      <c r="C625" s="517"/>
      <c r="D625" s="517"/>
      <c r="E625" s="518"/>
      <c r="Q625" s="517"/>
      <c r="R625" s="517"/>
      <c r="S625" s="517"/>
      <c r="T625" s="517"/>
      <c r="U625" s="518"/>
    </row>
    <row r="626" spans="1:21">
      <c r="A626" s="517"/>
      <c r="B626" s="517"/>
      <c r="C626" s="517"/>
      <c r="D626" s="517"/>
      <c r="E626" s="518"/>
      <c r="Q626" s="517"/>
      <c r="R626" s="517"/>
      <c r="S626" s="517"/>
      <c r="T626" s="517"/>
      <c r="U626" s="518"/>
    </row>
    <row r="627" spans="1:21">
      <c r="A627" s="517"/>
      <c r="B627" s="517"/>
      <c r="C627" s="517"/>
      <c r="D627" s="517"/>
      <c r="E627" s="518"/>
      <c r="Q627" s="517"/>
      <c r="R627" s="517"/>
      <c r="S627" s="517"/>
      <c r="T627" s="517"/>
      <c r="U627" s="518"/>
    </row>
    <row r="628" spans="1:21">
      <c r="A628" s="517"/>
      <c r="B628" s="517"/>
      <c r="C628" s="517"/>
      <c r="D628" s="517"/>
      <c r="E628" s="518"/>
      <c r="Q628" s="517"/>
      <c r="R628" s="517"/>
      <c r="S628" s="517"/>
      <c r="T628" s="517"/>
      <c r="U628" s="518"/>
    </row>
    <row r="629" spans="1:21">
      <c r="A629" s="517"/>
      <c r="B629" s="517"/>
      <c r="C629" s="517"/>
      <c r="D629" s="517"/>
      <c r="E629" s="518"/>
      <c r="Q629" s="517"/>
      <c r="R629" s="517"/>
      <c r="S629" s="517"/>
      <c r="T629" s="517"/>
      <c r="U629" s="518"/>
    </row>
    <row r="630" spans="1:21">
      <c r="A630" s="517"/>
      <c r="B630" s="517"/>
      <c r="C630" s="517"/>
      <c r="D630" s="517"/>
      <c r="E630" s="518"/>
      <c r="Q630" s="517"/>
      <c r="R630" s="517"/>
      <c r="S630" s="517"/>
      <c r="T630" s="517"/>
      <c r="U630" s="518"/>
    </row>
    <row r="631" spans="1:21">
      <c r="A631" s="517"/>
      <c r="B631" s="517"/>
      <c r="C631" s="517"/>
      <c r="D631" s="517"/>
      <c r="E631" s="518"/>
      <c r="Q631" s="517"/>
      <c r="R631" s="517"/>
      <c r="S631" s="517"/>
      <c r="T631" s="517"/>
      <c r="U631" s="518"/>
    </row>
    <row r="632" spans="1:21">
      <c r="A632" s="517"/>
      <c r="B632" s="517"/>
      <c r="C632" s="517"/>
      <c r="D632" s="517"/>
      <c r="E632" s="518"/>
      <c r="Q632" s="517"/>
      <c r="R632" s="517"/>
      <c r="S632" s="517"/>
      <c r="T632" s="517"/>
      <c r="U632" s="518"/>
    </row>
    <row r="633" spans="1:21">
      <c r="A633" s="517"/>
      <c r="B633" s="517"/>
      <c r="C633" s="517"/>
      <c r="D633" s="517"/>
      <c r="E633" s="518"/>
      <c r="Q633" s="517"/>
      <c r="R633" s="517"/>
      <c r="S633" s="517"/>
      <c r="T633" s="517"/>
      <c r="U633" s="518"/>
    </row>
    <row r="634" spans="1:21">
      <c r="A634" s="517"/>
      <c r="B634" s="517"/>
      <c r="C634" s="517"/>
      <c r="D634" s="517"/>
      <c r="E634" s="518"/>
      <c r="Q634" s="517"/>
      <c r="R634" s="517"/>
      <c r="S634" s="517"/>
      <c r="T634" s="517"/>
      <c r="U634" s="518"/>
    </row>
    <row r="635" spans="1:21">
      <c r="A635" s="517"/>
      <c r="B635" s="517"/>
      <c r="C635" s="517"/>
      <c r="D635" s="517"/>
      <c r="E635" s="518"/>
      <c r="Q635" s="517"/>
      <c r="R635" s="517"/>
      <c r="S635" s="517"/>
      <c r="T635" s="517"/>
      <c r="U635" s="518"/>
    </row>
    <row r="636" spans="1:21">
      <c r="A636" s="517"/>
      <c r="B636" s="517"/>
      <c r="C636" s="517"/>
      <c r="D636" s="517"/>
      <c r="E636" s="518"/>
      <c r="Q636" s="517"/>
      <c r="R636" s="517"/>
      <c r="S636" s="517"/>
      <c r="T636" s="517"/>
      <c r="U636" s="518"/>
    </row>
    <row r="637" spans="1:21">
      <c r="A637" s="517"/>
      <c r="B637" s="517"/>
      <c r="C637" s="517"/>
      <c r="D637" s="517"/>
      <c r="E637" s="518"/>
      <c r="Q637" s="517"/>
      <c r="R637" s="517"/>
      <c r="S637" s="517"/>
      <c r="T637" s="517"/>
      <c r="U637" s="518"/>
    </row>
    <row r="638" spans="1:21">
      <c r="A638" s="517"/>
      <c r="B638" s="517"/>
      <c r="C638" s="517"/>
      <c r="D638" s="517"/>
      <c r="E638" s="518"/>
      <c r="Q638" s="517"/>
      <c r="R638" s="517"/>
      <c r="S638" s="517"/>
      <c r="T638" s="517"/>
      <c r="U638" s="518"/>
    </row>
    <row r="639" spans="1:21">
      <c r="A639" s="517"/>
      <c r="B639" s="517"/>
      <c r="C639" s="517"/>
      <c r="D639" s="517"/>
      <c r="E639" s="518"/>
      <c r="Q639" s="517"/>
      <c r="R639" s="517"/>
      <c r="S639" s="517"/>
      <c r="T639" s="517"/>
      <c r="U639" s="518"/>
    </row>
    <row r="640" spans="1:21">
      <c r="A640" s="517"/>
      <c r="B640" s="517"/>
      <c r="C640" s="517"/>
      <c r="D640" s="517"/>
      <c r="E640" s="518"/>
      <c r="Q640" s="517"/>
      <c r="R640" s="517"/>
      <c r="S640" s="517"/>
      <c r="T640" s="517"/>
      <c r="U640" s="518"/>
    </row>
    <row r="641" spans="1:21">
      <c r="A641" s="517"/>
      <c r="B641" s="517"/>
      <c r="C641" s="517"/>
      <c r="D641" s="517"/>
      <c r="E641" s="518"/>
      <c r="Q641" s="517"/>
      <c r="R641" s="517"/>
      <c r="S641" s="517"/>
      <c r="T641" s="517"/>
      <c r="U641" s="518"/>
    </row>
    <row r="642" spans="1:21">
      <c r="A642" s="517"/>
      <c r="B642" s="517"/>
      <c r="C642" s="517"/>
      <c r="D642" s="517"/>
      <c r="E642" s="518"/>
      <c r="Q642" s="517"/>
      <c r="R642" s="517"/>
      <c r="S642" s="517"/>
      <c r="T642" s="517"/>
      <c r="U642" s="518"/>
    </row>
    <row r="643" spans="1:21">
      <c r="A643" s="517"/>
      <c r="B643" s="517"/>
      <c r="C643" s="517"/>
      <c r="D643" s="517"/>
      <c r="E643" s="518"/>
      <c r="Q643" s="517"/>
      <c r="R643" s="517"/>
      <c r="S643" s="517"/>
      <c r="T643" s="517"/>
      <c r="U643" s="518"/>
    </row>
    <row r="644" spans="1:21">
      <c r="A644" s="517"/>
      <c r="B644" s="517"/>
      <c r="C644" s="517"/>
      <c r="D644" s="517"/>
      <c r="E644" s="518"/>
      <c r="Q644" s="517"/>
      <c r="R644" s="517"/>
      <c r="S644" s="517"/>
      <c r="T644" s="517"/>
      <c r="U644" s="518"/>
    </row>
    <row r="645" spans="1:21">
      <c r="A645" s="517"/>
      <c r="B645" s="517"/>
      <c r="C645" s="517"/>
      <c r="D645" s="517"/>
      <c r="E645" s="518"/>
      <c r="Q645" s="517"/>
      <c r="R645" s="517"/>
      <c r="S645" s="517"/>
      <c r="T645" s="517"/>
      <c r="U645" s="518"/>
    </row>
    <row r="646" spans="1:21">
      <c r="A646" s="517"/>
      <c r="B646" s="517"/>
      <c r="C646" s="517"/>
      <c r="D646" s="517"/>
      <c r="E646" s="518"/>
      <c r="Q646" s="517"/>
      <c r="R646" s="517"/>
      <c r="S646" s="517"/>
      <c r="T646" s="517"/>
      <c r="U646" s="518"/>
    </row>
    <row r="647" spans="1:21">
      <c r="A647" s="517"/>
      <c r="B647" s="517"/>
      <c r="C647" s="517"/>
      <c r="D647" s="517"/>
      <c r="E647" s="518"/>
      <c r="Q647" s="517"/>
      <c r="R647" s="517"/>
      <c r="S647" s="517"/>
      <c r="T647" s="517"/>
      <c r="U647" s="518"/>
    </row>
    <row r="648" spans="1:21">
      <c r="A648" s="517"/>
      <c r="B648" s="517"/>
      <c r="C648" s="517"/>
      <c r="D648" s="517"/>
      <c r="E648" s="518"/>
      <c r="Q648" s="517"/>
      <c r="R648" s="517"/>
      <c r="S648" s="517"/>
      <c r="T648" s="517"/>
      <c r="U648" s="518"/>
    </row>
    <row r="649" spans="1:21">
      <c r="A649" s="517"/>
      <c r="B649" s="517"/>
      <c r="C649" s="517"/>
      <c r="D649" s="517"/>
      <c r="E649" s="518"/>
      <c r="Q649" s="517"/>
      <c r="R649" s="517"/>
      <c r="S649" s="517"/>
      <c r="T649" s="517"/>
      <c r="U649" s="518"/>
    </row>
    <row r="650" spans="1:21">
      <c r="A650" s="517"/>
      <c r="B650" s="517"/>
      <c r="C650" s="517"/>
      <c r="D650" s="517"/>
      <c r="E650" s="518"/>
      <c r="Q650" s="517"/>
      <c r="R650" s="517"/>
      <c r="S650" s="517"/>
      <c r="T650" s="517"/>
      <c r="U650" s="518"/>
    </row>
    <row r="651" spans="1:21">
      <c r="A651" s="517"/>
      <c r="B651" s="517"/>
      <c r="C651" s="517"/>
      <c r="D651" s="517"/>
      <c r="E651" s="518"/>
      <c r="Q651" s="517"/>
      <c r="R651" s="517"/>
      <c r="S651" s="517"/>
      <c r="T651" s="517"/>
      <c r="U651" s="518"/>
    </row>
    <row r="652" spans="1:21">
      <c r="A652" s="517"/>
      <c r="B652" s="517"/>
      <c r="C652" s="517"/>
      <c r="D652" s="517"/>
      <c r="E652" s="518"/>
      <c r="Q652" s="517"/>
      <c r="R652" s="517"/>
      <c r="S652" s="517"/>
      <c r="T652" s="517"/>
      <c r="U652" s="518"/>
    </row>
    <row r="653" spans="1:21">
      <c r="A653" s="517"/>
      <c r="B653" s="517"/>
      <c r="C653" s="517"/>
      <c r="D653" s="517"/>
      <c r="E653" s="518"/>
      <c r="Q653" s="517"/>
      <c r="R653" s="517"/>
      <c r="S653" s="517"/>
      <c r="T653" s="517"/>
      <c r="U653" s="518"/>
    </row>
    <row r="654" spans="1:21">
      <c r="A654" s="517"/>
      <c r="B654" s="517"/>
      <c r="C654" s="517"/>
      <c r="D654" s="517"/>
      <c r="E654" s="518"/>
      <c r="Q654" s="517"/>
      <c r="R654" s="517"/>
      <c r="S654" s="517"/>
      <c r="T654" s="517"/>
      <c r="U654" s="518"/>
    </row>
    <row r="655" spans="1:21">
      <c r="A655" s="517"/>
      <c r="B655" s="517"/>
      <c r="C655" s="517"/>
      <c r="D655" s="517"/>
      <c r="E655" s="518"/>
      <c r="Q655" s="517"/>
      <c r="R655" s="517"/>
      <c r="S655" s="517"/>
      <c r="T655" s="517"/>
      <c r="U655" s="518"/>
    </row>
    <row r="656" spans="1:21">
      <c r="A656" s="517"/>
      <c r="B656" s="517"/>
      <c r="C656" s="517"/>
      <c r="D656" s="517"/>
      <c r="E656" s="518"/>
      <c r="Q656" s="517"/>
      <c r="R656" s="517"/>
      <c r="S656" s="517"/>
      <c r="T656" s="517"/>
      <c r="U656" s="518"/>
    </row>
    <row r="657" spans="1:21">
      <c r="A657" s="517"/>
      <c r="B657" s="517"/>
      <c r="C657" s="517"/>
      <c r="D657" s="517"/>
      <c r="E657" s="518"/>
      <c r="Q657" s="517"/>
      <c r="R657" s="517"/>
      <c r="S657" s="517"/>
      <c r="T657" s="517"/>
      <c r="U657" s="518"/>
    </row>
    <row r="658" spans="1:21">
      <c r="A658" s="517"/>
      <c r="B658" s="517"/>
      <c r="C658" s="517"/>
      <c r="D658" s="517"/>
      <c r="E658" s="518"/>
      <c r="Q658" s="517"/>
      <c r="R658" s="517"/>
      <c r="S658" s="517"/>
      <c r="T658" s="517"/>
      <c r="U658" s="518"/>
    </row>
    <row r="659" spans="1:21">
      <c r="A659" s="517"/>
      <c r="B659" s="517"/>
      <c r="C659" s="517"/>
      <c r="D659" s="517"/>
      <c r="E659" s="518"/>
      <c r="Q659" s="517"/>
      <c r="R659" s="517"/>
      <c r="S659" s="517"/>
      <c r="T659" s="517"/>
      <c r="U659" s="518"/>
    </row>
    <row r="660" spans="1:21">
      <c r="A660" s="517"/>
      <c r="B660" s="517"/>
      <c r="C660" s="517"/>
      <c r="D660" s="517"/>
      <c r="E660" s="518"/>
      <c r="Q660" s="517"/>
      <c r="R660" s="517"/>
      <c r="S660" s="517"/>
      <c r="T660" s="517"/>
      <c r="U660" s="518"/>
    </row>
    <row r="661" spans="1:21">
      <c r="A661" s="517"/>
      <c r="B661" s="517"/>
      <c r="C661" s="517"/>
      <c r="D661" s="517"/>
      <c r="E661" s="518"/>
      <c r="Q661" s="517"/>
      <c r="R661" s="517"/>
      <c r="S661" s="517"/>
      <c r="T661" s="517"/>
      <c r="U661" s="518"/>
    </row>
    <row r="662" spans="1:21">
      <c r="A662" s="517"/>
      <c r="B662" s="517"/>
      <c r="C662" s="517"/>
      <c r="D662" s="517"/>
      <c r="E662" s="518"/>
      <c r="Q662" s="517"/>
      <c r="R662" s="517"/>
      <c r="S662" s="517"/>
      <c r="T662" s="517"/>
      <c r="U662" s="518"/>
    </row>
    <row r="663" spans="1:21">
      <c r="A663" s="517"/>
      <c r="B663" s="517"/>
      <c r="C663" s="517"/>
      <c r="D663" s="517"/>
      <c r="E663" s="518"/>
      <c r="Q663" s="517"/>
      <c r="R663" s="517"/>
      <c r="S663" s="517"/>
      <c r="T663" s="517"/>
      <c r="U663" s="518"/>
    </row>
    <row r="664" spans="1:21">
      <c r="A664" s="517"/>
      <c r="B664" s="517"/>
      <c r="C664" s="517"/>
      <c r="D664" s="517"/>
      <c r="E664" s="518"/>
      <c r="Q664" s="517"/>
      <c r="R664" s="517"/>
      <c r="S664" s="517"/>
      <c r="T664" s="517"/>
      <c r="U664" s="518"/>
    </row>
    <row r="665" spans="1:21">
      <c r="A665" s="517"/>
      <c r="B665" s="517"/>
      <c r="C665" s="517"/>
      <c r="D665" s="517"/>
      <c r="E665" s="518"/>
      <c r="Q665" s="517"/>
      <c r="R665" s="517"/>
      <c r="S665" s="517"/>
      <c r="T665" s="517"/>
      <c r="U665" s="518"/>
    </row>
    <row r="666" spans="1:21">
      <c r="A666" s="517"/>
      <c r="B666" s="517"/>
      <c r="C666" s="517"/>
      <c r="D666" s="517"/>
      <c r="E666" s="518"/>
      <c r="Q666" s="517"/>
      <c r="R666" s="517"/>
      <c r="S666" s="517"/>
      <c r="T666" s="517"/>
      <c r="U666" s="518"/>
    </row>
    <row r="667" spans="1:21">
      <c r="A667" s="517"/>
      <c r="B667" s="517"/>
      <c r="C667" s="517"/>
      <c r="D667" s="517"/>
      <c r="E667" s="518"/>
      <c r="Q667" s="517"/>
      <c r="R667" s="517"/>
      <c r="S667" s="517"/>
      <c r="T667" s="517"/>
      <c r="U667" s="518"/>
    </row>
    <row r="668" spans="1:21">
      <c r="A668" s="517"/>
      <c r="B668" s="517"/>
      <c r="C668" s="517"/>
      <c r="D668" s="517"/>
      <c r="E668" s="518"/>
      <c r="Q668" s="517"/>
      <c r="R668" s="517"/>
      <c r="S668" s="517"/>
      <c r="T668" s="517"/>
      <c r="U668" s="518"/>
    </row>
    <row r="669" spans="1:21">
      <c r="A669" s="517"/>
      <c r="B669" s="517"/>
      <c r="C669" s="517"/>
      <c r="D669" s="517"/>
      <c r="E669" s="518"/>
      <c r="Q669" s="517"/>
      <c r="R669" s="517"/>
      <c r="S669" s="517"/>
      <c r="T669" s="517"/>
      <c r="U669" s="518"/>
    </row>
    <row r="670" spans="1:21">
      <c r="A670" s="517"/>
      <c r="B670" s="517"/>
      <c r="C670" s="517"/>
      <c r="D670" s="517"/>
      <c r="E670" s="518"/>
      <c r="Q670" s="517"/>
      <c r="R670" s="517"/>
      <c r="S670" s="517"/>
      <c r="T670" s="517"/>
      <c r="U670" s="518"/>
    </row>
    <row r="671" spans="1:21">
      <c r="A671" s="517"/>
      <c r="B671" s="517"/>
      <c r="C671" s="517"/>
      <c r="D671" s="517"/>
      <c r="E671" s="518"/>
      <c r="Q671" s="517"/>
      <c r="R671" s="517"/>
      <c r="S671" s="517"/>
      <c r="T671" s="517"/>
      <c r="U671" s="518"/>
    </row>
    <row r="672" spans="1:21">
      <c r="A672" s="517"/>
      <c r="B672" s="517"/>
      <c r="C672" s="517"/>
      <c r="D672" s="517"/>
      <c r="E672" s="518"/>
      <c r="Q672" s="517"/>
      <c r="R672" s="517"/>
      <c r="S672" s="517"/>
      <c r="T672" s="517"/>
      <c r="U672" s="518"/>
    </row>
    <row r="673" spans="1:21">
      <c r="A673" s="517"/>
      <c r="B673" s="517"/>
      <c r="C673" s="517"/>
      <c r="D673" s="517"/>
      <c r="E673" s="518"/>
      <c r="Q673" s="517"/>
      <c r="R673" s="517"/>
      <c r="S673" s="517"/>
      <c r="T673" s="517"/>
      <c r="U673" s="518"/>
    </row>
    <row r="674" spans="1:21">
      <c r="A674" s="517"/>
      <c r="B674" s="517"/>
      <c r="C674" s="517"/>
      <c r="D674" s="517"/>
      <c r="E674" s="518"/>
      <c r="Q674" s="517"/>
      <c r="R674" s="517"/>
      <c r="S674" s="517"/>
      <c r="T674" s="517"/>
      <c r="U674" s="518"/>
    </row>
    <row r="675" spans="1:21">
      <c r="A675" s="517"/>
      <c r="B675" s="517"/>
      <c r="C675" s="517"/>
      <c r="D675" s="517"/>
      <c r="E675" s="518"/>
      <c r="Q675" s="517"/>
      <c r="R675" s="517"/>
      <c r="S675" s="517"/>
      <c r="T675" s="517"/>
      <c r="U675" s="518"/>
    </row>
    <row r="676" spans="1:21">
      <c r="A676" s="517"/>
      <c r="B676" s="517"/>
      <c r="C676" s="517"/>
      <c r="D676" s="517"/>
      <c r="E676" s="518"/>
      <c r="Q676" s="517"/>
      <c r="R676" s="517"/>
      <c r="S676" s="517"/>
      <c r="T676" s="517"/>
      <c r="U676" s="518"/>
    </row>
    <row r="677" spans="1:21">
      <c r="A677" s="517"/>
      <c r="B677" s="517"/>
      <c r="C677" s="517"/>
      <c r="D677" s="517"/>
      <c r="E677" s="518"/>
      <c r="Q677" s="517"/>
      <c r="R677" s="517"/>
      <c r="S677" s="517"/>
      <c r="T677" s="517"/>
      <c r="U677" s="518"/>
    </row>
    <row r="678" spans="1:21">
      <c r="A678" s="517"/>
      <c r="B678" s="517"/>
      <c r="C678" s="517"/>
      <c r="D678" s="517"/>
      <c r="E678" s="518"/>
      <c r="Q678" s="517"/>
      <c r="R678" s="517"/>
      <c r="S678" s="517"/>
      <c r="T678" s="517"/>
      <c r="U678" s="518"/>
    </row>
    <row r="679" spans="1:21">
      <c r="A679" s="517"/>
      <c r="B679" s="517"/>
      <c r="C679" s="517"/>
      <c r="D679" s="517"/>
      <c r="E679" s="518"/>
      <c r="Q679" s="517"/>
      <c r="R679" s="517"/>
      <c r="S679" s="517"/>
      <c r="T679" s="517"/>
      <c r="U679" s="518"/>
    </row>
    <row r="680" spans="1:21">
      <c r="A680" s="517"/>
      <c r="B680" s="517"/>
      <c r="C680" s="517"/>
      <c r="D680" s="517"/>
      <c r="E680" s="518"/>
      <c r="Q680" s="517"/>
      <c r="R680" s="517"/>
      <c r="S680" s="517"/>
      <c r="T680" s="517"/>
      <c r="U680" s="518"/>
    </row>
    <row r="681" spans="1:21">
      <c r="A681" s="517"/>
      <c r="B681" s="517"/>
      <c r="C681" s="517"/>
      <c r="D681" s="517"/>
      <c r="E681" s="518"/>
      <c r="Q681" s="517"/>
      <c r="R681" s="517"/>
      <c r="S681" s="517"/>
      <c r="T681" s="517"/>
      <c r="U681" s="518"/>
    </row>
    <row r="682" spans="1:21">
      <c r="A682" s="517"/>
      <c r="B682" s="517"/>
      <c r="C682" s="517"/>
      <c r="D682" s="517"/>
      <c r="E682" s="518"/>
      <c r="Q682" s="517"/>
      <c r="R682" s="517"/>
      <c r="S682" s="517"/>
      <c r="T682" s="517"/>
      <c r="U682" s="518"/>
    </row>
    <row r="683" spans="1:21">
      <c r="A683" s="517"/>
      <c r="B683" s="517"/>
      <c r="C683" s="517"/>
      <c r="D683" s="517"/>
      <c r="E683" s="518"/>
      <c r="Q683" s="517"/>
      <c r="R683" s="517"/>
      <c r="S683" s="517"/>
      <c r="T683" s="517"/>
      <c r="U683" s="518"/>
    </row>
    <row r="684" spans="1:21">
      <c r="A684" s="517"/>
      <c r="B684" s="517"/>
      <c r="C684" s="517"/>
      <c r="D684" s="517"/>
      <c r="E684" s="518"/>
      <c r="Q684" s="517"/>
      <c r="R684" s="517"/>
      <c r="S684" s="517"/>
      <c r="T684" s="517"/>
      <c r="U684" s="518"/>
    </row>
    <row r="685" spans="1:21">
      <c r="A685" s="517"/>
      <c r="B685" s="517"/>
      <c r="C685" s="517"/>
      <c r="D685" s="517"/>
      <c r="E685" s="518"/>
      <c r="Q685" s="517"/>
      <c r="R685" s="517"/>
      <c r="S685" s="517"/>
      <c r="T685" s="517"/>
      <c r="U685" s="518"/>
    </row>
    <row r="686" spans="1:21">
      <c r="A686" s="517"/>
      <c r="B686" s="517"/>
      <c r="C686" s="517"/>
      <c r="D686" s="517"/>
      <c r="E686" s="518"/>
      <c r="Q686" s="517"/>
      <c r="R686" s="517"/>
      <c r="S686" s="517"/>
      <c r="T686" s="517"/>
      <c r="U686" s="518"/>
    </row>
    <row r="687" spans="1:21">
      <c r="A687" s="517"/>
      <c r="B687" s="517"/>
      <c r="C687" s="517"/>
      <c r="D687" s="517"/>
      <c r="E687" s="518"/>
      <c r="Q687" s="517"/>
      <c r="R687" s="517"/>
      <c r="S687" s="517"/>
      <c r="T687" s="517"/>
      <c r="U687" s="518"/>
    </row>
    <row r="688" spans="1:21">
      <c r="A688" s="517"/>
      <c r="B688" s="517"/>
      <c r="C688" s="517"/>
      <c r="D688" s="517"/>
      <c r="E688" s="518"/>
      <c r="Q688" s="517"/>
      <c r="R688" s="517"/>
      <c r="S688" s="517"/>
      <c r="T688" s="517"/>
      <c r="U688" s="518"/>
    </row>
    <row r="689" spans="1:21">
      <c r="A689" s="517"/>
      <c r="B689" s="517"/>
      <c r="C689" s="517"/>
      <c r="D689" s="517"/>
      <c r="E689" s="518"/>
      <c r="Q689" s="517"/>
      <c r="R689" s="517"/>
      <c r="S689" s="517"/>
      <c r="T689" s="517"/>
      <c r="U689" s="518"/>
    </row>
    <row r="690" spans="1:21">
      <c r="A690" s="517"/>
      <c r="B690" s="517"/>
      <c r="C690" s="517"/>
      <c r="D690" s="517"/>
      <c r="E690" s="518"/>
      <c r="Q690" s="517"/>
      <c r="R690" s="517"/>
      <c r="S690" s="517"/>
      <c r="T690" s="517"/>
      <c r="U690" s="518"/>
    </row>
    <row r="691" spans="1:21">
      <c r="A691" s="517"/>
      <c r="B691" s="517"/>
      <c r="C691" s="517"/>
      <c r="D691" s="517"/>
      <c r="E691" s="518"/>
      <c r="Q691" s="517"/>
      <c r="R691" s="517"/>
      <c r="S691" s="517"/>
      <c r="T691" s="517"/>
      <c r="U691" s="518"/>
    </row>
    <row r="692" spans="1:21">
      <c r="A692" s="517"/>
      <c r="B692" s="517"/>
      <c r="C692" s="517"/>
      <c r="D692" s="517"/>
      <c r="E692" s="518"/>
      <c r="Q692" s="517"/>
      <c r="R692" s="517"/>
      <c r="S692" s="517"/>
      <c r="T692" s="517"/>
      <c r="U692" s="518"/>
    </row>
    <row r="693" spans="1:21">
      <c r="A693" s="517"/>
      <c r="B693" s="517"/>
      <c r="C693" s="517"/>
      <c r="D693" s="517"/>
      <c r="E693" s="518"/>
      <c r="Q693" s="517"/>
      <c r="R693" s="517"/>
      <c r="S693" s="517"/>
      <c r="T693" s="517"/>
      <c r="U693" s="518"/>
    </row>
    <row r="694" spans="1:21">
      <c r="A694" s="517"/>
      <c r="B694" s="517"/>
      <c r="C694" s="517"/>
      <c r="D694" s="517"/>
      <c r="E694" s="518"/>
      <c r="Q694" s="517"/>
      <c r="R694" s="517"/>
      <c r="S694" s="517"/>
      <c r="T694" s="517"/>
      <c r="U694" s="518"/>
    </row>
    <row r="695" spans="1:21">
      <c r="A695" s="517"/>
      <c r="B695" s="517"/>
      <c r="C695" s="517"/>
      <c r="D695" s="517"/>
      <c r="E695" s="518"/>
      <c r="Q695" s="517"/>
      <c r="R695" s="517"/>
      <c r="S695" s="517"/>
      <c r="T695" s="517"/>
      <c r="U695" s="518"/>
    </row>
    <row r="696" spans="1:21">
      <c r="A696" s="517"/>
      <c r="B696" s="517"/>
      <c r="C696" s="517"/>
      <c r="D696" s="517"/>
      <c r="E696" s="518"/>
      <c r="Q696" s="517"/>
      <c r="R696" s="517"/>
      <c r="S696" s="517"/>
      <c r="T696" s="517"/>
      <c r="U696" s="518"/>
    </row>
    <row r="697" spans="1:21">
      <c r="A697" s="517"/>
      <c r="B697" s="517"/>
      <c r="C697" s="517"/>
      <c r="D697" s="517"/>
      <c r="E697" s="518"/>
      <c r="Q697" s="517"/>
      <c r="R697" s="517"/>
      <c r="S697" s="517"/>
      <c r="T697" s="517"/>
      <c r="U697" s="518"/>
    </row>
    <row r="698" spans="1:21">
      <c r="A698" s="517"/>
      <c r="B698" s="517"/>
      <c r="C698" s="517"/>
      <c r="D698" s="517"/>
      <c r="E698" s="518"/>
      <c r="Q698" s="517"/>
      <c r="R698" s="517"/>
      <c r="S698" s="517"/>
      <c r="T698" s="517"/>
      <c r="U698" s="518"/>
    </row>
    <row r="699" spans="1:21">
      <c r="A699" s="517"/>
      <c r="B699" s="517"/>
      <c r="C699" s="517"/>
      <c r="D699" s="517"/>
      <c r="E699" s="518"/>
      <c r="Q699" s="517"/>
      <c r="R699" s="517"/>
      <c r="S699" s="517"/>
      <c r="T699" s="517"/>
      <c r="U699" s="518"/>
    </row>
    <row r="700" spans="1:21">
      <c r="A700" s="517"/>
      <c r="B700" s="517"/>
      <c r="C700" s="517"/>
      <c r="D700" s="517"/>
      <c r="E700" s="518"/>
      <c r="Q700" s="517"/>
      <c r="R700" s="517"/>
      <c r="S700" s="517"/>
      <c r="T700" s="517"/>
      <c r="U700" s="518"/>
    </row>
    <row r="701" spans="1:21">
      <c r="A701" s="517"/>
      <c r="B701" s="517"/>
      <c r="C701" s="517"/>
      <c r="D701" s="517"/>
      <c r="E701" s="518"/>
      <c r="Q701" s="517"/>
      <c r="R701" s="517"/>
      <c r="S701" s="517"/>
      <c r="T701" s="517"/>
      <c r="U701" s="518"/>
    </row>
    <row r="702" spans="1:21">
      <c r="A702" s="517"/>
      <c r="B702" s="517"/>
      <c r="C702" s="517"/>
      <c r="D702" s="517"/>
      <c r="E702" s="518"/>
      <c r="Q702" s="517"/>
      <c r="R702" s="517"/>
      <c r="S702" s="517"/>
      <c r="T702" s="517"/>
      <c r="U702" s="518"/>
    </row>
    <row r="703" spans="1:21">
      <c r="A703" s="517"/>
      <c r="B703" s="517"/>
      <c r="C703" s="517"/>
      <c r="D703" s="517"/>
      <c r="E703" s="518"/>
      <c r="Q703" s="517"/>
      <c r="R703" s="517"/>
      <c r="S703" s="517"/>
      <c r="T703" s="517"/>
      <c r="U703" s="518"/>
    </row>
    <row r="704" spans="1:21">
      <c r="A704" s="517"/>
      <c r="B704" s="517"/>
      <c r="C704" s="517"/>
      <c r="D704" s="517"/>
      <c r="E704" s="518"/>
      <c r="Q704" s="517"/>
      <c r="R704" s="517"/>
      <c r="S704" s="517"/>
      <c r="T704" s="517"/>
      <c r="U704" s="518"/>
    </row>
    <row r="705" spans="1:21">
      <c r="A705" s="517"/>
      <c r="B705" s="517"/>
      <c r="C705" s="517"/>
      <c r="D705" s="517"/>
      <c r="E705" s="518"/>
      <c r="Q705" s="517"/>
      <c r="R705" s="517"/>
      <c r="S705" s="517"/>
      <c r="T705" s="517"/>
      <c r="U705" s="518"/>
    </row>
    <row r="706" spans="1:21">
      <c r="A706" s="517"/>
      <c r="B706" s="517"/>
      <c r="C706" s="517"/>
      <c r="D706" s="517"/>
      <c r="E706" s="518"/>
      <c r="Q706" s="517"/>
      <c r="R706" s="517"/>
      <c r="S706" s="517"/>
      <c r="T706" s="517"/>
      <c r="U706" s="518"/>
    </row>
    <row r="707" spans="1:21">
      <c r="A707" s="517"/>
      <c r="B707" s="517"/>
      <c r="C707" s="517"/>
      <c r="D707" s="517"/>
      <c r="E707" s="518"/>
      <c r="Q707" s="517"/>
      <c r="R707" s="517"/>
      <c r="S707" s="517"/>
      <c r="T707" s="517"/>
      <c r="U707" s="518"/>
    </row>
    <row r="708" spans="1:21">
      <c r="A708" s="517"/>
      <c r="B708" s="517"/>
      <c r="C708" s="517"/>
      <c r="D708" s="517"/>
      <c r="E708" s="518"/>
      <c r="Q708" s="517"/>
      <c r="R708" s="517"/>
      <c r="S708" s="517"/>
      <c r="T708" s="517"/>
      <c r="U708" s="518"/>
    </row>
    <row r="709" spans="1:21">
      <c r="A709" s="517"/>
      <c r="B709" s="517"/>
      <c r="C709" s="517"/>
      <c r="D709" s="517"/>
      <c r="E709" s="518"/>
      <c r="Q709" s="517"/>
      <c r="R709" s="517"/>
      <c r="S709" s="517"/>
      <c r="T709" s="517"/>
      <c r="U709" s="518"/>
    </row>
    <row r="710" spans="1:21">
      <c r="A710" s="517"/>
      <c r="B710" s="517"/>
      <c r="C710" s="517"/>
      <c r="D710" s="517"/>
      <c r="E710" s="518"/>
      <c r="Q710" s="517"/>
      <c r="R710" s="517"/>
      <c r="S710" s="517"/>
      <c r="T710" s="517"/>
      <c r="U710" s="518"/>
    </row>
    <row r="711" spans="1:21">
      <c r="A711" s="517"/>
      <c r="B711" s="517"/>
      <c r="C711" s="517"/>
      <c r="D711" s="517"/>
      <c r="E711" s="518"/>
      <c r="Q711" s="517"/>
      <c r="R711" s="517"/>
      <c r="S711" s="517"/>
      <c r="T711" s="517"/>
      <c r="U711" s="518"/>
    </row>
    <row r="712" spans="1:21">
      <c r="A712" s="517"/>
      <c r="B712" s="517"/>
      <c r="C712" s="517"/>
      <c r="D712" s="517"/>
      <c r="E712" s="518"/>
      <c r="Q712" s="517"/>
      <c r="R712" s="517"/>
      <c r="S712" s="517"/>
      <c r="T712" s="517"/>
      <c r="U712" s="518"/>
    </row>
    <row r="713" spans="1:21">
      <c r="A713" s="517"/>
      <c r="B713" s="517"/>
      <c r="C713" s="517"/>
      <c r="D713" s="517"/>
      <c r="E713" s="518"/>
      <c r="Q713" s="517"/>
      <c r="R713" s="517"/>
      <c r="S713" s="517"/>
      <c r="T713" s="517"/>
      <c r="U713" s="518"/>
    </row>
    <row r="714" spans="1:21">
      <c r="A714" s="517"/>
      <c r="B714" s="517"/>
      <c r="C714" s="517"/>
      <c r="D714" s="517"/>
      <c r="E714" s="518"/>
      <c r="Q714" s="517"/>
      <c r="R714" s="517"/>
      <c r="S714" s="517"/>
      <c r="T714" s="517"/>
      <c r="U714" s="518"/>
    </row>
    <row r="715" spans="1:21">
      <c r="A715" s="517"/>
      <c r="B715" s="517"/>
      <c r="C715" s="517"/>
      <c r="D715" s="517"/>
      <c r="E715" s="518"/>
      <c r="Q715" s="517"/>
      <c r="R715" s="517"/>
      <c r="S715" s="517"/>
      <c r="T715" s="517"/>
      <c r="U715" s="518"/>
    </row>
    <row r="716" spans="1:21">
      <c r="A716" s="517"/>
      <c r="B716" s="517"/>
      <c r="C716" s="517"/>
      <c r="D716" s="517"/>
      <c r="E716" s="518"/>
      <c r="Q716" s="517"/>
      <c r="R716" s="517"/>
      <c r="S716" s="517"/>
      <c r="T716" s="517"/>
      <c r="U716" s="518"/>
    </row>
    <row r="717" spans="1:21">
      <c r="A717" s="517"/>
      <c r="B717" s="517"/>
      <c r="C717" s="517"/>
      <c r="D717" s="517"/>
      <c r="E717" s="518"/>
      <c r="Q717" s="517"/>
      <c r="R717" s="517"/>
      <c r="S717" s="517"/>
      <c r="T717" s="517"/>
      <c r="U717" s="518"/>
    </row>
    <row r="718" spans="1:21">
      <c r="A718" s="517"/>
      <c r="B718" s="517"/>
      <c r="C718" s="517"/>
      <c r="D718" s="517"/>
      <c r="E718" s="518"/>
      <c r="Q718" s="517"/>
      <c r="R718" s="517"/>
      <c r="S718" s="517"/>
      <c r="T718" s="517"/>
      <c r="U718" s="518"/>
    </row>
    <row r="719" spans="1:21">
      <c r="A719" s="517"/>
      <c r="B719" s="517"/>
      <c r="C719" s="517"/>
      <c r="D719" s="517"/>
      <c r="E719" s="518"/>
      <c r="Q719" s="517"/>
      <c r="R719" s="517"/>
      <c r="S719" s="517"/>
      <c r="T719" s="517"/>
      <c r="U719" s="518"/>
    </row>
    <row r="720" spans="1:21">
      <c r="A720" s="517"/>
      <c r="B720" s="517"/>
      <c r="C720" s="517"/>
      <c r="D720" s="517"/>
      <c r="E720" s="518"/>
      <c r="Q720" s="517"/>
      <c r="R720" s="517"/>
      <c r="S720" s="517"/>
      <c r="T720" s="517"/>
      <c r="U720" s="518"/>
    </row>
    <row r="721" spans="1:21">
      <c r="A721" s="517"/>
      <c r="B721" s="517"/>
      <c r="C721" s="517"/>
      <c r="D721" s="517"/>
      <c r="E721" s="518"/>
      <c r="Q721" s="517"/>
      <c r="R721" s="517"/>
      <c r="S721" s="517"/>
      <c r="T721" s="517"/>
      <c r="U721" s="518"/>
    </row>
    <row r="722" spans="1:21">
      <c r="A722" s="517"/>
      <c r="B722" s="517"/>
      <c r="C722" s="517"/>
      <c r="D722" s="517"/>
      <c r="E722" s="518"/>
      <c r="Q722" s="517"/>
      <c r="R722" s="517"/>
      <c r="S722" s="517"/>
      <c r="T722" s="517"/>
      <c r="U722" s="518"/>
    </row>
    <row r="723" spans="1:21">
      <c r="A723" s="517"/>
      <c r="B723" s="517"/>
      <c r="C723" s="517"/>
      <c r="D723" s="517"/>
      <c r="E723" s="518"/>
      <c r="Q723" s="517"/>
      <c r="R723" s="517"/>
      <c r="S723" s="517"/>
      <c r="T723" s="517"/>
      <c r="U723" s="518"/>
    </row>
    <row r="724" spans="1:21">
      <c r="A724" s="517"/>
      <c r="B724" s="517"/>
      <c r="C724" s="517"/>
      <c r="D724" s="517"/>
      <c r="E724" s="518"/>
      <c r="Q724" s="517"/>
      <c r="R724" s="517"/>
      <c r="S724" s="517"/>
      <c r="T724" s="517"/>
      <c r="U724" s="518"/>
    </row>
    <row r="725" spans="1:21">
      <c r="A725" s="517"/>
      <c r="B725" s="517"/>
      <c r="C725" s="517"/>
      <c r="D725" s="517"/>
      <c r="E725" s="518"/>
      <c r="Q725" s="517"/>
      <c r="R725" s="517"/>
      <c r="S725" s="517"/>
      <c r="T725" s="517"/>
      <c r="U725" s="518"/>
    </row>
    <row r="726" spans="1:21">
      <c r="A726" s="517"/>
      <c r="B726" s="517"/>
      <c r="C726" s="517"/>
      <c r="D726" s="517"/>
      <c r="E726" s="518"/>
      <c r="Q726" s="517"/>
      <c r="R726" s="517"/>
      <c r="S726" s="517"/>
      <c r="T726" s="517"/>
      <c r="U726" s="518"/>
    </row>
    <row r="727" spans="1:21">
      <c r="A727" s="517"/>
      <c r="B727" s="517"/>
      <c r="C727" s="517"/>
      <c r="D727" s="517"/>
      <c r="E727" s="518"/>
      <c r="Q727" s="517"/>
      <c r="R727" s="517"/>
      <c r="S727" s="517"/>
      <c r="T727" s="517"/>
      <c r="U727" s="518"/>
    </row>
    <row r="728" spans="1:21">
      <c r="A728" s="517"/>
      <c r="B728" s="517"/>
      <c r="C728" s="517"/>
      <c r="D728" s="517"/>
      <c r="E728" s="518"/>
      <c r="Q728" s="517"/>
      <c r="R728" s="517"/>
      <c r="S728" s="517"/>
      <c r="T728" s="517"/>
      <c r="U728" s="518"/>
    </row>
    <row r="729" spans="1:21">
      <c r="A729" s="517"/>
      <c r="B729" s="517"/>
      <c r="C729" s="517"/>
      <c r="D729" s="517"/>
      <c r="E729" s="518"/>
      <c r="Q729" s="517"/>
      <c r="R729" s="517"/>
      <c r="S729" s="517"/>
      <c r="T729" s="517"/>
      <c r="U729" s="518"/>
    </row>
    <row r="730" spans="1:21">
      <c r="A730" s="517"/>
      <c r="B730" s="517"/>
      <c r="C730" s="517"/>
      <c r="D730" s="517"/>
      <c r="E730" s="518"/>
      <c r="Q730" s="517"/>
      <c r="R730" s="517"/>
      <c r="S730" s="517"/>
      <c r="T730" s="517"/>
      <c r="U730" s="518"/>
    </row>
    <row r="731" spans="1:21">
      <c r="A731" s="517"/>
      <c r="B731" s="517"/>
      <c r="C731" s="517"/>
      <c r="D731" s="517"/>
      <c r="E731" s="518"/>
      <c r="Q731" s="517"/>
      <c r="R731" s="517"/>
      <c r="S731" s="517"/>
      <c r="T731" s="517"/>
      <c r="U731" s="518"/>
    </row>
    <row r="732" spans="1:21">
      <c r="A732" s="517"/>
      <c r="B732" s="517"/>
      <c r="C732" s="517"/>
      <c r="D732" s="517"/>
      <c r="E732" s="518"/>
      <c r="Q732" s="517"/>
      <c r="R732" s="517"/>
      <c r="S732" s="517"/>
      <c r="T732" s="517"/>
      <c r="U732" s="518"/>
    </row>
    <row r="733" spans="1:21">
      <c r="A733" s="517"/>
      <c r="B733" s="517"/>
      <c r="C733" s="517"/>
      <c r="D733" s="517"/>
      <c r="E733" s="518"/>
      <c r="Q733" s="517"/>
      <c r="R733" s="517"/>
      <c r="S733" s="517"/>
      <c r="T733" s="517"/>
      <c r="U733" s="518"/>
    </row>
    <row r="734" spans="1:21">
      <c r="A734" s="517"/>
      <c r="B734" s="517"/>
      <c r="C734" s="517"/>
      <c r="D734" s="517"/>
      <c r="E734" s="518"/>
      <c r="Q734" s="517"/>
      <c r="R734" s="517"/>
      <c r="S734" s="517"/>
      <c r="T734" s="517"/>
      <c r="U734" s="518"/>
    </row>
    <row r="735" spans="1:21">
      <c r="A735" s="517"/>
      <c r="B735" s="517"/>
      <c r="C735" s="517"/>
      <c r="D735" s="517"/>
      <c r="E735" s="518"/>
      <c r="Q735" s="517"/>
      <c r="R735" s="517"/>
      <c r="S735" s="517"/>
      <c r="T735" s="517"/>
      <c r="U735" s="518"/>
    </row>
    <row r="736" spans="1:21">
      <c r="A736" s="517"/>
      <c r="B736" s="517"/>
      <c r="C736" s="517"/>
      <c r="D736" s="517"/>
      <c r="E736" s="518"/>
      <c r="Q736" s="517"/>
      <c r="R736" s="517"/>
      <c r="S736" s="517"/>
      <c r="T736" s="517"/>
      <c r="U736" s="518"/>
    </row>
    <row r="737" spans="1:21">
      <c r="A737" s="517"/>
      <c r="B737" s="517"/>
      <c r="C737" s="517"/>
      <c r="D737" s="517"/>
      <c r="E737" s="518"/>
      <c r="Q737" s="517"/>
      <c r="R737" s="517"/>
      <c r="S737" s="517"/>
      <c r="T737" s="517"/>
      <c r="U737" s="518"/>
    </row>
    <row r="738" spans="1:21">
      <c r="A738" s="517"/>
      <c r="B738" s="517"/>
      <c r="C738" s="517"/>
      <c r="D738" s="517"/>
      <c r="E738" s="518"/>
      <c r="Q738" s="517"/>
      <c r="R738" s="517"/>
      <c r="S738" s="517"/>
      <c r="T738" s="517"/>
      <c r="U738" s="518"/>
    </row>
    <row r="739" spans="1:21">
      <c r="A739" s="517"/>
      <c r="B739" s="517"/>
      <c r="C739" s="517"/>
      <c r="D739" s="517"/>
      <c r="E739" s="518"/>
      <c r="Q739" s="517"/>
      <c r="R739" s="517"/>
      <c r="S739" s="517"/>
      <c r="T739" s="517"/>
      <c r="U739" s="518"/>
    </row>
    <row r="740" spans="1:21">
      <c r="A740" s="517"/>
      <c r="B740" s="517"/>
      <c r="C740" s="517"/>
      <c r="D740" s="517"/>
      <c r="E740" s="518"/>
      <c r="Q740" s="517"/>
      <c r="R740" s="517"/>
      <c r="S740" s="517"/>
      <c r="T740" s="517"/>
      <c r="U740" s="518"/>
    </row>
    <row r="741" spans="1:21">
      <c r="A741" s="517"/>
      <c r="B741" s="517"/>
      <c r="C741" s="517"/>
      <c r="D741" s="517"/>
      <c r="E741" s="518"/>
      <c r="Q741" s="517"/>
      <c r="R741" s="517"/>
      <c r="S741" s="517"/>
      <c r="T741" s="517"/>
      <c r="U741" s="518"/>
    </row>
    <row r="742" spans="1:21">
      <c r="A742" s="517"/>
      <c r="B742" s="517"/>
      <c r="C742" s="517"/>
      <c r="D742" s="517"/>
      <c r="E742" s="518"/>
      <c r="Q742" s="517"/>
      <c r="R742" s="517"/>
      <c r="S742" s="517"/>
      <c r="T742" s="517"/>
      <c r="U742" s="518"/>
    </row>
    <row r="743" spans="1:21">
      <c r="A743" s="517"/>
      <c r="B743" s="517"/>
      <c r="C743" s="517"/>
      <c r="D743" s="517"/>
      <c r="E743" s="518"/>
      <c r="Q743" s="517"/>
      <c r="R743" s="517"/>
      <c r="S743" s="517"/>
      <c r="T743" s="517"/>
      <c r="U743" s="518"/>
    </row>
    <row r="744" spans="1:21">
      <c r="A744" s="517"/>
      <c r="B744" s="517"/>
      <c r="C744" s="517"/>
      <c r="D744" s="517"/>
      <c r="E744" s="518"/>
      <c r="Q744" s="517"/>
      <c r="R744" s="517"/>
      <c r="S744" s="517"/>
      <c r="T744" s="517"/>
      <c r="U744" s="518"/>
    </row>
    <row r="745" spans="1:21">
      <c r="A745" s="517"/>
      <c r="B745" s="517"/>
      <c r="C745" s="517"/>
      <c r="D745" s="517"/>
      <c r="E745" s="518"/>
      <c r="Q745" s="517"/>
      <c r="R745" s="517"/>
      <c r="S745" s="517"/>
      <c r="T745" s="517"/>
      <c r="U745" s="518"/>
    </row>
    <row r="746" spans="1:21">
      <c r="A746" s="517"/>
      <c r="B746" s="517"/>
      <c r="C746" s="517"/>
      <c r="D746" s="517"/>
      <c r="E746" s="518"/>
      <c r="Q746" s="517"/>
      <c r="R746" s="517"/>
      <c r="S746" s="517"/>
      <c r="T746" s="517"/>
      <c r="U746" s="518"/>
    </row>
    <row r="747" spans="1:21">
      <c r="A747" s="517"/>
      <c r="B747" s="517"/>
      <c r="C747" s="517"/>
      <c r="D747" s="517"/>
      <c r="E747" s="518"/>
      <c r="Q747" s="517"/>
      <c r="R747" s="517"/>
      <c r="S747" s="517"/>
      <c r="T747" s="517"/>
      <c r="U747" s="518"/>
    </row>
    <row r="748" spans="1:21">
      <c r="A748" s="517"/>
      <c r="B748" s="517"/>
      <c r="C748" s="517"/>
      <c r="D748" s="517"/>
      <c r="E748" s="518"/>
      <c r="Q748" s="517"/>
      <c r="R748" s="517"/>
      <c r="S748" s="517"/>
      <c r="T748" s="517"/>
      <c r="U748" s="518"/>
    </row>
    <row r="749" spans="1:21">
      <c r="A749" s="517"/>
      <c r="B749" s="517"/>
      <c r="C749" s="517"/>
      <c r="D749" s="517"/>
      <c r="E749" s="518"/>
      <c r="Q749" s="517"/>
      <c r="R749" s="517"/>
      <c r="S749" s="517"/>
      <c r="T749" s="517"/>
      <c r="U749" s="518"/>
    </row>
    <row r="750" spans="1:21">
      <c r="A750" s="517"/>
      <c r="B750" s="517"/>
      <c r="C750" s="517"/>
      <c r="D750" s="517"/>
      <c r="E750" s="518"/>
      <c r="Q750" s="517"/>
      <c r="R750" s="517"/>
      <c r="S750" s="517"/>
      <c r="T750" s="517"/>
      <c r="U750" s="518"/>
    </row>
    <row r="751" spans="1:21">
      <c r="A751" s="517"/>
      <c r="B751" s="517"/>
      <c r="C751" s="517"/>
      <c r="D751" s="517"/>
      <c r="E751" s="518"/>
      <c r="Q751" s="517"/>
      <c r="R751" s="517"/>
      <c r="S751" s="517"/>
      <c r="T751" s="517"/>
      <c r="U751" s="518"/>
    </row>
    <row r="752" spans="1:21">
      <c r="A752" s="517"/>
      <c r="B752" s="517"/>
      <c r="C752" s="517"/>
      <c r="D752" s="517"/>
      <c r="E752" s="518"/>
      <c r="Q752" s="517"/>
      <c r="R752" s="517"/>
      <c r="S752" s="517"/>
      <c r="T752" s="517"/>
      <c r="U752" s="518"/>
    </row>
    <row r="753" spans="1:21">
      <c r="A753" s="517"/>
      <c r="B753" s="517"/>
      <c r="C753" s="517"/>
      <c r="D753" s="517"/>
      <c r="E753" s="518"/>
      <c r="Q753" s="517"/>
      <c r="R753" s="517"/>
      <c r="S753" s="517"/>
      <c r="T753" s="517"/>
      <c r="U753" s="518"/>
    </row>
    <row r="754" spans="1:21">
      <c r="A754" s="517"/>
      <c r="B754" s="517"/>
      <c r="C754" s="517"/>
      <c r="D754" s="517"/>
      <c r="E754" s="518"/>
      <c r="Q754" s="517"/>
      <c r="R754" s="517"/>
      <c r="S754" s="517"/>
      <c r="T754" s="517"/>
      <c r="U754" s="518"/>
    </row>
    <row r="755" spans="1:21">
      <c r="A755" s="517"/>
      <c r="B755" s="517"/>
      <c r="C755" s="517"/>
      <c r="D755" s="517"/>
      <c r="E755" s="518"/>
      <c r="Q755" s="517"/>
      <c r="R755" s="517"/>
      <c r="S755" s="517"/>
      <c r="T755" s="517"/>
      <c r="U755" s="518"/>
    </row>
    <row r="756" spans="1:21">
      <c r="A756" s="517"/>
      <c r="B756" s="517"/>
      <c r="C756" s="517"/>
      <c r="D756" s="517"/>
      <c r="E756" s="518"/>
      <c r="Q756" s="517"/>
      <c r="R756" s="517"/>
      <c r="S756" s="517"/>
      <c r="T756" s="517"/>
      <c r="U756" s="518"/>
    </row>
    <row r="757" spans="1:21">
      <c r="A757" s="517"/>
      <c r="B757" s="517"/>
      <c r="C757" s="517"/>
      <c r="D757" s="517"/>
      <c r="E757" s="518"/>
      <c r="Q757" s="517"/>
      <c r="R757" s="517"/>
      <c r="S757" s="517"/>
      <c r="T757" s="517"/>
      <c r="U757" s="518"/>
    </row>
    <row r="758" spans="1:21">
      <c r="A758" s="517"/>
      <c r="B758" s="517"/>
      <c r="C758" s="517"/>
      <c r="D758" s="517"/>
      <c r="E758" s="518"/>
      <c r="Q758" s="517"/>
      <c r="R758" s="517"/>
      <c r="S758" s="517"/>
      <c r="T758" s="517"/>
      <c r="U758" s="518"/>
    </row>
    <row r="759" spans="1:21">
      <c r="A759" s="517"/>
      <c r="B759" s="517"/>
      <c r="C759" s="517"/>
      <c r="D759" s="517"/>
      <c r="E759" s="518"/>
      <c r="Q759" s="517"/>
      <c r="R759" s="517"/>
      <c r="S759" s="517"/>
      <c r="T759" s="517"/>
      <c r="U759" s="518"/>
    </row>
    <row r="760" spans="1:21">
      <c r="A760" s="517"/>
      <c r="B760" s="517"/>
      <c r="C760" s="517"/>
      <c r="D760" s="517"/>
      <c r="E760" s="518"/>
      <c r="Q760" s="517"/>
      <c r="R760" s="517"/>
      <c r="S760" s="517"/>
      <c r="T760" s="517"/>
      <c r="U760" s="518"/>
    </row>
    <row r="761" spans="1:21">
      <c r="A761" s="517"/>
      <c r="B761" s="517"/>
      <c r="C761" s="517"/>
      <c r="D761" s="517"/>
      <c r="E761" s="518"/>
      <c r="Q761" s="517"/>
      <c r="R761" s="517"/>
      <c r="S761" s="517"/>
      <c r="T761" s="517"/>
      <c r="U761" s="518"/>
    </row>
    <row r="762" spans="1:21">
      <c r="A762" s="517"/>
      <c r="B762" s="517"/>
      <c r="C762" s="517"/>
      <c r="D762" s="517"/>
      <c r="E762" s="518"/>
      <c r="Q762" s="517"/>
      <c r="R762" s="517"/>
      <c r="S762" s="517"/>
      <c r="T762" s="517"/>
      <c r="U762" s="518"/>
    </row>
    <row r="763" spans="1:21">
      <c r="A763" s="517"/>
      <c r="B763" s="517"/>
      <c r="C763" s="517"/>
      <c r="D763" s="517"/>
      <c r="E763" s="518"/>
      <c r="Q763" s="517"/>
      <c r="R763" s="517"/>
      <c r="S763" s="517"/>
      <c r="T763" s="517"/>
      <c r="U763" s="518"/>
    </row>
    <row r="764" spans="1:21">
      <c r="A764" s="517"/>
      <c r="B764" s="517"/>
      <c r="C764" s="517"/>
      <c r="D764" s="517"/>
      <c r="E764" s="518"/>
      <c r="Q764" s="517"/>
      <c r="R764" s="517"/>
      <c r="S764" s="517"/>
      <c r="T764" s="517"/>
      <c r="U764" s="518"/>
    </row>
    <row r="765" spans="1:21">
      <c r="A765" s="517"/>
      <c r="B765" s="517"/>
      <c r="C765" s="517"/>
      <c r="D765" s="517"/>
      <c r="E765" s="518"/>
      <c r="Q765" s="517"/>
      <c r="R765" s="517"/>
      <c r="S765" s="517"/>
      <c r="T765" s="517"/>
      <c r="U765" s="518"/>
    </row>
    <row r="766" spans="1:21">
      <c r="A766" s="517"/>
      <c r="B766" s="517"/>
      <c r="C766" s="517"/>
      <c r="D766" s="517"/>
      <c r="E766" s="518"/>
      <c r="Q766" s="517"/>
      <c r="R766" s="517"/>
      <c r="S766" s="517"/>
      <c r="T766" s="517"/>
      <c r="U766" s="518"/>
    </row>
    <row r="767" spans="1:21">
      <c r="A767" s="517"/>
      <c r="B767" s="517"/>
      <c r="C767" s="517"/>
      <c r="D767" s="517"/>
      <c r="E767" s="518"/>
      <c r="Q767" s="517"/>
      <c r="R767" s="517"/>
      <c r="S767" s="517"/>
      <c r="T767" s="517"/>
      <c r="U767" s="518"/>
    </row>
    <row r="768" spans="1:21">
      <c r="A768" s="517"/>
      <c r="B768" s="517"/>
      <c r="C768" s="517"/>
      <c r="D768" s="517"/>
      <c r="E768" s="518"/>
      <c r="Q768" s="517"/>
      <c r="R768" s="517"/>
      <c r="S768" s="517"/>
      <c r="T768" s="517"/>
      <c r="U768" s="518"/>
    </row>
    <row r="769" spans="1:21">
      <c r="A769" s="517"/>
      <c r="B769" s="517"/>
      <c r="C769" s="517"/>
      <c r="D769" s="517"/>
      <c r="E769" s="518"/>
      <c r="Q769" s="517"/>
      <c r="R769" s="517"/>
      <c r="S769" s="517"/>
      <c r="T769" s="517"/>
      <c r="U769" s="518"/>
    </row>
    <row r="770" spans="1:21">
      <c r="A770" s="517"/>
      <c r="B770" s="517"/>
      <c r="C770" s="517"/>
      <c r="D770" s="517"/>
      <c r="E770" s="518"/>
      <c r="Q770" s="517"/>
      <c r="R770" s="517"/>
      <c r="S770" s="517"/>
      <c r="T770" s="517"/>
      <c r="U770" s="518"/>
    </row>
    <row r="771" spans="1:21">
      <c r="A771" s="517"/>
      <c r="B771" s="517"/>
      <c r="C771" s="517"/>
      <c r="D771" s="517"/>
      <c r="E771" s="518"/>
      <c r="Q771" s="517"/>
      <c r="R771" s="517"/>
      <c r="S771" s="517"/>
      <c r="T771" s="517"/>
      <c r="U771" s="518"/>
    </row>
    <row r="772" spans="1:21">
      <c r="A772" s="517"/>
      <c r="B772" s="517"/>
      <c r="C772" s="517"/>
      <c r="D772" s="517"/>
      <c r="E772" s="518"/>
      <c r="Q772" s="517"/>
      <c r="R772" s="517"/>
      <c r="S772" s="517"/>
      <c r="T772" s="517"/>
      <c r="U772" s="518"/>
    </row>
    <row r="773" spans="1:21">
      <c r="A773" s="517"/>
      <c r="B773" s="517"/>
      <c r="C773" s="517"/>
      <c r="D773" s="517"/>
      <c r="E773" s="518"/>
      <c r="Q773" s="517"/>
      <c r="R773" s="517"/>
      <c r="S773" s="517"/>
      <c r="T773" s="517"/>
      <c r="U773" s="518"/>
    </row>
    <row r="774" spans="1:21">
      <c r="A774" s="517"/>
      <c r="B774" s="517"/>
      <c r="C774" s="517"/>
      <c r="D774" s="517"/>
      <c r="E774" s="518"/>
      <c r="Q774" s="517"/>
      <c r="R774" s="517"/>
      <c r="S774" s="517"/>
      <c r="T774" s="517"/>
      <c r="U774" s="518"/>
    </row>
    <row r="775" spans="1:21">
      <c r="A775" s="517"/>
      <c r="B775" s="517"/>
      <c r="C775" s="517"/>
      <c r="D775" s="517"/>
      <c r="E775" s="518"/>
      <c r="Q775" s="517"/>
      <c r="R775" s="517"/>
      <c r="S775" s="517"/>
      <c r="T775" s="517"/>
      <c r="U775" s="518"/>
    </row>
    <row r="776" spans="1:21">
      <c r="A776" s="517"/>
      <c r="B776" s="517"/>
      <c r="C776" s="517"/>
      <c r="D776" s="517"/>
      <c r="E776" s="518"/>
      <c r="Q776" s="517"/>
      <c r="R776" s="517"/>
      <c r="S776" s="517"/>
      <c r="T776" s="517"/>
      <c r="U776" s="518"/>
    </row>
    <row r="777" spans="1:21">
      <c r="A777" s="517"/>
      <c r="B777" s="517"/>
      <c r="C777" s="517"/>
      <c r="D777" s="517"/>
      <c r="E777" s="518"/>
      <c r="Q777" s="517"/>
      <c r="R777" s="517"/>
      <c r="S777" s="517"/>
      <c r="T777" s="517"/>
      <c r="U777" s="518"/>
    </row>
    <row r="778" spans="1:21">
      <c r="A778" s="517"/>
      <c r="B778" s="517"/>
      <c r="C778" s="517"/>
      <c r="D778" s="517"/>
      <c r="E778" s="518"/>
      <c r="Q778" s="517"/>
      <c r="R778" s="517"/>
      <c r="S778" s="517"/>
      <c r="T778" s="517"/>
      <c r="U778" s="518"/>
    </row>
    <row r="779" spans="1:21">
      <c r="A779" s="517"/>
      <c r="B779" s="517"/>
      <c r="C779" s="517"/>
      <c r="D779" s="517"/>
      <c r="E779" s="518"/>
      <c r="Q779" s="517"/>
      <c r="R779" s="517"/>
      <c r="S779" s="517"/>
      <c r="T779" s="517"/>
      <c r="U779" s="518"/>
    </row>
    <row r="780" spans="1:21">
      <c r="A780" s="517"/>
      <c r="B780" s="517"/>
      <c r="C780" s="517"/>
      <c r="D780" s="517"/>
      <c r="E780" s="518"/>
      <c r="Q780" s="517"/>
      <c r="R780" s="517"/>
      <c r="S780" s="517"/>
      <c r="T780" s="517"/>
      <c r="U780" s="518"/>
    </row>
    <row r="781" spans="1:21">
      <c r="A781" s="517"/>
      <c r="B781" s="517"/>
      <c r="C781" s="517"/>
      <c r="D781" s="517"/>
      <c r="E781" s="518"/>
      <c r="Q781" s="517"/>
      <c r="R781" s="517"/>
      <c r="S781" s="517"/>
      <c r="T781" s="517"/>
      <c r="U781" s="518"/>
    </row>
    <row r="782" spans="1:21">
      <c r="A782" s="517"/>
      <c r="B782" s="517"/>
      <c r="C782" s="517"/>
      <c r="D782" s="517"/>
      <c r="E782" s="518"/>
      <c r="Q782" s="517"/>
      <c r="R782" s="517"/>
      <c r="S782" s="517"/>
      <c r="T782" s="517"/>
      <c r="U782" s="518"/>
    </row>
    <row r="783" spans="1:21">
      <c r="A783" s="517"/>
      <c r="B783" s="517"/>
      <c r="C783" s="517"/>
      <c r="D783" s="517"/>
      <c r="E783" s="518"/>
      <c r="Q783" s="517"/>
      <c r="R783" s="517"/>
      <c r="S783" s="517"/>
      <c r="T783" s="517"/>
      <c r="U783" s="518"/>
    </row>
    <row r="784" spans="1:21">
      <c r="A784" s="517"/>
      <c r="B784" s="517"/>
      <c r="C784" s="517"/>
      <c r="D784" s="517"/>
      <c r="E784" s="518"/>
      <c r="Q784" s="517"/>
      <c r="R784" s="517"/>
      <c r="S784" s="517"/>
      <c r="T784" s="517"/>
      <c r="U784" s="518"/>
    </row>
    <row r="785" spans="1:21">
      <c r="A785" s="517"/>
      <c r="B785" s="517"/>
      <c r="C785" s="517"/>
      <c r="D785" s="517"/>
      <c r="E785" s="518"/>
      <c r="Q785" s="517"/>
      <c r="R785" s="517"/>
      <c r="S785" s="517"/>
      <c r="T785" s="517"/>
      <c r="U785" s="518"/>
    </row>
    <row r="786" spans="1:21">
      <c r="A786" s="517"/>
      <c r="B786" s="517"/>
      <c r="C786" s="517"/>
      <c r="D786" s="517"/>
      <c r="E786" s="518"/>
      <c r="Q786" s="517"/>
      <c r="R786" s="517"/>
      <c r="S786" s="517"/>
      <c r="T786" s="517"/>
      <c r="U786" s="518"/>
    </row>
    <row r="787" spans="1:21">
      <c r="A787" s="517"/>
      <c r="B787" s="517"/>
      <c r="C787" s="517"/>
      <c r="D787" s="517"/>
      <c r="E787" s="518"/>
      <c r="Q787" s="517"/>
      <c r="R787" s="517"/>
      <c r="S787" s="517"/>
      <c r="T787" s="517"/>
      <c r="U787" s="518"/>
    </row>
    <row r="788" spans="1:21">
      <c r="A788" s="517"/>
      <c r="B788" s="517"/>
      <c r="C788" s="517"/>
      <c r="D788" s="517"/>
      <c r="E788" s="518"/>
      <c r="Q788" s="517"/>
      <c r="R788" s="517"/>
      <c r="S788" s="517"/>
      <c r="T788" s="517"/>
      <c r="U788" s="518"/>
    </row>
    <row r="789" spans="1:21">
      <c r="A789" s="517"/>
      <c r="B789" s="517"/>
      <c r="C789" s="517"/>
      <c r="D789" s="517"/>
      <c r="E789" s="518"/>
      <c r="Q789" s="517"/>
      <c r="R789" s="517"/>
      <c r="S789" s="517"/>
      <c r="T789" s="517"/>
      <c r="U789" s="518"/>
    </row>
    <row r="790" spans="1:21">
      <c r="A790" s="517"/>
      <c r="B790" s="517"/>
      <c r="C790" s="517"/>
      <c r="D790" s="517"/>
      <c r="E790" s="518"/>
      <c r="Q790" s="517"/>
      <c r="R790" s="517"/>
      <c r="S790" s="517"/>
      <c r="T790" s="517"/>
      <c r="U790" s="518"/>
    </row>
    <row r="791" spans="1:21">
      <c r="A791" s="517"/>
      <c r="B791" s="517"/>
      <c r="C791" s="517"/>
      <c r="D791" s="517"/>
      <c r="E791" s="518"/>
      <c r="Q791" s="517"/>
      <c r="R791" s="517"/>
      <c r="S791" s="517"/>
      <c r="T791" s="517"/>
      <c r="U791" s="518"/>
    </row>
    <row r="792" spans="1:21">
      <c r="A792" s="517"/>
      <c r="B792" s="517"/>
      <c r="C792" s="517"/>
      <c r="D792" s="517"/>
      <c r="E792" s="518"/>
      <c r="Q792" s="517"/>
      <c r="R792" s="517"/>
      <c r="S792" s="517"/>
      <c r="T792" s="517"/>
      <c r="U792" s="518"/>
    </row>
    <row r="793" spans="1:21">
      <c r="A793" s="517"/>
      <c r="B793" s="517"/>
      <c r="C793" s="517"/>
      <c r="D793" s="517"/>
      <c r="E793" s="518"/>
      <c r="Q793" s="517"/>
      <c r="R793" s="517"/>
      <c r="S793" s="517"/>
      <c r="T793" s="517"/>
      <c r="U793" s="518"/>
    </row>
    <row r="794" spans="1:21">
      <c r="A794" s="517"/>
      <c r="B794" s="517"/>
      <c r="C794" s="517"/>
      <c r="D794" s="517"/>
      <c r="E794" s="518"/>
      <c r="Q794" s="517"/>
      <c r="R794" s="517"/>
      <c r="S794" s="517"/>
      <c r="T794" s="517"/>
      <c r="U794" s="518"/>
    </row>
    <row r="795" spans="1:21">
      <c r="A795" s="517"/>
      <c r="B795" s="517"/>
      <c r="C795" s="517"/>
      <c r="D795" s="517"/>
      <c r="E795" s="518"/>
      <c r="Q795" s="517"/>
      <c r="R795" s="517"/>
      <c r="S795" s="517"/>
      <c r="T795" s="517"/>
      <c r="U795" s="518"/>
    </row>
    <row r="796" spans="1:21">
      <c r="A796" s="517"/>
      <c r="B796" s="517"/>
      <c r="C796" s="517"/>
      <c r="D796" s="517"/>
      <c r="E796" s="518"/>
      <c r="Q796" s="517"/>
      <c r="R796" s="517"/>
      <c r="S796" s="517"/>
      <c r="T796" s="517"/>
      <c r="U796" s="518"/>
    </row>
    <row r="797" spans="1:21">
      <c r="A797" s="517"/>
      <c r="B797" s="517"/>
      <c r="C797" s="517"/>
      <c r="D797" s="517"/>
      <c r="E797" s="518"/>
      <c r="Q797" s="517"/>
      <c r="R797" s="517"/>
      <c r="S797" s="517"/>
      <c r="T797" s="517"/>
      <c r="U797" s="518"/>
    </row>
    <row r="798" spans="1:21">
      <c r="A798" s="517"/>
      <c r="B798" s="517"/>
      <c r="C798" s="517"/>
      <c r="D798" s="517"/>
      <c r="E798" s="518"/>
      <c r="Q798" s="517"/>
      <c r="R798" s="517"/>
      <c r="S798" s="517"/>
      <c r="T798" s="517"/>
      <c r="U798" s="518"/>
    </row>
    <row r="799" spans="1:21">
      <c r="A799" s="517"/>
      <c r="B799" s="517"/>
      <c r="C799" s="517"/>
      <c r="D799" s="517"/>
      <c r="E799" s="518"/>
      <c r="Q799" s="517"/>
      <c r="R799" s="517"/>
      <c r="S799" s="517"/>
      <c r="T799" s="517"/>
      <c r="U799" s="518"/>
    </row>
    <row r="800" spans="1:21">
      <c r="A800" s="517"/>
      <c r="B800" s="517"/>
      <c r="C800" s="517"/>
      <c r="D800" s="517"/>
      <c r="E800" s="518"/>
      <c r="Q800" s="517"/>
      <c r="R800" s="517"/>
      <c r="S800" s="517"/>
      <c r="T800" s="517"/>
      <c r="U800" s="518"/>
    </row>
    <row r="801" spans="1:21">
      <c r="A801" s="517"/>
      <c r="B801" s="517"/>
      <c r="C801" s="517"/>
      <c r="D801" s="517"/>
      <c r="E801" s="518"/>
      <c r="Q801" s="517"/>
      <c r="R801" s="517"/>
      <c r="S801" s="517"/>
      <c r="T801" s="517"/>
      <c r="U801" s="518"/>
    </row>
    <row r="802" spans="1:21">
      <c r="A802" s="517"/>
      <c r="B802" s="517"/>
      <c r="C802" s="517"/>
      <c r="D802" s="517"/>
      <c r="E802" s="518"/>
      <c r="Q802" s="517"/>
      <c r="R802" s="517"/>
      <c r="S802" s="517"/>
      <c r="T802" s="517"/>
      <c r="U802" s="518"/>
    </row>
    <row r="803" spans="1:21">
      <c r="A803" s="517"/>
      <c r="B803" s="517"/>
      <c r="C803" s="517"/>
      <c r="D803" s="517"/>
      <c r="E803" s="518"/>
      <c r="Q803" s="517"/>
      <c r="R803" s="517"/>
      <c r="S803" s="517"/>
      <c r="T803" s="517"/>
      <c r="U803" s="518"/>
    </row>
    <row r="804" spans="1:21">
      <c r="A804" s="517"/>
      <c r="B804" s="517"/>
      <c r="C804" s="517"/>
      <c r="D804" s="517"/>
      <c r="E804" s="518"/>
      <c r="Q804" s="517"/>
      <c r="R804" s="517"/>
      <c r="S804" s="517"/>
      <c r="T804" s="517"/>
      <c r="U804" s="518"/>
    </row>
    <row r="805" spans="1:21">
      <c r="A805" s="517"/>
      <c r="B805" s="517"/>
      <c r="C805" s="517"/>
      <c r="D805" s="517"/>
      <c r="E805" s="518"/>
      <c r="Q805" s="517"/>
      <c r="R805" s="517"/>
      <c r="S805" s="517"/>
      <c r="T805" s="517"/>
      <c r="U805" s="518"/>
    </row>
    <row r="806" spans="1:21">
      <c r="A806" s="517"/>
      <c r="B806" s="517"/>
      <c r="C806" s="517"/>
      <c r="D806" s="517"/>
      <c r="E806" s="518"/>
      <c r="Q806" s="517"/>
      <c r="R806" s="517"/>
      <c r="S806" s="517"/>
      <c r="T806" s="517"/>
      <c r="U806" s="518"/>
    </row>
    <row r="807" spans="1:21">
      <c r="A807" s="517"/>
      <c r="B807" s="517"/>
      <c r="C807" s="517"/>
      <c r="D807" s="517"/>
      <c r="E807" s="518"/>
      <c r="Q807" s="517"/>
      <c r="R807" s="517"/>
      <c r="S807" s="517"/>
      <c r="T807" s="517"/>
      <c r="U807" s="518"/>
    </row>
    <row r="808" spans="1:21">
      <c r="A808" s="517"/>
      <c r="B808" s="517"/>
      <c r="C808" s="517"/>
      <c r="D808" s="517"/>
      <c r="E808" s="518"/>
      <c r="Q808" s="517"/>
      <c r="R808" s="517"/>
      <c r="S808" s="517"/>
      <c r="T808" s="517"/>
      <c r="U808" s="518"/>
    </row>
    <row r="809" spans="1:21">
      <c r="A809" s="517"/>
      <c r="B809" s="517"/>
      <c r="C809" s="517"/>
      <c r="D809" s="517"/>
      <c r="E809" s="518"/>
      <c r="Q809" s="517"/>
      <c r="R809" s="517"/>
      <c r="S809" s="517"/>
      <c r="T809" s="517"/>
      <c r="U809" s="518"/>
    </row>
    <row r="810" spans="1:21">
      <c r="A810" s="517"/>
      <c r="B810" s="517"/>
      <c r="C810" s="517"/>
      <c r="D810" s="517"/>
      <c r="E810" s="518"/>
      <c r="Q810" s="517"/>
      <c r="R810" s="517"/>
      <c r="S810" s="517"/>
      <c r="T810" s="517"/>
      <c r="U810" s="518"/>
    </row>
    <row r="811" spans="1:21">
      <c r="A811" s="517"/>
      <c r="B811" s="517"/>
      <c r="C811" s="517"/>
      <c r="D811" s="517"/>
      <c r="E811" s="518"/>
      <c r="Q811" s="517"/>
      <c r="R811" s="517"/>
      <c r="S811" s="517"/>
      <c r="T811" s="517"/>
      <c r="U811" s="518"/>
    </row>
    <row r="812" spans="1:21">
      <c r="A812" s="517"/>
      <c r="B812" s="517"/>
      <c r="C812" s="517"/>
      <c r="D812" s="517"/>
      <c r="E812" s="518"/>
      <c r="Q812" s="517"/>
      <c r="R812" s="517"/>
      <c r="S812" s="517"/>
      <c r="T812" s="517"/>
      <c r="U812" s="518"/>
    </row>
    <row r="813" spans="1:21">
      <c r="A813" s="517"/>
      <c r="B813" s="517"/>
      <c r="C813" s="517"/>
      <c r="D813" s="517"/>
      <c r="E813" s="518"/>
      <c r="Q813" s="517"/>
      <c r="R813" s="517"/>
      <c r="S813" s="517"/>
      <c r="T813" s="517"/>
      <c r="U813" s="518"/>
    </row>
    <row r="814" spans="1:21">
      <c r="A814" s="517"/>
      <c r="B814" s="517"/>
      <c r="C814" s="517"/>
      <c r="D814" s="517"/>
      <c r="E814" s="518"/>
      <c r="Q814" s="517"/>
      <c r="R814" s="517"/>
      <c r="S814" s="517"/>
      <c r="T814" s="517"/>
      <c r="U814" s="518"/>
    </row>
    <row r="815" spans="1:21">
      <c r="A815" s="517"/>
      <c r="B815" s="517"/>
      <c r="C815" s="517"/>
      <c r="D815" s="517"/>
      <c r="E815" s="518"/>
      <c r="Q815" s="517"/>
      <c r="R815" s="517"/>
      <c r="S815" s="517"/>
      <c r="T815" s="517"/>
      <c r="U815" s="518"/>
    </row>
    <row r="816" spans="1:21">
      <c r="A816" s="517"/>
      <c r="B816" s="517"/>
      <c r="C816" s="517"/>
      <c r="D816" s="517"/>
      <c r="E816" s="518"/>
      <c r="Q816" s="517"/>
      <c r="R816" s="517"/>
      <c r="S816" s="517"/>
      <c r="T816" s="517"/>
      <c r="U816" s="518"/>
    </row>
    <row r="817" spans="1:21">
      <c r="A817" s="517"/>
      <c r="B817" s="517"/>
      <c r="C817" s="517"/>
      <c r="D817" s="517"/>
      <c r="E817" s="518"/>
      <c r="Q817" s="517"/>
      <c r="R817" s="517"/>
      <c r="S817" s="517"/>
      <c r="T817" s="517"/>
      <c r="U817" s="518"/>
    </row>
    <row r="818" spans="1:21">
      <c r="A818" s="517"/>
      <c r="B818" s="517"/>
      <c r="C818" s="517"/>
      <c r="D818" s="517"/>
      <c r="E818" s="518"/>
      <c r="Q818" s="517"/>
      <c r="R818" s="517"/>
      <c r="S818" s="517"/>
      <c r="T818" s="517"/>
      <c r="U818" s="518"/>
    </row>
    <row r="819" spans="1:21">
      <c r="A819" s="517"/>
      <c r="B819" s="517"/>
      <c r="C819" s="517"/>
      <c r="D819" s="517"/>
      <c r="E819" s="518"/>
      <c r="Q819" s="517"/>
      <c r="R819" s="517"/>
      <c r="S819" s="517"/>
      <c r="T819" s="517"/>
      <c r="U819" s="518"/>
    </row>
    <row r="820" spans="1:21">
      <c r="A820" s="517"/>
      <c r="B820" s="517"/>
      <c r="C820" s="517"/>
      <c r="D820" s="517"/>
      <c r="E820" s="518"/>
      <c r="Q820" s="517"/>
      <c r="R820" s="517"/>
      <c r="S820" s="517"/>
      <c r="T820" s="517"/>
      <c r="U820" s="518"/>
    </row>
    <row r="821" spans="1:21">
      <c r="A821" s="517"/>
      <c r="B821" s="517"/>
      <c r="C821" s="517"/>
      <c r="D821" s="517"/>
      <c r="E821" s="518"/>
      <c r="Q821" s="517"/>
      <c r="R821" s="517"/>
      <c r="S821" s="517"/>
      <c r="T821" s="517"/>
      <c r="U821" s="518"/>
    </row>
    <row r="822" spans="1:21">
      <c r="A822" s="517"/>
      <c r="B822" s="517"/>
      <c r="C822" s="517"/>
      <c r="D822" s="517"/>
      <c r="E822" s="518"/>
      <c r="Q822" s="517"/>
      <c r="R822" s="517"/>
      <c r="S822" s="517"/>
      <c r="T822" s="517"/>
      <c r="U822" s="518"/>
    </row>
    <row r="823" spans="1:21">
      <c r="A823" s="517"/>
      <c r="B823" s="517"/>
      <c r="C823" s="517"/>
      <c r="D823" s="517"/>
      <c r="E823" s="518"/>
      <c r="Q823" s="517"/>
      <c r="R823" s="517"/>
      <c r="S823" s="517"/>
      <c r="T823" s="517"/>
      <c r="U823" s="518"/>
    </row>
    <row r="824" spans="1:21">
      <c r="A824" s="517"/>
      <c r="B824" s="517"/>
      <c r="C824" s="517"/>
      <c r="D824" s="517"/>
      <c r="E824" s="518"/>
      <c r="Q824" s="517"/>
      <c r="R824" s="517"/>
      <c r="S824" s="517"/>
      <c r="T824" s="517"/>
      <c r="U824" s="518"/>
    </row>
    <row r="825" spans="1:21">
      <c r="A825" s="517"/>
      <c r="B825" s="517"/>
      <c r="C825" s="517"/>
      <c r="D825" s="517"/>
      <c r="E825" s="518"/>
      <c r="Q825" s="517"/>
      <c r="R825" s="517"/>
      <c r="S825" s="517"/>
      <c r="T825" s="517"/>
      <c r="U825" s="518"/>
    </row>
    <row r="826" spans="1:21">
      <c r="A826" s="517"/>
      <c r="B826" s="517"/>
      <c r="C826" s="517"/>
      <c r="D826" s="517"/>
      <c r="E826" s="518"/>
      <c r="Q826" s="517"/>
      <c r="R826" s="517"/>
      <c r="S826" s="517"/>
      <c r="T826" s="517"/>
      <c r="U826" s="518"/>
    </row>
    <row r="827" spans="1:21">
      <c r="A827" s="517"/>
      <c r="B827" s="517"/>
      <c r="C827" s="517"/>
      <c r="D827" s="517"/>
      <c r="E827" s="518"/>
      <c r="Q827" s="517"/>
      <c r="R827" s="517"/>
      <c r="S827" s="517"/>
      <c r="T827" s="517"/>
      <c r="U827" s="518"/>
    </row>
    <row r="828" spans="1:21">
      <c r="A828" s="517"/>
      <c r="B828" s="517"/>
      <c r="C828" s="517"/>
      <c r="D828" s="517"/>
      <c r="E828" s="518"/>
      <c r="Q828" s="517"/>
      <c r="R828" s="517"/>
      <c r="S828" s="517"/>
      <c r="T828" s="517"/>
      <c r="U828" s="518"/>
    </row>
    <row r="829" spans="1:21">
      <c r="A829" s="517"/>
      <c r="B829" s="517"/>
      <c r="C829" s="517"/>
      <c r="D829" s="517"/>
      <c r="E829" s="518"/>
      <c r="Q829" s="517"/>
      <c r="R829" s="517"/>
      <c r="S829" s="517"/>
      <c r="T829" s="517"/>
      <c r="U829" s="518"/>
    </row>
    <row r="830" spans="1:21">
      <c r="A830" s="517"/>
      <c r="B830" s="517"/>
      <c r="C830" s="517"/>
      <c r="D830" s="517"/>
      <c r="E830" s="518"/>
      <c r="Q830" s="517"/>
      <c r="R830" s="517"/>
      <c r="S830" s="517"/>
      <c r="T830" s="517"/>
      <c r="U830" s="518"/>
    </row>
    <row r="831" spans="1:21">
      <c r="A831" s="517"/>
      <c r="B831" s="517"/>
      <c r="C831" s="517"/>
      <c r="D831" s="517"/>
      <c r="E831" s="518"/>
      <c r="Q831" s="517"/>
      <c r="R831" s="517"/>
      <c r="S831" s="517"/>
      <c r="T831" s="517"/>
      <c r="U831" s="518"/>
    </row>
    <row r="832" spans="1:21">
      <c r="A832" s="517"/>
      <c r="B832" s="517"/>
      <c r="C832" s="517"/>
      <c r="D832" s="517"/>
      <c r="E832" s="518"/>
      <c r="Q832" s="517"/>
      <c r="R832" s="517"/>
      <c r="S832" s="517"/>
      <c r="T832" s="517"/>
      <c r="U832" s="518"/>
    </row>
    <row r="833" spans="1:21">
      <c r="A833" s="517"/>
      <c r="B833" s="517"/>
      <c r="C833" s="517"/>
      <c r="D833" s="517"/>
      <c r="E833" s="518"/>
      <c r="Q833" s="517"/>
      <c r="R833" s="517"/>
      <c r="S833" s="517"/>
      <c r="T833" s="517"/>
      <c r="U833" s="518"/>
    </row>
    <row r="834" spans="1:21">
      <c r="A834" s="517"/>
      <c r="B834" s="517"/>
      <c r="C834" s="517"/>
      <c r="D834" s="517"/>
      <c r="E834" s="518"/>
      <c r="Q834" s="517"/>
      <c r="R834" s="517"/>
      <c r="S834" s="517"/>
      <c r="T834" s="517"/>
      <c r="U834" s="518"/>
    </row>
    <row r="835" spans="1:21">
      <c r="A835" s="517"/>
      <c r="B835" s="517"/>
      <c r="C835" s="517"/>
      <c r="D835" s="517"/>
      <c r="E835" s="518"/>
      <c r="Q835" s="517"/>
      <c r="R835" s="517"/>
      <c r="S835" s="517"/>
      <c r="T835" s="517"/>
      <c r="U835" s="518"/>
    </row>
    <row r="836" spans="1:21">
      <c r="A836" s="517"/>
      <c r="B836" s="517"/>
      <c r="C836" s="517"/>
      <c r="D836" s="517"/>
      <c r="E836" s="518"/>
      <c r="Q836" s="517"/>
      <c r="R836" s="517"/>
      <c r="S836" s="517"/>
      <c r="T836" s="517"/>
      <c r="U836" s="518"/>
    </row>
    <row r="837" spans="1:21">
      <c r="A837" s="517"/>
      <c r="B837" s="517"/>
      <c r="C837" s="517"/>
      <c r="D837" s="517"/>
      <c r="E837" s="518"/>
      <c r="Q837" s="517"/>
      <c r="R837" s="517"/>
      <c r="S837" s="517"/>
      <c r="T837" s="517"/>
      <c r="U837" s="518"/>
    </row>
    <row r="838" spans="1:21">
      <c r="A838" s="517"/>
      <c r="B838" s="517"/>
      <c r="C838" s="517"/>
      <c r="D838" s="517"/>
      <c r="E838" s="518"/>
      <c r="Q838" s="517"/>
      <c r="R838" s="517"/>
      <c r="S838" s="517"/>
      <c r="T838" s="517"/>
      <c r="U838" s="518"/>
    </row>
    <row r="839" spans="1:21">
      <c r="A839" s="517"/>
      <c r="B839" s="517"/>
      <c r="C839" s="517"/>
      <c r="D839" s="517"/>
      <c r="E839" s="518"/>
      <c r="Q839" s="517"/>
      <c r="R839" s="517"/>
      <c r="S839" s="517"/>
      <c r="T839" s="517"/>
      <c r="U839" s="518"/>
    </row>
    <row r="840" spans="1:21">
      <c r="A840" s="517"/>
      <c r="B840" s="517"/>
      <c r="C840" s="517"/>
      <c r="D840" s="517"/>
      <c r="E840" s="518"/>
      <c r="Q840" s="517"/>
      <c r="R840" s="517"/>
      <c r="S840" s="517"/>
      <c r="T840" s="517"/>
      <c r="U840" s="518"/>
    </row>
    <row r="841" spans="1:21">
      <c r="A841" s="517"/>
      <c r="B841" s="517"/>
      <c r="C841" s="517"/>
      <c r="D841" s="517"/>
      <c r="E841" s="518"/>
      <c r="Q841" s="517"/>
      <c r="R841" s="517"/>
      <c r="S841" s="517"/>
      <c r="T841" s="517"/>
      <c r="U841" s="518"/>
    </row>
    <row r="842" spans="1:21">
      <c r="A842" s="517"/>
      <c r="B842" s="517"/>
      <c r="C842" s="517"/>
      <c r="D842" s="517"/>
      <c r="E842" s="518"/>
      <c r="Q842" s="517"/>
      <c r="R842" s="517"/>
      <c r="S842" s="517"/>
      <c r="T842" s="517"/>
      <c r="U842" s="518"/>
    </row>
    <row r="843" spans="1:21">
      <c r="A843" s="517"/>
      <c r="B843" s="517"/>
      <c r="C843" s="517"/>
      <c r="D843" s="517"/>
      <c r="E843" s="518"/>
      <c r="Q843" s="517"/>
      <c r="R843" s="517"/>
      <c r="S843" s="517"/>
      <c r="T843" s="517"/>
      <c r="U843" s="518"/>
    </row>
    <row r="844" spans="1:21">
      <c r="A844" s="517"/>
      <c r="B844" s="517"/>
      <c r="C844" s="517"/>
      <c r="D844" s="517"/>
      <c r="E844" s="518"/>
      <c r="Q844" s="517"/>
      <c r="R844" s="517"/>
      <c r="S844" s="517"/>
      <c r="T844" s="517"/>
      <c r="U844" s="518"/>
    </row>
    <row r="845" spans="1:21">
      <c r="A845" s="517"/>
      <c r="B845" s="517"/>
      <c r="C845" s="517"/>
      <c r="D845" s="517"/>
      <c r="E845" s="518"/>
      <c r="Q845" s="517"/>
      <c r="R845" s="517"/>
      <c r="S845" s="517"/>
      <c r="T845" s="517"/>
      <c r="U845" s="518"/>
    </row>
    <row r="846" spans="1:21">
      <c r="A846" s="517"/>
      <c r="B846" s="517"/>
      <c r="C846" s="517"/>
      <c r="D846" s="517"/>
      <c r="E846" s="518"/>
      <c r="Q846" s="517"/>
      <c r="R846" s="517"/>
      <c r="S846" s="517"/>
      <c r="T846" s="517"/>
      <c r="U846" s="518"/>
    </row>
    <row r="847" spans="1:21">
      <c r="A847" s="517"/>
      <c r="B847" s="517"/>
      <c r="C847" s="517"/>
      <c r="D847" s="517"/>
      <c r="E847" s="518"/>
      <c r="Q847" s="517"/>
      <c r="R847" s="517"/>
      <c r="S847" s="517"/>
      <c r="T847" s="517"/>
      <c r="U847" s="518"/>
    </row>
    <row r="848" spans="1:21">
      <c r="A848" s="517"/>
      <c r="B848" s="517"/>
      <c r="C848" s="517"/>
      <c r="D848" s="517"/>
      <c r="E848" s="518"/>
      <c r="Q848" s="517"/>
      <c r="R848" s="517"/>
      <c r="S848" s="517"/>
      <c r="T848" s="517"/>
      <c r="U848" s="518"/>
    </row>
    <row r="849" spans="1:21">
      <c r="A849" s="517"/>
      <c r="B849" s="517"/>
      <c r="C849" s="517"/>
      <c r="D849" s="517"/>
      <c r="E849" s="518"/>
      <c r="Q849" s="517"/>
      <c r="R849" s="517"/>
      <c r="S849" s="517"/>
      <c r="T849" s="517"/>
      <c r="U849" s="518"/>
    </row>
    <row r="850" spans="1:21">
      <c r="A850" s="517"/>
      <c r="B850" s="517"/>
      <c r="C850" s="517"/>
      <c r="D850" s="517"/>
      <c r="E850" s="518"/>
      <c r="Q850" s="517"/>
      <c r="R850" s="517"/>
      <c r="S850" s="517"/>
      <c r="T850" s="517"/>
      <c r="U850" s="518"/>
    </row>
    <row r="851" spans="1:21">
      <c r="A851" s="517"/>
      <c r="B851" s="517"/>
      <c r="C851" s="517"/>
      <c r="D851" s="517"/>
      <c r="E851" s="518"/>
      <c r="Q851" s="517"/>
      <c r="R851" s="517"/>
      <c r="S851" s="517"/>
      <c r="T851" s="517"/>
      <c r="U851" s="518"/>
    </row>
    <row r="852" spans="1:21">
      <c r="A852" s="517"/>
      <c r="B852" s="517"/>
      <c r="C852" s="517"/>
      <c r="D852" s="517"/>
      <c r="E852" s="518"/>
      <c r="Q852" s="517"/>
      <c r="R852" s="517"/>
      <c r="S852" s="517"/>
      <c r="T852" s="517"/>
      <c r="U852" s="518"/>
    </row>
    <row r="853" spans="1:21">
      <c r="A853" s="517"/>
      <c r="B853" s="517"/>
      <c r="C853" s="517"/>
      <c r="D853" s="517"/>
      <c r="E853" s="518"/>
      <c r="Q853" s="517"/>
      <c r="R853" s="517"/>
      <c r="S853" s="517"/>
      <c r="T853" s="517"/>
      <c r="U853" s="518"/>
    </row>
    <row r="854" spans="1:21">
      <c r="A854" s="517"/>
      <c r="B854" s="517"/>
      <c r="C854" s="517"/>
      <c r="D854" s="517"/>
      <c r="E854" s="518"/>
      <c r="Q854" s="517"/>
      <c r="R854" s="517"/>
      <c r="S854" s="517"/>
      <c r="T854" s="517"/>
      <c r="U854" s="518"/>
    </row>
    <row r="855" spans="1:21">
      <c r="A855" s="517"/>
      <c r="B855" s="517"/>
      <c r="C855" s="517"/>
      <c r="D855" s="517"/>
      <c r="E855" s="518"/>
      <c r="Q855" s="517"/>
      <c r="R855" s="517"/>
      <c r="S855" s="517"/>
      <c r="T855" s="517"/>
      <c r="U855" s="518"/>
    </row>
    <row r="856" spans="1:21">
      <c r="A856" s="517"/>
      <c r="B856" s="517"/>
      <c r="C856" s="517"/>
      <c r="D856" s="517"/>
      <c r="E856" s="518"/>
      <c r="Q856" s="517"/>
      <c r="R856" s="517"/>
      <c r="S856" s="517"/>
      <c r="T856" s="517"/>
      <c r="U856" s="518"/>
    </row>
    <row r="857" spans="1:21">
      <c r="A857" s="517"/>
      <c r="B857" s="517"/>
      <c r="C857" s="517"/>
      <c r="D857" s="517"/>
      <c r="E857" s="518"/>
      <c r="Q857" s="517"/>
      <c r="R857" s="517"/>
      <c r="S857" s="517"/>
      <c r="T857" s="517"/>
      <c r="U857" s="518"/>
    </row>
    <row r="858" spans="1:21">
      <c r="A858" s="517"/>
      <c r="B858" s="517"/>
      <c r="C858" s="517"/>
      <c r="D858" s="517"/>
      <c r="E858" s="518"/>
      <c r="Q858" s="517"/>
      <c r="R858" s="517"/>
      <c r="S858" s="517"/>
      <c r="T858" s="517"/>
      <c r="U858" s="518"/>
    </row>
    <row r="859" spans="1:21">
      <c r="A859" s="517"/>
      <c r="B859" s="517"/>
      <c r="C859" s="517"/>
      <c r="D859" s="517"/>
      <c r="E859" s="518"/>
      <c r="Q859" s="517"/>
      <c r="R859" s="517"/>
      <c r="S859" s="517"/>
      <c r="T859" s="517"/>
      <c r="U859" s="518"/>
    </row>
    <row r="860" spans="1:21">
      <c r="A860" s="517"/>
      <c r="B860" s="517"/>
      <c r="C860" s="517"/>
      <c r="D860" s="517"/>
      <c r="E860" s="518"/>
      <c r="Q860" s="517"/>
      <c r="R860" s="517"/>
      <c r="S860" s="517"/>
      <c r="T860" s="517"/>
      <c r="U860" s="518"/>
    </row>
    <row r="861" spans="1:21">
      <c r="A861" s="517"/>
      <c r="B861" s="517"/>
      <c r="C861" s="517"/>
      <c r="D861" s="517"/>
      <c r="E861" s="518"/>
      <c r="Q861" s="517"/>
      <c r="R861" s="517"/>
      <c r="S861" s="517"/>
      <c r="T861" s="517"/>
      <c r="U861" s="518"/>
    </row>
    <row r="862" spans="1:21">
      <c r="A862" s="517"/>
      <c r="B862" s="517"/>
      <c r="C862" s="517"/>
      <c r="D862" s="517"/>
      <c r="E862" s="518"/>
      <c r="Q862" s="517"/>
      <c r="R862" s="517"/>
      <c r="S862" s="517"/>
      <c r="T862" s="517"/>
      <c r="U862" s="518"/>
    </row>
    <row r="863" spans="1:21">
      <c r="A863" s="517"/>
      <c r="B863" s="517"/>
      <c r="C863" s="517"/>
      <c r="D863" s="517"/>
      <c r="E863" s="518"/>
      <c r="Q863" s="517"/>
      <c r="R863" s="517"/>
      <c r="S863" s="517"/>
      <c r="T863" s="517"/>
      <c r="U863" s="518"/>
    </row>
    <row r="864" spans="1:21">
      <c r="A864" s="517"/>
      <c r="B864" s="517"/>
      <c r="C864" s="517"/>
      <c r="D864" s="517"/>
      <c r="E864" s="518"/>
      <c r="Q864" s="517"/>
      <c r="R864" s="517"/>
      <c r="S864" s="517"/>
      <c r="T864" s="517"/>
      <c r="U864" s="518"/>
    </row>
    <row r="865" spans="1:21">
      <c r="A865" s="517"/>
      <c r="B865" s="517"/>
      <c r="C865" s="517"/>
      <c r="D865" s="517"/>
      <c r="E865" s="518"/>
      <c r="Q865" s="517"/>
      <c r="R865" s="517"/>
      <c r="S865" s="517"/>
      <c r="T865" s="517"/>
      <c r="U865" s="518"/>
    </row>
    <row r="866" spans="1:21">
      <c r="A866" s="517"/>
      <c r="B866" s="517"/>
      <c r="C866" s="517"/>
      <c r="D866" s="517"/>
      <c r="E866" s="518"/>
      <c r="Q866" s="517"/>
      <c r="R866" s="517"/>
      <c r="S866" s="517"/>
      <c r="T866" s="517"/>
      <c r="U866" s="518"/>
    </row>
    <row r="867" spans="1:21">
      <c r="A867" s="517"/>
      <c r="B867" s="517"/>
      <c r="C867" s="517"/>
      <c r="D867" s="517"/>
      <c r="E867" s="518"/>
      <c r="Q867" s="517"/>
      <c r="R867" s="517"/>
      <c r="S867" s="517"/>
      <c r="T867" s="517"/>
      <c r="U867" s="518"/>
    </row>
    <row r="868" spans="1:21">
      <c r="A868" s="517"/>
      <c r="B868" s="517"/>
      <c r="C868" s="517"/>
      <c r="D868" s="517"/>
      <c r="E868" s="518"/>
      <c r="Q868" s="517"/>
      <c r="R868" s="517"/>
      <c r="S868" s="517"/>
      <c r="T868" s="517"/>
      <c r="U868" s="518"/>
    </row>
    <row r="869" spans="1:21">
      <c r="A869" s="517"/>
      <c r="B869" s="517"/>
      <c r="C869" s="517"/>
      <c r="D869" s="517"/>
      <c r="E869" s="518"/>
      <c r="Q869" s="517"/>
      <c r="R869" s="517"/>
      <c r="S869" s="517"/>
      <c r="T869" s="517"/>
      <c r="U869" s="518"/>
    </row>
    <row r="870" spans="1:21">
      <c r="A870" s="517"/>
      <c r="B870" s="517"/>
      <c r="C870" s="517"/>
      <c r="D870" s="517"/>
      <c r="E870" s="518"/>
      <c r="Q870" s="517"/>
      <c r="R870" s="517"/>
      <c r="S870" s="517"/>
      <c r="T870" s="517"/>
      <c r="U870" s="518"/>
    </row>
    <row r="871" spans="1:21">
      <c r="A871" s="517"/>
      <c r="B871" s="517"/>
      <c r="C871" s="517"/>
      <c r="D871" s="517"/>
      <c r="E871" s="518"/>
      <c r="Q871" s="517"/>
      <c r="R871" s="517"/>
      <c r="S871" s="517"/>
      <c r="T871" s="517"/>
      <c r="U871" s="518"/>
    </row>
    <row r="872" spans="1:21">
      <c r="A872" s="517"/>
      <c r="B872" s="517"/>
      <c r="C872" s="517"/>
      <c r="D872" s="517"/>
      <c r="E872" s="518"/>
      <c r="Q872" s="517"/>
      <c r="R872" s="517"/>
      <c r="S872" s="517"/>
      <c r="T872" s="517"/>
      <c r="U872" s="518"/>
    </row>
    <row r="873" spans="1:21">
      <c r="A873" s="517"/>
      <c r="B873" s="517"/>
      <c r="C873" s="517"/>
      <c r="D873" s="517"/>
      <c r="E873" s="518"/>
      <c r="Q873" s="517"/>
      <c r="R873" s="517"/>
      <c r="S873" s="517"/>
      <c r="T873" s="517"/>
      <c r="U873" s="518"/>
    </row>
    <row r="874" spans="1:21">
      <c r="A874" s="517"/>
      <c r="B874" s="517"/>
      <c r="C874" s="517"/>
      <c r="D874" s="517"/>
      <c r="E874" s="518"/>
      <c r="Q874" s="517"/>
      <c r="R874" s="517"/>
      <c r="S874" s="517"/>
      <c r="T874" s="517"/>
      <c r="U874" s="518"/>
    </row>
    <row r="875" spans="1:21">
      <c r="A875" s="517"/>
      <c r="B875" s="517"/>
      <c r="C875" s="517"/>
      <c r="D875" s="517"/>
      <c r="E875" s="518"/>
      <c r="Q875" s="517"/>
      <c r="R875" s="517"/>
      <c r="S875" s="517"/>
      <c r="T875" s="517"/>
      <c r="U875" s="518"/>
    </row>
    <row r="876" spans="1:21">
      <c r="A876" s="517"/>
      <c r="B876" s="517"/>
      <c r="C876" s="517"/>
      <c r="D876" s="517"/>
      <c r="E876" s="518"/>
      <c r="Q876" s="517"/>
      <c r="R876" s="517"/>
      <c r="S876" s="517"/>
      <c r="T876" s="517"/>
      <c r="U876" s="518"/>
    </row>
    <row r="877" spans="1:21">
      <c r="A877" s="517"/>
      <c r="B877" s="517"/>
      <c r="C877" s="517"/>
      <c r="D877" s="517"/>
      <c r="E877" s="518"/>
      <c r="Q877" s="517"/>
      <c r="R877" s="517"/>
      <c r="S877" s="517"/>
      <c r="T877" s="517"/>
      <c r="U877" s="518"/>
    </row>
    <row r="878" spans="1:21">
      <c r="A878" s="517"/>
      <c r="B878" s="517"/>
      <c r="C878" s="517"/>
      <c r="D878" s="517"/>
      <c r="E878" s="518"/>
      <c r="Q878" s="517"/>
      <c r="R878" s="517"/>
      <c r="S878" s="517"/>
      <c r="T878" s="517"/>
      <c r="U878" s="518"/>
    </row>
    <row r="879" spans="1:21">
      <c r="A879" s="517"/>
      <c r="B879" s="517"/>
      <c r="C879" s="517"/>
      <c r="D879" s="517"/>
      <c r="E879" s="518"/>
      <c r="Q879" s="517"/>
      <c r="R879" s="517"/>
      <c r="S879" s="517"/>
      <c r="T879" s="517"/>
      <c r="U879" s="518"/>
    </row>
    <row r="880" spans="1:21">
      <c r="A880" s="517"/>
      <c r="B880" s="517"/>
      <c r="C880" s="517"/>
      <c r="D880" s="517"/>
      <c r="E880" s="518"/>
      <c r="Q880" s="517"/>
      <c r="R880" s="517"/>
      <c r="S880" s="517"/>
      <c r="T880" s="517"/>
      <c r="U880" s="518"/>
    </row>
    <row r="881" spans="1:21">
      <c r="A881" s="517"/>
      <c r="B881" s="517"/>
      <c r="C881" s="517"/>
      <c r="D881" s="517"/>
      <c r="E881" s="518"/>
      <c r="Q881" s="517"/>
      <c r="R881" s="517"/>
      <c r="S881" s="517"/>
      <c r="T881" s="517"/>
      <c r="U881" s="518"/>
    </row>
    <row r="882" spans="1:21">
      <c r="A882" s="517"/>
      <c r="B882" s="517"/>
      <c r="C882" s="517"/>
      <c r="D882" s="517"/>
      <c r="E882" s="518"/>
      <c r="Q882" s="517"/>
      <c r="R882" s="517"/>
      <c r="S882" s="517"/>
      <c r="T882" s="517"/>
      <c r="U882" s="518"/>
    </row>
    <row r="883" spans="1:21">
      <c r="A883" s="517"/>
      <c r="B883" s="517"/>
      <c r="C883" s="517"/>
      <c r="D883" s="517"/>
      <c r="E883" s="518"/>
      <c r="Q883" s="517"/>
      <c r="R883" s="517"/>
      <c r="S883" s="517"/>
      <c r="T883" s="517"/>
      <c r="U883" s="518"/>
    </row>
    <row r="884" spans="1:21">
      <c r="A884" s="517"/>
      <c r="B884" s="517"/>
      <c r="C884" s="517"/>
      <c r="D884" s="517"/>
      <c r="E884" s="518"/>
      <c r="Q884" s="517"/>
      <c r="R884" s="517"/>
      <c r="S884" s="517"/>
      <c r="T884" s="517"/>
      <c r="U884" s="518"/>
    </row>
    <row r="885" spans="1:21">
      <c r="A885" s="517"/>
      <c r="B885" s="517"/>
      <c r="C885" s="517"/>
      <c r="D885" s="517"/>
      <c r="E885" s="518"/>
      <c r="Q885" s="517"/>
      <c r="R885" s="517"/>
      <c r="S885" s="517"/>
      <c r="T885" s="517"/>
      <c r="U885" s="518"/>
    </row>
    <row r="886" spans="1:21">
      <c r="A886" s="517"/>
      <c r="B886" s="517"/>
      <c r="C886" s="517"/>
      <c r="D886" s="517"/>
      <c r="E886" s="518"/>
      <c r="Q886" s="517"/>
      <c r="R886" s="517"/>
      <c r="S886" s="517"/>
      <c r="T886" s="517"/>
      <c r="U886" s="518"/>
    </row>
    <row r="887" spans="1:21">
      <c r="A887" s="517"/>
      <c r="B887" s="517"/>
      <c r="C887" s="517"/>
      <c r="D887" s="517"/>
      <c r="E887" s="518"/>
      <c r="Q887" s="517"/>
      <c r="R887" s="517"/>
      <c r="S887" s="517"/>
      <c r="T887" s="517"/>
      <c r="U887" s="518"/>
    </row>
    <row r="888" spans="1:21">
      <c r="A888" s="517"/>
      <c r="B888" s="517"/>
      <c r="C888" s="517"/>
      <c r="D888" s="517"/>
      <c r="E888" s="518"/>
      <c r="Q888" s="517"/>
      <c r="R888" s="517"/>
      <c r="S888" s="517"/>
      <c r="T888" s="517"/>
      <c r="U888" s="518"/>
    </row>
    <row r="889" spans="1:21">
      <c r="A889" s="517"/>
      <c r="B889" s="517"/>
      <c r="C889" s="517"/>
      <c r="D889" s="517"/>
      <c r="E889" s="518"/>
      <c r="Q889" s="517"/>
      <c r="R889" s="517"/>
      <c r="S889" s="517"/>
      <c r="T889" s="517"/>
      <c r="U889" s="518"/>
    </row>
    <row r="890" spans="1:21">
      <c r="A890" s="517"/>
      <c r="B890" s="517"/>
      <c r="C890" s="517"/>
      <c r="D890" s="517"/>
      <c r="E890" s="518"/>
      <c r="Q890" s="517"/>
      <c r="R890" s="517"/>
      <c r="S890" s="517"/>
      <c r="T890" s="517"/>
      <c r="U890" s="518"/>
    </row>
    <row r="891" spans="1:21">
      <c r="A891" s="517"/>
      <c r="B891" s="517"/>
      <c r="C891" s="517"/>
      <c r="D891" s="517"/>
      <c r="E891" s="518"/>
      <c r="Q891" s="517"/>
      <c r="R891" s="517"/>
      <c r="S891" s="517"/>
      <c r="T891" s="517"/>
      <c r="U891" s="518"/>
    </row>
    <row r="892" spans="1:21">
      <c r="A892" s="517"/>
      <c r="B892" s="517"/>
      <c r="C892" s="517"/>
      <c r="D892" s="517"/>
      <c r="E892" s="518"/>
      <c r="Q892" s="517"/>
      <c r="R892" s="517"/>
      <c r="S892" s="517"/>
      <c r="T892" s="517"/>
      <c r="U892" s="518"/>
    </row>
    <row r="893" spans="1:21">
      <c r="A893" s="517"/>
      <c r="B893" s="517"/>
      <c r="C893" s="517"/>
      <c r="D893" s="517"/>
      <c r="E893" s="518"/>
      <c r="Q893" s="517"/>
      <c r="R893" s="517"/>
      <c r="S893" s="517"/>
      <c r="T893" s="517"/>
      <c r="U893" s="518"/>
    </row>
    <row r="894" spans="1:21">
      <c r="A894" s="517"/>
      <c r="B894" s="517"/>
      <c r="C894" s="517"/>
      <c r="D894" s="517"/>
      <c r="E894" s="518"/>
      <c r="Q894" s="517"/>
      <c r="R894" s="517"/>
      <c r="S894" s="517"/>
      <c r="T894" s="517"/>
      <c r="U894" s="518"/>
    </row>
    <row r="895" spans="1:21">
      <c r="A895" s="517"/>
      <c r="B895" s="517"/>
      <c r="C895" s="517"/>
      <c r="D895" s="517"/>
      <c r="E895" s="518"/>
      <c r="Q895" s="517"/>
      <c r="R895" s="517"/>
      <c r="S895" s="517"/>
      <c r="T895" s="517"/>
      <c r="U895" s="518"/>
    </row>
    <row r="896" spans="1:21">
      <c r="A896" s="517"/>
      <c r="B896" s="517"/>
      <c r="C896" s="517"/>
      <c r="D896" s="517"/>
      <c r="E896" s="518"/>
      <c r="Q896" s="517"/>
      <c r="R896" s="517"/>
      <c r="S896" s="517"/>
      <c r="T896" s="517"/>
      <c r="U896" s="518"/>
    </row>
    <row r="897" spans="1:21">
      <c r="A897" s="517"/>
      <c r="B897" s="517"/>
      <c r="C897" s="517"/>
      <c r="D897" s="517"/>
      <c r="E897" s="518"/>
      <c r="Q897" s="517"/>
      <c r="R897" s="517"/>
      <c r="S897" s="517"/>
      <c r="T897" s="517"/>
      <c r="U897" s="518"/>
    </row>
    <row r="898" spans="1:21">
      <c r="A898" s="517"/>
      <c r="B898" s="517"/>
      <c r="C898" s="517"/>
      <c r="D898" s="517"/>
      <c r="E898" s="518"/>
      <c r="Q898" s="517"/>
      <c r="R898" s="517"/>
      <c r="S898" s="517"/>
      <c r="T898" s="517"/>
      <c r="U898" s="518"/>
    </row>
    <row r="899" spans="1:21">
      <c r="A899" s="517"/>
      <c r="B899" s="517"/>
      <c r="C899" s="517"/>
      <c r="D899" s="517"/>
      <c r="E899" s="518"/>
      <c r="Q899" s="517"/>
      <c r="R899" s="517"/>
      <c r="S899" s="517"/>
      <c r="T899" s="517"/>
      <c r="U899" s="518"/>
    </row>
    <row r="900" spans="1:21">
      <c r="A900" s="517"/>
      <c r="B900" s="517"/>
      <c r="C900" s="517"/>
      <c r="D900" s="517"/>
      <c r="E900" s="518"/>
      <c r="Q900" s="517"/>
      <c r="R900" s="517"/>
      <c r="S900" s="517"/>
      <c r="T900" s="517"/>
      <c r="U900" s="518"/>
    </row>
    <row r="901" spans="1:21">
      <c r="A901" s="517"/>
      <c r="B901" s="517"/>
      <c r="C901" s="517"/>
      <c r="D901" s="517"/>
      <c r="E901" s="518"/>
      <c r="Q901" s="517"/>
      <c r="R901" s="517"/>
      <c r="S901" s="517"/>
      <c r="T901" s="517"/>
      <c r="U901" s="518"/>
    </row>
    <row r="902" spans="1:21">
      <c r="A902" s="517"/>
      <c r="B902" s="517"/>
      <c r="C902" s="517"/>
      <c r="D902" s="517"/>
      <c r="E902" s="518"/>
      <c r="Q902" s="517"/>
      <c r="R902" s="517"/>
      <c r="S902" s="517"/>
      <c r="T902" s="517"/>
      <c r="U902" s="518"/>
    </row>
    <row r="903" spans="1:21">
      <c r="A903" s="517"/>
      <c r="B903" s="517"/>
      <c r="C903" s="517"/>
      <c r="D903" s="517"/>
      <c r="E903" s="518"/>
      <c r="Q903" s="517"/>
      <c r="R903" s="517"/>
      <c r="S903" s="517"/>
      <c r="T903" s="517"/>
      <c r="U903" s="518"/>
    </row>
    <row r="904" spans="1:21">
      <c r="A904" s="517"/>
      <c r="B904" s="517"/>
      <c r="C904" s="517"/>
      <c r="D904" s="517"/>
      <c r="E904" s="518"/>
      <c r="Q904" s="517"/>
      <c r="R904" s="517"/>
      <c r="S904" s="517"/>
      <c r="T904" s="517"/>
      <c r="U904" s="518"/>
    </row>
    <row r="905" spans="1:21">
      <c r="A905" s="517"/>
      <c r="B905" s="517"/>
      <c r="C905" s="517"/>
      <c r="D905" s="517"/>
      <c r="E905" s="518"/>
      <c r="Q905" s="517"/>
      <c r="R905" s="517"/>
      <c r="S905" s="517"/>
      <c r="T905" s="517"/>
      <c r="U905" s="518"/>
    </row>
    <row r="906" spans="1:21">
      <c r="A906" s="517"/>
      <c r="B906" s="517"/>
      <c r="C906" s="517"/>
      <c r="D906" s="517"/>
      <c r="E906" s="518"/>
      <c r="Q906" s="517"/>
      <c r="R906" s="517"/>
      <c r="S906" s="517"/>
      <c r="T906" s="517"/>
      <c r="U906" s="518"/>
    </row>
    <row r="907" spans="1:21">
      <c r="A907" s="517"/>
      <c r="B907" s="517"/>
      <c r="C907" s="517"/>
      <c r="D907" s="517"/>
      <c r="E907" s="518"/>
      <c r="Q907" s="517"/>
      <c r="R907" s="517"/>
      <c r="S907" s="517"/>
      <c r="T907" s="517"/>
      <c r="U907" s="518"/>
    </row>
    <row r="908" spans="1:21">
      <c r="A908" s="517"/>
      <c r="B908" s="517"/>
      <c r="C908" s="517"/>
      <c r="D908" s="517"/>
      <c r="E908" s="518"/>
      <c r="Q908" s="517"/>
      <c r="R908" s="517"/>
      <c r="S908" s="517"/>
      <c r="T908" s="517"/>
      <c r="U908" s="518"/>
    </row>
    <row r="909" spans="1:21">
      <c r="A909" s="517"/>
      <c r="B909" s="517"/>
      <c r="C909" s="517"/>
      <c r="D909" s="517"/>
      <c r="E909" s="518"/>
      <c r="Q909" s="517"/>
      <c r="R909" s="517"/>
      <c r="S909" s="517"/>
      <c r="T909" s="517"/>
      <c r="U909" s="518"/>
    </row>
    <row r="910" spans="1:21">
      <c r="A910" s="517"/>
      <c r="B910" s="517"/>
      <c r="C910" s="517"/>
      <c r="D910" s="517"/>
      <c r="E910" s="518"/>
      <c r="Q910" s="517"/>
      <c r="R910" s="517"/>
      <c r="S910" s="517"/>
      <c r="T910" s="517"/>
      <c r="U910" s="518"/>
    </row>
    <row r="911" spans="1:21">
      <c r="A911" s="517"/>
      <c r="B911" s="517"/>
      <c r="C911" s="517"/>
      <c r="D911" s="517"/>
      <c r="E911" s="518"/>
      <c r="Q911" s="517"/>
      <c r="R911" s="517"/>
      <c r="S911" s="517"/>
      <c r="T911" s="517"/>
      <c r="U911" s="518"/>
    </row>
    <row r="912" spans="1:21">
      <c r="A912" s="517"/>
      <c r="B912" s="517"/>
      <c r="C912" s="517"/>
      <c r="D912" s="517"/>
      <c r="E912" s="518"/>
      <c r="Q912" s="517"/>
      <c r="R912" s="517"/>
      <c r="S912" s="517"/>
      <c r="T912" s="517"/>
      <c r="U912" s="518"/>
    </row>
    <row r="913" spans="1:21">
      <c r="A913" s="517"/>
      <c r="B913" s="517"/>
      <c r="C913" s="517"/>
      <c r="D913" s="517"/>
      <c r="E913" s="518"/>
      <c r="Q913" s="517"/>
      <c r="R913" s="517"/>
      <c r="S913" s="517"/>
      <c r="T913" s="517"/>
      <c r="U913" s="518"/>
    </row>
    <row r="914" spans="1:21">
      <c r="A914" s="517"/>
      <c r="B914" s="517"/>
      <c r="C914" s="517"/>
      <c r="D914" s="517"/>
      <c r="E914" s="518"/>
      <c r="Q914" s="517"/>
      <c r="R914" s="517"/>
      <c r="S914" s="517"/>
      <c r="T914" s="517"/>
      <c r="U914" s="518"/>
    </row>
    <row r="915" spans="1:21">
      <c r="A915" s="517"/>
      <c r="B915" s="517"/>
      <c r="C915" s="517"/>
      <c r="D915" s="517"/>
      <c r="E915" s="518"/>
      <c r="Q915" s="517"/>
      <c r="R915" s="517"/>
      <c r="S915" s="517"/>
      <c r="T915" s="517"/>
      <c r="U915" s="518"/>
    </row>
    <row r="916" spans="1:21">
      <c r="A916" s="517"/>
      <c r="B916" s="517"/>
      <c r="C916" s="517"/>
      <c r="D916" s="517"/>
      <c r="E916" s="518"/>
      <c r="Q916" s="517"/>
      <c r="R916" s="517"/>
      <c r="S916" s="517"/>
      <c r="T916" s="517"/>
      <c r="U916" s="518"/>
    </row>
    <row r="917" spans="1:21">
      <c r="A917" s="517"/>
      <c r="B917" s="517"/>
      <c r="C917" s="517"/>
      <c r="D917" s="517"/>
      <c r="E917" s="518"/>
      <c r="Q917" s="517"/>
      <c r="R917" s="517"/>
      <c r="S917" s="517"/>
      <c r="T917" s="517"/>
      <c r="U917" s="518"/>
    </row>
    <row r="918" spans="1:21">
      <c r="A918" s="517"/>
      <c r="B918" s="517"/>
      <c r="C918" s="517"/>
      <c r="D918" s="517"/>
      <c r="E918" s="518"/>
      <c r="Q918" s="517"/>
      <c r="R918" s="517"/>
      <c r="S918" s="517"/>
      <c r="T918" s="517"/>
      <c r="U918" s="518"/>
    </row>
    <row r="919" spans="1:21">
      <c r="A919" s="517"/>
      <c r="B919" s="517"/>
      <c r="C919" s="517"/>
      <c r="D919" s="517"/>
      <c r="E919" s="518"/>
      <c r="Q919" s="517"/>
      <c r="R919" s="517"/>
      <c r="S919" s="517"/>
      <c r="T919" s="517"/>
      <c r="U919" s="518"/>
    </row>
    <row r="920" spans="1:21">
      <c r="A920" s="517"/>
      <c r="B920" s="517"/>
      <c r="C920" s="517"/>
      <c r="D920" s="517"/>
      <c r="E920" s="518"/>
      <c r="Q920" s="517"/>
      <c r="R920" s="517"/>
      <c r="S920" s="517"/>
      <c r="T920" s="517"/>
      <c r="U920" s="518"/>
    </row>
    <row r="921" spans="1:21">
      <c r="A921" s="517"/>
      <c r="B921" s="517"/>
      <c r="C921" s="517"/>
      <c r="D921" s="517"/>
      <c r="E921" s="518"/>
      <c r="Q921" s="517"/>
      <c r="R921" s="517"/>
      <c r="S921" s="517"/>
      <c r="T921" s="517"/>
      <c r="U921" s="518"/>
    </row>
    <row r="922" spans="1:21">
      <c r="A922" s="517"/>
      <c r="B922" s="517"/>
      <c r="C922" s="517"/>
      <c r="D922" s="517"/>
      <c r="E922" s="518"/>
      <c r="Q922" s="517"/>
      <c r="R922" s="517"/>
      <c r="S922" s="517"/>
      <c r="T922" s="517"/>
      <c r="U922" s="518"/>
    </row>
    <row r="923" spans="1:21">
      <c r="A923" s="517"/>
      <c r="B923" s="517"/>
      <c r="C923" s="517"/>
      <c r="D923" s="517"/>
      <c r="E923" s="518"/>
      <c r="Q923" s="517"/>
      <c r="R923" s="517"/>
      <c r="S923" s="517"/>
      <c r="T923" s="517"/>
      <c r="U923" s="518"/>
    </row>
    <row r="924" spans="1:21">
      <c r="A924" s="517"/>
      <c r="B924" s="517"/>
      <c r="C924" s="517"/>
      <c r="D924" s="517"/>
      <c r="E924" s="518"/>
      <c r="Q924" s="517"/>
      <c r="R924" s="517"/>
      <c r="S924" s="517"/>
      <c r="T924" s="517"/>
      <c r="U924" s="518"/>
    </row>
    <row r="925" spans="1:21">
      <c r="A925" s="517"/>
      <c r="B925" s="517"/>
      <c r="C925" s="517"/>
      <c r="D925" s="517"/>
      <c r="E925" s="518"/>
      <c r="Q925" s="517"/>
      <c r="R925" s="517"/>
      <c r="S925" s="517"/>
      <c r="T925" s="517"/>
      <c r="U925" s="518"/>
    </row>
    <row r="926" spans="1:21">
      <c r="A926" s="517"/>
      <c r="B926" s="517"/>
      <c r="C926" s="517"/>
      <c r="D926" s="517"/>
      <c r="E926" s="518"/>
      <c r="Q926" s="517"/>
      <c r="R926" s="517"/>
      <c r="S926" s="517"/>
      <c r="T926" s="517"/>
      <c r="U926" s="518"/>
    </row>
    <row r="927" spans="1:21">
      <c r="A927" s="517"/>
      <c r="B927" s="517"/>
      <c r="C927" s="517"/>
      <c r="D927" s="517"/>
      <c r="E927" s="518"/>
      <c r="Q927" s="517"/>
      <c r="R927" s="517"/>
      <c r="S927" s="517"/>
      <c r="T927" s="517"/>
      <c r="U927" s="518"/>
    </row>
    <row r="928" spans="1:21">
      <c r="A928" s="517"/>
      <c r="B928" s="517"/>
      <c r="C928" s="517"/>
      <c r="D928" s="517"/>
      <c r="E928" s="518"/>
      <c r="Q928" s="517"/>
      <c r="R928" s="517"/>
      <c r="S928" s="517"/>
      <c r="T928" s="517"/>
      <c r="U928" s="518"/>
    </row>
    <row r="929" spans="1:21">
      <c r="A929" s="517"/>
      <c r="B929" s="517"/>
      <c r="C929" s="517"/>
      <c r="D929" s="517"/>
      <c r="E929" s="518"/>
      <c r="Q929" s="517"/>
      <c r="R929" s="517"/>
      <c r="S929" s="517"/>
      <c r="T929" s="517"/>
      <c r="U929" s="518"/>
    </row>
    <row r="930" spans="1:21">
      <c r="A930" s="517"/>
      <c r="B930" s="517"/>
      <c r="C930" s="517"/>
      <c r="D930" s="517"/>
      <c r="E930" s="518"/>
      <c r="Q930" s="517"/>
      <c r="R930" s="517"/>
      <c r="S930" s="517"/>
      <c r="T930" s="517"/>
      <c r="U930" s="518"/>
    </row>
    <row r="931" spans="1:21">
      <c r="A931" s="517"/>
      <c r="B931" s="517"/>
      <c r="C931" s="517"/>
      <c r="D931" s="517"/>
      <c r="E931" s="518"/>
      <c r="Q931" s="517"/>
      <c r="R931" s="517"/>
      <c r="S931" s="517"/>
      <c r="T931" s="517"/>
      <c r="U931" s="518"/>
    </row>
    <row r="932" spans="1:21">
      <c r="A932" s="517"/>
      <c r="B932" s="517"/>
      <c r="C932" s="517"/>
      <c r="D932" s="517"/>
      <c r="E932" s="518"/>
      <c r="Q932" s="517"/>
      <c r="R932" s="517"/>
      <c r="S932" s="517"/>
      <c r="T932" s="517"/>
      <c r="U932" s="518"/>
    </row>
    <row r="933" spans="1:21">
      <c r="A933" s="517"/>
      <c r="B933" s="517"/>
      <c r="C933" s="517"/>
      <c r="D933" s="517"/>
      <c r="E933" s="518"/>
      <c r="Q933" s="517"/>
      <c r="R933" s="517"/>
      <c r="S933" s="517"/>
      <c r="T933" s="517"/>
      <c r="U933" s="518"/>
    </row>
    <row r="934" spans="1:21">
      <c r="A934" s="517"/>
      <c r="B934" s="517"/>
      <c r="C934" s="517"/>
      <c r="D934" s="517"/>
      <c r="E934" s="518"/>
      <c r="Q934" s="517"/>
      <c r="R934" s="517"/>
      <c r="S934" s="517"/>
      <c r="T934" s="517"/>
      <c r="U934" s="518"/>
    </row>
    <row r="935" spans="1:21">
      <c r="A935" s="517"/>
      <c r="B935" s="517"/>
      <c r="C935" s="517"/>
      <c r="D935" s="517"/>
      <c r="E935" s="518"/>
      <c r="Q935" s="517"/>
      <c r="R935" s="517"/>
      <c r="S935" s="517"/>
      <c r="T935" s="517"/>
      <c r="U935" s="518"/>
    </row>
    <row r="936" spans="1:21">
      <c r="A936" s="517"/>
      <c r="B936" s="517"/>
      <c r="C936" s="517"/>
      <c r="D936" s="517"/>
      <c r="E936" s="518"/>
      <c r="Q936" s="517"/>
      <c r="R936" s="517"/>
      <c r="S936" s="517"/>
      <c r="T936" s="517"/>
      <c r="U936" s="518"/>
    </row>
    <row r="937" spans="1:21">
      <c r="A937" s="517"/>
      <c r="B937" s="517"/>
      <c r="C937" s="517"/>
      <c r="D937" s="517"/>
      <c r="E937" s="518"/>
      <c r="Q937" s="517"/>
      <c r="R937" s="517"/>
      <c r="S937" s="517"/>
      <c r="T937" s="517"/>
      <c r="U937" s="518"/>
    </row>
    <row r="938" spans="1:21">
      <c r="A938" s="517"/>
      <c r="B938" s="517"/>
      <c r="C938" s="517"/>
      <c r="D938" s="517"/>
      <c r="E938" s="518"/>
      <c r="Q938" s="517"/>
      <c r="R938" s="517"/>
      <c r="S938" s="517"/>
      <c r="T938" s="517"/>
      <c r="U938" s="518"/>
    </row>
    <row r="939" spans="1:21">
      <c r="A939" s="517"/>
      <c r="B939" s="517"/>
      <c r="C939" s="517"/>
      <c r="D939" s="517"/>
      <c r="E939" s="518"/>
      <c r="Q939" s="517"/>
      <c r="R939" s="517"/>
      <c r="S939" s="517"/>
      <c r="T939" s="517"/>
      <c r="U939" s="518"/>
    </row>
    <row r="940" spans="1:21">
      <c r="A940" s="517"/>
      <c r="B940" s="517"/>
      <c r="C940" s="517"/>
      <c r="D940" s="517"/>
      <c r="E940" s="518"/>
      <c r="Q940" s="517"/>
      <c r="R940" s="517"/>
      <c r="S940" s="517"/>
      <c r="T940" s="517"/>
      <c r="U940" s="518"/>
    </row>
    <row r="941" spans="1:21">
      <c r="A941" s="517"/>
      <c r="B941" s="517"/>
      <c r="C941" s="517"/>
      <c r="D941" s="517"/>
      <c r="E941" s="518"/>
      <c r="Q941" s="517"/>
      <c r="R941" s="517"/>
      <c r="S941" s="517"/>
      <c r="T941" s="517"/>
      <c r="U941" s="518"/>
    </row>
    <row r="942" spans="1:21">
      <c r="A942" s="517"/>
      <c r="B942" s="517"/>
      <c r="C942" s="517"/>
      <c r="D942" s="517"/>
      <c r="E942" s="518"/>
      <c r="Q942" s="517"/>
      <c r="R942" s="517"/>
      <c r="S942" s="517"/>
      <c r="T942" s="517"/>
      <c r="U942" s="518"/>
    </row>
    <row r="943" spans="1:21">
      <c r="A943" s="517"/>
      <c r="B943" s="517"/>
      <c r="C943" s="517"/>
      <c r="D943" s="517"/>
      <c r="E943" s="518"/>
      <c r="Q943" s="517"/>
      <c r="R943" s="517"/>
      <c r="S943" s="517"/>
      <c r="T943" s="517"/>
      <c r="U943" s="518"/>
    </row>
    <row r="944" spans="1:21">
      <c r="A944" s="517"/>
      <c r="B944" s="517"/>
      <c r="C944" s="517"/>
      <c r="D944" s="517"/>
      <c r="E944" s="518"/>
      <c r="Q944" s="517"/>
      <c r="R944" s="517"/>
      <c r="S944" s="517"/>
      <c r="T944" s="517"/>
      <c r="U944" s="518"/>
    </row>
    <row r="945" spans="1:21">
      <c r="A945" s="517"/>
      <c r="B945" s="517"/>
      <c r="C945" s="517"/>
      <c r="D945" s="517"/>
      <c r="E945" s="518"/>
      <c r="Q945" s="517"/>
      <c r="R945" s="517"/>
      <c r="S945" s="517"/>
      <c r="T945" s="517"/>
      <c r="U945" s="518"/>
    </row>
    <row r="946" spans="1:21">
      <c r="A946" s="517"/>
      <c r="B946" s="517"/>
      <c r="C946" s="517"/>
      <c r="D946" s="517"/>
      <c r="E946" s="518"/>
      <c r="Q946" s="517"/>
      <c r="R946" s="517"/>
      <c r="S946" s="517"/>
      <c r="T946" s="517"/>
      <c r="U946" s="518"/>
    </row>
    <row r="947" spans="1:21">
      <c r="A947" s="517"/>
      <c r="B947" s="517"/>
      <c r="C947" s="517"/>
      <c r="D947" s="517"/>
      <c r="E947" s="518"/>
      <c r="Q947" s="517"/>
      <c r="R947" s="517"/>
      <c r="S947" s="517"/>
      <c r="T947" s="517"/>
      <c r="U947" s="518"/>
    </row>
    <row r="948" spans="1:21">
      <c r="A948" s="517"/>
      <c r="B948" s="517"/>
      <c r="C948" s="517"/>
      <c r="D948" s="517"/>
      <c r="E948" s="518"/>
      <c r="Q948" s="517"/>
      <c r="R948" s="517"/>
      <c r="S948" s="517"/>
      <c r="T948" s="517"/>
      <c r="U948" s="518"/>
    </row>
    <row r="949" spans="1:21">
      <c r="A949" s="517"/>
      <c r="B949" s="517"/>
      <c r="C949" s="517"/>
      <c r="D949" s="517"/>
      <c r="E949" s="518"/>
      <c r="Q949" s="517"/>
      <c r="R949" s="517"/>
      <c r="S949" s="517"/>
      <c r="T949" s="517"/>
      <c r="U949" s="518"/>
    </row>
    <row r="950" spans="1:21">
      <c r="A950" s="517"/>
      <c r="B950" s="517"/>
      <c r="C950" s="517"/>
      <c r="D950" s="517"/>
      <c r="E950" s="518"/>
      <c r="Q950" s="517"/>
      <c r="R950" s="517"/>
      <c r="S950" s="517"/>
      <c r="T950" s="517"/>
      <c r="U950" s="518"/>
    </row>
    <row r="951" spans="1:21">
      <c r="A951" s="517"/>
      <c r="B951" s="517"/>
      <c r="C951" s="517"/>
      <c r="D951" s="517"/>
      <c r="E951" s="518"/>
      <c r="Q951" s="517"/>
      <c r="R951" s="517"/>
      <c r="S951" s="517"/>
      <c r="T951" s="517"/>
      <c r="U951" s="518"/>
    </row>
    <row r="952" spans="1:21">
      <c r="A952" s="517"/>
      <c r="B952" s="517"/>
      <c r="C952" s="517"/>
      <c r="D952" s="517"/>
      <c r="E952" s="518"/>
      <c r="Q952" s="517"/>
      <c r="R952" s="517"/>
      <c r="S952" s="517"/>
      <c r="T952" s="517"/>
      <c r="U952" s="518"/>
    </row>
    <row r="953" spans="1:21">
      <c r="A953" s="517"/>
      <c r="B953" s="517"/>
      <c r="C953" s="517"/>
      <c r="D953" s="517"/>
      <c r="E953" s="518"/>
      <c r="Q953" s="517"/>
      <c r="R953" s="517"/>
      <c r="S953" s="517"/>
      <c r="T953" s="517"/>
      <c r="U953" s="518"/>
    </row>
    <row r="954" spans="1:21">
      <c r="A954" s="517"/>
      <c r="B954" s="517"/>
      <c r="C954" s="517"/>
      <c r="D954" s="517"/>
      <c r="E954" s="518"/>
      <c r="Q954" s="517"/>
      <c r="R954" s="517"/>
      <c r="S954" s="517"/>
      <c r="T954" s="517"/>
      <c r="U954" s="518"/>
    </row>
    <row r="955" spans="1:21">
      <c r="A955" s="517"/>
      <c r="B955" s="517"/>
      <c r="C955" s="517"/>
      <c r="D955" s="517"/>
      <c r="E955" s="518"/>
      <c r="Q955" s="517"/>
      <c r="R955" s="517"/>
      <c r="S955" s="517"/>
      <c r="T955" s="517"/>
      <c r="U955" s="518"/>
    </row>
    <row r="956" spans="1:21">
      <c r="A956" s="517"/>
      <c r="B956" s="517"/>
      <c r="C956" s="517"/>
      <c r="D956" s="517"/>
      <c r="E956" s="518"/>
      <c r="Q956" s="517"/>
      <c r="R956" s="517"/>
      <c r="S956" s="517"/>
      <c r="T956" s="517"/>
      <c r="U956" s="518"/>
    </row>
    <row r="957" spans="1:21">
      <c r="A957" s="517"/>
      <c r="B957" s="517"/>
      <c r="C957" s="517"/>
      <c r="D957" s="517"/>
      <c r="E957" s="518"/>
      <c r="Q957" s="517"/>
      <c r="R957" s="517"/>
      <c r="S957" s="517"/>
      <c r="T957" s="517"/>
      <c r="U957" s="518"/>
    </row>
    <row r="958" spans="1:21">
      <c r="A958" s="517"/>
      <c r="B958" s="517"/>
      <c r="C958" s="517"/>
      <c r="D958" s="517"/>
      <c r="E958" s="518"/>
      <c r="Q958" s="517"/>
      <c r="R958" s="517"/>
      <c r="S958" s="517"/>
      <c r="T958" s="517"/>
      <c r="U958" s="518"/>
    </row>
    <row r="959" spans="1:21">
      <c r="A959" s="517"/>
      <c r="B959" s="517"/>
      <c r="C959" s="517"/>
      <c r="D959" s="517"/>
      <c r="E959" s="518"/>
      <c r="Q959" s="517"/>
      <c r="R959" s="517"/>
      <c r="S959" s="517"/>
      <c r="T959" s="517"/>
      <c r="U959" s="518"/>
    </row>
    <row r="960" spans="1:21">
      <c r="A960" s="517"/>
      <c r="B960" s="517"/>
      <c r="C960" s="517"/>
      <c r="D960" s="517"/>
      <c r="E960" s="518"/>
      <c r="Q960" s="517"/>
      <c r="R960" s="517"/>
      <c r="S960" s="517"/>
      <c r="T960" s="517"/>
      <c r="U960" s="518"/>
    </row>
    <row r="961" spans="1:21">
      <c r="A961" s="517"/>
      <c r="B961" s="517"/>
      <c r="C961" s="517"/>
      <c r="D961" s="517"/>
      <c r="E961" s="518"/>
      <c r="Q961" s="517"/>
      <c r="R961" s="517"/>
      <c r="S961" s="517"/>
      <c r="T961" s="517"/>
      <c r="U961" s="518"/>
    </row>
    <row r="962" spans="1:21">
      <c r="A962" s="517"/>
      <c r="B962" s="517"/>
      <c r="C962" s="517"/>
      <c r="D962" s="517"/>
      <c r="E962" s="518"/>
      <c r="Q962" s="517"/>
      <c r="R962" s="517"/>
      <c r="S962" s="517"/>
      <c r="T962" s="517"/>
      <c r="U962" s="518"/>
    </row>
    <row r="963" spans="1:21">
      <c r="A963" s="517"/>
      <c r="B963" s="517"/>
      <c r="C963" s="517"/>
      <c r="D963" s="517"/>
      <c r="E963" s="518"/>
      <c r="Q963" s="517"/>
      <c r="R963" s="517"/>
      <c r="S963" s="517"/>
      <c r="T963" s="517"/>
      <c r="U963" s="518"/>
    </row>
    <row r="964" spans="1:21">
      <c r="A964" s="517"/>
      <c r="B964" s="517"/>
      <c r="C964" s="517"/>
      <c r="D964" s="517"/>
      <c r="E964" s="518"/>
      <c r="Q964" s="517"/>
      <c r="R964" s="517"/>
      <c r="S964" s="517"/>
      <c r="T964" s="517"/>
      <c r="U964" s="518"/>
    </row>
    <row r="965" spans="1:21">
      <c r="A965" s="517"/>
      <c r="B965" s="517"/>
      <c r="C965" s="517"/>
      <c r="D965" s="517"/>
      <c r="E965" s="518"/>
      <c r="Q965" s="517"/>
      <c r="R965" s="517"/>
      <c r="S965" s="517"/>
      <c r="T965" s="517"/>
      <c r="U965" s="518"/>
    </row>
    <row r="966" spans="1:21">
      <c r="A966" s="517"/>
      <c r="B966" s="517"/>
      <c r="C966" s="517"/>
      <c r="D966" s="517"/>
      <c r="E966" s="518"/>
      <c r="Q966" s="517"/>
      <c r="R966" s="517"/>
      <c r="S966" s="517"/>
      <c r="T966" s="517"/>
      <c r="U966" s="518"/>
    </row>
    <row r="967" spans="1:21">
      <c r="A967" s="517"/>
      <c r="B967" s="517"/>
      <c r="C967" s="517"/>
      <c r="D967" s="517"/>
      <c r="E967" s="518"/>
      <c r="Q967" s="517"/>
      <c r="R967" s="517"/>
      <c r="S967" s="517"/>
      <c r="T967" s="517"/>
      <c r="U967" s="518"/>
    </row>
    <row r="968" spans="1:21">
      <c r="A968" s="517"/>
      <c r="B968" s="517"/>
      <c r="C968" s="517"/>
      <c r="D968" s="517"/>
      <c r="E968" s="518"/>
      <c r="Q968" s="517"/>
      <c r="R968" s="517"/>
      <c r="S968" s="517"/>
      <c r="T968" s="517"/>
      <c r="U968" s="518"/>
    </row>
    <row r="969" spans="1:21">
      <c r="A969" s="517"/>
      <c r="B969" s="517"/>
      <c r="C969" s="517"/>
      <c r="D969" s="517"/>
      <c r="E969" s="518"/>
      <c r="Q969" s="517"/>
      <c r="R969" s="517"/>
      <c r="S969" s="517"/>
      <c r="T969" s="517"/>
      <c r="U969" s="518"/>
    </row>
    <row r="970" spans="1:21">
      <c r="A970" s="517"/>
      <c r="B970" s="517"/>
      <c r="C970" s="517"/>
      <c r="D970" s="517"/>
      <c r="E970" s="518"/>
      <c r="Q970" s="517"/>
      <c r="R970" s="517"/>
      <c r="S970" s="517"/>
      <c r="T970" s="517"/>
      <c r="U970" s="518"/>
    </row>
    <row r="971" spans="1:21">
      <c r="A971" s="517"/>
      <c r="B971" s="517"/>
      <c r="C971" s="517"/>
      <c r="D971" s="517"/>
      <c r="E971" s="518"/>
      <c r="Q971" s="517"/>
      <c r="R971" s="517"/>
      <c r="S971" s="517"/>
      <c r="T971" s="517"/>
      <c r="U971" s="518"/>
    </row>
    <row r="972" spans="1:21">
      <c r="A972" s="517"/>
      <c r="B972" s="517"/>
      <c r="C972" s="517"/>
      <c r="D972" s="517"/>
      <c r="E972" s="518"/>
      <c r="Q972" s="517"/>
      <c r="R972" s="517"/>
      <c r="S972" s="517"/>
      <c r="T972" s="517"/>
      <c r="U972" s="518"/>
    </row>
    <row r="973" spans="1:21">
      <c r="A973" s="517"/>
      <c r="B973" s="517"/>
      <c r="C973" s="517"/>
      <c r="D973" s="517"/>
      <c r="E973" s="518"/>
      <c r="Q973" s="517"/>
      <c r="R973" s="517"/>
      <c r="S973" s="517"/>
      <c r="T973" s="517"/>
      <c r="U973" s="518"/>
    </row>
    <row r="974" spans="1:21">
      <c r="A974" s="517"/>
      <c r="B974" s="517"/>
      <c r="C974" s="517"/>
      <c r="D974" s="517"/>
      <c r="E974" s="518"/>
      <c r="Q974" s="517"/>
      <c r="R974" s="517"/>
      <c r="S974" s="517"/>
      <c r="T974" s="517"/>
      <c r="U974" s="518"/>
    </row>
    <row r="975" spans="1:21">
      <c r="A975" s="517"/>
      <c r="B975" s="517"/>
      <c r="C975" s="517"/>
      <c r="D975" s="517"/>
      <c r="E975" s="518"/>
      <c r="Q975" s="517"/>
      <c r="R975" s="517"/>
      <c r="S975" s="517"/>
      <c r="T975" s="517"/>
      <c r="U975" s="518"/>
    </row>
    <row r="976" spans="1:21">
      <c r="A976" s="517"/>
      <c r="B976" s="517"/>
      <c r="C976" s="517"/>
      <c r="D976" s="517"/>
      <c r="E976" s="518"/>
      <c r="Q976" s="517"/>
      <c r="R976" s="517"/>
      <c r="S976" s="517"/>
      <c r="T976" s="517"/>
      <c r="U976" s="518"/>
    </row>
    <row r="977" spans="1:21">
      <c r="A977" s="517"/>
      <c r="B977" s="517"/>
      <c r="C977" s="517"/>
      <c r="D977" s="517"/>
      <c r="E977" s="518"/>
      <c r="Q977" s="517"/>
      <c r="R977" s="517"/>
      <c r="S977" s="517"/>
      <c r="T977" s="517"/>
      <c r="U977" s="518"/>
    </row>
    <row r="978" spans="1:21">
      <c r="A978" s="517"/>
      <c r="B978" s="517"/>
      <c r="C978" s="517"/>
      <c r="D978" s="517"/>
      <c r="E978" s="518"/>
      <c r="Q978" s="517"/>
      <c r="R978" s="517"/>
      <c r="S978" s="517"/>
      <c r="T978" s="517"/>
      <c r="U978" s="518"/>
    </row>
    <row r="979" spans="1:21">
      <c r="A979" s="517"/>
      <c r="B979" s="517"/>
      <c r="C979" s="517"/>
      <c r="D979" s="517"/>
      <c r="E979" s="518"/>
      <c r="Q979" s="517"/>
      <c r="R979" s="517"/>
      <c r="S979" s="517"/>
      <c r="T979" s="517"/>
      <c r="U979" s="518"/>
    </row>
    <row r="980" spans="1:21">
      <c r="A980" s="517"/>
      <c r="B980" s="517"/>
      <c r="C980" s="517"/>
      <c r="D980" s="517"/>
      <c r="E980" s="518"/>
      <c r="Q980" s="517"/>
      <c r="R980" s="517"/>
      <c r="S980" s="517"/>
      <c r="T980" s="517"/>
      <c r="U980" s="518"/>
    </row>
    <row r="981" spans="1:21">
      <c r="A981" s="517"/>
      <c r="B981" s="517"/>
      <c r="C981" s="517"/>
      <c r="D981" s="517"/>
      <c r="E981" s="518"/>
      <c r="Q981" s="517"/>
      <c r="R981" s="517"/>
      <c r="S981" s="517"/>
      <c r="T981" s="517"/>
      <c r="U981" s="518"/>
    </row>
    <row r="982" spans="1:21">
      <c r="A982" s="517"/>
      <c r="B982" s="517"/>
      <c r="C982" s="517"/>
      <c r="D982" s="517"/>
      <c r="E982" s="518"/>
      <c r="Q982" s="517"/>
      <c r="R982" s="517"/>
      <c r="S982" s="517"/>
      <c r="T982" s="517"/>
      <c r="U982" s="518"/>
    </row>
    <row r="983" spans="1:21">
      <c r="A983" s="517"/>
      <c r="B983" s="517"/>
      <c r="C983" s="517"/>
      <c r="D983" s="517"/>
      <c r="E983" s="518"/>
      <c r="Q983" s="517"/>
      <c r="R983" s="517"/>
      <c r="S983" s="517"/>
      <c r="T983" s="517"/>
      <c r="U983" s="518"/>
    </row>
    <row r="984" spans="1:21">
      <c r="A984" s="517"/>
      <c r="B984" s="517"/>
      <c r="C984" s="517"/>
      <c r="D984" s="517"/>
      <c r="E984" s="518"/>
      <c r="Q984" s="517"/>
      <c r="R984" s="517"/>
      <c r="S984" s="517"/>
      <c r="T984" s="517"/>
      <c r="U984" s="518"/>
    </row>
    <row r="985" spans="1:21">
      <c r="A985" s="517"/>
      <c r="B985" s="517"/>
      <c r="C985" s="517"/>
      <c r="D985" s="517"/>
      <c r="E985" s="518"/>
      <c r="Q985" s="517"/>
      <c r="R985" s="517"/>
      <c r="S985" s="517"/>
      <c r="T985" s="517"/>
      <c r="U985" s="518"/>
    </row>
    <row r="986" spans="1:21">
      <c r="A986" s="517"/>
      <c r="B986" s="517"/>
      <c r="C986" s="517"/>
      <c r="D986" s="517"/>
      <c r="E986" s="518"/>
      <c r="Q986" s="517"/>
      <c r="R986" s="517"/>
      <c r="S986" s="517"/>
      <c r="T986" s="517"/>
      <c r="U986" s="518"/>
    </row>
    <row r="987" spans="1:21">
      <c r="A987" s="517"/>
      <c r="B987" s="517"/>
      <c r="C987" s="517"/>
      <c r="D987" s="517"/>
      <c r="E987" s="518"/>
      <c r="Q987" s="517"/>
      <c r="R987" s="517"/>
      <c r="S987" s="517"/>
      <c r="T987" s="517"/>
      <c r="U987" s="518"/>
    </row>
    <row r="988" spans="1:21">
      <c r="A988" s="517"/>
      <c r="B988" s="517"/>
      <c r="C988" s="517"/>
      <c r="D988" s="517"/>
      <c r="E988" s="518"/>
      <c r="Q988" s="517"/>
      <c r="R988" s="517"/>
      <c r="S988" s="517"/>
      <c r="T988" s="517"/>
      <c r="U988" s="518"/>
    </row>
    <row r="989" spans="1:21">
      <c r="A989" s="517"/>
      <c r="B989" s="517"/>
      <c r="C989" s="517"/>
      <c r="D989" s="517"/>
      <c r="E989" s="518"/>
      <c r="Q989" s="517"/>
      <c r="R989" s="517"/>
      <c r="S989" s="517"/>
      <c r="T989" s="517"/>
      <c r="U989" s="518"/>
    </row>
    <row r="990" spans="1:21">
      <c r="A990" s="517"/>
      <c r="B990" s="517"/>
      <c r="C990" s="517"/>
      <c r="D990" s="517"/>
      <c r="E990" s="518"/>
      <c r="Q990" s="517"/>
      <c r="R990" s="517"/>
      <c r="S990" s="517"/>
      <c r="T990" s="517"/>
      <c r="U990" s="518"/>
    </row>
    <row r="991" spans="1:21">
      <c r="A991" s="517"/>
      <c r="B991" s="517"/>
      <c r="C991" s="517"/>
      <c r="D991" s="517"/>
      <c r="E991" s="518"/>
      <c r="Q991" s="517"/>
      <c r="R991" s="517"/>
      <c r="S991" s="517"/>
      <c r="T991" s="517"/>
      <c r="U991" s="518"/>
    </row>
    <row r="992" spans="1:21">
      <c r="A992" s="517"/>
      <c r="B992" s="517"/>
      <c r="C992" s="517"/>
      <c r="D992" s="517"/>
      <c r="E992" s="518"/>
      <c r="Q992" s="517"/>
      <c r="R992" s="517"/>
      <c r="S992" s="517"/>
      <c r="T992" s="517"/>
      <c r="U992" s="518"/>
    </row>
    <row r="993" spans="1:21">
      <c r="A993" s="517"/>
      <c r="B993" s="517"/>
      <c r="C993" s="517"/>
      <c r="D993" s="517"/>
      <c r="E993" s="518"/>
      <c r="Q993" s="517"/>
      <c r="R993" s="517"/>
      <c r="S993" s="517"/>
      <c r="T993" s="517"/>
      <c r="U993" s="518"/>
    </row>
    <row r="994" spans="1:21">
      <c r="A994" s="517"/>
      <c r="B994" s="517"/>
      <c r="C994" s="517"/>
      <c r="D994" s="517"/>
      <c r="E994" s="518"/>
      <c r="Q994" s="517"/>
      <c r="R994" s="517"/>
      <c r="S994" s="517"/>
      <c r="T994" s="517"/>
      <c r="U994" s="518"/>
    </row>
    <row r="995" spans="1:21">
      <c r="A995" s="517"/>
      <c r="B995" s="517"/>
      <c r="C995" s="517"/>
      <c r="D995" s="517"/>
      <c r="E995" s="518"/>
      <c r="Q995" s="517"/>
      <c r="R995" s="517"/>
      <c r="S995" s="517"/>
      <c r="T995" s="517"/>
      <c r="U995" s="518"/>
    </row>
    <row r="996" spans="1:21">
      <c r="A996" s="517"/>
      <c r="B996" s="517"/>
      <c r="C996" s="517"/>
      <c r="D996" s="517"/>
      <c r="E996" s="518"/>
      <c r="Q996" s="517"/>
      <c r="R996" s="517"/>
      <c r="S996" s="517"/>
      <c r="T996" s="517"/>
      <c r="U996" s="518"/>
    </row>
    <row r="997" spans="1:21">
      <c r="A997" s="517"/>
      <c r="B997" s="517"/>
      <c r="C997" s="517"/>
      <c r="D997" s="517"/>
      <c r="E997" s="518"/>
      <c r="Q997" s="517"/>
      <c r="R997" s="517"/>
      <c r="S997" s="517"/>
      <c r="T997" s="517"/>
      <c r="U997" s="518"/>
    </row>
    <row r="998" spans="1:21">
      <c r="A998" s="517"/>
      <c r="B998" s="517"/>
      <c r="C998" s="517"/>
      <c r="D998" s="517"/>
      <c r="E998" s="518"/>
      <c r="Q998" s="517"/>
      <c r="R998" s="517"/>
      <c r="S998" s="517"/>
      <c r="T998" s="517"/>
      <c r="U998" s="518"/>
    </row>
    <row r="999" spans="1:21">
      <c r="A999" s="517"/>
      <c r="B999" s="517"/>
      <c r="C999" s="517"/>
      <c r="D999" s="517"/>
      <c r="E999" s="518"/>
      <c r="Q999" s="517"/>
      <c r="R999" s="517"/>
      <c r="S999" s="517"/>
      <c r="T999" s="517"/>
      <c r="U999" s="518"/>
    </row>
    <row r="1000" spans="1:21">
      <c r="A1000" s="517"/>
      <c r="B1000" s="517"/>
      <c r="C1000" s="517"/>
      <c r="D1000" s="517"/>
      <c r="E1000" s="518"/>
      <c r="Q1000" s="517"/>
      <c r="R1000" s="517"/>
      <c r="S1000" s="517"/>
      <c r="T1000" s="517"/>
      <c r="U1000" s="518"/>
    </row>
  </sheetData>
  <phoneticPr fontId="56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2">
    <tabColor indexed="15"/>
  </sheetPr>
  <dimension ref="A1:AH277"/>
  <sheetViews>
    <sheetView zoomScaleSheetLayoutView="120" workbookViewId="0">
      <pane xSplit="3" ySplit="5" topLeftCell="O195" activePane="bottomRight" state="frozen"/>
      <selection activeCell="C14" sqref="C14"/>
      <selection pane="topRight" activeCell="C14" sqref="C14"/>
      <selection pane="bottomLeft" activeCell="C14" sqref="C14"/>
      <selection pane="bottomRight" activeCell="R273" sqref="R273"/>
    </sheetView>
  </sheetViews>
  <sheetFormatPr baseColWidth="10" defaultColWidth="11.3984375" defaultRowHeight="17" outlineLevelRow="1" outlineLevelCol="1"/>
  <cols>
    <col min="1" max="1" width="2.19921875" style="396" customWidth="1"/>
    <col min="2" max="2" width="31.796875" style="396" customWidth="1"/>
    <col min="3" max="3" width="6" style="396" hidden="1" customWidth="1"/>
    <col min="4" max="4" width="13.59765625" style="401" customWidth="1"/>
    <col min="5" max="5" width="8.796875" style="407" bestFit="1" customWidth="1"/>
    <col min="6" max="6" width="13" style="401" customWidth="1"/>
    <col min="7" max="7" width="7" style="407" customWidth="1"/>
    <col min="8" max="8" width="13" style="401" customWidth="1"/>
    <col min="9" max="9" width="7" style="407" customWidth="1"/>
    <col min="10" max="10" width="13" style="401" customWidth="1"/>
    <col min="11" max="11" width="7" style="407" customWidth="1"/>
    <col min="12" max="12" width="13.796875" style="401" customWidth="1"/>
    <col min="13" max="13" width="7" style="407" customWidth="1"/>
    <col min="14" max="14" width="13" style="398" customWidth="1"/>
    <col min="15" max="15" width="7" style="408" customWidth="1"/>
    <col min="16" max="16" width="13" style="401" customWidth="1"/>
    <col min="17" max="17" width="7" style="409" customWidth="1"/>
    <col min="18" max="18" width="13" style="401" customWidth="1"/>
    <col min="19" max="19" width="7" style="401" customWidth="1"/>
    <col min="20" max="20" width="13" style="401" customWidth="1" outlineLevel="1"/>
    <col min="21" max="21" width="7" style="407" customWidth="1" outlineLevel="1"/>
    <col min="22" max="22" width="13" style="401" customWidth="1" outlineLevel="1"/>
    <col min="23" max="23" width="7" style="410" customWidth="1" outlineLevel="1"/>
    <col min="24" max="24" width="13" style="401" customWidth="1" outlineLevel="1"/>
    <col min="25" max="25" width="7" style="407" customWidth="1" outlineLevel="1"/>
    <col min="26" max="26" width="13.19921875" style="401" customWidth="1" outlineLevel="1"/>
    <col min="27" max="27" width="9.59765625" style="411" customWidth="1" outlineLevel="1"/>
    <col min="28" max="28" width="14.19921875" style="401" bestFit="1" customWidth="1"/>
    <col min="29" max="29" width="7" style="401" bestFit="1" customWidth="1"/>
    <col min="30" max="30" width="13" style="401" bestFit="1" customWidth="1"/>
    <col min="31" max="31" width="14.796875" style="412" customWidth="1"/>
    <col min="32" max="32" width="3.59765625" style="396" hidden="1" customWidth="1"/>
    <col min="33" max="33" width="12.796875" style="396" hidden="1" customWidth="1"/>
    <col min="34" max="34" width="11.3984375" style="396" hidden="1" customWidth="1"/>
    <col min="35" max="35" width="11.3984375" style="396" customWidth="1"/>
    <col min="36" max="16384" width="11.3984375" style="396"/>
  </cols>
  <sheetData>
    <row r="1" spans="1:34">
      <c r="A1" s="406" t="s">
        <v>444</v>
      </c>
    </row>
    <row r="2" spans="1:34">
      <c r="A2" s="406" t="s">
        <v>1141</v>
      </c>
    </row>
    <row r="3" spans="1:34">
      <c r="A3" s="406"/>
      <c r="B3" s="413"/>
      <c r="AE3" s="414"/>
    </row>
    <row r="4" spans="1:34" s="394" customFormat="1" ht="18" thickBot="1">
      <c r="A4" s="415" t="s">
        <v>445</v>
      </c>
      <c r="B4" s="416"/>
      <c r="C4" s="416"/>
      <c r="D4" s="417" t="s">
        <v>1767</v>
      </c>
      <c r="E4" s="418" t="s">
        <v>1114</v>
      </c>
      <c r="F4" s="417" t="s">
        <v>1768</v>
      </c>
      <c r="G4" s="418" t="s">
        <v>1114</v>
      </c>
      <c r="H4" s="417" t="s">
        <v>1769</v>
      </c>
      <c r="I4" s="418" t="s">
        <v>1114</v>
      </c>
      <c r="J4" s="417" t="s">
        <v>1770</v>
      </c>
      <c r="K4" s="418" t="s">
        <v>1114</v>
      </c>
      <c r="L4" s="417" t="s">
        <v>1771</v>
      </c>
      <c r="M4" s="418" t="s">
        <v>1114</v>
      </c>
      <c r="N4" s="417" t="s">
        <v>1772</v>
      </c>
      <c r="O4" s="418" t="s">
        <v>1114</v>
      </c>
      <c r="P4" s="417" t="s">
        <v>1773</v>
      </c>
      <c r="Q4" s="418" t="s">
        <v>1114</v>
      </c>
      <c r="R4" s="417" t="s">
        <v>1774</v>
      </c>
      <c r="S4" s="418" t="s">
        <v>1114</v>
      </c>
      <c r="T4" s="417" t="s">
        <v>1775</v>
      </c>
      <c r="U4" s="418" t="s">
        <v>1114</v>
      </c>
      <c r="V4" s="417" t="s">
        <v>1776</v>
      </c>
      <c r="W4" s="419" t="s">
        <v>1114</v>
      </c>
      <c r="X4" s="417" t="s">
        <v>1777</v>
      </c>
      <c r="Y4" s="418" t="s">
        <v>1114</v>
      </c>
      <c r="Z4" s="417" t="s">
        <v>1778</v>
      </c>
      <c r="AA4" s="420" t="s">
        <v>1114</v>
      </c>
      <c r="AB4" s="399" t="s">
        <v>1281</v>
      </c>
      <c r="AC4" s="399" t="s">
        <v>1114</v>
      </c>
      <c r="AD4" s="399" t="s">
        <v>1142</v>
      </c>
      <c r="AE4" s="412"/>
      <c r="AG4" s="394" t="s">
        <v>1499</v>
      </c>
    </row>
    <row r="5" spans="1:34" s="394" customFormat="1" ht="19" thickTop="1" thickBot="1">
      <c r="A5" s="421"/>
      <c r="B5" s="890" t="s">
        <v>1779</v>
      </c>
      <c r="C5" s="422" t="s">
        <v>1143</v>
      </c>
      <c r="D5" s="423">
        <f>製造費用明細!E2+銷售費用!E2+管理費用!E2+研發費用!E2</f>
        <v>67</v>
      </c>
      <c r="E5" s="424"/>
      <c r="F5" s="423">
        <f>製造費用明細!F2+銷售費用!F2+管理費用!F2+研發費用!F2</f>
        <v>69</v>
      </c>
      <c r="G5" s="424"/>
      <c r="H5" s="423">
        <f>製造費用明細!G2+銷售費用!G2+管理費用!G2+研發費用!G2</f>
        <v>69</v>
      </c>
      <c r="I5" s="424"/>
      <c r="J5" s="423">
        <f>製造費用明細!H2+銷售費用!H2+管理費用!H2+研發費用!H2</f>
        <v>68</v>
      </c>
      <c r="K5" s="424"/>
      <c r="L5" s="423">
        <f>製造費用明細!I2+銷售費用!I2+管理費用!I2+研發費用!I2</f>
        <v>70</v>
      </c>
      <c r="M5" s="424"/>
      <c r="N5" s="423">
        <f>製造費用明細!J2+銷售費用!J2+管理費用!J2+研發費用!J2</f>
        <v>71</v>
      </c>
      <c r="O5" s="424"/>
      <c r="P5" s="423">
        <f>製造費用明細!K2+銷售費用!K2+管理費用!K2+研發費用!K2</f>
        <v>70</v>
      </c>
      <c r="Q5" s="425"/>
      <c r="R5" s="423">
        <f>製造費用明細!L2+銷售費用!L2+管理費用!L2+研發費用!L2</f>
        <v>70</v>
      </c>
      <c r="S5" s="426"/>
      <c r="T5" s="423">
        <f>製造費用明細!M2+銷售費用!M2+管理費用!M2+研發費用!M2</f>
        <v>0</v>
      </c>
      <c r="U5" s="424"/>
      <c r="V5" s="423">
        <f>製造費用明細!N2+銷售費用!N2+管理費用!N2+研發費用!N2</f>
        <v>0</v>
      </c>
      <c r="W5" s="427"/>
      <c r="X5" s="423">
        <f>製造費用明細!O2+銷售費用!O2+管理費用!O2+研發費用!O2</f>
        <v>0</v>
      </c>
      <c r="Y5" s="424"/>
      <c r="Z5" s="423">
        <f>製造費用明細!P2+銷售費用!P2+管理費用!P2+研發費用!P2</f>
        <v>0</v>
      </c>
      <c r="AA5" s="428"/>
      <c r="AB5" s="426"/>
      <c r="AC5" s="426"/>
      <c r="AD5" s="399"/>
      <c r="AE5" s="412" t="s">
        <v>1500</v>
      </c>
      <c r="AG5" s="429" t="s">
        <v>1230</v>
      </c>
      <c r="AH5" s="430" t="s">
        <v>1231</v>
      </c>
    </row>
    <row r="6" spans="1:34" ht="18" thickTop="1">
      <c r="A6" s="431" t="s">
        <v>1501</v>
      </c>
      <c r="B6" s="432"/>
      <c r="D6" s="397"/>
      <c r="F6" s="397"/>
      <c r="H6" s="397"/>
      <c r="J6" s="397"/>
      <c r="L6" s="397"/>
      <c r="N6" s="397"/>
      <c r="P6" s="397"/>
      <c r="R6" s="397"/>
      <c r="T6" s="397"/>
      <c r="V6" s="397"/>
      <c r="X6" s="397"/>
      <c r="Z6" s="397"/>
    </row>
    <row r="7" spans="1:34">
      <c r="A7" s="432"/>
      <c r="B7" s="431" t="s">
        <v>1502</v>
      </c>
      <c r="D7" s="397"/>
      <c r="F7" s="397"/>
      <c r="H7" s="397"/>
      <c r="J7" s="397"/>
      <c r="L7" s="397"/>
      <c r="N7" s="397"/>
      <c r="P7" s="397"/>
      <c r="R7" s="397"/>
      <c r="T7" s="397"/>
      <c r="V7" s="397"/>
      <c r="X7" s="397"/>
      <c r="Z7" s="397"/>
      <c r="AE7" s="433"/>
    </row>
    <row r="8" spans="1:34">
      <c r="A8" s="432"/>
      <c r="B8" s="432" t="s">
        <v>1503</v>
      </c>
      <c r="D8" s="434">
        <v>60242992</v>
      </c>
      <c r="E8" s="435">
        <f t="shared" ref="E8:E13" si="0">D8/$D$21</f>
        <v>0.99993428713097865</v>
      </c>
      <c r="F8" s="434">
        <v>53027714</v>
      </c>
      <c r="G8" s="407">
        <f t="shared" ref="G8:G13" si="1">F8/$F$21</f>
        <v>0.99917496207945888</v>
      </c>
      <c r="H8" s="434">
        <v>65197616</v>
      </c>
      <c r="I8" s="407">
        <f>H8/$H$21</f>
        <v>1.0229970295912711</v>
      </c>
      <c r="J8" s="434">
        <v>67460983</v>
      </c>
      <c r="K8" s="436">
        <f t="shared" ref="K8:K13" si="2">J8/$J$21</f>
        <v>1.0014147114673229</v>
      </c>
      <c r="L8" s="434">
        <v>53238236</v>
      </c>
      <c r="M8" s="407">
        <f t="shared" ref="M8:M13" si="3">L8/$L$21</f>
        <v>0.99919095507784028</v>
      </c>
      <c r="N8" s="434">
        <v>87451211</v>
      </c>
      <c r="O8" s="437">
        <f>N8/$N$21</f>
        <v>0.99957988507813744</v>
      </c>
      <c r="P8" s="434">
        <v>98237627</v>
      </c>
      <c r="Q8" s="437">
        <f>P8/$P$21</f>
        <v>0.99996397640475887</v>
      </c>
      <c r="R8" s="434">
        <v>82131376</v>
      </c>
      <c r="S8" s="437">
        <f t="shared" ref="S8:S13" si="4">R8/$R$21</f>
        <v>0.99995691235572592</v>
      </c>
      <c r="T8" s="434">
        <v>0</v>
      </c>
      <c r="U8" s="407" t="e">
        <f>T8/$T$21</f>
        <v>#DIV/0!</v>
      </c>
      <c r="V8" s="434">
        <v>0</v>
      </c>
      <c r="W8" s="410" t="e">
        <f>V8/$V$21</f>
        <v>#DIV/0!</v>
      </c>
      <c r="X8" s="434">
        <v>0</v>
      </c>
      <c r="Y8" s="407" t="e">
        <f>X8/$X$21</f>
        <v>#DIV/0!</v>
      </c>
      <c r="Z8" s="434">
        <v>0</v>
      </c>
      <c r="AA8" s="411" t="e">
        <f>Z8/$Z$21</f>
        <v>#DIV/0!</v>
      </c>
      <c r="AB8" s="401">
        <f>SUM(D8,F8,H8,J8,L8,N8,P8,R8,T8,V8,X8,Z8)</f>
        <v>566987755</v>
      </c>
      <c r="AC8" s="407">
        <f t="shared" ref="AC8:AC13" si="5">AB8/$AB$21</f>
        <v>1.0025218548693584</v>
      </c>
      <c r="AD8" s="397">
        <f>AVERAGE(D8,F8,H8,J8,L8,N8,P8,R8,T8,V8,X8,Z8)</f>
        <v>47248979.583333336</v>
      </c>
      <c r="AE8" s="396"/>
      <c r="AG8" s="397">
        <f>VLOOKUP(B8,TWN_IS!B:P,15,0)</f>
        <v>566987755</v>
      </c>
      <c r="AH8" s="397">
        <f>AB8-AG8</f>
        <v>0</v>
      </c>
    </row>
    <row r="9" spans="1:34">
      <c r="A9" s="432"/>
      <c r="B9" s="432" t="s">
        <v>1504</v>
      </c>
      <c r="D9" s="434">
        <v>6052118</v>
      </c>
      <c r="E9" s="435">
        <f t="shared" si="0"/>
        <v>0.10045517490171411</v>
      </c>
      <c r="F9" s="434">
        <v>6516828</v>
      </c>
      <c r="G9" s="407">
        <f t="shared" si="1"/>
        <v>0.12279336366976626</v>
      </c>
      <c r="H9" s="434">
        <v>4965549</v>
      </c>
      <c r="I9" s="407">
        <f>H9/$H$21</f>
        <v>7.791300033562433E-2</v>
      </c>
      <c r="J9" s="434">
        <v>3547544</v>
      </c>
      <c r="K9" s="436">
        <f t="shared" si="2"/>
        <v>5.2660998894392519E-2</v>
      </c>
      <c r="L9" s="434">
        <v>4730748</v>
      </c>
      <c r="M9" s="435">
        <f t="shared" si="3"/>
        <v>8.8788077282511438E-2</v>
      </c>
      <c r="N9" s="434">
        <v>10034944</v>
      </c>
      <c r="O9" s="437">
        <f t="shared" ref="O9:O72" si="6">N9/$N$21</f>
        <v>0.11470084925737101</v>
      </c>
      <c r="P9" s="434">
        <v>8173236</v>
      </c>
      <c r="Q9" s="437">
        <f t="shared" ref="Q9:Q72" si="7">P9/$P$21</f>
        <v>8.3195633081146456E-2</v>
      </c>
      <c r="R9" s="434">
        <v>8365372</v>
      </c>
      <c r="S9" s="437">
        <f t="shared" si="4"/>
        <v>0.10184915878953549</v>
      </c>
      <c r="T9" s="434">
        <v>0</v>
      </c>
      <c r="U9" s="407" t="e">
        <f t="shared" ref="U9:U20" si="8">T9/$T$21</f>
        <v>#DIV/0!</v>
      </c>
      <c r="V9" s="434">
        <v>0</v>
      </c>
      <c r="W9" s="410" t="e">
        <f t="shared" ref="W9:W21" si="9">V9/$V$21</f>
        <v>#DIV/0!</v>
      </c>
      <c r="X9" s="434">
        <v>0</v>
      </c>
      <c r="Y9" s="407" t="e">
        <f t="shared" ref="Y9:Y21" si="10">X9/$X$21</f>
        <v>#DIV/0!</v>
      </c>
      <c r="Z9" s="434">
        <v>0</v>
      </c>
      <c r="AA9" s="411" t="e">
        <f t="shared" ref="AA9:AA21" si="11">Z9/$Z$21</f>
        <v>#DIV/0!</v>
      </c>
      <c r="AB9" s="401">
        <f t="shared" ref="AB9:AB13" si="12">SUM(D9,F9,H9,J9,L9,N9,P9,R9,T9,V9,X9,Z9)</f>
        <v>52386339</v>
      </c>
      <c r="AC9" s="407">
        <f t="shared" si="5"/>
        <v>9.2627132210456667E-2</v>
      </c>
      <c r="AD9" s="397">
        <f t="shared" ref="AD9:AD13" si="13">AVERAGE(D9,F9,H9,J9,L9,N9,P9,R9,T9,V9,X9,Z9)</f>
        <v>4365528.25</v>
      </c>
      <c r="AE9" s="396"/>
      <c r="AG9" s="397">
        <f>VLOOKUP(B9,TWN_IS!B:P,15,0)</f>
        <v>52386339</v>
      </c>
      <c r="AH9" s="397">
        <f t="shared" ref="AH9:AH72" si="14">AB9-AG9</f>
        <v>0</v>
      </c>
    </row>
    <row r="10" spans="1:34">
      <c r="A10" s="432"/>
      <c r="B10" s="432" t="s">
        <v>1505</v>
      </c>
      <c r="D10" s="434">
        <v>54190874</v>
      </c>
      <c r="E10" s="435">
        <f t="shared" si="0"/>
        <v>0.89947911222926447</v>
      </c>
      <c r="F10" s="434">
        <v>46510886</v>
      </c>
      <c r="G10" s="407">
        <f t="shared" si="1"/>
        <v>0.87638159840969254</v>
      </c>
      <c r="H10" s="434">
        <v>60232067</v>
      </c>
      <c r="I10" s="407">
        <f>H10/$H$21</f>
        <v>0.94508402925564672</v>
      </c>
      <c r="J10" s="434">
        <v>63913439</v>
      </c>
      <c r="K10" s="436">
        <f t="shared" si="2"/>
        <v>0.94875371257293029</v>
      </c>
      <c r="L10" s="434">
        <v>48507488</v>
      </c>
      <c r="M10" s="435">
        <f t="shared" si="3"/>
        <v>0.9104028777953288</v>
      </c>
      <c r="N10" s="434">
        <v>77416267</v>
      </c>
      <c r="O10" s="437">
        <f t="shared" si="6"/>
        <v>0.88487903582076644</v>
      </c>
      <c r="P10" s="434">
        <v>90064391</v>
      </c>
      <c r="Q10" s="437">
        <f t="shared" si="7"/>
        <v>0.91676834332361246</v>
      </c>
      <c r="R10" s="434">
        <v>73766004</v>
      </c>
      <c r="S10" s="437">
        <f t="shared" si="4"/>
        <v>0.89810775356619044</v>
      </c>
      <c r="T10" s="434">
        <v>0</v>
      </c>
      <c r="U10" s="407" t="e">
        <f t="shared" si="8"/>
        <v>#DIV/0!</v>
      </c>
      <c r="V10" s="434">
        <v>0</v>
      </c>
      <c r="W10" s="410" t="e">
        <f t="shared" si="9"/>
        <v>#DIV/0!</v>
      </c>
      <c r="X10" s="434">
        <v>0</v>
      </c>
      <c r="Y10" s="407" t="e">
        <f t="shared" si="10"/>
        <v>#DIV/0!</v>
      </c>
      <c r="Z10" s="434">
        <v>0</v>
      </c>
      <c r="AA10" s="411" t="e">
        <f t="shared" si="11"/>
        <v>#DIV/0!</v>
      </c>
      <c r="AB10" s="401">
        <f t="shared" si="12"/>
        <v>514601416</v>
      </c>
      <c r="AC10" s="407">
        <f t="shared" si="5"/>
        <v>0.90989472265890181</v>
      </c>
      <c r="AD10" s="397">
        <f t="shared" si="13"/>
        <v>42883451.333333336</v>
      </c>
      <c r="AE10" s="396"/>
      <c r="AG10" s="397">
        <f>VLOOKUP(B10,TWN_IS!B:P,15,0)</f>
        <v>514601416</v>
      </c>
      <c r="AH10" s="397">
        <f t="shared" si="14"/>
        <v>0</v>
      </c>
    </row>
    <row r="11" spans="1:34">
      <c r="A11" s="432"/>
      <c r="B11" s="432" t="s">
        <v>1506</v>
      </c>
      <c r="D11" s="434">
        <v>0</v>
      </c>
      <c r="E11" s="435">
        <f t="shared" si="0"/>
        <v>0</v>
      </c>
      <c r="F11" s="434">
        <v>0</v>
      </c>
      <c r="G11" s="407">
        <f t="shared" si="1"/>
        <v>0</v>
      </c>
      <c r="H11" s="434">
        <v>0</v>
      </c>
      <c r="I11" s="407">
        <f>H11/$H$21</f>
        <v>0</v>
      </c>
      <c r="J11" s="434">
        <v>116289</v>
      </c>
      <c r="K11" s="436">
        <f t="shared" si="2"/>
        <v>1.726235079939815E-3</v>
      </c>
      <c r="L11" s="434">
        <v>0</v>
      </c>
      <c r="M11" s="435">
        <f t="shared" si="3"/>
        <v>0</v>
      </c>
      <c r="N11" s="434">
        <v>13559</v>
      </c>
      <c r="O11" s="437">
        <f t="shared" si="6"/>
        <v>1.5498131480162655E-4</v>
      </c>
      <c r="P11" s="434">
        <v>0</v>
      </c>
      <c r="Q11" s="437">
        <f t="shared" si="7"/>
        <v>0</v>
      </c>
      <c r="R11" s="434">
        <v>0</v>
      </c>
      <c r="S11" s="437">
        <f t="shared" si="4"/>
        <v>0</v>
      </c>
      <c r="T11" s="434">
        <v>0</v>
      </c>
      <c r="U11" s="407" t="e">
        <f t="shared" si="8"/>
        <v>#DIV/0!</v>
      </c>
      <c r="V11" s="434">
        <v>0</v>
      </c>
      <c r="W11" s="410" t="e">
        <f t="shared" si="9"/>
        <v>#DIV/0!</v>
      </c>
      <c r="X11" s="434">
        <v>0</v>
      </c>
      <c r="Y11" s="407" t="e">
        <f t="shared" si="10"/>
        <v>#DIV/0!</v>
      </c>
      <c r="Z11" s="434">
        <v>0</v>
      </c>
      <c r="AA11" s="411" t="e">
        <f t="shared" si="11"/>
        <v>#DIV/0!</v>
      </c>
      <c r="AB11" s="401">
        <f t="shared" si="12"/>
        <v>129848</v>
      </c>
      <c r="AC11" s="407">
        <f t="shared" si="5"/>
        <v>2.2959130362714176E-4</v>
      </c>
      <c r="AD11" s="397">
        <f t="shared" si="13"/>
        <v>10820.666666666666</v>
      </c>
      <c r="AE11" s="396"/>
      <c r="AG11" s="397">
        <f>VLOOKUP(B11,TWN_IS!B:P,15,0)</f>
        <v>129848</v>
      </c>
      <c r="AH11" s="397">
        <f t="shared" si="14"/>
        <v>0</v>
      </c>
    </row>
    <row r="12" spans="1:34">
      <c r="A12" s="432"/>
      <c r="B12" s="432" t="s">
        <v>1507</v>
      </c>
      <c r="D12" s="434">
        <v>0</v>
      </c>
      <c r="E12" s="435">
        <f t="shared" si="0"/>
        <v>0</v>
      </c>
      <c r="F12" s="434">
        <v>0</v>
      </c>
      <c r="G12" s="407">
        <f t="shared" si="1"/>
        <v>0</v>
      </c>
      <c r="H12" s="434">
        <v>1493168</v>
      </c>
      <c r="I12" s="407">
        <f t="shared" ref="I12:I72" si="15">H12/$H$21</f>
        <v>2.342886937278104E-2</v>
      </c>
      <c r="J12" s="434">
        <v>0</v>
      </c>
      <c r="K12" s="436">
        <f t="shared" si="2"/>
        <v>0</v>
      </c>
      <c r="L12" s="434">
        <v>0</v>
      </c>
      <c r="M12" s="435">
        <f t="shared" si="3"/>
        <v>0</v>
      </c>
      <c r="N12" s="434">
        <v>31565</v>
      </c>
      <c r="O12" s="437">
        <f t="shared" si="6"/>
        <v>3.6079247744769837E-4</v>
      </c>
      <c r="P12" s="434">
        <v>0</v>
      </c>
      <c r="Q12" s="437">
        <f t="shared" si="7"/>
        <v>0</v>
      </c>
      <c r="R12" s="434">
        <v>0</v>
      </c>
      <c r="S12" s="437">
        <f t="shared" si="4"/>
        <v>0</v>
      </c>
      <c r="T12" s="434">
        <v>0</v>
      </c>
      <c r="U12" s="407" t="e">
        <f t="shared" si="8"/>
        <v>#DIV/0!</v>
      </c>
      <c r="V12" s="434">
        <v>0</v>
      </c>
      <c r="W12" s="410" t="e">
        <f t="shared" si="9"/>
        <v>#DIV/0!</v>
      </c>
      <c r="X12" s="434">
        <v>0</v>
      </c>
      <c r="Y12" s="407" t="e">
        <f t="shared" si="10"/>
        <v>#DIV/0!</v>
      </c>
      <c r="Z12" s="434">
        <v>0</v>
      </c>
      <c r="AA12" s="411" t="e">
        <f t="shared" si="11"/>
        <v>#DIV/0!</v>
      </c>
      <c r="AB12" s="401">
        <f t="shared" si="12"/>
        <v>1524733</v>
      </c>
      <c r="AC12" s="407">
        <f t="shared" si="5"/>
        <v>2.6959632582197858E-3</v>
      </c>
      <c r="AD12" s="397">
        <f t="shared" si="13"/>
        <v>127061.08333333333</v>
      </c>
      <c r="AE12" s="396"/>
      <c r="AG12" s="397">
        <f>VLOOKUP(B12,TWN_IS!B:P,15,0)</f>
        <v>1524733</v>
      </c>
      <c r="AH12" s="397">
        <f t="shared" si="14"/>
        <v>0</v>
      </c>
    </row>
    <row r="13" spans="1:34">
      <c r="A13" s="432"/>
      <c r="B13" s="431" t="s">
        <v>1508</v>
      </c>
      <c r="D13" s="434">
        <v>60242992</v>
      </c>
      <c r="E13" s="435">
        <f t="shared" si="0"/>
        <v>0.99993428713097865</v>
      </c>
      <c r="F13" s="434">
        <v>53027714</v>
      </c>
      <c r="G13" s="407">
        <f t="shared" si="1"/>
        <v>0.99917496207945888</v>
      </c>
      <c r="H13" s="434">
        <v>63704448</v>
      </c>
      <c r="I13" s="407">
        <f>H13/$H$21</f>
        <v>0.99956816021849004</v>
      </c>
      <c r="J13" s="434">
        <v>67344694</v>
      </c>
      <c r="K13" s="436">
        <f t="shared" si="2"/>
        <v>0.99968847638738301</v>
      </c>
      <c r="L13" s="434">
        <v>53238236</v>
      </c>
      <c r="M13" s="435">
        <f t="shared" si="3"/>
        <v>0.99919095507784028</v>
      </c>
      <c r="N13" s="434">
        <v>87406087</v>
      </c>
      <c r="O13" s="437">
        <f t="shared" si="6"/>
        <v>0.99906411128588812</v>
      </c>
      <c r="P13" s="434">
        <v>98237627</v>
      </c>
      <c r="Q13" s="437">
        <f t="shared" si="7"/>
        <v>0.99996397640475887</v>
      </c>
      <c r="R13" s="434">
        <v>82131376</v>
      </c>
      <c r="S13" s="437">
        <f t="shared" si="4"/>
        <v>0.99995691235572592</v>
      </c>
      <c r="T13" s="434">
        <v>0</v>
      </c>
      <c r="U13" s="407" t="e">
        <f t="shared" si="8"/>
        <v>#DIV/0!</v>
      </c>
      <c r="V13" s="434">
        <v>0</v>
      </c>
      <c r="W13" s="410" t="e">
        <f t="shared" si="9"/>
        <v>#DIV/0!</v>
      </c>
      <c r="X13" s="434">
        <v>0</v>
      </c>
      <c r="Y13" s="407" t="e">
        <f t="shared" si="10"/>
        <v>#DIV/0!</v>
      </c>
      <c r="Z13" s="434">
        <v>0</v>
      </c>
      <c r="AA13" s="411" t="e">
        <f t="shared" si="11"/>
        <v>#DIV/0!</v>
      </c>
      <c r="AB13" s="401">
        <f t="shared" si="12"/>
        <v>565333174</v>
      </c>
      <c r="AC13" s="407">
        <f t="shared" si="5"/>
        <v>0.99959630030751156</v>
      </c>
      <c r="AD13" s="397">
        <f t="shared" si="13"/>
        <v>47111097.833333336</v>
      </c>
      <c r="AE13" s="396"/>
      <c r="AG13" s="397">
        <f>VLOOKUP(B13,TWN_IS!B:P,15,0)</f>
        <v>565333174</v>
      </c>
      <c r="AH13" s="397">
        <f t="shared" si="14"/>
        <v>0</v>
      </c>
    </row>
    <row r="14" spans="1:34">
      <c r="A14" s="432"/>
      <c r="B14" s="431" t="s">
        <v>1509</v>
      </c>
      <c r="D14" s="438"/>
      <c r="E14" s="435"/>
      <c r="F14" s="438"/>
      <c r="H14" s="438"/>
      <c r="J14" s="438"/>
      <c r="K14" s="436"/>
      <c r="L14" s="438"/>
      <c r="M14" s="435"/>
      <c r="N14" s="438"/>
      <c r="O14" s="437"/>
      <c r="P14" s="438"/>
      <c r="Q14" s="437"/>
      <c r="R14" s="438"/>
      <c r="T14" s="438"/>
      <c r="V14" s="438"/>
      <c r="X14" s="438"/>
      <c r="Z14" s="438"/>
      <c r="AC14" s="407"/>
      <c r="AD14" s="397"/>
      <c r="AE14" s="396"/>
      <c r="AG14" s="397">
        <f>VLOOKUP(B14,TWN_IS!B:P,15,0)</f>
        <v>0</v>
      </c>
      <c r="AH14" s="397">
        <f t="shared" si="14"/>
        <v>0</v>
      </c>
    </row>
    <row r="15" spans="1:34">
      <c r="A15" s="432"/>
      <c r="B15" s="432" t="s">
        <v>1510</v>
      </c>
      <c r="D15" s="434">
        <v>3959</v>
      </c>
      <c r="E15" s="435">
        <f t="shared" ref="E15:E78" si="16">D15/$D$21</f>
        <v>6.571286902137172E-5</v>
      </c>
      <c r="F15" s="434">
        <v>43786</v>
      </c>
      <c r="G15" s="407">
        <f t="shared" ref="G15:G78" si="17">F15/$F$21</f>
        <v>8.2503792054115679E-4</v>
      </c>
      <c r="H15" s="434">
        <v>27522</v>
      </c>
      <c r="I15" s="407">
        <f>H15/$H$21</f>
        <v>4.3183978150997056E-4</v>
      </c>
      <c r="J15" s="434">
        <v>20986</v>
      </c>
      <c r="K15" s="436">
        <f t="shared" ref="K15:K20" si="18">J15/$J$21</f>
        <v>3.1152361261698835E-4</v>
      </c>
      <c r="L15" s="434">
        <v>43107</v>
      </c>
      <c r="M15" s="435">
        <f t="shared" ref="M15:M21" si="19">L15/$L$21</f>
        <v>8.0904492215971358E-4</v>
      </c>
      <c r="N15" s="434">
        <v>81879</v>
      </c>
      <c r="O15" s="437">
        <f t="shared" si="6"/>
        <v>9.358887141118357E-4</v>
      </c>
      <c r="P15" s="434">
        <v>3539</v>
      </c>
      <c r="Q15" s="437">
        <f t="shared" si="7"/>
        <v>3.6023595241123261E-5</v>
      </c>
      <c r="R15" s="434">
        <v>3539</v>
      </c>
      <c r="S15" s="437">
        <f t="shared" ref="S15:S20" si="20">R15/$R$21</f>
        <v>4.3087644274058118E-5</v>
      </c>
      <c r="T15" s="434">
        <v>0</v>
      </c>
      <c r="U15" s="407" t="e">
        <f t="shared" si="8"/>
        <v>#DIV/0!</v>
      </c>
      <c r="V15" s="434">
        <v>0</v>
      </c>
      <c r="W15" s="410" t="e">
        <f t="shared" si="9"/>
        <v>#DIV/0!</v>
      </c>
      <c r="X15" s="434">
        <v>0</v>
      </c>
      <c r="Y15" s="407" t="e">
        <f t="shared" si="10"/>
        <v>#DIV/0!</v>
      </c>
      <c r="Z15" s="434">
        <v>0</v>
      </c>
      <c r="AA15" s="411" t="e">
        <f t="shared" si="11"/>
        <v>#DIV/0!</v>
      </c>
      <c r="AB15" s="401">
        <f t="shared" ref="AB15:AB21" si="21">SUM(D15,F15,H15,J15,L15,N15,P15,R15,T15,V15,X15,Z15)</f>
        <v>228317</v>
      </c>
      <c r="AC15" s="407">
        <f t="shared" ref="AC15:AC78" si="22">AB15/$AB$21</f>
        <v>4.0369969248843361E-4</v>
      </c>
      <c r="AD15" s="397">
        <f t="shared" ref="AD15:AD21" si="23">AVERAGE(D15,F15,H15,J15,L15,N15,P15,R15,T15,V15,X15,Z15)</f>
        <v>19026.416666666668</v>
      </c>
      <c r="AE15" s="396"/>
      <c r="AG15" s="397">
        <f>VLOOKUP(B15,TWN_IS!B:P,15,0)</f>
        <v>228317</v>
      </c>
      <c r="AH15" s="397">
        <f t="shared" si="14"/>
        <v>0</v>
      </c>
    </row>
    <row r="16" spans="1:34">
      <c r="A16" s="432"/>
      <c r="B16" s="432" t="s">
        <v>1511</v>
      </c>
      <c r="D16" s="434">
        <v>3959</v>
      </c>
      <c r="E16" s="435">
        <f t="shared" si="16"/>
        <v>6.571286902137172E-5</v>
      </c>
      <c r="F16" s="434">
        <v>43786</v>
      </c>
      <c r="G16" s="407">
        <f t="shared" si="17"/>
        <v>8.2503792054115679E-4</v>
      </c>
      <c r="H16" s="434">
        <v>27522</v>
      </c>
      <c r="I16" s="407">
        <f t="shared" ref="I16:I21" si="24">H16/$H$21</f>
        <v>4.3183978150997056E-4</v>
      </c>
      <c r="J16" s="434">
        <v>20986</v>
      </c>
      <c r="K16" s="436">
        <f t="shared" si="18"/>
        <v>3.1152361261698835E-4</v>
      </c>
      <c r="L16" s="434">
        <v>43107</v>
      </c>
      <c r="M16" s="435">
        <f t="shared" si="19"/>
        <v>8.0904492215971358E-4</v>
      </c>
      <c r="N16" s="434">
        <v>81879</v>
      </c>
      <c r="O16" s="437">
        <f t="shared" si="6"/>
        <v>9.358887141118357E-4</v>
      </c>
      <c r="P16" s="434">
        <v>3539</v>
      </c>
      <c r="Q16" s="437">
        <f t="shared" si="7"/>
        <v>3.6023595241123261E-5</v>
      </c>
      <c r="R16" s="434">
        <v>3539</v>
      </c>
      <c r="S16" s="437">
        <f t="shared" si="20"/>
        <v>4.3087644274058118E-5</v>
      </c>
      <c r="T16" s="434">
        <v>0</v>
      </c>
      <c r="U16" s="407" t="e">
        <f t="shared" si="8"/>
        <v>#DIV/0!</v>
      </c>
      <c r="V16" s="434">
        <v>0</v>
      </c>
      <c r="W16" s="410" t="e">
        <f t="shared" si="9"/>
        <v>#DIV/0!</v>
      </c>
      <c r="X16" s="434">
        <v>0</v>
      </c>
      <c r="Y16" s="407" t="e">
        <f t="shared" si="10"/>
        <v>#DIV/0!</v>
      </c>
      <c r="Z16" s="434">
        <v>0</v>
      </c>
      <c r="AA16" s="411" t="e">
        <f t="shared" si="11"/>
        <v>#DIV/0!</v>
      </c>
      <c r="AB16" s="401">
        <f t="shared" si="21"/>
        <v>228317</v>
      </c>
      <c r="AC16" s="407">
        <f t="shared" si="22"/>
        <v>4.0369969248843361E-4</v>
      </c>
      <c r="AD16" s="397">
        <f t="shared" si="23"/>
        <v>19026.416666666668</v>
      </c>
      <c r="AE16" s="396"/>
      <c r="AG16" s="397">
        <f>VLOOKUP(B16,TWN_IS!B:P,15,0)</f>
        <v>228317</v>
      </c>
      <c r="AH16" s="397">
        <f t="shared" si="14"/>
        <v>0</v>
      </c>
    </row>
    <row r="17" spans="1:34">
      <c r="A17" s="432"/>
      <c r="B17" s="432" t="s">
        <v>1512</v>
      </c>
      <c r="D17" s="434">
        <v>0</v>
      </c>
      <c r="E17" s="435">
        <f t="shared" si="16"/>
        <v>0</v>
      </c>
      <c r="F17" s="434">
        <v>0</v>
      </c>
      <c r="G17" s="407">
        <f t="shared" si="17"/>
        <v>0</v>
      </c>
      <c r="H17" s="434">
        <v>0</v>
      </c>
      <c r="I17" s="407">
        <f t="shared" si="24"/>
        <v>0</v>
      </c>
      <c r="J17" s="434">
        <v>0</v>
      </c>
      <c r="K17" s="436">
        <f t="shared" si="18"/>
        <v>0</v>
      </c>
      <c r="L17" s="434">
        <v>0</v>
      </c>
      <c r="M17" s="435">
        <f t="shared" si="19"/>
        <v>0</v>
      </c>
      <c r="N17" s="434">
        <v>0</v>
      </c>
      <c r="O17" s="437">
        <f t="shared" si="6"/>
        <v>0</v>
      </c>
      <c r="P17" s="434">
        <v>0</v>
      </c>
      <c r="Q17" s="437">
        <f t="shared" si="7"/>
        <v>0</v>
      </c>
      <c r="R17" s="434">
        <v>0</v>
      </c>
      <c r="S17" s="437">
        <f t="shared" si="20"/>
        <v>0</v>
      </c>
      <c r="T17" s="434">
        <v>0</v>
      </c>
      <c r="U17" s="407" t="e">
        <f t="shared" si="8"/>
        <v>#DIV/0!</v>
      </c>
      <c r="V17" s="434">
        <v>0</v>
      </c>
      <c r="W17" s="410" t="e">
        <f t="shared" si="9"/>
        <v>#DIV/0!</v>
      </c>
      <c r="X17" s="434">
        <v>0</v>
      </c>
      <c r="Y17" s="407" t="e">
        <f t="shared" si="10"/>
        <v>#DIV/0!</v>
      </c>
      <c r="Z17" s="434">
        <v>0</v>
      </c>
      <c r="AA17" s="411" t="e">
        <f t="shared" si="11"/>
        <v>#DIV/0!</v>
      </c>
      <c r="AB17" s="401">
        <f t="shared" si="21"/>
        <v>0</v>
      </c>
      <c r="AC17" s="407">
        <f t="shared" si="22"/>
        <v>0</v>
      </c>
      <c r="AD17" s="397">
        <f t="shared" si="23"/>
        <v>0</v>
      </c>
      <c r="AE17" s="396"/>
      <c r="AG17" s="397">
        <f>VLOOKUP(B17,TWN_IS!B:P,15,0)</f>
        <v>0</v>
      </c>
      <c r="AH17" s="397">
        <f t="shared" si="14"/>
        <v>0</v>
      </c>
    </row>
    <row r="18" spans="1:34">
      <c r="A18" s="432"/>
      <c r="B18" s="432" t="s">
        <v>1513</v>
      </c>
      <c r="D18" s="434">
        <v>0</v>
      </c>
      <c r="E18" s="435">
        <f t="shared" si="16"/>
        <v>0</v>
      </c>
      <c r="F18" s="434">
        <v>0</v>
      </c>
      <c r="G18" s="407">
        <f t="shared" si="17"/>
        <v>0</v>
      </c>
      <c r="H18" s="434">
        <v>0</v>
      </c>
      <c r="I18" s="407">
        <f t="shared" si="24"/>
        <v>0</v>
      </c>
      <c r="J18" s="434">
        <v>0</v>
      </c>
      <c r="K18" s="436">
        <f t="shared" si="18"/>
        <v>0</v>
      </c>
      <c r="L18" s="434">
        <v>0</v>
      </c>
      <c r="M18" s="435">
        <f t="shared" si="19"/>
        <v>0</v>
      </c>
      <c r="N18" s="434">
        <v>0</v>
      </c>
      <c r="O18" s="437">
        <f t="shared" si="6"/>
        <v>0</v>
      </c>
      <c r="P18" s="434">
        <v>0</v>
      </c>
      <c r="Q18" s="437">
        <f t="shared" si="7"/>
        <v>0</v>
      </c>
      <c r="R18" s="434">
        <v>0</v>
      </c>
      <c r="S18" s="437">
        <f t="shared" si="20"/>
        <v>0</v>
      </c>
      <c r="T18" s="434">
        <v>0</v>
      </c>
      <c r="U18" s="407" t="e">
        <f t="shared" si="8"/>
        <v>#DIV/0!</v>
      </c>
      <c r="V18" s="434">
        <v>0</v>
      </c>
      <c r="W18" s="410" t="e">
        <f t="shared" si="9"/>
        <v>#DIV/0!</v>
      </c>
      <c r="X18" s="434">
        <v>0</v>
      </c>
      <c r="Y18" s="407" t="e">
        <f t="shared" si="10"/>
        <v>#DIV/0!</v>
      </c>
      <c r="Z18" s="434">
        <v>0</v>
      </c>
      <c r="AA18" s="411" t="e">
        <f t="shared" si="11"/>
        <v>#DIV/0!</v>
      </c>
      <c r="AB18" s="401">
        <f t="shared" si="21"/>
        <v>0</v>
      </c>
      <c r="AC18" s="407">
        <f t="shared" si="22"/>
        <v>0</v>
      </c>
      <c r="AD18" s="397">
        <f t="shared" si="23"/>
        <v>0</v>
      </c>
      <c r="AE18" s="396"/>
      <c r="AG18" s="397">
        <f>VLOOKUP(B18,TWN_IS!B:P,15,0)</f>
        <v>0</v>
      </c>
      <c r="AH18" s="397">
        <f t="shared" si="14"/>
        <v>0</v>
      </c>
    </row>
    <row r="19" spans="1:34">
      <c r="A19" s="432"/>
      <c r="B19" s="432" t="s">
        <v>1514</v>
      </c>
      <c r="D19" s="434">
        <v>0</v>
      </c>
      <c r="E19" s="435">
        <f t="shared" si="16"/>
        <v>0</v>
      </c>
      <c r="F19" s="434">
        <v>0</v>
      </c>
      <c r="G19" s="407">
        <f t="shared" si="17"/>
        <v>0</v>
      </c>
      <c r="H19" s="434">
        <v>0</v>
      </c>
      <c r="I19" s="407">
        <f t="shared" si="24"/>
        <v>0</v>
      </c>
      <c r="J19" s="434">
        <v>0</v>
      </c>
      <c r="K19" s="436">
        <f t="shared" si="18"/>
        <v>0</v>
      </c>
      <c r="L19" s="434">
        <v>0</v>
      </c>
      <c r="M19" s="435">
        <f t="shared" si="19"/>
        <v>0</v>
      </c>
      <c r="N19" s="434">
        <v>0</v>
      </c>
      <c r="O19" s="437">
        <f t="shared" si="6"/>
        <v>0</v>
      </c>
      <c r="P19" s="434">
        <v>0</v>
      </c>
      <c r="Q19" s="437">
        <f t="shared" si="7"/>
        <v>0</v>
      </c>
      <c r="R19" s="434">
        <v>0</v>
      </c>
      <c r="S19" s="437">
        <f t="shared" si="20"/>
        <v>0</v>
      </c>
      <c r="T19" s="434">
        <v>0</v>
      </c>
      <c r="U19" s="407" t="e">
        <f t="shared" si="8"/>
        <v>#DIV/0!</v>
      </c>
      <c r="V19" s="434">
        <v>0</v>
      </c>
      <c r="W19" s="410" t="e">
        <f t="shared" si="9"/>
        <v>#DIV/0!</v>
      </c>
      <c r="X19" s="434">
        <v>0</v>
      </c>
      <c r="Y19" s="407" t="e">
        <f t="shared" si="10"/>
        <v>#DIV/0!</v>
      </c>
      <c r="Z19" s="434">
        <v>0</v>
      </c>
      <c r="AA19" s="411" t="e">
        <f t="shared" si="11"/>
        <v>#DIV/0!</v>
      </c>
      <c r="AB19" s="401">
        <f t="shared" si="21"/>
        <v>0</v>
      </c>
      <c r="AC19" s="407">
        <f t="shared" si="22"/>
        <v>0</v>
      </c>
      <c r="AD19" s="397">
        <f t="shared" si="23"/>
        <v>0</v>
      </c>
      <c r="AE19" s="396"/>
      <c r="AG19" s="397">
        <f>VLOOKUP(B19,TWN_IS!B:P,15,0)</f>
        <v>0</v>
      </c>
      <c r="AH19" s="397">
        <f t="shared" si="14"/>
        <v>0</v>
      </c>
    </row>
    <row r="20" spans="1:34">
      <c r="A20" s="432"/>
      <c r="B20" s="431" t="s">
        <v>1515</v>
      </c>
      <c r="D20" s="434">
        <v>3959</v>
      </c>
      <c r="E20" s="435">
        <f t="shared" si="16"/>
        <v>6.571286902137172E-5</v>
      </c>
      <c r="F20" s="434">
        <v>43786</v>
      </c>
      <c r="G20" s="407">
        <f t="shared" si="17"/>
        <v>8.2503792054115679E-4</v>
      </c>
      <c r="H20" s="434">
        <v>27522</v>
      </c>
      <c r="I20" s="407">
        <f t="shared" si="24"/>
        <v>4.3183978150997056E-4</v>
      </c>
      <c r="J20" s="434">
        <v>20986</v>
      </c>
      <c r="K20" s="436">
        <f t="shared" si="18"/>
        <v>3.1152361261698835E-4</v>
      </c>
      <c r="L20" s="434">
        <v>43107</v>
      </c>
      <c r="M20" s="435">
        <f t="shared" si="19"/>
        <v>8.0904492215971358E-4</v>
      </c>
      <c r="N20" s="434">
        <v>81879</v>
      </c>
      <c r="O20" s="437">
        <f t="shared" si="6"/>
        <v>9.358887141118357E-4</v>
      </c>
      <c r="P20" s="434">
        <v>3539</v>
      </c>
      <c r="Q20" s="437">
        <f t="shared" si="7"/>
        <v>3.6023595241123261E-5</v>
      </c>
      <c r="R20" s="434">
        <v>3539</v>
      </c>
      <c r="S20" s="437">
        <f t="shared" si="20"/>
        <v>4.3087644274058118E-5</v>
      </c>
      <c r="T20" s="434">
        <v>0</v>
      </c>
      <c r="U20" s="407" t="e">
        <f t="shared" si="8"/>
        <v>#DIV/0!</v>
      </c>
      <c r="V20" s="434">
        <v>0</v>
      </c>
      <c r="W20" s="410" t="e">
        <f t="shared" si="9"/>
        <v>#DIV/0!</v>
      </c>
      <c r="X20" s="434">
        <v>0</v>
      </c>
      <c r="Y20" s="407" t="e">
        <f t="shared" si="10"/>
        <v>#DIV/0!</v>
      </c>
      <c r="Z20" s="434">
        <v>0</v>
      </c>
      <c r="AA20" s="411" t="e">
        <f t="shared" si="11"/>
        <v>#DIV/0!</v>
      </c>
      <c r="AB20" s="401">
        <f t="shared" si="21"/>
        <v>228317</v>
      </c>
      <c r="AC20" s="407">
        <f>AB20/$AB$21</f>
        <v>4.0369969248843361E-4</v>
      </c>
      <c r="AD20" s="397">
        <f t="shared" si="23"/>
        <v>19026.416666666668</v>
      </c>
      <c r="AE20" s="396"/>
      <c r="AG20" s="397">
        <f>VLOOKUP(B20,TWN_IS!B:P,15,0)</f>
        <v>228317</v>
      </c>
      <c r="AH20" s="397">
        <f t="shared" si="14"/>
        <v>0</v>
      </c>
    </row>
    <row r="21" spans="1:34">
      <c r="A21" s="431" t="s">
        <v>1516</v>
      </c>
      <c r="B21" s="432"/>
      <c r="D21" s="434">
        <v>60246951</v>
      </c>
      <c r="E21" s="435">
        <f>D21/$D$21</f>
        <v>1</v>
      </c>
      <c r="F21" s="434">
        <v>53071500</v>
      </c>
      <c r="G21" s="407">
        <f t="shared" si="17"/>
        <v>1</v>
      </c>
      <c r="H21" s="434">
        <v>63731970</v>
      </c>
      <c r="I21" s="407">
        <f t="shared" si="24"/>
        <v>1</v>
      </c>
      <c r="J21" s="434">
        <v>67365680</v>
      </c>
      <c r="K21" s="436">
        <f>J21/$J$21</f>
        <v>1</v>
      </c>
      <c r="L21" s="434">
        <v>53281343</v>
      </c>
      <c r="M21" s="435">
        <f t="shared" si="19"/>
        <v>1</v>
      </c>
      <c r="N21" s="434">
        <v>87487966</v>
      </c>
      <c r="O21" s="437">
        <f t="shared" si="6"/>
        <v>1</v>
      </c>
      <c r="P21" s="434">
        <v>98241166</v>
      </c>
      <c r="Q21" s="437">
        <f t="shared" si="7"/>
        <v>1</v>
      </c>
      <c r="R21" s="434">
        <v>82134915</v>
      </c>
      <c r="S21" s="437">
        <f>R21/$R$21</f>
        <v>1</v>
      </c>
      <c r="T21" s="434">
        <v>0</v>
      </c>
      <c r="U21" s="407" t="e">
        <f>T21/$T$21</f>
        <v>#DIV/0!</v>
      </c>
      <c r="V21" s="434">
        <v>0</v>
      </c>
      <c r="W21" s="410" t="e">
        <f t="shared" si="9"/>
        <v>#DIV/0!</v>
      </c>
      <c r="X21" s="434">
        <v>0</v>
      </c>
      <c r="Y21" s="407" t="e">
        <f t="shared" si="10"/>
        <v>#DIV/0!</v>
      </c>
      <c r="Z21" s="434">
        <v>0</v>
      </c>
      <c r="AA21" s="411" t="e">
        <f t="shared" si="11"/>
        <v>#DIV/0!</v>
      </c>
      <c r="AB21" s="401">
        <f t="shared" si="21"/>
        <v>565561491</v>
      </c>
      <c r="AC21" s="407">
        <f>AB21/$AB$21</f>
        <v>1</v>
      </c>
      <c r="AD21" s="397">
        <f t="shared" si="23"/>
        <v>47130124.25</v>
      </c>
      <c r="AE21" s="396"/>
      <c r="AG21" s="397">
        <f>VLOOKUP(A21,TWN_IS!A:P,16,0)</f>
        <v>565561491</v>
      </c>
      <c r="AH21" s="397">
        <f t="shared" si="14"/>
        <v>0</v>
      </c>
    </row>
    <row r="22" spans="1:34">
      <c r="A22" s="431" t="s">
        <v>1517</v>
      </c>
      <c r="B22" s="432"/>
      <c r="D22" s="438"/>
      <c r="E22" s="435"/>
      <c r="F22" s="438"/>
      <c r="H22" s="438"/>
      <c r="J22" s="438"/>
      <c r="K22" s="436"/>
      <c r="L22" s="438"/>
      <c r="M22" s="435"/>
      <c r="N22" s="438"/>
      <c r="O22" s="437"/>
      <c r="P22" s="438"/>
      <c r="Q22" s="437"/>
      <c r="R22" s="438"/>
      <c r="T22" s="438"/>
      <c r="V22" s="438"/>
      <c r="X22" s="438"/>
      <c r="Z22" s="438"/>
      <c r="AC22" s="407"/>
      <c r="AD22" s="397"/>
      <c r="AE22" s="396"/>
      <c r="AG22" s="397">
        <f>VLOOKUP(A22,TWN_IS!A:P,16,0)</f>
        <v>0</v>
      </c>
      <c r="AH22" s="397">
        <f t="shared" si="14"/>
        <v>0</v>
      </c>
    </row>
    <row r="23" spans="1:34">
      <c r="A23" s="432"/>
      <c r="B23" s="431" t="s">
        <v>1518</v>
      </c>
      <c r="D23" s="438"/>
      <c r="E23" s="435"/>
      <c r="F23" s="438"/>
      <c r="H23" s="438"/>
      <c r="J23" s="438"/>
      <c r="K23" s="436"/>
      <c r="L23" s="438"/>
      <c r="M23" s="435"/>
      <c r="N23" s="438"/>
      <c r="O23" s="437"/>
      <c r="P23" s="438"/>
      <c r="Q23" s="437"/>
      <c r="R23" s="438"/>
      <c r="T23" s="438"/>
      <c r="V23" s="438"/>
      <c r="X23" s="438"/>
      <c r="Z23" s="438"/>
      <c r="AC23" s="407"/>
      <c r="AD23" s="397"/>
      <c r="AE23" s="396"/>
      <c r="AG23" s="397">
        <f>VLOOKUP(B23,TWN_IS!B:P,15,0)</f>
        <v>0</v>
      </c>
      <c r="AH23" s="397">
        <f t="shared" si="14"/>
        <v>0</v>
      </c>
    </row>
    <row r="24" spans="1:34">
      <c r="A24" s="432"/>
      <c r="B24" s="432" t="s">
        <v>1519</v>
      </c>
      <c r="D24" s="434">
        <v>0</v>
      </c>
      <c r="E24" s="435">
        <f t="shared" si="16"/>
        <v>0</v>
      </c>
      <c r="F24" s="434">
        <v>0</v>
      </c>
      <c r="G24" s="407">
        <f t="shared" si="17"/>
        <v>0</v>
      </c>
      <c r="H24" s="434">
        <v>205528</v>
      </c>
      <c r="I24" s="407">
        <f>H24/$H$21</f>
        <v>3.2248806995923709E-3</v>
      </c>
      <c r="J24" s="434">
        <v>24730</v>
      </c>
      <c r="K24" s="436">
        <f>J24/$J$21</f>
        <v>3.671008739168075E-4</v>
      </c>
      <c r="L24" s="434">
        <v>-13892</v>
      </c>
      <c r="M24" s="435">
        <f>L24/$L$21</f>
        <v>-2.6072916367742455E-4</v>
      </c>
      <c r="N24" s="434">
        <v>21297</v>
      </c>
      <c r="O24" s="437">
        <f t="shared" si="6"/>
        <v>2.4342776468251644E-4</v>
      </c>
      <c r="P24" s="434">
        <v>21992</v>
      </c>
      <c r="Q24" s="437">
        <f t="shared" si="7"/>
        <v>2.2385727791545144E-4</v>
      </c>
      <c r="R24" s="434">
        <v>0</v>
      </c>
      <c r="S24" s="437">
        <f t="shared" ref="S24:S87" si="25">R24/$R$21</f>
        <v>0</v>
      </c>
      <c r="T24" s="434">
        <v>0</v>
      </c>
      <c r="U24" s="407" t="e">
        <f t="shared" ref="U24:U84" si="26">T24/$T$21</f>
        <v>#DIV/0!</v>
      </c>
      <c r="V24" s="434">
        <v>0</v>
      </c>
      <c r="W24" s="410" t="e">
        <f t="shared" ref="W24:W84" si="27">V24/$V$21</f>
        <v>#DIV/0!</v>
      </c>
      <c r="X24" s="434">
        <v>0</v>
      </c>
      <c r="Y24" s="407" t="e">
        <f t="shared" ref="Y24:Y84" si="28">X24/$X$21</f>
        <v>#DIV/0!</v>
      </c>
      <c r="Z24" s="434">
        <v>0</v>
      </c>
      <c r="AA24" s="411" t="e">
        <f t="shared" ref="AA24:AA84" si="29">Z24/$Z$21</f>
        <v>#DIV/0!</v>
      </c>
      <c r="AB24" s="401">
        <f t="shared" ref="AB24:AB84" si="30">SUM(D24,F24,H24,J24,L24,N24,P24,R24,T24,V24,X24,Z24)</f>
        <v>259655</v>
      </c>
      <c r="AC24" s="407">
        <f>AB24/$AB$21</f>
        <v>4.59110112926695E-4</v>
      </c>
      <c r="AD24" s="397">
        <f>AVERAGE(D24,F24,H24,J24,L24,N24,P24,R24,T24,V24,X24,Z24)</f>
        <v>21637.916666666668</v>
      </c>
      <c r="AE24" s="396"/>
      <c r="AG24" s="397">
        <f>VLOOKUP(B24,TWN_IS!B:P,15,0)</f>
        <v>259655</v>
      </c>
      <c r="AH24" s="397">
        <f t="shared" si="14"/>
        <v>0</v>
      </c>
    </row>
    <row r="25" spans="1:34">
      <c r="A25" s="432"/>
      <c r="B25" s="432" t="s">
        <v>1520</v>
      </c>
      <c r="D25" s="434">
        <v>52605395</v>
      </c>
      <c r="E25" s="435">
        <f t="shared" si="16"/>
        <v>0.87316277632041495</v>
      </c>
      <c r="F25" s="434">
        <v>49188788</v>
      </c>
      <c r="G25" s="407">
        <f t="shared" si="17"/>
        <v>0.92683998002694479</v>
      </c>
      <c r="H25" s="434">
        <v>54845750</v>
      </c>
      <c r="I25" s="407">
        <f>H25/$H$21</f>
        <v>0.86056887932383075</v>
      </c>
      <c r="J25" s="434">
        <v>59713244</v>
      </c>
      <c r="K25" s="436">
        <f t="shared" ref="K25:K87" si="31">J25/$J$21</f>
        <v>0.88640453120936358</v>
      </c>
      <c r="L25" s="434">
        <v>45764439</v>
      </c>
      <c r="M25" s="435">
        <f>L25/$L$21</f>
        <v>0.8589205230806588</v>
      </c>
      <c r="N25" s="434">
        <v>74659138</v>
      </c>
      <c r="O25" s="437">
        <f t="shared" si="6"/>
        <v>0.85336465588878818</v>
      </c>
      <c r="P25" s="434">
        <v>84930497</v>
      </c>
      <c r="Q25" s="437">
        <f t="shared" si="7"/>
        <v>0.86451027057231788</v>
      </c>
      <c r="R25" s="434">
        <v>70526211</v>
      </c>
      <c r="S25" s="437">
        <f t="shared" si="25"/>
        <v>0.85866298151036013</v>
      </c>
      <c r="T25" s="434">
        <v>0</v>
      </c>
      <c r="U25" s="407" t="e">
        <f t="shared" si="26"/>
        <v>#DIV/0!</v>
      </c>
      <c r="V25" s="434">
        <v>0</v>
      </c>
      <c r="W25" s="410" t="e">
        <f t="shared" si="27"/>
        <v>#DIV/0!</v>
      </c>
      <c r="X25" s="434">
        <v>0</v>
      </c>
      <c r="Y25" s="407" t="e">
        <f t="shared" si="28"/>
        <v>#DIV/0!</v>
      </c>
      <c r="Z25" s="434">
        <v>0</v>
      </c>
      <c r="AA25" s="411" t="e">
        <f t="shared" si="29"/>
        <v>#DIV/0!</v>
      </c>
      <c r="AB25" s="401">
        <f t="shared" si="30"/>
        <v>492233462</v>
      </c>
      <c r="AC25" s="407">
        <f>AB25/$AB$21</f>
        <v>0.87034472790864048</v>
      </c>
      <c r="AD25" s="397">
        <f>AVERAGE(D25,F25,H25,J25,L25,N25,P25,R25,T25,V25,X25,Z25)</f>
        <v>41019455.166666664</v>
      </c>
      <c r="AE25" s="396"/>
      <c r="AG25" s="397">
        <f>VLOOKUP(B25,TWN_IS!B:P,15,0)</f>
        <v>492233462</v>
      </c>
      <c r="AH25" s="397">
        <f t="shared" si="14"/>
        <v>0</v>
      </c>
    </row>
    <row r="26" spans="1:34">
      <c r="A26" s="432"/>
      <c r="B26" s="432" t="s">
        <v>1521</v>
      </c>
      <c r="D26" s="434">
        <v>52737740</v>
      </c>
      <c r="E26" s="435">
        <f t="shared" si="16"/>
        <v>0.87535948499700844</v>
      </c>
      <c r="F26" s="434">
        <v>49056975</v>
      </c>
      <c r="G26" s="407">
        <f t="shared" si="17"/>
        <v>0.92435629292558152</v>
      </c>
      <c r="H26" s="434">
        <v>54832535</v>
      </c>
      <c r="I26" s="407">
        <f>H26/$H$21</f>
        <v>0.86036152656194376</v>
      </c>
      <c r="J26" s="434">
        <v>59713260</v>
      </c>
      <c r="K26" s="436">
        <f t="shared" si="31"/>
        <v>0.88640476871902729</v>
      </c>
      <c r="L26" s="434">
        <v>45764439</v>
      </c>
      <c r="M26" s="435">
        <f t="shared" ref="M26:M87" si="32">L26/$L$21</f>
        <v>0.8589205230806588</v>
      </c>
      <c r="N26" s="434">
        <v>74659138</v>
      </c>
      <c r="O26" s="437">
        <f t="shared" si="6"/>
        <v>0.85336465588878818</v>
      </c>
      <c r="P26" s="434">
        <v>84930497</v>
      </c>
      <c r="Q26" s="437">
        <f t="shared" si="7"/>
        <v>0.86451027057231788</v>
      </c>
      <c r="R26" s="434">
        <v>70526211</v>
      </c>
      <c r="S26" s="437">
        <f t="shared" si="25"/>
        <v>0.85866298151036013</v>
      </c>
      <c r="T26" s="434">
        <v>0</v>
      </c>
      <c r="U26" s="407" t="e">
        <f t="shared" si="26"/>
        <v>#DIV/0!</v>
      </c>
      <c r="V26" s="434">
        <v>0</v>
      </c>
      <c r="W26" s="410" t="e">
        <f t="shared" si="27"/>
        <v>#DIV/0!</v>
      </c>
      <c r="X26" s="434">
        <v>0</v>
      </c>
      <c r="Y26" s="407" t="e">
        <f t="shared" si="28"/>
        <v>#DIV/0!</v>
      </c>
      <c r="Z26" s="434">
        <v>0</v>
      </c>
      <c r="AA26" s="411" t="e">
        <f t="shared" si="29"/>
        <v>#DIV/0!</v>
      </c>
      <c r="AB26" s="401">
        <f t="shared" si="30"/>
        <v>492220795</v>
      </c>
      <c r="AC26" s="407">
        <f t="shared" si="22"/>
        <v>0.87032233069772424</v>
      </c>
      <c r="AD26" s="397">
        <f>AVERAGE(D26,F26,H26,J26,L26,N26,P26,R26,T26,V26,X26,Z26)</f>
        <v>41018399.583333336</v>
      </c>
      <c r="AE26" s="396"/>
      <c r="AG26" s="397">
        <f>VLOOKUP(B26,TWN_IS!B:P,15,0)</f>
        <v>492220795</v>
      </c>
      <c r="AH26" s="397">
        <f t="shared" si="14"/>
        <v>0</v>
      </c>
    </row>
    <row r="27" spans="1:34">
      <c r="A27" s="432"/>
      <c r="B27" s="432" t="s">
        <v>1522</v>
      </c>
      <c r="D27" s="434">
        <v>0</v>
      </c>
      <c r="E27" s="435">
        <f t="shared" si="16"/>
        <v>0</v>
      </c>
      <c r="F27" s="434">
        <v>0</v>
      </c>
      <c r="G27" s="407">
        <f t="shared" si="17"/>
        <v>0</v>
      </c>
      <c r="H27" s="434">
        <v>12667</v>
      </c>
      <c r="I27" s="407">
        <f t="shared" si="15"/>
        <v>1.9875425159460785E-4</v>
      </c>
      <c r="J27" s="434">
        <v>0</v>
      </c>
      <c r="K27" s="436">
        <f t="shared" si="31"/>
        <v>0</v>
      </c>
      <c r="L27" s="434">
        <v>0</v>
      </c>
      <c r="M27" s="435">
        <f t="shared" si="32"/>
        <v>0</v>
      </c>
      <c r="N27" s="434">
        <v>0</v>
      </c>
      <c r="O27" s="437">
        <f t="shared" si="6"/>
        <v>0</v>
      </c>
      <c r="P27" s="434">
        <v>0</v>
      </c>
      <c r="Q27" s="437">
        <f t="shared" si="7"/>
        <v>0</v>
      </c>
      <c r="R27" s="434">
        <v>0</v>
      </c>
      <c r="S27" s="401">
        <f t="shared" si="25"/>
        <v>0</v>
      </c>
      <c r="T27" s="434">
        <v>0</v>
      </c>
      <c r="U27" s="407" t="e">
        <f t="shared" si="26"/>
        <v>#DIV/0!</v>
      </c>
      <c r="V27" s="434">
        <v>0</v>
      </c>
      <c r="W27" s="439" t="e">
        <f t="shared" si="27"/>
        <v>#DIV/0!</v>
      </c>
      <c r="X27" s="434">
        <v>0</v>
      </c>
      <c r="Y27" s="407" t="e">
        <f t="shared" si="28"/>
        <v>#DIV/0!</v>
      </c>
      <c r="Z27" s="434">
        <v>0</v>
      </c>
      <c r="AA27" s="440" t="e">
        <f t="shared" si="29"/>
        <v>#DIV/0!</v>
      </c>
      <c r="AB27" s="401">
        <f t="shared" si="30"/>
        <v>12667</v>
      </c>
      <c r="AC27" s="407">
        <f t="shared" si="22"/>
        <v>2.2397210916186655E-5</v>
      </c>
      <c r="AD27" s="397">
        <f>AVERAGE(D27,F27,H27,J27,L27,N27,P27,R27,T27,V27,X27,Z27)</f>
        <v>1055.5833333333333</v>
      </c>
      <c r="AE27" s="396"/>
      <c r="AG27" s="397">
        <f>VLOOKUP(B27,TWN_IS!B:P,15,0)</f>
        <v>12667</v>
      </c>
      <c r="AH27" s="397">
        <f t="shared" si="14"/>
        <v>0</v>
      </c>
    </row>
    <row r="28" spans="1:34" outlineLevel="1">
      <c r="A28" s="432"/>
      <c r="B28" s="432" t="s">
        <v>1437</v>
      </c>
      <c r="D28" s="438">
        <v>0</v>
      </c>
      <c r="E28" s="435">
        <f t="shared" si="16"/>
        <v>0</v>
      </c>
      <c r="F28" s="438">
        <v>0</v>
      </c>
      <c r="G28" s="407">
        <f t="shared" si="17"/>
        <v>0</v>
      </c>
      <c r="H28" s="438">
        <v>0</v>
      </c>
      <c r="I28" s="407">
        <f t="shared" si="15"/>
        <v>0</v>
      </c>
      <c r="J28" s="438">
        <v>0</v>
      </c>
      <c r="K28" s="436">
        <f t="shared" si="31"/>
        <v>0</v>
      </c>
      <c r="L28" s="438">
        <v>0</v>
      </c>
      <c r="M28" s="435">
        <f t="shared" si="32"/>
        <v>0</v>
      </c>
      <c r="N28" s="438">
        <v>0</v>
      </c>
      <c r="O28" s="437">
        <f t="shared" si="6"/>
        <v>0</v>
      </c>
      <c r="P28" s="438">
        <v>0</v>
      </c>
      <c r="Q28" s="437">
        <f t="shared" si="7"/>
        <v>0</v>
      </c>
      <c r="R28" s="438">
        <v>0</v>
      </c>
      <c r="S28" s="401">
        <f t="shared" si="25"/>
        <v>0</v>
      </c>
      <c r="T28" s="438">
        <v>0</v>
      </c>
      <c r="U28" s="407" t="e">
        <f t="shared" si="26"/>
        <v>#DIV/0!</v>
      </c>
      <c r="V28" s="438">
        <v>0</v>
      </c>
      <c r="W28" s="410" t="e">
        <f t="shared" si="27"/>
        <v>#DIV/0!</v>
      </c>
      <c r="X28" s="438">
        <v>0</v>
      </c>
      <c r="Y28" s="407" t="e">
        <f t="shared" si="28"/>
        <v>#DIV/0!</v>
      </c>
      <c r="Z28" s="438">
        <v>0</v>
      </c>
      <c r="AA28" s="411" t="e">
        <f t="shared" si="29"/>
        <v>#DIV/0!</v>
      </c>
      <c r="AB28" s="401">
        <f t="shared" si="30"/>
        <v>0</v>
      </c>
      <c r="AC28" s="407">
        <f t="shared" si="22"/>
        <v>0</v>
      </c>
      <c r="AD28" s="397" t="e">
        <f t="shared" ref="AD28:AD38" si="33">AVERAGE(D28:Z28)</f>
        <v>#DIV/0!</v>
      </c>
      <c r="AE28" s="396"/>
      <c r="AG28" s="397">
        <f>VLOOKUP(B28,TWN_IS!B:P,15,0)</f>
        <v>0</v>
      </c>
      <c r="AH28" s="397">
        <f t="shared" si="14"/>
        <v>0</v>
      </c>
    </row>
    <row r="29" spans="1:34" outlineLevel="1">
      <c r="A29" s="432"/>
      <c r="B29" s="432" t="s">
        <v>1438</v>
      </c>
      <c r="D29" s="438">
        <v>0</v>
      </c>
      <c r="E29" s="435">
        <f t="shared" si="16"/>
        <v>0</v>
      </c>
      <c r="F29" s="438">
        <v>0</v>
      </c>
      <c r="G29" s="407">
        <f t="shared" si="17"/>
        <v>0</v>
      </c>
      <c r="H29" s="438">
        <v>0</v>
      </c>
      <c r="I29" s="407">
        <f t="shared" si="15"/>
        <v>0</v>
      </c>
      <c r="J29" s="438">
        <v>0</v>
      </c>
      <c r="K29" s="436">
        <f t="shared" si="31"/>
        <v>0</v>
      </c>
      <c r="L29" s="438">
        <v>0</v>
      </c>
      <c r="M29" s="435">
        <f t="shared" si="32"/>
        <v>0</v>
      </c>
      <c r="N29" s="438">
        <v>0</v>
      </c>
      <c r="O29" s="437">
        <f t="shared" si="6"/>
        <v>0</v>
      </c>
      <c r="P29" s="438">
        <v>0</v>
      </c>
      <c r="Q29" s="437">
        <f t="shared" si="7"/>
        <v>0</v>
      </c>
      <c r="R29" s="438">
        <v>0</v>
      </c>
      <c r="S29" s="401">
        <f t="shared" si="25"/>
        <v>0</v>
      </c>
      <c r="T29" s="438">
        <v>0</v>
      </c>
      <c r="U29" s="407" t="e">
        <f t="shared" si="26"/>
        <v>#DIV/0!</v>
      </c>
      <c r="V29" s="438">
        <v>0</v>
      </c>
      <c r="W29" s="410" t="e">
        <f t="shared" si="27"/>
        <v>#DIV/0!</v>
      </c>
      <c r="X29" s="438">
        <v>0</v>
      </c>
      <c r="Y29" s="407" t="e">
        <f t="shared" si="28"/>
        <v>#DIV/0!</v>
      </c>
      <c r="Z29" s="438">
        <v>0</v>
      </c>
      <c r="AA29" s="411" t="e">
        <f t="shared" si="29"/>
        <v>#DIV/0!</v>
      </c>
      <c r="AB29" s="401">
        <f t="shared" si="30"/>
        <v>0</v>
      </c>
      <c r="AC29" s="407">
        <f t="shared" si="22"/>
        <v>0</v>
      </c>
      <c r="AD29" s="397" t="e">
        <f t="shared" si="33"/>
        <v>#DIV/0!</v>
      </c>
      <c r="AE29" s="396"/>
      <c r="AG29" s="397">
        <f>VLOOKUP(B29,TWN_IS!B:P,15,0)</f>
        <v>0</v>
      </c>
      <c r="AH29" s="397">
        <f t="shared" si="14"/>
        <v>0</v>
      </c>
    </row>
    <row r="30" spans="1:34" outlineLevel="1">
      <c r="A30" s="432"/>
      <c r="B30" s="432" t="s">
        <v>1440</v>
      </c>
      <c r="D30" s="438">
        <v>0</v>
      </c>
      <c r="E30" s="435">
        <f t="shared" si="16"/>
        <v>0</v>
      </c>
      <c r="F30" s="438">
        <v>0</v>
      </c>
      <c r="G30" s="407">
        <f t="shared" si="17"/>
        <v>0</v>
      </c>
      <c r="H30" s="438">
        <v>0</v>
      </c>
      <c r="I30" s="407">
        <f t="shared" si="15"/>
        <v>0</v>
      </c>
      <c r="J30" s="438">
        <v>0</v>
      </c>
      <c r="K30" s="436">
        <f t="shared" si="31"/>
        <v>0</v>
      </c>
      <c r="L30" s="438">
        <v>0</v>
      </c>
      <c r="M30" s="435">
        <f t="shared" si="32"/>
        <v>0</v>
      </c>
      <c r="N30" s="438">
        <v>0</v>
      </c>
      <c r="O30" s="437">
        <f t="shared" si="6"/>
        <v>0</v>
      </c>
      <c r="P30" s="438">
        <v>0</v>
      </c>
      <c r="Q30" s="437">
        <f t="shared" si="7"/>
        <v>0</v>
      </c>
      <c r="R30" s="438">
        <v>0</v>
      </c>
      <c r="S30" s="401">
        <f t="shared" si="25"/>
        <v>0</v>
      </c>
      <c r="T30" s="438">
        <v>0</v>
      </c>
      <c r="U30" s="407" t="e">
        <f t="shared" si="26"/>
        <v>#DIV/0!</v>
      </c>
      <c r="V30" s="438">
        <v>0</v>
      </c>
      <c r="W30" s="410" t="e">
        <f t="shared" si="27"/>
        <v>#DIV/0!</v>
      </c>
      <c r="X30" s="438">
        <v>0</v>
      </c>
      <c r="Y30" s="407" t="e">
        <f t="shared" si="28"/>
        <v>#DIV/0!</v>
      </c>
      <c r="Z30" s="438">
        <v>0</v>
      </c>
      <c r="AA30" s="411" t="e">
        <f t="shared" si="29"/>
        <v>#DIV/0!</v>
      </c>
      <c r="AB30" s="401">
        <f t="shared" si="30"/>
        <v>0</v>
      </c>
      <c r="AC30" s="407">
        <f t="shared" si="22"/>
        <v>0</v>
      </c>
      <c r="AD30" s="397" t="e">
        <f t="shared" si="33"/>
        <v>#DIV/0!</v>
      </c>
      <c r="AE30" s="396"/>
      <c r="AG30" s="397">
        <f>VLOOKUP(B30,TWN_IS!B:P,15,0)</f>
        <v>0</v>
      </c>
      <c r="AH30" s="397">
        <f t="shared" si="14"/>
        <v>0</v>
      </c>
    </row>
    <row r="31" spans="1:34" outlineLevel="1">
      <c r="A31" s="432"/>
      <c r="B31" s="432" t="s">
        <v>1442</v>
      </c>
      <c r="D31" s="438">
        <v>0</v>
      </c>
      <c r="E31" s="435">
        <f t="shared" si="16"/>
        <v>0</v>
      </c>
      <c r="F31" s="438">
        <v>0</v>
      </c>
      <c r="G31" s="407">
        <f t="shared" si="17"/>
        <v>0</v>
      </c>
      <c r="H31" s="438">
        <v>0</v>
      </c>
      <c r="I31" s="407">
        <f t="shared" si="15"/>
        <v>0</v>
      </c>
      <c r="J31" s="438">
        <v>0</v>
      </c>
      <c r="K31" s="436">
        <f t="shared" si="31"/>
        <v>0</v>
      </c>
      <c r="L31" s="438">
        <v>0</v>
      </c>
      <c r="M31" s="435">
        <f t="shared" si="32"/>
        <v>0</v>
      </c>
      <c r="N31" s="438">
        <v>0</v>
      </c>
      <c r="O31" s="437">
        <f t="shared" si="6"/>
        <v>0</v>
      </c>
      <c r="P31" s="438">
        <v>0</v>
      </c>
      <c r="Q31" s="437">
        <f t="shared" si="7"/>
        <v>0</v>
      </c>
      <c r="R31" s="438">
        <v>0</v>
      </c>
      <c r="S31" s="401">
        <f t="shared" si="25"/>
        <v>0</v>
      </c>
      <c r="T31" s="438">
        <v>0</v>
      </c>
      <c r="U31" s="407" t="e">
        <f t="shared" si="26"/>
        <v>#DIV/0!</v>
      </c>
      <c r="V31" s="438">
        <v>0</v>
      </c>
      <c r="W31" s="410" t="e">
        <f t="shared" si="27"/>
        <v>#DIV/0!</v>
      </c>
      <c r="X31" s="438">
        <v>0</v>
      </c>
      <c r="Y31" s="407" t="e">
        <f t="shared" si="28"/>
        <v>#DIV/0!</v>
      </c>
      <c r="Z31" s="438">
        <v>0</v>
      </c>
      <c r="AA31" s="411" t="e">
        <f t="shared" si="29"/>
        <v>#DIV/0!</v>
      </c>
      <c r="AB31" s="401">
        <f t="shared" si="30"/>
        <v>0</v>
      </c>
      <c r="AC31" s="407">
        <f t="shared" si="22"/>
        <v>0</v>
      </c>
      <c r="AD31" s="397" t="e">
        <f t="shared" si="33"/>
        <v>#DIV/0!</v>
      </c>
      <c r="AE31" s="396"/>
      <c r="AG31" s="397">
        <f>VLOOKUP(B31,TWN_IS!B:P,15,0)</f>
        <v>0</v>
      </c>
      <c r="AH31" s="397">
        <f t="shared" si="14"/>
        <v>0</v>
      </c>
    </row>
    <row r="32" spans="1:34" outlineLevel="1">
      <c r="A32" s="432"/>
      <c r="B32" s="432" t="s">
        <v>1444</v>
      </c>
      <c r="D32" s="438">
        <v>0</v>
      </c>
      <c r="E32" s="435">
        <f t="shared" si="16"/>
        <v>0</v>
      </c>
      <c r="F32" s="438">
        <v>0</v>
      </c>
      <c r="G32" s="407">
        <f t="shared" si="17"/>
        <v>0</v>
      </c>
      <c r="H32" s="438">
        <v>0</v>
      </c>
      <c r="I32" s="407">
        <f t="shared" si="15"/>
        <v>0</v>
      </c>
      <c r="J32" s="438">
        <v>0</v>
      </c>
      <c r="K32" s="436">
        <f t="shared" si="31"/>
        <v>0</v>
      </c>
      <c r="L32" s="438">
        <v>0</v>
      </c>
      <c r="M32" s="435">
        <f t="shared" si="32"/>
        <v>0</v>
      </c>
      <c r="N32" s="438">
        <v>0</v>
      </c>
      <c r="O32" s="437">
        <f t="shared" si="6"/>
        <v>0</v>
      </c>
      <c r="P32" s="438">
        <v>0</v>
      </c>
      <c r="Q32" s="437">
        <f t="shared" si="7"/>
        <v>0</v>
      </c>
      <c r="R32" s="438">
        <v>0</v>
      </c>
      <c r="S32" s="401">
        <f t="shared" si="25"/>
        <v>0</v>
      </c>
      <c r="T32" s="438">
        <v>0</v>
      </c>
      <c r="U32" s="407" t="e">
        <f t="shared" si="26"/>
        <v>#DIV/0!</v>
      </c>
      <c r="V32" s="438">
        <v>0</v>
      </c>
      <c r="W32" s="410" t="e">
        <f t="shared" si="27"/>
        <v>#DIV/0!</v>
      </c>
      <c r="X32" s="438">
        <v>0</v>
      </c>
      <c r="Y32" s="407" t="e">
        <f t="shared" si="28"/>
        <v>#DIV/0!</v>
      </c>
      <c r="Z32" s="438">
        <v>0</v>
      </c>
      <c r="AA32" s="411" t="e">
        <f t="shared" si="29"/>
        <v>#DIV/0!</v>
      </c>
      <c r="AB32" s="401">
        <f t="shared" si="30"/>
        <v>0</v>
      </c>
      <c r="AC32" s="407">
        <f t="shared" si="22"/>
        <v>0</v>
      </c>
      <c r="AD32" s="397" t="e">
        <f t="shared" si="33"/>
        <v>#DIV/0!</v>
      </c>
      <c r="AE32" s="396"/>
      <c r="AG32" s="397">
        <f>VLOOKUP(B32,TWN_IS!B:P,15,0)</f>
        <v>0</v>
      </c>
      <c r="AH32" s="397">
        <f t="shared" si="14"/>
        <v>0</v>
      </c>
    </row>
    <row r="33" spans="1:34" outlineLevel="1">
      <c r="A33" s="432"/>
      <c r="B33" s="432" t="s">
        <v>1446</v>
      </c>
      <c r="D33" s="438">
        <v>0</v>
      </c>
      <c r="E33" s="435">
        <f t="shared" si="16"/>
        <v>0</v>
      </c>
      <c r="F33" s="438">
        <v>0</v>
      </c>
      <c r="G33" s="407">
        <f t="shared" si="17"/>
        <v>0</v>
      </c>
      <c r="H33" s="438">
        <v>0</v>
      </c>
      <c r="I33" s="407">
        <f t="shared" si="15"/>
        <v>0</v>
      </c>
      <c r="J33" s="438">
        <v>0</v>
      </c>
      <c r="K33" s="436">
        <f t="shared" si="31"/>
        <v>0</v>
      </c>
      <c r="L33" s="438">
        <v>0</v>
      </c>
      <c r="M33" s="435">
        <f t="shared" si="32"/>
        <v>0</v>
      </c>
      <c r="N33" s="438">
        <v>0</v>
      </c>
      <c r="O33" s="437">
        <f t="shared" si="6"/>
        <v>0</v>
      </c>
      <c r="P33" s="438">
        <v>0</v>
      </c>
      <c r="Q33" s="437">
        <f t="shared" si="7"/>
        <v>0</v>
      </c>
      <c r="R33" s="438">
        <v>0</v>
      </c>
      <c r="S33" s="401">
        <f t="shared" si="25"/>
        <v>0</v>
      </c>
      <c r="T33" s="438">
        <v>0</v>
      </c>
      <c r="U33" s="407" t="e">
        <f t="shared" si="26"/>
        <v>#DIV/0!</v>
      </c>
      <c r="V33" s="438">
        <v>0</v>
      </c>
      <c r="W33" s="410" t="e">
        <f t="shared" si="27"/>
        <v>#DIV/0!</v>
      </c>
      <c r="X33" s="438">
        <v>0</v>
      </c>
      <c r="Y33" s="407" t="e">
        <f t="shared" si="28"/>
        <v>#DIV/0!</v>
      </c>
      <c r="Z33" s="438">
        <v>0</v>
      </c>
      <c r="AA33" s="411" t="e">
        <f t="shared" si="29"/>
        <v>#DIV/0!</v>
      </c>
      <c r="AB33" s="401">
        <f t="shared" si="30"/>
        <v>0</v>
      </c>
      <c r="AC33" s="407">
        <f t="shared" si="22"/>
        <v>0</v>
      </c>
      <c r="AD33" s="397" t="e">
        <f t="shared" si="33"/>
        <v>#DIV/0!</v>
      </c>
      <c r="AE33" s="396"/>
      <c r="AG33" s="397">
        <f>VLOOKUP(B33,TWN_IS!B:P,15,0)</f>
        <v>0</v>
      </c>
      <c r="AH33" s="397">
        <f t="shared" si="14"/>
        <v>0</v>
      </c>
    </row>
    <row r="34" spans="1:34" outlineLevel="1">
      <c r="A34" s="432"/>
      <c r="B34" s="432" t="s">
        <v>1448</v>
      </c>
      <c r="D34" s="438">
        <v>0</v>
      </c>
      <c r="E34" s="435">
        <f t="shared" si="16"/>
        <v>0</v>
      </c>
      <c r="F34" s="438">
        <v>0</v>
      </c>
      <c r="G34" s="407">
        <f t="shared" si="17"/>
        <v>0</v>
      </c>
      <c r="H34" s="438">
        <v>0</v>
      </c>
      <c r="I34" s="407">
        <f t="shared" si="15"/>
        <v>0</v>
      </c>
      <c r="J34" s="438">
        <v>0</v>
      </c>
      <c r="K34" s="436">
        <f t="shared" si="31"/>
        <v>0</v>
      </c>
      <c r="L34" s="438">
        <v>0</v>
      </c>
      <c r="M34" s="435">
        <f t="shared" si="32"/>
        <v>0</v>
      </c>
      <c r="N34" s="438">
        <v>0</v>
      </c>
      <c r="O34" s="437">
        <f t="shared" si="6"/>
        <v>0</v>
      </c>
      <c r="P34" s="438">
        <v>0</v>
      </c>
      <c r="Q34" s="437">
        <f t="shared" si="7"/>
        <v>0</v>
      </c>
      <c r="R34" s="438">
        <v>0</v>
      </c>
      <c r="S34" s="401">
        <f t="shared" si="25"/>
        <v>0</v>
      </c>
      <c r="T34" s="438">
        <v>0</v>
      </c>
      <c r="U34" s="407" t="e">
        <f t="shared" si="26"/>
        <v>#DIV/0!</v>
      </c>
      <c r="V34" s="438">
        <v>0</v>
      </c>
      <c r="W34" s="410" t="e">
        <f t="shared" si="27"/>
        <v>#DIV/0!</v>
      </c>
      <c r="X34" s="438">
        <v>0</v>
      </c>
      <c r="Y34" s="407" t="e">
        <f t="shared" si="28"/>
        <v>#DIV/0!</v>
      </c>
      <c r="Z34" s="438">
        <v>0</v>
      </c>
      <c r="AA34" s="411" t="e">
        <f t="shared" si="29"/>
        <v>#DIV/0!</v>
      </c>
      <c r="AB34" s="401">
        <f t="shared" si="30"/>
        <v>0</v>
      </c>
      <c r="AC34" s="407">
        <f t="shared" si="22"/>
        <v>0</v>
      </c>
      <c r="AD34" s="397" t="e">
        <f t="shared" si="33"/>
        <v>#DIV/0!</v>
      </c>
      <c r="AE34" s="396"/>
      <c r="AG34" s="397">
        <f>VLOOKUP(B34,TWN_IS!B:P,15,0)</f>
        <v>0</v>
      </c>
      <c r="AH34" s="397">
        <f t="shared" si="14"/>
        <v>0</v>
      </c>
    </row>
    <row r="35" spans="1:34" outlineLevel="1">
      <c r="A35" s="432"/>
      <c r="B35" s="432" t="s">
        <v>1450</v>
      </c>
      <c r="D35" s="438">
        <v>0</v>
      </c>
      <c r="E35" s="435">
        <f t="shared" si="16"/>
        <v>0</v>
      </c>
      <c r="F35" s="438">
        <v>0</v>
      </c>
      <c r="G35" s="407">
        <f t="shared" si="17"/>
        <v>0</v>
      </c>
      <c r="H35" s="438">
        <v>0</v>
      </c>
      <c r="I35" s="407">
        <f t="shared" si="15"/>
        <v>0</v>
      </c>
      <c r="J35" s="438">
        <v>0</v>
      </c>
      <c r="K35" s="436">
        <f t="shared" si="31"/>
        <v>0</v>
      </c>
      <c r="L35" s="438">
        <v>0</v>
      </c>
      <c r="M35" s="435">
        <f t="shared" si="32"/>
        <v>0</v>
      </c>
      <c r="N35" s="438">
        <v>0</v>
      </c>
      <c r="O35" s="437">
        <f t="shared" si="6"/>
        <v>0</v>
      </c>
      <c r="P35" s="438">
        <v>0</v>
      </c>
      <c r="Q35" s="437">
        <f t="shared" si="7"/>
        <v>0</v>
      </c>
      <c r="R35" s="438">
        <v>0</v>
      </c>
      <c r="S35" s="401">
        <f t="shared" si="25"/>
        <v>0</v>
      </c>
      <c r="T35" s="438">
        <v>0</v>
      </c>
      <c r="U35" s="407" t="e">
        <f t="shared" si="26"/>
        <v>#DIV/0!</v>
      </c>
      <c r="V35" s="438">
        <v>0</v>
      </c>
      <c r="W35" s="410" t="e">
        <f t="shared" si="27"/>
        <v>#DIV/0!</v>
      </c>
      <c r="X35" s="438">
        <v>0</v>
      </c>
      <c r="Y35" s="407" t="e">
        <f t="shared" si="28"/>
        <v>#DIV/0!</v>
      </c>
      <c r="Z35" s="438">
        <v>0</v>
      </c>
      <c r="AA35" s="411" t="e">
        <f t="shared" si="29"/>
        <v>#DIV/0!</v>
      </c>
      <c r="AB35" s="401">
        <f t="shared" si="30"/>
        <v>0</v>
      </c>
      <c r="AC35" s="407">
        <f t="shared" si="22"/>
        <v>0</v>
      </c>
      <c r="AD35" s="397" t="e">
        <f t="shared" si="33"/>
        <v>#DIV/0!</v>
      </c>
      <c r="AE35" s="396"/>
      <c r="AG35" s="397">
        <f>VLOOKUP(B35,TWN_IS!B:P,15,0)</f>
        <v>0</v>
      </c>
      <c r="AH35" s="397">
        <f t="shared" si="14"/>
        <v>0</v>
      </c>
    </row>
    <row r="36" spans="1:34" outlineLevel="1">
      <c r="A36" s="432"/>
      <c r="B36" s="432" t="s">
        <v>1452</v>
      </c>
      <c r="D36" s="438">
        <v>0</v>
      </c>
      <c r="E36" s="435">
        <f t="shared" si="16"/>
        <v>0</v>
      </c>
      <c r="F36" s="438">
        <v>0</v>
      </c>
      <c r="G36" s="407">
        <f t="shared" si="17"/>
        <v>0</v>
      </c>
      <c r="H36" s="438">
        <v>0</v>
      </c>
      <c r="I36" s="407">
        <f t="shared" si="15"/>
        <v>0</v>
      </c>
      <c r="J36" s="438">
        <v>0</v>
      </c>
      <c r="K36" s="436">
        <f t="shared" si="31"/>
        <v>0</v>
      </c>
      <c r="L36" s="438">
        <v>0</v>
      </c>
      <c r="M36" s="435">
        <f t="shared" si="32"/>
        <v>0</v>
      </c>
      <c r="N36" s="438">
        <v>0</v>
      </c>
      <c r="O36" s="437">
        <f t="shared" si="6"/>
        <v>0</v>
      </c>
      <c r="P36" s="438">
        <v>0</v>
      </c>
      <c r="Q36" s="437">
        <f t="shared" si="7"/>
        <v>0</v>
      </c>
      <c r="R36" s="438">
        <v>0</v>
      </c>
      <c r="S36" s="401">
        <f t="shared" si="25"/>
        <v>0</v>
      </c>
      <c r="T36" s="438">
        <v>0</v>
      </c>
      <c r="U36" s="407" t="e">
        <f t="shared" si="26"/>
        <v>#DIV/0!</v>
      </c>
      <c r="V36" s="438">
        <v>0</v>
      </c>
      <c r="W36" s="410" t="e">
        <f t="shared" si="27"/>
        <v>#DIV/0!</v>
      </c>
      <c r="X36" s="438">
        <v>0</v>
      </c>
      <c r="Y36" s="407" t="e">
        <f t="shared" si="28"/>
        <v>#DIV/0!</v>
      </c>
      <c r="Z36" s="438">
        <v>0</v>
      </c>
      <c r="AA36" s="411" t="e">
        <f t="shared" si="29"/>
        <v>#DIV/0!</v>
      </c>
      <c r="AB36" s="401">
        <f t="shared" si="30"/>
        <v>0</v>
      </c>
      <c r="AC36" s="407">
        <f t="shared" si="22"/>
        <v>0</v>
      </c>
      <c r="AD36" s="397" t="e">
        <f t="shared" si="33"/>
        <v>#DIV/0!</v>
      </c>
      <c r="AE36" s="396"/>
      <c r="AG36" s="397">
        <f>VLOOKUP(B36,TWN_IS!B:P,15,0)</f>
        <v>0</v>
      </c>
      <c r="AH36" s="397">
        <f t="shared" si="14"/>
        <v>0</v>
      </c>
    </row>
    <row r="37" spans="1:34" outlineLevel="1">
      <c r="A37" s="432"/>
      <c r="B37" s="432" t="s">
        <v>1523</v>
      </c>
      <c r="D37" s="438">
        <v>0</v>
      </c>
      <c r="E37" s="435">
        <f t="shared" si="16"/>
        <v>0</v>
      </c>
      <c r="F37" s="438">
        <v>0</v>
      </c>
      <c r="G37" s="407">
        <f t="shared" si="17"/>
        <v>0</v>
      </c>
      <c r="H37" s="438">
        <v>0</v>
      </c>
      <c r="I37" s="407">
        <f t="shared" si="15"/>
        <v>0</v>
      </c>
      <c r="J37" s="438">
        <v>0</v>
      </c>
      <c r="K37" s="436">
        <f t="shared" si="31"/>
        <v>0</v>
      </c>
      <c r="L37" s="438">
        <v>0</v>
      </c>
      <c r="M37" s="435">
        <f t="shared" si="32"/>
        <v>0</v>
      </c>
      <c r="N37" s="438">
        <v>0</v>
      </c>
      <c r="O37" s="437">
        <f t="shared" si="6"/>
        <v>0</v>
      </c>
      <c r="P37" s="438">
        <v>0</v>
      </c>
      <c r="Q37" s="437">
        <f t="shared" si="7"/>
        <v>0</v>
      </c>
      <c r="R37" s="438">
        <v>0</v>
      </c>
      <c r="S37" s="401">
        <f t="shared" si="25"/>
        <v>0</v>
      </c>
      <c r="T37" s="438">
        <v>0</v>
      </c>
      <c r="U37" s="407" t="e">
        <f t="shared" si="26"/>
        <v>#DIV/0!</v>
      </c>
      <c r="V37" s="438">
        <v>0</v>
      </c>
      <c r="W37" s="410" t="e">
        <f t="shared" si="27"/>
        <v>#DIV/0!</v>
      </c>
      <c r="X37" s="438">
        <v>0</v>
      </c>
      <c r="Y37" s="407" t="e">
        <f t="shared" si="28"/>
        <v>#DIV/0!</v>
      </c>
      <c r="Z37" s="438">
        <v>0</v>
      </c>
      <c r="AA37" s="411" t="e">
        <f t="shared" si="29"/>
        <v>#DIV/0!</v>
      </c>
      <c r="AB37" s="401">
        <f t="shared" si="30"/>
        <v>0</v>
      </c>
      <c r="AC37" s="407">
        <f t="shared" si="22"/>
        <v>0</v>
      </c>
      <c r="AD37" s="397" t="e">
        <f t="shared" si="33"/>
        <v>#DIV/0!</v>
      </c>
      <c r="AE37" s="396"/>
      <c r="AG37" s="397">
        <f>VLOOKUP(B37,TWN_IS!B:P,15,0)</f>
        <v>0</v>
      </c>
      <c r="AH37" s="397">
        <f t="shared" si="14"/>
        <v>0</v>
      </c>
    </row>
    <row r="38" spans="1:34" outlineLevel="1">
      <c r="A38" s="432"/>
      <c r="B38" s="432" t="s">
        <v>1524</v>
      </c>
      <c r="D38" s="438">
        <v>0</v>
      </c>
      <c r="E38" s="435">
        <f t="shared" si="16"/>
        <v>0</v>
      </c>
      <c r="F38" s="438">
        <v>0</v>
      </c>
      <c r="G38" s="407">
        <f t="shared" si="17"/>
        <v>0</v>
      </c>
      <c r="H38" s="438">
        <v>0</v>
      </c>
      <c r="I38" s="407">
        <f t="shared" si="15"/>
        <v>0</v>
      </c>
      <c r="J38" s="438">
        <v>0</v>
      </c>
      <c r="K38" s="436">
        <f t="shared" si="31"/>
        <v>0</v>
      </c>
      <c r="L38" s="438">
        <v>0</v>
      </c>
      <c r="M38" s="435">
        <f t="shared" si="32"/>
        <v>0</v>
      </c>
      <c r="N38" s="438">
        <v>0</v>
      </c>
      <c r="O38" s="437">
        <f t="shared" si="6"/>
        <v>0</v>
      </c>
      <c r="P38" s="438">
        <v>0</v>
      </c>
      <c r="Q38" s="437">
        <f t="shared" si="7"/>
        <v>0</v>
      </c>
      <c r="R38" s="438">
        <v>0</v>
      </c>
      <c r="S38" s="401">
        <f t="shared" si="25"/>
        <v>0</v>
      </c>
      <c r="T38" s="438">
        <v>0</v>
      </c>
      <c r="U38" s="407" t="e">
        <f t="shared" si="26"/>
        <v>#DIV/0!</v>
      </c>
      <c r="V38" s="438">
        <v>0</v>
      </c>
      <c r="W38" s="410" t="e">
        <f t="shared" si="27"/>
        <v>#DIV/0!</v>
      </c>
      <c r="X38" s="438">
        <v>0</v>
      </c>
      <c r="Y38" s="407" t="e">
        <f t="shared" si="28"/>
        <v>#DIV/0!</v>
      </c>
      <c r="Z38" s="438">
        <v>0</v>
      </c>
      <c r="AA38" s="411" t="e">
        <f t="shared" si="29"/>
        <v>#DIV/0!</v>
      </c>
      <c r="AB38" s="401">
        <f t="shared" si="30"/>
        <v>0</v>
      </c>
      <c r="AC38" s="407">
        <f t="shared" si="22"/>
        <v>0</v>
      </c>
      <c r="AD38" s="397" t="e">
        <f t="shared" si="33"/>
        <v>#DIV/0!</v>
      </c>
      <c r="AE38" s="396"/>
      <c r="AG38" s="397">
        <f>VLOOKUP(B38,TWN_IS!B:P,15,0)</f>
        <v>0</v>
      </c>
      <c r="AH38" s="397">
        <f t="shared" si="14"/>
        <v>0</v>
      </c>
    </row>
    <row r="39" spans="1:34">
      <c r="A39" s="441"/>
      <c r="B39" s="441" t="s">
        <v>1525</v>
      </c>
      <c r="C39" s="442"/>
      <c r="D39" s="443">
        <v>-132345</v>
      </c>
      <c r="E39" s="444">
        <f t="shared" si="16"/>
        <v>-2.1967086765934431E-3</v>
      </c>
      <c r="F39" s="443">
        <v>131813</v>
      </c>
      <c r="G39" s="445">
        <f t="shared" si="17"/>
        <v>2.4836871013632551E-3</v>
      </c>
      <c r="H39" s="443">
        <v>548</v>
      </c>
      <c r="I39" s="445">
        <f>H39/$H$21</f>
        <v>8.5985102924011298E-6</v>
      </c>
      <c r="J39" s="443">
        <v>-16</v>
      </c>
      <c r="K39" s="446">
        <f t="shared" si="31"/>
        <v>-2.3750966367444076E-7</v>
      </c>
      <c r="L39" s="443">
        <v>0</v>
      </c>
      <c r="M39" s="444">
        <f t="shared" si="32"/>
        <v>0</v>
      </c>
      <c r="N39" s="443">
        <v>0</v>
      </c>
      <c r="O39" s="447">
        <f t="shared" si="6"/>
        <v>0</v>
      </c>
      <c r="P39" s="443">
        <v>0</v>
      </c>
      <c r="Q39" s="447">
        <f t="shared" si="7"/>
        <v>0</v>
      </c>
      <c r="R39" s="443">
        <v>0</v>
      </c>
      <c r="S39" s="447">
        <f t="shared" si="25"/>
        <v>0</v>
      </c>
      <c r="T39" s="443">
        <v>0</v>
      </c>
      <c r="U39" s="445" t="e">
        <f t="shared" si="26"/>
        <v>#DIV/0!</v>
      </c>
      <c r="V39" s="443">
        <v>0</v>
      </c>
      <c r="W39" s="448" t="e">
        <f t="shared" si="27"/>
        <v>#DIV/0!</v>
      </c>
      <c r="X39" s="443">
        <v>0</v>
      </c>
      <c r="Y39" s="445" t="e">
        <f t="shared" si="28"/>
        <v>#DIV/0!</v>
      </c>
      <c r="Z39" s="443">
        <v>0</v>
      </c>
      <c r="AA39" s="449" t="e">
        <f t="shared" si="29"/>
        <v>#DIV/0!</v>
      </c>
      <c r="AB39" s="450">
        <f t="shared" si="30"/>
        <v>0</v>
      </c>
      <c r="AC39" s="445">
        <f t="shared" si="22"/>
        <v>0</v>
      </c>
      <c r="AD39" s="451">
        <f t="shared" ref="AD39:AD102" si="34">AVERAGE(D39,F39,H39,J39,L39,N39,P39,R39,T39,V39,X39,Z39)</f>
        <v>0</v>
      </c>
      <c r="AE39" s="442" t="s">
        <v>1526</v>
      </c>
      <c r="AG39" s="397">
        <f>VLOOKUP(B39,TWN_IS!B:P,15,0)</f>
        <v>0</v>
      </c>
      <c r="AH39" s="397">
        <f t="shared" si="14"/>
        <v>0</v>
      </c>
    </row>
    <row r="40" spans="1:34">
      <c r="A40" s="432"/>
      <c r="B40" s="452" t="s">
        <v>1454</v>
      </c>
      <c r="C40" s="453"/>
      <c r="D40" s="454">
        <v>1023451</v>
      </c>
      <c r="E40" s="455">
        <f t="shared" si="16"/>
        <v>1.6987598260366735E-2</v>
      </c>
      <c r="F40" s="454">
        <v>1006220</v>
      </c>
      <c r="G40" s="456">
        <f t="shared" si="17"/>
        <v>1.895970530322301E-2</v>
      </c>
      <c r="H40" s="454">
        <v>1020731</v>
      </c>
      <c r="I40" s="456">
        <f>H40/$H$21</f>
        <v>1.601599636728631E-2</v>
      </c>
      <c r="J40" s="454">
        <v>1062155</v>
      </c>
      <c r="K40" s="457">
        <f t="shared" si="31"/>
        <v>1.5767004801257853E-2</v>
      </c>
      <c r="L40" s="454">
        <v>1055778</v>
      </c>
      <c r="M40" s="455">
        <f t="shared" si="32"/>
        <v>1.9815153683344657E-2</v>
      </c>
      <c r="N40" s="454">
        <v>1051561</v>
      </c>
      <c r="O40" s="458">
        <f t="shared" si="6"/>
        <v>1.2019493058050978E-2</v>
      </c>
      <c r="P40" s="454">
        <v>1065149</v>
      </c>
      <c r="Q40" s="458">
        <f t="shared" si="7"/>
        <v>1.0842186054672845E-2</v>
      </c>
      <c r="R40" s="454">
        <v>1088082</v>
      </c>
      <c r="S40" s="458">
        <f t="shared" si="25"/>
        <v>1.3247496512293219E-2</v>
      </c>
      <c r="T40" s="454">
        <v>0</v>
      </c>
      <c r="U40" s="456" t="e">
        <f t="shared" si="26"/>
        <v>#DIV/0!</v>
      </c>
      <c r="V40" s="454">
        <v>0</v>
      </c>
      <c r="W40" s="459" t="e">
        <f t="shared" si="27"/>
        <v>#DIV/0!</v>
      </c>
      <c r="X40" s="454">
        <v>0</v>
      </c>
      <c r="Y40" s="456" t="e">
        <f t="shared" si="28"/>
        <v>#DIV/0!</v>
      </c>
      <c r="Z40" s="454">
        <v>0</v>
      </c>
      <c r="AA40" s="460" t="e">
        <f t="shared" si="29"/>
        <v>#DIV/0!</v>
      </c>
      <c r="AB40" s="461">
        <f t="shared" si="30"/>
        <v>8373127</v>
      </c>
      <c r="AC40" s="456">
        <f t="shared" si="22"/>
        <v>1.480498077263892E-2</v>
      </c>
      <c r="AD40" s="462">
        <f t="shared" si="34"/>
        <v>697760.58333333337</v>
      </c>
      <c r="AE40" s="453" t="s">
        <v>1527</v>
      </c>
      <c r="AG40" s="397">
        <f>VLOOKUP(B40,TWN_IS!B:P,15,0)</f>
        <v>8373127</v>
      </c>
      <c r="AH40" s="397">
        <f t="shared" si="14"/>
        <v>0</v>
      </c>
    </row>
    <row r="41" spans="1:34" outlineLevel="1">
      <c r="A41" s="432"/>
      <c r="B41" s="432" t="s">
        <v>1456</v>
      </c>
      <c r="D41" s="438">
        <v>726247</v>
      </c>
      <c r="E41" s="435">
        <f t="shared" si="16"/>
        <v>1.2054502144017213E-2</v>
      </c>
      <c r="F41" s="438">
        <v>741039</v>
      </c>
      <c r="G41" s="407">
        <f t="shared" si="17"/>
        <v>1.3963031005341851E-2</v>
      </c>
      <c r="H41" s="438">
        <v>734100</v>
      </c>
      <c r="I41" s="407">
        <f t="shared" si="15"/>
        <v>1.1518551835130782E-2</v>
      </c>
      <c r="J41" s="438">
        <v>771882</v>
      </c>
      <c r="K41" s="436">
        <f t="shared" si="31"/>
        <v>1.1458089638522167E-2</v>
      </c>
      <c r="L41" s="438">
        <v>771217</v>
      </c>
      <c r="M41" s="435">
        <f t="shared" si="32"/>
        <v>1.4474428694486924E-2</v>
      </c>
      <c r="N41" s="438">
        <v>770641</v>
      </c>
      <c r="O41" s="437">
        <f t="shared" si="6"/>
        <v>8.8085371649856397E-3</v>
      </c>
      <c r="P41" s="438">
        <v>792332</v>
      </c>
      <c r="Q41" s="437">
        <f t="shared" si="7"/>
        <v>8.0651730049702379E-3</v>
      </c>
      <c r="R41" s="438">
        <v>796776</v>
      </c>
      <c r="S41" s="437">
        <f t="shared" si="25"/>
        <v>9.7008196818612405E-3</v>
      </c>
      <c r="T41" s="438">
        <v>0</v>
      </c>
      <c r="U41" s="407" t="e">
        <f t="shared" si="26"/>
        <v>#DIV/0!</v>
      </c>
      <c r="V41" s="438">
        <v>0</v>
      </c>
      <c r="W41" s="410" t="e">
        <f t="shared" si="27"/>
        <v>#DIV/0!</v>
      </c>
      <c r="X41" s="438">
        <v>0</v>
      </c>
      <c r="Y41" s="407" t="e">
        <f t="shared" si="28"/>
        <v>#DIV/0!</v>
      </c>
      <c r="Z41" s="438">
        <v>0</v>
      </c>
      <c r="AA41" s="411" t="e">
        <f t="shared" si="29"/>
        <v>#DIV/0!</v>
      </c>
      <c r="AB41" s="401">
        <f t="shared" si="30"/>
        <v>6104234</v>
      </c>
      <c r="AC41" s="407">
        <f t="shared" si="22"/>
        <v>1.079322778714437E-2</v>
      </c>
      <c r="AD41" s="397">
        <f t="shared" si="34"/>
        <v>508686.16666666669</v>
      </c>
      <c r="AE41" s="396"/>
      <c r="AG41" s="397">
        <f>VLOOKUP(B41,TWN_IS!B:P,15,0)</f>
        <v>6104234</v>
      </c>
      <c r="AH41" s="397">
        <f t="shared" si="14"/>
        <v>0</v>
      </c>
    </row>
    <row r="42" spans="1:34" outlineLevel="1">
      <c r="A42" s="432"/>
      <c r="B42" s="432" t="s">
        <v>1458</v>
      </c>
      <c r="D42" s="438">
        <v>0</v>
      </c>
      <c r="E42" s="435">
        <f t="shared" si="16"/>
        <v>0</v>
      </c>
      <c r="F42" s="438">
        <v>14913</v>
      </c>
      <c r="G42" s="407">
        <f t="shared" si="17"/>
        <v>2.809982759107996E-4</v>
      </c>
      <c r="H42" s="438">
        <v>19383</v>
      </c>
      <c r="I42" s="407">
        <f t="shared" si="15"/>
        <v>3.0413307481315892E-4</v>
      </c>
      <c r="J42" s="438">
        <v>21000</v>
      </c>
      <c r="K42" s="436">
        <f t="shared" si="31"/>
        <v>3.117314335727035E-4</v>
      </c>
      <c r="L42" s="438">
        <v>12994</v>
      </c>
      <c r="M42" s="435">
        <f t="shared" si="32"/>
        <v>2.4387523415091096E-4</v>
      </c>
      <c r="N42" s="438">
        <v>8283</v>
      </c>
      <c r="O42" s="437">
        <f t="shared" si="6"/>
        <v>9.4675878051616832E-5</v>
      </c>
      <c r="P42" s="438">
        <v>0</v>
      </c>
      <c r="Q42" s="437">
        <f t="shared" si="7"/>
        <v>0</v>
      </c>
      <c r="R42" s="438">
        <v>17567</v>
      </c>
      <c r="S42" s="437">
        <f t="shared" si="25"/>
        <v>2.1387980982265581E-4</v>
      </c>
      <c r="T42" s="438">
        <v>0</v>
      </c>
      <c r="U42" s="407" t="e">
        <f t="shared" si="26"/>
        <v>#DIV/0!</v>
      </c>
      <c r="V42" s="438">
        <v>0</v>
      </c>
      <c r="W42" s="410" t="e">
        <f t="shared" si="27"/>
        <v>#DIV/0!</v>
      </c>
      <c r="X42" s="438">
        <v>0</v>
      </c>
      <c r="Y42" s="407" t="e">
        <f t="shared" si="28"/>
        <v>#DIV/0!</v>
      </c>
      <c r="Z42" s="438">
        <v>0</v>
      </c>
      <c r="AA42" s="411" t="e">
        <f t="shared" si="29"/>
        <v>#DIV/0!</v>
      </c>
      <c r="AB42" s="401">
        <f t="shared" si="30"/>
        <v>94140</v>
      </c>
      <c r="AC42" s="407">
        <f t="shared" si="22"/>
        <v>1.6645404876054407E-4</v>
      </c>
      <c r="AD42" s="397">
        <f t="shared" si="34"/>
        <v>7845</v>
      </c>
      <c r="AE42" s="396"/>
      <c r="AG42" s="397">
        <f>VLOOKUP(B42,TWN_IS!B:P,15,0)</f>
        <v>94140</v>
      </c>
      <c r="AH42" s="397">
        <f t="shared" si="14"/>
        <v>0</v>
      </c>
    </row>
    <row r="43" spans="1:34" outlineLevel="1">
      <c r="A43" s="432"/>
      <c r="B43" s="432" t="s">
        <v>1459</v>
      </c>
      <c r="D43" s="438">
        <v>0</v>
      </c>
      <c r="E43" s="435">
        <f t="shared" si="16"/>
        <v>0</v>
      </c>
      <c r="F43" s="438">
        <v>0</v>
      </c>
      <c r="G43" s="407">
        <f t="shared" si="17"/>
        <v>0</v>
      </c>
      <c r="H43" s="438">
        <v>0</v>
      </c>
      <c r="I43" s="407">
        <f t="shared" si="15"/>
        <v>0</v>
      </c>
      <c r="J43" s="438">
        <v>0</v>
      </c>
      <c r="K43" s="436">
        <f t="shared" si="31"/>
        <v>0</v>
      </c>
      <c r="L43" s="438">
        <v>0</v>
      </c>
      <c r="M43" s="435">
        <f t="shared" si="32"/>
        <v>0</v>
      </c>
      <c r="N43" s="438">
        <v>0</v>
      </c>
      <c r="O43" s="437">
        <f t="shared" si="6"/>
        <v>0</v>
      </c>
      <c r="P43" s="438">
        <v>0</v>
      </c>
      <c r="Q43" s="437">
        <f t="shared" si="7"/>
        <v>0</v>
      </c>
      <c r="R43" s="438">
        <v>0</v>
      </c>
      <c r="S43" s="437">
        <f t="shared" si="25"/>
        <v>0</v>
      </c>
      <c r="T43" s="438">
        <v>0</v>
      </c>
      <c r="U43" s="407" t="e">
        <f t="shared" si="26"/>
        <v>#DIV/0!</v>
      </c>
      <c r="V43" s="438">
        <v>0</v>
      </c>
      <c r="W43" s="410" t="e">
        <f t="shared" si="27"/>
        <v>#DIV/0!</v>
      </c>
      <c r="X43" s="438">
        <v>0</v>
      </c>
      <c r="Y43" s="407" t="e">
        <f t="shared" si="28"/>
        <v>#DIV/0!</v>
      </c>
      <c r="Z43" s="438">
        <v>0</v>
      </c>
      <c r="AA43" s="411" t="e">
        <f t="shared" si="29"/>
        <v>#DIV/0!</v>
      </c>
      <c r="AB43" s="401">
        <f t="shared" si="30"/>
        <v>0</v>
      </c>
      <c r="AC43" s="407">
        <f t="shared" si="22"/>
        <v>0</v>
      </c>
      <c r="AD43" s="397">
        <f t="shared" si="34"/>
        <v>0</v>
      </c>
      <c r="AE43" s="396"/>
      <c r="AG43" s="397">
        <f>VLOOKUP(B43,TWN_IS!B:P,15,0)</f>
        <v>0</v>
      </c>
      <c r="AH43" s="397">
        <f t="shared" si="14"/>
        <v>0</v>
      </c>
    </row>
    <row r="44" spans="1:34" outlineLevel="1">
      <c r="A44" s="432"/>
      <c r="B44" s="432" t="s">
        <v>1460</v>
      </c>
      <c r="D44" s="438">
        <v>46704</v>
      </c>
      <c r="E44" s="435">
        <f t="shared" si="16"/>
        <v>7.7520935457796032E-4</v>
      </c>
      <c r="F44" s="438">
        <v>47368</v>
      </c>
      <c r="G44" s="407">
        <f t="shared" si="17"/>
        <v>8.9253177317392572E-4</v>
      </c>
      <c r="H44" s="438">
        <v>47328</v>
      </c>
      <c r="I44" s="407">
        <f t="shared" si="15"/>
        <v>7.4261002758897927E-4</v>
      </c>
      <c r="J44" s="438">
        <v>49573</v>
      </c>
      <c r="K44" s="436">
        <f t="shared" si="31"/>
        <v>7.3587915983331568E-4</v>
      </c>
      <c r="L44" s="438">
        <v>49867</v>
      </c>
      <c r="M44" s="435">
        <f t="shared" si="32"/>
        <v>9.3591860100072932E-4</v>
      </c>
      <c r="N44" s="438">
        <v>50137</v>
      </c>
      <c r="O44" s="437">
        <f t="shared" si="6"/>
        <v>5.7307310127658012E-4</v>
      </c>
      <c r="P44" s="438">
        <v>50317</v>
      </c>
      <c r="Q44" s="437">
        <f t="shared" si="7"/>
        <v>5.1217836726408564E-4</v>
      </c>
      <c r="R44" s="438">
        <v>50539</v>
      </c>
      <c r="S44" s="437">
        <f t="shared" si="25"/>
        <v>6.153168844211989E-4</v>
      </c>
      <c r="T44" s="438">
        <v>0</v>
      </c>
      <c r="U44" s="407" t="e">
        <f t="shared" si="26"/>
        <v>#DIV/0!</v>
      </c>
      <c r="V44" s="438">
        <v>0</v>
      </c>
      <c r="W44" s="410" t="e">
        <f t="shared" si="27"/>
        <v>#DIV/0!</v>
      </c>
      <c r="X44" s="438">
        <v>0</v>
      </c>
      <c r="Y44" s="407" t="e">
        <f t="shared" si="28"/>
        <v>#DIV/0!</v>
      </c>
      <c r="Z44" s="438">
        <v>0</v>
      </c>
      <c r="AA44" s="411" t="e">
        <f t="shared" si="29"/>
        <v>#DIV/0!</v>
      </c>
      <c r="AB44" s="401">
        <f t="shared" si="30"/>
        <v>391833</v>
      </c>
      <c r="AC44" s="407">
        <f t="shared" si="22"/>
        <v>6.9282121614606181E-4</v>
      </c>
      <c r="AD44" s="397">
        <f t="shared" si="34"/>
        <v>32652.75</v>
      </c>
      <c r="AE44" s="396"/>
      <c r="AG44" s="397">
        <f>VLOOKUP(B44,TWN_IS!B:P,15,0)</f>
        <v>391833</v>
      </c>
      <c r="AH44" s="397">
        <f t="shared" si="14"/>
        <v>0</v>
      </c>
    </row>
    <row r="45" spans="1:34" outlineLevel="1">
      <c r="A45" s="432"/>
      <c r="B45" s="432" t="s">
        <v>1462</v>
      </c>
      <c r="D45" s="438">
        <v>250500</v>
      </c>
      <c r="E45" s="435">
        <f t="shared" si="16"/>
        <v>4.1578867617715629E-3</v>
      </c>
      <c r="F45" s="438">
        <v>202900</v>
      </c>
      <c r="G45" s="407">
        <f t="shared" si="17"/>
        <v>3.823144248796435E-3</v>
      </c>
      <c r="H45" s="438">
        <v>219920</v>
      </c>
      <c r="I45" s="407">
        <f t="shared" si="15"/>
        <v>3.4507014297533874E-3</v>
      </c>
      <c r="J45" s="438">
        <v>219700</v>
      </c>
      <c r="K45" s="436">
        <f t="shared" si="31"/>
        <v>3.2613045693296646E-3</v>
      </c>
      <c r="L45" s="438">
        <v>221700</v>
      </c>
      <c r="M45" s="435">
        <f t="shared" si="32"/>
        <v>4.1609311537060918E-3</v>
      </c>
      <c r="N45" s="438">
        <v>222500</v>
      </c>
      <c r="O45" s="437">
        <f t="shared" si="6"/>
        <v>2.5432069137371421E-3</v>
      </c>
      <c r="P45" s="438">
        <v>222500</v>
      </c>
      <c r="Q45" s="437">
        <f t="shared" si="7"/>
        <v>2.2648346824385209E-3</v>
      </c>
      <c r="R45" s="438">
        <v>223200</v>
      </c>
      <c r="S45" s="437">
        <f t="shared" si="25"/>
        <v>2.7174801361881241E-3</v>
      </c>
      <c r="T45" s="438">
        <v>0</v>
      </c>
      <c r="U45" s="407" t="e">
        <f t="shared" si="26"/>
        <v>#DIV/0!</v>
      </c>
      <c r="V45" s="438">
        <v>0</v>
      </c>
      <c r="W45" s="410" t="e">
        <f t="shared" si="27"/>
        <v>#DIV/0!</v>
      </c>
      <c r="X45" s="438">
        <v>0</v>
      </c>
      <c r="Y45" s="407" t="e">
        <f t="shared" si="28"/>
        <v>#DIV/0!</v>
      </c>
      <c r="Z45" s="438">
        <v>0</v>
      </c>
      <c r="AA45" s="411" t="e">
        <f t="shared" si="29"/>
        <v>#DIV/0!</v>
      </c>
      <c r="AB45" s="401">
        <f t="shared" si="30"/>
        <v>1782920</v>
      </c>
      <c r="AC45" s="407">
        <f t="shared" si="22"/>
        <v>3.152477720587946E-3</v>
      </c>
      <c r="AD45" s="397">
        <f t="shared" si="34"/>
        <v>148576.66666666666</v>
      </c>
      <c r="AE45" s="396"/>
      <c r="AG45" s="397">
        <f>VLOOKUP(B45,TWN_IS!B:P,15,0)</f>
        <v>1782920</v>
      </c>
      <c r="AH45" s="397">
        <f t="shared" si="14"/>
        <v>0</v>
      </c>
    </row>
    <row r="46" spans="1:34" outlineLevel="1">
      <c r="A46" s="432"/>
      <c r="B46" s="432" t="s">
        <v>1464</v>
      </c>
      <c r="D46" s="438">
        <v>0</v>
      </c>
      <c r="E46" s="435">
        <f t="shared" si="16"/>
        <v>0</v>
      </c>
      <c r="F46" s="438">
        <v>0</v>
      </c>
      <c r="G46" s="407">
        <f t="shared" si="17"/>
        <v>0</v>
      </c>
      <c r="H46" s="438">
        <v>0</v>
      </c>
      <c r="I46" s="407">
        <f t="shared" si="15"/>
        <v>0</v>
      </c>
      <c r="J46" s="438">
        <v>0</v>
      </c>
      <c r="K46" s="436">
        <f t="shared" si="31"/>
        <v>0</v>
      </c>
      <c r="L46" s="438">
        <v>0</v>
      </c>
      <c r="M46" s="435">
        <f t="shared" si="32"/>
        <v>0</v>
      </c>
      <c r="N46" s="438">
        <v>0</v>
      </c>
      <c r="O46" s="437">
        <f t="shared" si="6"/>
        <v>0</v>
      </c>
      <c r="P46" s="438">
        <v>0</v>
      </c>
      <c r="Q46" s="437">
        <f t="shared" si="7"/>
        <v>0</v>
      </c>
      <c r="R46" s="438">
        <v>0</v>
      </c>
      <c r="S46" s="437">
        <f t="shared" si="25"/>
        <v>0</v>
      </c>
      <c r="T46" s="438">
        <v>0</v>
      </c>
      <c r="U46" s="407" t="e">
        <f t="shared" si="26"/>
        <v>#DIV/0!</v>
      </c>
      <c r="V46" s="438">
        <v>0</v>
      </c>
      <c r="W46" s="410" t="e">
        <f t="shared" si="27"/>
        <v>#DIV/0!</v>
      </c>
      <c r="X46" s="438">
        <v>0</v>
      </c>
      <c r="Y46" s="407" t="e">
        <f t="shared" si="28"/>
        <v>#DIV/0!</v>
      </c>
      <c r="Z46" s="438">
        <v>0</v>
      </c>
      <c r="AA46" s="411" t="e">
        <f t="shared" si="29"/>
        <v>#DIV/0!</v>
      </c>
      <c r="AB46" s="401">
        <f t="shared" si="30"/>
        <v>0</v>
      </c>
      <c r="AC46" s="407">
        <f t="shared" si="22"/>
        <v>0</v>
      </c>
      <c r="AD46" s="397">
        <f t="shared" si="34"/>
        <v>0</v>
      </c>
      <c r="AE46" s="396"/>
      <c r="AG46" s="397">
        <f>VLOOKUP(B46,TWN_IS!B:P,15,0)</f>
        <v>0</v>
      </c>
      <c r="AH46" s="397">
        <f t="shared" si="14"/>
        <v>0</v>
      </c>
    </row>
    <row r="47" spans="1:34">
      <c r="A47" s="432"/>
      <c r="B47" s="432" t="s">
        <v>1466</v>
      </c>
      <c r="D47" s="438">
        <v>194800</v>
      </c>
      <c r="E47" s="435">
        <f t="shared" si="16"/>
        <v>3.2333586474774466E-3</v>
      </c>
      <c r="F47" s="438">
        <v>194800</v>
      </c>
      <c r="G47" s="407">
        <f t="shared" si="17"/>
        <v>3.6705199589233393E-3</v>
      </c>
      <c r="H47" s="438">
        <v>194800</v>
      </c>
      <c r="I47" s="407">
        <f t="shared" si="15"/>
        <v>3.0565507389776277E-3</v>
      </c>
      <c r="J47" s="438">
        <v>194800</v>
      </c>
      <c r="K47" s="436">
        <f t="shared" si="31"/>
        <v>2.8916801552363162E-3</v>
      </c>
      <c r="L47" s="438">
        <v>194800</v>
      </c>
      <c r="M47" s="435">
        <f t="shared" si="32"/>
        <v>3.6560639997381449E-3</v>
      </c>
      <c r="N47" s="438">
        <v>194800</v>
      </c>
      <c r="O47" s="437">
        <f t="shared" si="6"/>
        <v>2.2265919406561584E-3</v>
      </c>
      <c r="P47" s="438">
        <v>194800</v>
      </c>
      <c r="Q47" s="437">
        <f t="shared" si="7"/>
        <v>1.9828754882652757E-3</v>
      </c>
      <c r="R47" s="438">
        <v>194800</v>
      </c>
      <c r="S47" s="437">
        <f t="shared" si="25"/>
        <v>2.3717075740566605E-3</v>
      </c>
      <c r="T47" s="438">
        <v>0</v>
      </c>
      <c r="U47" s="407" t="e">
        <f t="shared" si="26"/>
        <v>#DIV/0!</v>
      </c>
      <c r="V47" s="438">
        <v>0</v>
      </c>
      <c r="W47" s="410" t="e">
        <f t="shared" si="27"/>
        <v>#DIV/0!</v>
      </c>
      <c r="X47" s="438">
        <v>0</v>
      </c>
      <c r="Y47" s="407" t="e">
        <f t="shared" si="28"/>
        <v>#DIV/0!</v>
      </c>
      <c r="Z47" s="438">
        <v>0</v>
      </c>
      <c r="AA47" s="411" t="e">
        <f t="shared" si="29"/>
        <v>#DIV/0!</v>
      </c>
      <c r="AB47" s="401">
        <f t="shared" si="30"/>
        <v>1558400</v>
      </c>
      <c r="AC47" s="407">
        <f t="shared" si="22"/>
        <v>2.7554917100959409E-3</v>
      </c>
      <c r="AD47" s="397">
        <f t="shared" si="34"/>
        <v>129866.66666666667</v>
      </c>
      <c r="AE47" s="396" t="s">
        <v>1528</v>
      </c>
      <c r="AG47" s="397">
        <f>VLOOKUP(B47,TWN_IS!B:P,15,0)</f>
        <v>1558400</v>
      </c>
      <c r="AH47" s="397">
        <f t="shared" si="14"/>
        <v>0</v>
      </c>
    </row>
    <row r="48" spans="1:34">
      <c r="A48" s="432"/>
      <c r="B48" s="432" t="s">
        <v>1467</v>
      </c>
      <c r="D48" s="438">
        <v>0</v>
      </c>
      <c r="E48" s="435">
        <f t="shared" si="16"/>
        <v>0</v>
      </c>
      <c r="F48" s="438">
        <v>0</v>
      </c>
      <c r="G48" s="407">
        <f t="shared" si="17"/>
        <v>0</v>
      </c>
      <c r="H48" s="438">
        <v>0</v>
      </c>
      <c r="I48" s="407">
        <f t="shared" si="15"/>
        <v>0</v>
      </c>
      <c r="J48" s="438">
        <v>2106</v>
      </c>
      <c r="K48" s="436">
        <f t="shared" si="31"/>
        <v>3.1262209481148262E-5</v>
      </c>
      <c r="L48" s="438">
        <v>0</v>
      </c>
      <c r="M48" s="435">
        <f t="shared" si="32"/>
        <v>0</v>
      </c>
      <c r="N48" s="438">
        <v>300</v>
      </c>
      <c r="O48" s="437">
        <f t="shared" si="6"/>
        <v>3.429043029757944E-6</v>
      </c>
      <c r="P48" s="438">
        <v>3250</v>
      </c>
      <c r="Q48" s="437">
        <f t="shared" si="7"/>
        <v>3.3081854912023339E-5</v>
      </c>
      <c r="R48" s="438">
        <v>0</v>
      </c>
      <c r="S48" s="437">
        <f t="shared" si="25"/>
        <v>0</v>
      </c>
      <c r="T48" s="438">
        <v>0</v>
      </c>
      <c r="U48" s="407" t="e">
        <f t="shared" si="26"/>
        <v>#DIV/0!</v>
      </c>
      <c r="V48" s="438">
        <v>0</v>
      </c>
      <c r="W48" s="410" t="e">
        <f t="shared" si="27"/>
        <v>#DIV/0!</v>
      </c>
      <c r="X48" s="438">
        <v>0</v>
      </c>
      <c r="Y48" s="407" t="e">
        <f t="shared" si="28"/>
        <v>#DIV/0!</v>
      </c>
      <c r="Z48" s="438">
        <v>0</v>
      </c>
      <c r="AA48" s="411" t="e">
        <f t="shared" si="29"/>
        <v>#DIV/0!</v>
      </c>
      <c r="AB48" s="401">
        <f t="shared" si="30"/>
        <v>5656</v>
      </c>
      <c r="AC48" s="407">
        <f t="shared" si="22"/>
        <v>1.0000680898551489E-5</v>
      </c>
      <c r="AD48" s="397">
        <f t="shared" si="34"/>
        <v>471.33333333333331</v>
      </c>
      <c r="AE48" s="396" t="s">
        <v>1526</v>
      </c>
      <c r="AG48" s="397">
        <f>VLOOKUP(B48,TWN_IS!B:P,15,0)</f>
        <v>5656</v>
      </c>
      <c r="AH48" s="397">
        <f t="shared" si="14"/>
        <v>0</v>
      </c>
    </row>
    <row r="49" spans="1:34">
      <c r="A49" s="432"/>
      <c r="B49" s="432" t="s">
        <v>1468</v>
      </c>
      <c r="D49" s="438">
        <v>1000</v>
      </c>
      <c r="E49" s="435">
        <f t="shared" si="16"/>
        <v>1.6598350346393463E-5</v>
      </c>
      <c r="F49" s="438">
        <v>39000</v>
      </c>
      <c r="G49" s="407">
        <f t="shared" si="17"/>
        <v>7.3485769198157198E-4</v>
      </c>
      <c r="H49" s="438">
        <v>65426</v>
      </c>
      <c r="I49" s="407">
        <f t="shared" si="15"/>
        <v>1.0265805372091904E-3</v>
      </c>
      <c r="J49" s="438">
        <v>36619</v>
      </c>
      <c r="K49" s="436">
        <f t="shared" si="31"/>
        <v>5.435853983808966E-4</v>
      </c>
      <c r="L49" s="438">
        <v>37680</v>
      </c>
      <c r="M49" s="435">
        <f t="shared" si="32"/>
        <v>7.0718938146885671E-4</v>
      </c>
      <c r="N49" s="438">
        <v>3600</v>
      </c>
      <c r="O49" s="437">
        <f t="shared" si="6"/>
        <v>4.1148516357095326E-5</v>
      </c>
      <c r="P49" s="438">
        <v>14900</v>
      </c>
      <c r="Q49" s="437">
        <f t="shared" si="7"/>
        <v>1.5166758098127621E-4</v>
      </c>
      <c r="R49" s="438">
        <v>43302</v>
      </c>
      <c r="S49" s="437">
        <f t="shared" si="25"/>
        <v>5.2720575652875511E-4</v>
      </c>
      <c r="T49" s="438">
        <v>0</v>
      </c>
      <c r="U49" s="407" t="e">
        <f t="shared" si="26"/>
        <v>#DIV/0!</v>
      </c>
      <c r="V49" s="438">
        <v>0</v>
      </c>
      <c r="W49" s="410" t="e">
        <f t="shared" si="27"/>
        <v>#DIV/0!</v>
      </c>
      <c r="X49" s="438">
        <v>0</v>
      </c>
      <c r="Y49" s="407" t="e">
        <f t="shared" si="28"/>
        <v>#DIV/0!</v>
      </c>
      <c r="Z49" s="438">
        <v>0</v>
      </c>
      <c r="AA49" s="411" t="e">
        <f t="shared" si="29"/>
        <v>#DIV/0!</v>
      </c>
      <c r="AB49" s="401">
        <f t="shared" si="30"/>
        <v>241527</v>
      </c>
      <c r="AC49" s="407">
        <f t="shared" si="22"/>
        <v>4.2705701120658514E-4</v>
      </c>
      <c r="AD49" s="397">
        <f t="shared" si="34"/>
        <v>20127.25</v>
      </c>
      <c r="AE49" s="396" t="s">
        <v>1526</v>
      </c>
      <c r="AG49" s="397">
        <f>VLOOKUP(B49,TWN_IS!B:P,15,0)</f>
        <v>241527</v>
      </c>
      <c r="AH49" s="397">
        <f t="shared" si="14"/>
        <v>0</v>
      </c>
    </row>
    <row r="50" spans="1:34">
      <c r="A50" s="432"/>
      <c r="B50" s="432" t="s">
        <v>1469</v>
      </c>
      <c r="D50" s="438">
        <v>218647</v>
      </c>
      <c r="E50" s="435">
        <f t="shared" si="16"/>
        <v>3.6291795081878917E-3</v>
      </c>
      <c r="F50" s="438">
        <v>281290</v>
      </c>
      <c r="G50" s="407">
        <f t="shared" si="17"/>
        <v>5.3002082096793952E-3</v>
      </c>
      <c r="H50" s="438">
        <v>85115</v>
      </c>
      <c r="I50" s="407">
        <f>H50/$H$21</f>
        <v>1.3355149699593469E-3</v>
      </c>
      <c r="J50" s="438">
        <v>209308</v>
      </c>
      <c r="K50" s="436">
        <f>J50/$J$21</f>
        <v>3.1070420427731153E-3</v>
      </c>
      <c r="L50" s="438">
        <v>98647</v>
      </c>
      <c r="M50" s="435">
        <f t="shared" si="32"/>
        <v>1.8514360645901888E-3</v>
      </c>
      <c r="N50" s="438">
        <v>154436</v>
      </c>
      <c r="O50" s="437">
        <f t="shared" si="6"/>
        <v>1.7652256311456594E-3</v>
      </c>
      <c r="P50" s="438">
        <v>226398</v>
      </c>
      <c r="Q50" s="437">
        <f t="shared" si="7"/>
        <v>2.3045125502683876E-3</v>
      </c>
      <c r="R50" s="438">
        <v>179376</v>
      </c>
      <c r="S50" s="437">
        <f t="shared" si="25"/>
        <v>2.1839189825666708E-3</v>
      </c>
      <c r="T50" s="438">
        <v>0</v>
      </c>
      <c r="U50" s="407" t="e">
        <f t="shared" si="26"/>
        <v>#DIV/0!</v>
      </c>
      <c r="V50" s="438">
        <v>0</v>
      </c>
      <c r="W50" s="410" t="e">
        <f t="shared" si="27"/>
        <v>#DIV/0!</v>
      </c>
      <c r="X50" s="438">
        <v>0</v>
      </c>
      <c r="Y50" s="407" t="e">
        <f t="shared" si="28"/>
        <v>#DIV/0!</v>
      </c>
      <c r="Z50" s="438">
        <v>0</v>
      </c>
      <c r="AA50" s="411" t="e">
        <f t="shared" si="29"/>
        <v>#DIV/0!</v>
      </c>
      <c r="AB50" s="401">
        <f t="shared" si="30"/>
        <v>1453217</v>
      </c>
      <c r="AC50" s="407">
        <f t="shared" si="22"/>
        <v>2.5695119330534475E-3</v>
      </c>
      <c r="AD50" s="397">
        <f t="shared" si="34"/>
        <v>121101.41666666667</v>
      </c>
      <c r="AE50" s="396" t="s">
        <v>1526</v>
      </c>
      <c r="AG50" s="397">
        <f>VLOOKUP(B50,TWN_IS!B:P,15,0)</f>
        <v>1453217</v>
      </c>
      <c r="AH50" s="397">
        <f t="shared" si="14"/>
        <v>0</v>
      </c>
    </row>
    <row r="51" spans="1:34">
      <c r="A51" s="432"/>
      <c r="B51" s="432" t="s">
        <v>1470</v>
      </c>
      <c r="D51" s="438">
        <v>7122</v>
      </c>
      <c r="E51" s="435">
        <f t="shared" si="16"/>
        <v>1.1821345116701424E-4</v>
      </c>
      <c r="F51" s="438">
        <v>0</v>
      </c>
      <c r="G51" s="407">
        <f t="shared" si="17"/>
        <v>0</v>
      </c>
      <c r="H51" s="438">
        <v>18222</v>
      </c>
      <c r="I51" s="407">
        <f t="shared" si="15"/>
        <v>2.8591615793454998E-4</v>
      </c>
      <c r="J51" s="438">
        <v>8520</v>
      </c>
      <c r="K51" s="436">
        <f t="shared" si="31"/>
        <v>1.2647389590663969E-4</v>
      </c>
      <c r="L51" s="438">
        <v>7759</v>
      </c>
      <c r="M51" s="435">
        <f t="shared" si="32"/>
        <v>1.4562320623186993E-4</v>
      </c>
      <c r="N51" s="438">
        <v>11388</v>
      </c>
      <c r="O51" s="437">
        <f t="shared" si="6"/>
        <v>1.3016647340961156E-4</v>
      </c>
      <c r="P51" s="438">
        <v>7485</v>
      </c>
      <c r="Q51" s="437">
        <f t="shared" si="7"/>
        <v>7.6190056620459895E-5</v>
      </c>
      <c r="R51" s="438">
        <v>7021</v>
      </c>
      <c r="S51" s="437">
        <f t="shared" si="25"/>
        <v>8.5481308405810117E-5</v>
      </c>
      <c r="T51" s="438">
        <v>0</v>
      </c>
      <c r="U51" s="407" t="e">
        <f t="shared" si="26"/>
        <v>#DIV/0!</v>
      </c>
      <c r="V51" s="438">
        <v>0</v>
      </c>
      <c r="W51" s="410" t="e">
        <f t="shared" si="27"/>
        <v>#DIV/0!</v>
      </c>
      <c r="X51" s="438">
        <v>0</v>
      </c>
      <c r="Y51" s="407" t="e">
        <f t="shared" si="28"/>
        <v>#DIV/0!</v>
      </c>
      <c r="Z51" s="438">
        <v>0</v>
      </c>
      <c r="AA51" s="411" t="e">
        <f t="shared" si="29"/>
        <v>#DIV/0!</v>
      </c>
      <c r="AB51" s="401">
        <f t="shared" si="30"/>
        <v>67517</v>
      </c>
      <c r="AC51" s="407">
        <f t="shared" si="22"/>
        <v>1.1938047599496126E-4</v>
      </c>
      <c r="AD51" s="397">
        <f t="shared" si="34"/>
        <v>5626.416666666667</v>
      </c>
      <c r="AE51" s="396" t="s">
        <v>1526</v>
      </c>
      <c r="AG51" s="397">
        <f>VLOOKUP(B51,TWN_IS!B:P,15,0)</f>
        <v>67517</v>
      </c>
      <c r="AH51" s="397">
        <f t="shared" si="14"/>
        <v>0</v>
      </c>
    </row>
    <row r="52" spans="1:34">
      <c r="A52" s="432"/>
      <c r="B52" s="432" t="s">
        <v>1471</v>
      </c>
      <c r="D52" s="438">
        <v>5000</v>
      </c>
      <c r="E52" s="435">
        <f t="shared" si="16"/>
        <v>8.2991751731967316E-5</v>
      </c>
      <c r="F52" s="438">
        <v>1500</v>
      </c>
      <c r="G52" s="407">
        <f t="shared" si="17"/>
        <v>2.8263757383906615E-5</v>
      </c>
      <c r="H52" s="438">
        <v>23000</v>
      </c>
      <c r="I52" s="407">
        <f t="shared" si="15"/>
        <v>3.6088638088544887E-4</v>
      </c>
      <c r="J52" s="438">
        <v>6300</v>
      </c>
      <c r="K52" s="436">
        <f t="shared" si="31"/>
        <v>9.3519430071811047E-5</v>
      </c>
      <c r="L52" s="438">
        <v>1500</v>
      </c>
      <c r="M52" s="435">
        <f t="shared" si="32"/>
        <v>2.8152443529811176E-5</v>
      </c>
      <c r="N52" s="438">
        <v>1500</v>
      </c>
      <c r="O52" s="437">
        <f t="shared" si="6"/>
        <v>1.714521514878972E-5</v>
      </c>
      <c r="P52" s="438">
        <v>1500</v>
      </c>
      <c r="Q52" s="437">
        <f t="shared" si="7"/>
        <v>1.5268548420933849E-5</v>
      </c>
      <c r="R52" s="438">
        <v>49414</v>
      </c>
      <c r="S52" s="437">
        <f t="shared" si="25"/>
        <v>6.0161990792831528E-4</v>
      </c>
      <c r="T52" s="438">
        <v>0</v>
      </c>
      <c r="U52" s="407" t="e">
        <f t="shared" si="26"/>
        <v>#DIV/0!</v>
      </c>
      <c r="V52" s="438">
        <v>0</v>
      </c>
      <c r="W52" s="410" t="e">
        <f t="shared" si="27"/>
        <v>#DIV/0!</v>
      </c>
      <c r="X52" s="438">
        <v>0</v>
      </c>
      <c r="Y52" s="407" t="e">
        <f t="shared" si="28"/>
        <v>#DIV/0!</v>
      </c>
      <c r="Z52" s="438">
        <v>0</v>
      </c>
      <c r="AA52" s="411" t="e">
        <f t="shared" si="29"/>
        <v>#DIV/0!</v>
      </c>
      <c r="AB52" s="401">
        <f t="shared" si="30"/>
        <v>89714</v>
      </c>
      <c r="AC52" s="407">
        <f t="shared" si="22"/>
        <v>1.5862819768964787E-4</v>
      </c>
      <c r="AD52" s="397">
        <f t="shared" si="34"/>
        <v>7476.166666666667</v>
      </c>
      <c r="AE52" s="396" t="s">
        <v>1526</v>
      </c>
      <c r="AG52" s="397">
        <f>VLOOKUP(B52,TWN_IS!B:P,15,0)</f>
        <v>89714</v>
      </c>
      <c r="AH52" s="397">
        <f t="shared" si="14"/>
        <v>0</v>
      </c>
    </row>
    <row r="53" spans="1:34">
      <c r="A53" s="432"/>
      <c r="B53" s="432" t="s">
        <v>1472</v>
      </c>
      <c r="D53" s="438">
        <v>4880</v>
      </c>
      <c r="E53" s="435">
        <f t="shared" si="16"/>
        <v>8.0999949690400107E-5</v>
      </c>
      <c r="F53" s="438">
        <v>8770</v>
      </c>
      <c r="G53" s="407">
        <f t="shared" si="17"/>
        <v>1.6524876817124067E-4</v>
      </c>
      <c r="H53" s="438">
        <v>47400</v>
      </c>
      <c r="I53" s="407">
        <f t="shared" si="15"/>
        <v>7.437397588682729E-4</v>
      </c>
      <c r="J53" s="438">
        <v>0</v>
      </c>
      <c r="K53" s="436">
        <f t="shared" si="31"/>
        <v>0</v>
      </c>
      <c r="L53" s="438">
        <v>8770</v>
      </c>
      <c r="M53" s="435">
        <f t="shared" si="32"/>
        <v>1.6459795317096267E-4</v>
      </c>
      <c r="N53" s="438">
        <v>5800</v>
      </c>
      <c r="O53" s="437">
        <f t="shared" si="6"/>
        <v>6.629483190865359E-5</v>
      </c>
      <c r="P53" s="438">
        <v>8770</v>
      </c>
      <c r="Q53" s="437">
        <f t="shared" si="7"/>
        <v>8.9270113101059894E-5</v>
      </c>
      <c r="R53" s="438">
        <v>11670</v>
      </c>
      <c r="S53" s="437">
        <f t="shared" si="25"/>
        <v>1.4208330281951348E-4</v>
      </c>
      <c r="T53" s="438">
        <v>0</v>
      </c>
      <c r="U53" s="407" t="e">
        <f>T53/$T$21</f>
        <v>#DIV/0!</v>
      </c>
      <c r="V53" s="438">
        <v>0</v>
      </c>
      <c r="W53" s="410" t="e">
        <f t="shared" si="27"/>
        <v>#DIV/0!</v>
      </c>
      <c r="X53" s="438">
        <v>0</v>
      </c>
      <c r="Y53" s="407" t="e">
        <f t="shared" si="28"/>
        <v>#DIV/0!</v>
      </c>
      <c r="Z53" s="438">
        <v>0</v>
      </c>
      <c r="AA53" s="411" t="e">
        <f t="shared" si="29"/>
        <v>#DIV/0!</v>
      </c>
      <c r="AB53" s="401">
        <f t="shared" si="30"/>
        <v>96060</v>
      </c>
      <c r="AC53" s="407">
        <f>AB53/$AB$21</f>
        <v>1.6984890507688402E-4</v>
      </c>
      <c r="AD53" s="397">
        <f t="shared" si="34"/>
        <v>8005</v>
      </c>
      <c r="AE53" s="396" t="s">
        <v>1526</v>
      </c>
      <c r="AG53" s="397">
        <f>VLOOKUP(B53,TWN_IS!B:P,15,0)</f>
        <v>96060</v>
      </c>
      <c r="AH53" s="397">
        <f t="shared" si="14"/>
        <v>0</v>
      </c>
    </row>
    <row r="54" spans="1:34">
      <c r="A54" s="432"/>
      <c r="B54" s="432" t="s">
        <v>1474</v>
      </c>
      <c r="D54" s="438">
        <v>62134</v>
      </c>
      <c r="E54" s="435">
        <f t="shared" si="16"/>
        <v>1.0313219004228114E-3</v>
      </c>
      <c r="F54" s="438">
        <v>18389</v>
      </c>
      <c r="G54" s="407">
        <f t="shared" si="17"/>
        <v>3.4649482302177251E-4</v>
      </c>
      <c r="H54" s="438">
        <v>21035</v>
      </c>
      <c r="I54" s="407">
        <f t="shared" si="15"/>
        <v>3.300541313880616E-4</v>
      </c>
      <c r="J54" s="438">
        <v>33734</v>
      </c>
      <c r="K54" s="436">
        <f t="shared" si="31"/>
        <v>5.00759437149599E-4</v>
      </c>
      <c r="L54" s="438">
        <v>20689</v>
      </c>
      <c r="M54" s="435">
        <f t="shared" si="32"/>
        <v>3.882972694588423E-4</v>
      </c>
      <c r="N54" s="438">
        <v>21271</v>
      </c>
      <c r="O54" s="437">
        <f t="shared" si="6"/>
        <v>2.4313058095327077E-4</v>
      </c>
      <c r="P54" s="438">
        <v>6217</v>
      </c>
      <c r="Q54" s="437">
        <f t="shared" si="7"/>
        <v>6.3283043688630483E-5</v>
      </c>
      <c r="R54" s="438">
        <v>49570</v>
      </c>
      <c r="S54" s="437">
        <f t="shared" si="25"/>
        <v>6.0351922200199508E-4</v>
      </c>
      <c r="T54" s="438">
        <v>0</v>
      </c>
      <c r="U54" s="407" t="e">
        <f t="shared" si="26"/>
        <v>#DIV/0!</v>
      </c>
      <c r="V54" s="438">
        <v>0</v>
      </c>
      <c r="W54" s="410" t="e">
        <f t="shared" si="27"/>
        <v>#DIV/0!</v>
      </c>
      <c r="X54" s="438">
        <v>0</v>
      </c>
      <c r="Y54" s="407" t="e">
        <f t="shared" si="28"/>
        <v>#DIV/0!</v>
      </c>
      <c r="Z54" s="438">
        <v>0</v>
      </c>
      <c r="AA54" s="411" t="e">
        <f t="shared" si="29"/>
        <v>#DIV/0!</v>
      </c>
      <c r="AB54" s="401">
        <f t="shared" si="30"/>
        <v>233039</v>
      </c>
      <c r="AC54" s="407">
        <f t="shared" si="22"/>
        <v>4.120489172414322E-4</v>
      </c>
      <c r="AD54" s="397">
        <f t="shared" si="34"/>
        <v>19419.916666666668</v>
      </c>
      <c r="AE54" s="396" t="s">
        <v>1526</v>
      </c>
      <c r="AG54" s="397">
        <f>VLOOKUP(B54,TWN_IS!B:P,15,0)</f>
        <v>233039</v>
      </c>
      <c r="AH54" s="397">
        <f t="shared" si="14"/>
        <v>0</v>
      </c>
    </row>
    <row r="55" spans="1:34">
      <c r="A55" s="432"/>
      <c r="B55" s="432" t="s">
        <v>1475</v>
      </c>
      <c r="D55" s="438">
        <v>91284</v>
      </c>
      <c r="E55" s="435">
        <f t="shared" si="16"/>
        <v>1.5151638130201808E-3</v>
      </c>
      <c r="F55" s="438">
        <v>98978</v>
      </c>
      <c r="G55" s="407">
        <f t="shared" si="17"/>
        <v>1.8649934522295393E-3</v>
      </c>
      <c r="H55" s="438">
        <v>97237</v>
      </c>
      <c r="I55" s="407">
        <f t="shared" si="15"/>
        <v>1.5257177833981909E-3</v>
      </c>
      <c r="J55" s="438">
        <v>100077</v>
      </c>
      <c r="K55" s="436">
        <f t="shared" si="31"/>
        <v>1.485578413221688E-3</v>
      </c>
      <c r="L55" s="438">
        <v>100395</v>
      </c>
      <c r="M55" s="435">
        <f t="shared" si="32"/>
        <v>1.8842430454502621E-3</v>
      </c>
      <c r="N55" s="438">
        <v>104340</v>
      </c>
      <c r="O55" s="437">
        <f t="shared" si="6"/>
        <v>1.192621165749813E-3</v>
      </c>
      <c r="P55" s="438">
        <v>101292</v>
      </c>
      <c r="Q55" s="437">
        <f t="shared" si="7"/>
        <v>1.0310545377688208E-3</v>
      </c>
      <c r="R55" s="438">
        <v>101223</v>
      </c>
      <c r="S55" s="437">
        <f t="shared" si="25"/>
        <v>1.2323991569237029E-3</v>
      </c>
      <c r="T55" s="438">
        <v>0</v>
      </c>
      <c r="U55" s="407" t="e">
        <f t="shared" si="26"/>
        <v>#DIV/0!</v>
      </c>
      <c r="V55" s="438">
        <v>0</v>
      </c>
      <c r="W55" s="410" t="e">
        <f t="shared" si="27"/>
        <v>#DIV/0!</v>
      </c>
      <c r="X55" s="438">
        <v>0</v>
      </c>
      <c r="Y55" s="407" t="e">
        <f t="shared" si="28"/>
        <v>#DIV/0!</v>
      </c>
      <c r="Z55" s="438">
        <v>0</v>
      </c>
      <c r="AA55" s="411" t="e">
        <f t="shared" si="29"/>
        <v>#DIV/0!</v>
      </c>
      <c r="AB55" s="401">
        <f t="shared" si="30"/>
        <v>794826</v>
      </c>
      <c r="AC55" s="407">
        <f t="shared" si="22"/>
        <v>1.4053750346308498E-3</v>
      </c>
      <c r="AD55" s="397">
        <f t="shared" si="34"/>
        <v>66235.5</v>
      </c>
      <c r="AE55" s="396" t="s">
        <v>1526</v>
      </c>
      <c r="AG55" s="397">
        <f>VLOOKUP(B55,TWN_IS!B:P,15,0)</f>
        <v>794826</v>
      </c>
      <c r="AH55" s="397">
        <f t="shared" si="14"/>
        <v>0</v>
      </c>
    </row>
    <row r="56" spans="1:34">
      <c r="A56" s="432"/>
      <c r="B56" s="432" t="s">
        <v>1476</v>
      </c>
      <c r="D56" s="438">
        <v>0</v>
      </c>
      <c r="E56" s="435">
        <f t="shared" si="16"/>
        <v>0</v>
      </c>
      <c r="F56" s="438">
        <v>0</v>
      </c>
      <c r="G56" s="407">
        <f t="shared" si="17"/>
        <v>0</v>
      </c>
      <c r="H56" s="438">
        <v>0</v>
      </c>
      <c r="I56" s="407">
        <f t="shared" si="15"/>
        <v>0</v>
      </c>
      <c r="J56" s="438">
        <v>0</v>
      </c>
      <c r="K56" s="436">
        <f t="shared" si="31"/>
        <v>0</v>
      </c>
      <c r="L56" s="438">
        <v>0</v>
      </c>
      <c r="M56" s="435">
        <f t="shared" si="32"/>
        <v>0</v>
      </c>
      <c r="N56" s="438">
        <v>0</v>
      </c>
      <c r="O56" s="437">
        <f t="shared" si="6"/>
        <v>0</v>
      </c>
      <c r="P56" s="438">
        <v>0</v>
      </c>
      <c r="Q56" s="437">
        <f t="shared" si="7"/>
        <v>0</v>
      </c>
      <c r="R56" s="438">
        <v>0</v>
      </c>
      <c r="S56" s="437">
        <f t="shared" si="25"/>
        <v>0</v>
      </c>
      <c r="T56" s="438">
        <v>0</v>
      </c>
      <c r="U56" s="407" t="e">
        <f t="shared" si="26"/>
        <v>#DIV/0!</v>
      </c>
      <c r="V56" s="438">
        <v>0</v>
      </c>
      <c r="W56" s="410" t="e">
        <f t="shared" si="27"/>
        <v>#DIV/0!</v>
      </c>
      <c r="X56" s="438">
        <v>0</v>
      </c>
      <c r="Y56" s="407" t="e">
        <f t="shared" si="28"/>
        <v>#DIV/0!</v>
      </c>
      <c r="Z56" s="438">
        <v>0</v>
      </c>
      <c r="AA56" s="411" t="e">
        <f t="shared" si="29"/>
        <v>#DIV/0!</v>
      </c>
      <c r="AB56" s="401">
        <f t="shared" si="30"/>
        <v>0</v>
      </c>
      <c r="AC56" s="407">
        <f t="shared" si="22"/>
        <v>0</v>
      </c>
      <c r="AD56" s="397">
        <f t="shared" si="34"/>
        <v>0</v>
      </c>
      <c r="AE56" s="396" t="s">
        <v>1526</v>
      </c>
      <c r="AG56" s="397">
        <f>VLOOKUP(B56,TWN_IS!B:P,15,0)</f>
        <v>0</v>
      </c>
      <c r="AH56" s="397">
        <f t="shared" si="14"/>
        <v>0</v>
      </c>
    </row>
    <row r="57" spans="1:34">
      <c r="A57" s="432"/>
      <c r="B57" s="432" t="s">
        <v>1478</v>
      </c>
      <c r="D57" s="438">
        <v>0</v>
      </c>
      <c r="E57" s="435">
        <f t="shared" si="16"/>
        <v>0</v>
      </c>
      <c r="F57" s="438">
        <v>0</v>
      </c>
      <c r="G57" s="407">
        <f t="shared" si="17"/>
        <v>0</v>
      </c>
      <c r="H57" s="438">
        <v>0</v>
      </c>
      <c r="I57" s="407">
        <f t="shared" si="15"/>
        <v>0</v>
      </c>
      <c r="J57" s="438">
        <v>0</v>
      </c>
      <c r="K57" s="436">
        <f t="shared" si="31"/>
        <v>0</v>
      </c>
      <c r="L57" s="438">
        <v>0</v>
      </c>
      <c r="M57" s="435">
        <f t="shared" si="32"/>
        <v>0</v>
      </c>
      <c r="N57" s="438">
        <v>0</v>
      </c>
      <c r="O57" s="437">
        <f t="shared" si="6"/>
        <v>0</v>
      </c>
      <c r="P57" s="438">
        <v>0</v>
      </c>
      <c r="Q57" s="437">
        <f t="shared" si="7"/>
        <v>0</v>
      </c>
      <c r="R57" s="438">
        <v>0</v>
      </c>
      <c r="S57" s="437">
        <f t="shared" si="25"/>
        <v>0</v>
      </c>
      <c r="T57" s="438">
        <v>0</v>
      </c>
      <c r="U57" s="407" t="e">
        <f t="shared" si="26"/>
        <v>#DIV/0!</v>
      </c>
      <c r="V57" s="438">
        <v>0</v>
      </c>
      <c r="W57" s="410" t="e">
        <f t="shared" si="27"/>
        <v>#DIV/0!</v>
      </c>
      <c r="X57" s="438">
        <v>0</v>
      </c>
      <c r="Y57" s="407" t="e">
        <f t="shared" si="28"/>
        <v>#DIV/0!</v>
      </c>
      <c r="Z57" s="438">
        <v>0</v>
      </c>
      <c r="AA57" s="411" t="e">
        <f t="shared" si="29"/>
        <v>#DIV/0!</v>
      </c>
      <c r="AB57" s="401">
        <f t="shared" si="30"/>
        <v>0</v>
      </c>
      <c r="AC57" s="407">
        <f t="shared" si="22"/>
        <v>0</v>
      </c>
      <c r="AD57" s="397">
        <f t="shared" si="34"/>
        <v>0</v>
      </c>
      <c r="AE57" s="396" t="s">
        <v>1526</v>
      </c>
      <c r="AG57" s="397">
        <f>VLOOKUP(B57,TWN_IS!B:P,15,0)</f>
        <v>0</v>
      </c>
      <c r="AH57" s="397">
        <f t="shared" si="14"/>
        <v>0</v>
      </c>
    </row>
    <row r="58" spans="1:34">
      <c r="A58" s="432"/>
      <c r="B58" s="432" t="s">
        <v>1479</v>
      </c>
      <c r="D58" s="438">
        <v>1405542</v>
      </c>
      <c r="E58" s="435">
        <f t="shared" si="16"/>
        <v>2.3329678542570561E-2</v>
      </c>
      <c r="F58" s="438">
        <v>1338009</v>
      </c>
      <c r="G58" s="407">
        <f t="shared" si="17"/>
        <v>2.5211441168989004E-2</v>
      </c>
      <c r="H58" s="438">
        <v>1301208</v>
      </c>
      <c r="I58" s="407">
        <f t="shared" si="15"/>
        <v>2.0416880256486657E-2</v>
      </c>
      <c r="J58" s="438">
        <v>1243846</v>
      </c>
      <c r="K58" s="436">
        <f t="shared" si="31"/>
        <v>1.8464090320174903E-2</v>
      </c>
      <c r="L58" s="438">
        <v>1185621</v>
      </c>
      <c r="M58" s="435">
        <f t="shared" si="32"/>
        <v>2.2252085500172172E-2</v>
      </c>
      <c r="N58" s="438">
        <v>1199295</v>
      </c>
      <c r="O58" s="437">
        <f t="shared" si="6"/>
        <v>1.3708113867911846E-2</v>
      </c>
      <c r="P58" s="438">
        <v>1131349</v>
      </c>
      <c r="Q58" s="437">
        <f t="shared" si="7"/>
        <v>1.1516037991650059E-2</v>
      </c>
      <c r="R58" s="438">
        <v>992171</v>
      </c>
      <c r="S58" s="437">
        <f t="shared" si="25"/>
        <v>1.2079771434596358E-2</v>
      </c>
      <c r="T58" s="438">
        <v>0</v>
      </c>
      <c r="U58" s="407" t="e">
        <f t="shared" si="26"/>
        <v>#DIV/0!</v>
      </c>
      <c r="V58" s="438">
        <v>0</v>
      </c>
      <c r="W58" s="410" t="e">
        <f t="shared" si="27"/>
        <v>#DIV/0!</v>
      </c>
      <c r="X58" s="438">
        <v>0</v>
      </c>
      <c r="Y58" s="407" t="e">
        <f t="shared" si="28"/>
        <v>#DIV/0!</v>
      </c>
      <c r="Z58" s="438">
        <v>0</v>
      </c>
      <c r="AA58" s="411" t="e">
        <f t="shared" si="29"/>
        <v>#DIV/0!</v>
      </c>
      <c r="AB58" s="401">
        <f t="shared" si="30"/>
        <v>9797041</v>
      </c>
      <c r="AC58" s="407">
        <f t="shared" si="22"/>
        <v>1.7322680479318561E-2</v>
      </c>
      <c r="AD58" s="397">
        <f t="shared" si="34"/>
        <v>816420.08333333337</v>
      </c>
      <c r="AE58" s="396" t="s">
        <v>1528</v>
      </c>
      <c r="AG58" s="397">
        <f>VLOOKUP(B58,TWN_IS!B:P,15,0)</f>
        <v>9797041</v>
      </c>
      <c r="AH58" s="397">
        <f t="shared" si="14"/>
        <v>0</v>
      </c>
    </row>
    <row r="59" spans="1:34">
      <c r="A59" s="432"/>
      <c r="B59" s="432" t="s">
        <v>1480</v>
      </c>
      <c r="D59" s="438">
        <v>40560</v>
      </c>
      <c r="E59" s="435">
        <f t="shared" si="16"/>
        <v>6.7322909004971889E-4</v>
      </c>
      <c r="F59" s="438">
        <v>40523</v>
      </c>
      <c r="G59" s="407">
        <f t="shared" si="17"/>
        <v>7.6355482697869858E-4</v>
      </c>
      <c r="H59" s="438">
        <v>31371</v>
      </c>
      <c r="I59" s="407">
        <f t="shared" si="15"/>
        <v>4.9223333281553979E-4</v>
      </c>
      <c r="J59" s="438">
        <v>36042</v>
      </c>
      <c r="K59" s="436">
        <f t="shared" si="31"/>
        <v>5.3502020613463712E-4</v>
      </c>
      <c r="L59" s="438">
        <v>35998</v>
      </c>
      <c r="M59" s="435">
        <f t="shared" si="32"/>
        <v>6.7562110812409513E-4</v>
      </c>
      <c r="N59" s="438">
        <v>30983</v>
      </c>
      <c r="O59" s="437">
        <f t="shared" si="6"/>
        <v>3.5414013396996795E-4</v>
      </c>
      <c r="P59" s="438">
        <v>30998</v>
      </c>
      <c r="Q59" s="437">
        <f t="shared" si="7"/>
        <v>3.1552964263473828E-4</v>
      </c>
      <c r="R59" s="438">
        <v>44623</v>
      </c>
      <c r="S59" s="437">
        <f t="shared" si="25"/>
        <v>5.4328905070395457E-4</v>
      </c>
      <c r="T59" s="438">
        <v>0</v>
      </c>
      <c r="U59" s="407" t="e">
        <f t="shared" si="26"/>
        <v>#DIV/0!</v>
      </c>
      <c r="V59" s="438">
        <v>0</v>
      </c>
      <c r="W59" s="410" t="e">
        <f t="shared" si="27"/>
        <v>#DIV/0!</v>
      </c>
      <c r="X59" s="438">
        <v>0</v>
      </c>
      <c r="Y59" s="407" t="e">
        <f t="shared" si="28"/>
        <v>#DIV/0!</v>
      </c>
      <c r="Z59" s="438">
        <v>0</v>
      </c>
      <c r="AA59" s="411" t="e">
        <f t="shared" si="29"/>
        <v>#DIV/0!</v>
      </c>
      <c r="AB59" s="401">
        <f t="shared" si="30"/>
        <v>291098</v>
      </c>
      <c r="AC59" s="407">
        <f t="shared" si="22"/>
        <v>5.1470618956975624E-4</v>
      </c>
      <c r="AD59" s="397">
        <f t="shared" si="34"/>
        <v>24258.166666666668</v>
      </c>
      <c r="AE59" s="396" t="s">
        <v>1528</v>
      </c>
      <c r="AG59" s="397">
        <f>VLOOKUP(B59,TWN_IS!B:P,15,0)</f>
        <v>291098</v>
      </c>
      <c r="AH59" s="397">
        <f t="shared" si="14"/>
        <v>0</v>
      </c>
    </row>
    <row r="60" spans="1:34">
      <c r="A60" s="432"/>
      <c r="B60" s="432" t="s">
        <v>1482</v>
      </c>
      <c r="D60" s="438">
        <v>27000</v>
      </c>
      <c r="E60" s="435">
        <f t="shared" si="16"/>
        <v>4.4815545935262348E-4</v>
      </c>
      <c r="F60" s="438">
        <v>30680</v>
      </c>
      <c r="G60" s="407">
        <f t="shared" si="17"/>
        <v>5.7808805102550331E-4</v>
      </c>
      <c r="H60" s="438">
        <v>28960</v>
      </c>
      <c r="I60" s="407">
        <f>H60/$H$21</f>
        <v>4.5440302567141734E-4</v>
      </c>
      <c r="J60" s="438">
        <v>31080</v>
      </c>
      <c r="K60" s="436">
        <f t="shared" si="31"/>
        <v>4.6136252168760115E-4</v>
      </c>
      <c r="L60" s="438">
        <v>28800</v>
      </c>
      <c r="M60" s="435">
        <f t="shared" si="32"/>
        <v>5.4052691577237454E-4</v>
      </c>
      <c r="N60" s="438">
        <v>29920</v>
      </c>
      <c r="O60" s="437">
        <f t="shared" si="6"/>
        <v>3.4198989150119227E-4</v>
      </c>
      <c r="P60" s="438">
        <v>31520</v>
      </c>
      <c r="Q60" s="437">
        <f t="shared" si="7"/>
        <v>3.2084309748522325E-4</v>
      </c>
      <c r="R60" s="438">
        <v>30320</v>
      </c>
      <c r="S60" s="437">
        <f t="shared" si="25"/>
        <v>3.691487353459853E-4</v>
      </c>
      <c r="T60" s="438">
        <v>0</v>
      </c>
      <c r="U60" s="407" t="e">
        <f t="shared" si="26"/>
        <v>#DIV/0!</v>
      </c>
      <c r="V60" s="438">
        <v>0</v>
      </c>
      <c r="W60" s="410" t="e">
        <f t="shared" si="27"/>
        <v>#DIV/0!</v>
      </c>
      <c r="X60" s="438">
        <v>0</v>
      </c>
      <c r="Y60" s="407" t="e">
        <f t="shared" si="28"/>
        <v>#DIV/0!</v>
      </c>
      <c r="Z60" s="438">
        <v>0</v>
      </c>
      <c r="AA60" s="411" t="e">
        <f t="shared" si="29"/>
        <v>#DIV/0!</v>
      </c>
      <c r="AB60" s="401">
        <f t="shared" si="30"/>
        <v>238280</v>
      </c>
      <c r="AC60" s="407">
        <f t="shared" si="22"/>
        <v>4.2131581409244148E-4</v>
      </c>
      <c r="AD60" s="397">
        <f t="shared" si="34"/>
        <v>19856.666666666668</v>
      </c>
      <c r="AE60" s="396" t="s">
        <v>1526</v>
      </c>
      <c r="AG60" s="397">
        <f>VLOOKUP(B60,TWN_IS!B:P,15,0)</f>
        <v>238280</v>
      </c>
      <c r="AH60" s="397">
        <f t="shared" si="14"/>
        <v>0</v>
      </c>
    </row>
    <row r="61" spans="1:34">
      <c r="A61" s="432"/>
      <c r="B61" s="432" t="s">
        <v>1483</v>
      </c>
      <c r="D61" s="438">
        <v>20539</v>
      </c>
      <c r="E61" s="435">
        <f t="shared" si="16"/>
        <v>3.4091351776457533E-4</v>
      </c>
      <c r="F61" s="438">
        <v>17560</v>
      </c>
      <c r="G61" s="407">
        <f t="shared" si="17"/>
        <v>3.3087438644093344E-4</v>
      </c>
      <c r="H61" s="438">
        <v>21904</v>
      </c>
      <c r="I61" s="407">
        <f t="shared" si="15"/>
        <v>3.4368936030064657E-4</v>
      </c>
      <c r="J61" s="438">
        <v>23816</v>
      </c>
      <c r="K61" s="436">
        <f t="shared" si="31"/>
        <v>3.5353313437940507E-4</v>
      </c>
      <c r="L61" s="438">
        <v>18532</v>
      </c>
      <c r="M61" s="435">
        <f t="shared" si="32"/>
        <v>3.478140556629738E-4</v>
      </c>
      <c r="N61" s="438">
        <v>30011</v>
      </c>
      <c r="O61" s="437">
        <f t="shared" si="6"/>
        <v>3.4303003455355221E-4</v>
      </c>
      <c r="P61" s="438">
        <v>34171</v>
      </c>
      <c r="Q61" s="437">
        <f t="shared" si="7"/>
        <v>3.4782771206115368E-4</v>
      </c>
      <c r="R61" s="438">
        <v>28569</v>
      </c>
      <c r="S61" s="437">
        <f t="shared" si="25"/>
        <v>3.4783015237795035E-4</v>
      </c>
      <c r="T61" s="438">
        <v>0</v>
      </c>
      <c r="U61" s="407" t="e">
        <f t="shared" si="26"/>
        <v>#DIV/0!</v>
      </c>
      <c r="V61" s="438">
        <v>0</v>
      </c>
      <c r="W61" s="410" t="e">
        <f t="shared" si="27"/>
        <v>#DIV/0!</v>
      </c>
      <c r="X61" s="438">
        <v>0</v>
      </c>
      <c r="Y61" s="407" t="e">
        <f t="shared" si="28"/>
        <v>#DIV/0!</v>
      </c>
      <c r="Z61" s="438">
        <v>0</v>
      </c>
      <c r="AA61" s="411" t="e">
        <f t="shared" si="29"/>
        <v>#DIV/0!</v>
      </c>
      <c r="AB61" s="401">
        <f t="shared" si="30"/>
        <v>195102</v>
      </c>
      <c r="AC61" s="407">
        <f t="shared" si="22"/>
        <v>3.4497044637008358E-4</v>
      </c>
      <c r="AD61" s="397">
        <f t="shared" si="34"/>
        <v>16258.5</v>
      </c>
      <c r="AE61" s="396" t="s">
        <v>1526</v>
      </c>
      <c r="AG61" s="397">
        <f>VLOOKUP(B61,TWN_IS!B:P,15,0)</f>
        <v>195102</v>
      </c>
      <c r="AH61" s="397">
        <f t="shared" si="14"/>
        <v>0</v>
      </c>
    </row>
    <row r="62" spans="1:34">
      <c r="A62" s="432"/>
      <c r="B62" s="432" t="s">
        <v>1484</v>
      </c>
      <c r="D62" s="438">
        <v>183</v>
      </c>
      <c r="E62" s="435">
        <f t="shared" si="16"/>
        <v>3.0374981133900036E-6</v>
      </c>
      <c r="F62" s="438">
        <v>183</v>
      </c>
      <c r="G62" s="407">
        <f t="shared" si="17"/>
        <v>3.4481784008366071E-6</v>
      </c>
      <c r="H62" s="438">
        <v>183</v>
      </c>
      <c r="I62" s="407">
        <f t="shared" si="15"/>
        <v>2.87140033487118E-6</v>
      </c>
      <c r="J62" s="438">
        <v>183</v>
      </c>
      <c r="K62" s="436">
        <f t="shared" si="31"/>
        <v>2.7165167782764163E-6</v>
      </c>
      <c r="L62" s="438">
        <v>183</v>
      </c>
      <c r="M62" s="435">
        <f t="shared" si="32"/>
        <v>3.4345981106369635E-6</v>
      </c>
      <c r="N62" s="438">
        <v>183</v>
      </c>
      <c r="O62" s="437">
        <f t="shared" si="6"/>
        <v>2.091716248152346E-6</v>
      </c>
      <c r="P62" s="438">
        <v>183</v>
      </c>
      <c r="Q62" s="437">
        <f t="shared" si="7"/>
        <v>1.8627629073539293E-6</v>
      </c>
      <c r="R62" s="438">
        <v>183</v>
      </c>
      <c r="S62" s="437">
        <f t="shared" si="25"/>
        <v>2.2280415095090801E-6</v>
      </c>
      <c r="T62" s="438">
        <v>0</v>
      </c>
      <c r="U62" s="407" t="e">
        <f t="shared" si="26"/>
        <v>#DIV/0!</v>
      </c>
      <c r="V62" s="438">
        <v>0</v>
      </c>
      <c r="W62" s="410" t="e">
        <f t="shared" si="27"/>
        <v>#DIV/0!</v>
      </c>
      <c r="X62" s="438">
        <v>0</v>
      </c>
      <c r="Y62" s="407" t="e">
        <f t="shared" si="28"/>
        <v>#DIV/0!</v>
      </c>
      <c r="Z62" s="438">
        <v>0</v>
      </c>
      <c r="AA62" s="411" t="e">
        <f t="shared" si="29"/>
        <v>#DIV/0!</v>
      </c>
      <c r="AB62" s="401">
        <f t="shared" si="30"/>
        <v>1464</v>
      </c>
      <c r="AC62" s="407">
        <f t="shared" si="22"/>
        <v>2.5885779412092256E-6</v>
      </c>
      <c r="AD62" s="397">
        <f t="shared" si="34"/>
        <v>122</v>
      </c>
      <c r="AE62" s="396" t="s">
        <v>1526</v>
      </c>
      <c r="AG62" s="397">
        <f>VLOOKUP(B62,TWN_IS!B:P,15,0)</f>
        <v>1464</v>
      </c>
      <c r="AH62" s="397">
        <f t="shared" si="14"/>
        <v>0</v>
      </c>
    </row>
    <row r="63" spans="1:34">
      <c r="A63" s="432"/>
      <c r="B63" s="551" t="s">
        <v>1485</v>
      </c>
      <c r="D63" s="438">
        <v>3024</v>
      </c>
      <c r="E63" s="435">
        <f t="shared" si="16"/>
        <v>5.0193411447493831E-5</v>
      </c>
      <c r="F63" s="438">
        <v>3080</v>
      </c>
      <c r="G63" s="407">
        <f t="shared" si="17"/>
        <v>5.8034915161621588E-5</v>
      </c>
      <c r="H63" s="438">
        <v>4938</v>
      </c>
      <c r="I63" s="407">
        <f t="shared" si="15"/>
        <v>7.748073690488463E-5</v>
      </c>
      <c r="J63" s="438">
        <v>408</v>
      </c>
      <c r="K63" s="436">
        <f t="shared" si="31"/>
        <v>6.0564964236982395E-6</v>
      </c>
      <c r="L63" s="438">
        <v>5583</v>
      </c>
      <c r="M63" s="435">
        <f t="shared" si="32"/>
        <v>1.0478339481795719E-4</v>
      </c>
      <c r="N63" s="438">
        <v>448</v>
      </c>
      <c r="O63" s="437">
        <f t="shared" si="6"/>
        <v>5.1207042577718635E-6</v>
      </c>
      <c r="P63" s="438">
        <v>1020</v>
      </c>
      <c r="Q63" s="437">
        <f t="shared" si="7"/>
        <v>1.0382612926235016E-5</v>
      </c>
      <c r="R63" s="438">
        <v>5644</v>
      </c>
      <c r="S63" s="437">
        <f t="shared" si="25"/>
        <v>6.871620917852049E-5</v>
      </c>
      <c r="T63" s="438">
        <v>0</v>
      </c>
      <c r="U63" s="407" t="e">
        <f t="shared" si="26"/>
        <v>#DIV/0!</v>
      </c>
      <c r="V63" s="438">
        <v>0</v>
      </c>
      <c r="W63" s="410" t="e">
        <f t="shared" si="27"/>
        <v>#DIV/0!</v>
      </c>
      <c r="X63" s="438">
        <v>0</v>
      </c>
      <c r="Y63" s="407" t="e">
        <f t="shared" si="28"/>
        <v>#DIV/0!</v>
      </c>
      <c r="Z63" s="438">
        <v>0</v>
      </c>
      <c r="AA63" s="411" t="e">
        <f t="shared" si="29"/>
        <v>#DIV/0!</v>
      </c>
      <c r="AB63" s="401">
        <f t="shared" si="30"/>
        <v>24145</v>
      </c>
      <c r="AC63" s="407">
        <f t="shared" si="22"/>
        <v>4.2692086332306528E-5</v>
      </c>
      <c r="AD63" s="397">
        <f t="shared" si="34"/>
        <v>2012.0833333333333</v>
      </c>
      <c r="AE63" s="396" t="s">
        <v>1526</v>
      </c>
      <c r="AG63" s="397">
        <f>VLOOKUP(B63,TWN_IS!B:P,15,0)</f>
        <v>24145</v>
      </c>
      <c r="AH63" s="397">
        <f t="shared" si="14"/>
        <v>0</v>
      </c>
    </row>
    <row r="64" spans="1:34">
      <c r="A64" s="432"/>
      <c r="B64" s="432" t="s">
        <v>1486</v>
      </c>
      <c r="D64" s="438">
        <v>0</v>
      </c>
      <c r="E64" s="435">
        <f t="shared" si="16"/>
        <v>0</v>
      </c>
      <c r="F64" s="438">
        <v>0</v>
      </c>
      <c r="G64" s="407">
        <f t="shared" si="17"/>
        <v>0</v>
      </c>
      <c r="H64" s="438">
        <v>0</v>
      </c>
      <c r="I64" s="407">
        <f t="shared" si="15"/>
        <v>0</v>
      </c>
      <c r="J64" s="438">
        <v>0</v>
      </c>
      <c r="K64" s="436">
        <f t="shared" si="31"/>
        <v>0</v>
      </c>
      <c r="L64" s="438">
        <v>0</v>
      </c>
      <c r="M64" s="435">
        <f t="shared" si="32"/>
        <v>0</v>
      </c>
      <c r="N64" s="438">
        <v>89286</v>
      </c>
      <c r="O64" s="437">
        <f t="shared" si="6"/>
        <v>1.0205517865165593E-3</v>
      </c>
      <c r="P64" s="438">
        <v>0</v>
      </c>
      <c r="Q64" s="437">
        <f t="shared" si="7"/>
        <v>0</v>
      </c>
      <c r="R64" s="438">
        <v>0</v>
      </c>
      <c r="S64" s="437">
        <f t="shared" si="25"/>
        <v>0</v>
      </c>
      <c r="T64" s="438">
        <v>0</v>
      </c>
      <c r="U64" s="407" t="e">
        <f t="shared" si="26"/>
        <v>#DIV/0!</v>
      </c>
      <c r="V64" s="438">
        <v>0</v>
      </c>
      <c r="W64" s="410" t="e">
        <f t="shared" si="27"/>
        <v>#DIV/0!</v>
      </c>
      <c r="X64" s="438">
        <v>0</v>
      </c>
      <c r="Y64" s="407" t="e">
        <f t="shared" si="28"/>
        <v>#DIV/0!</v>
      </c>
      <c r="Z64" s="438">
        <v>0</v>
      </c>
      <c r="AA64" s="411" t="e">
        <f t="shared" si="29"/>
        <v>#DIV/0!</v>
      </c>
      <c r="AB64" s="401">
        <f t="shared" si="30"/>
        <v>89286</v>
      </c>
      <c r="AC64" s="407">
        <f t="shared" si="22"/>
        <v>1.5787142763579707E-4</v>
      </c>
      <c r="AD64" s="397">
        <f t="shared" si="34"/>
        <v>7440.5</v>
      </c>
      <c r="AE64" s="396" t="s">
        <v>1526</v>
      </c>
      <c r="AG64" s="397">
        <f>VLOOKUP(B64,TWN_IS!B:P,15,0)</f>
        <v>89286</v>
      </c>
      <c r="AH64" s="397">
        <f t="shared" si="14"/>
        <v>0</v>
      </c>
    </row>
    <row r="65" spans="1:34">
      <c r="A65" s="432"/>
      <c r="B65" s="432" t="s">
        <v>1487</v>
      </c>
      <c r="D65" s="438">
        <v>-111022</v>
      </c>
      <c r="E65" s="435">
        <f t="shared" si="16"/>
        <v>-1.842782052157295E-3</v>
      </c>
      <c r="F65" s="438">
        <v>496869</v>
      </c>
      <c r="G65" s="407">
        <f t="shared" si="17"/>
        <v>9.3622565783895318E-3</v>
      </c>
      <c r="H65" s="438">
        <v>226998</v>
      </c>
      <c r="I65" s="407">
        <f t="shared" si="15"/>
        <v>3.5617602907928314E-3</v>
      </c>
      <c r="J65" s="438">
        <v>372479</v>
      </c>
      <c r="K65" s="436">
        <f t="shared" si="31"/>
        <v>5.5292101259870009E-3</v>
      </c>
      <c r="L65" s="438">
        <v>92498</v>
      </c>
      <c r="M65" s="435">
        <f t="shared" si="32"/>
        <v>1.7360298144136494E-3</v>
      </c>
      <c r="N65" s="438">
        <v>158211</v>
      </c>
      <c r="O65" s="437">
        <f t="shared" si="6"/>
        <v>1.808374422603447E-3</v>
      </c>
      <c r="P65" s="438">
        <v>192934</v>
      </c>
      <c r="Q65" s="437">
        <f t="shared" si="7"/>
        <v>1.9638814140296341E-3</v>
      </c>
      <c r="R65" s="438">
        <v>866827</v>
      </c>
      <c r="S65" s="437">
        <f t="shared" si="25"/>
        <v>1.0553696926575014E-2</v>
      </c>
      <c r="T65" s="438">
        <v>0</v>
      </c>
      <c r="U65" s="407" t="e">
        <f t="shared" si="26"/>
        <v>#DIV/0!</v>
      </c>
      <c r="V65" s="438">
        <v>0</v>
      </c>
      <c r="W65" s="410" t="e">
        <f t="shared" si="27"/>
        <v>#DIV/0!</v>
      </c>
      <c r="X65" s="438">
        <v>0</v>
      </c>
      <c r="Y65" s="407" t="e">
        <f t="shared" si="28"/>
        <v>#DIV/0!</v>
      </c>
      <c r="Z65" s="438">
        <v>0</v>
      </c>
      <c r="AA65" s="411" t="e">
        <f t="shared" si="29"/>
        <v>#DIV/0!</v>
      </c>
      <c r="AB65" s="401">
        <f t="shared" si="30"/>
        <v>2295794</v>
      </c>
      <c r="AC65" s="407">
        <f>AB65/$AB$21</f>
        <v>4.0593181051642715E-3</v>
      </c>
      <c r="AD65" s="397">
        <f t="shared" si="34"/>
        <v>191316.16666666666</v>
      </c>
      <c r="AE65" s="396" t="s">
        <v>1526</v>
      </c>
      <c r="AG65" s="397">
        <f>VLOOKUP(B65,TWN_IS!B:P,15,0)</f>
        <v>2295794</v>
      </c>
      <c r="AH65" s="397">
        <f t="shared" si="14"/>
        <v>0</v>
      </c>
    </row>
    <row r="66" spans="1:34" outlineLevel="1">
      <c r="A66" s="432"/>
      <c r="B66" s="432" t="s">
        <v>1489</v>
      </c>
      <c r="D66" s="438">
        <v>0</v>
      </c>
      <c r="E66" s="435">
        <f t="shared" si="16"/>
        <v>0</v>
      </c>
      <c r="F66" s="438">
        <v>0</v>
      </c>
      <c r="G66" s="407">
        <f t="shared" si="17"/>
        <v>0</v>
      </c>
      <c r="H66" s="438">
        <v>0</v>
      </c>
      <c r="I66" s="407">
        <f t="shared" si="15"/>
        <v>0</v>
      </c>
      <c r="J66" s="438">
        <v>35318</v>
      </c>
      <c r="K66" s="436">
        <f t="shared" si="31"/>
        <v>5.2427289385336871E-4</v>
      </c>
      <c r="L66" s="438">
        <v>26000</v>
      </c>
      <c r="M66" s="435">
        <f t="shared" si="32"/>
        <v>4.8797568785006036E-4</v>
      </c>
      <c r="N66" s="438">
        <v>448</v>
      </c>
      <c r="O66" s="437">
        <f t="shared" si="6"/>
        <v>5.1207042577718635E-6</v>
      </c>
      <c r="P66" s="438">
        <v>2420</v>
      </c>
      <c r="Q66" s="437">
        <f t="shared" si="7"/>
        <v>2.4633258119106607E-5</v>
      </c>
      <c r="R66" s="438">
        <v>62362</v>
      </c>
      <c r="S66" s="437">
        <f t="shared" si="25"/>
        <v>7.5926297604374466E-4</v>
      </c>
      <c r="T66" s="438">
        <v>0</v>
      </c>
      <c r="U66" s="407" t="e">
        <f t="shared" si="26"/>
        <v>#DIV/0!</v>
      </c>
      <c r="V66" s="438">
        <v>0</v>
      </c>
      <c r="W66" s="410" t="e">
        <f t="shared" si="27"/>
        <v>#DIV/0!</v>
      </c>
      <c r="X66" s="438">
        <v>0</v>
      </c>
      <c r="Y66" s="407" t="e">
        <f t="shared" si="28"/>
        <v>#DIV/0!</v>
      </c>
      <c r="Z66" s="438">
        <v>0</v>
      </c>
      <c r="AA66" s="411" t="e">
        <f t="shared" si="29"/>
        <v>#DIV/0!</v>
      </c>
      <c r="AB66" s="401">
        <f t="shared" si="30"/>
        <v>126548</v>
      </c>
      <c r="AC66" s="407">
        <f t="shared" si="22"/>
        <v>2.2375639433343245E-4</v>
      </c>
      <c r="AD66" s="397">
        <f t="shared" si="34"/>
        <v>10545.666666666666</v>
      </c>
      <c r="AE66" s="396"/>
      <c r="AG66" s="397">
        <f>VLOOKUP(B66,TWN_IS!B:P,15,0)</f>
        <v>126548</v>
      </c>
      <c r="AH66" s="397">
        <f t="shared" si="14"/>
        <v>0</v>
      </c>
    </row>
    <row r="67" spans="1:34" outlineLevel="1">
      <c r="A67" s="432"/>
      <c r="B67" s="432" t="s">
        <v>1491</v>
      </c>
      <c r="D67" s="438">
        <v>0</v>
      </c>
      <c r="E67" s="435">
        <f t="shared" si="16"/>
        <v>0</v>
      </c>
      <c r="F67" s="438">
        <v>0</v>
      </c>
      <c r="G67" s="407">
        <f t="shared" si="17"/>
        <v>0</v>
      </c>
      <c r="H67" s="438">
        <v>0</v>
      </c>
      <c r="I67" s="407">
        <f t="shared" si="15"/>
        <v>0</v>
      </c>
      <c r="J67" s="438">
        <v>0</v>
      </c>
      <c r="K67" s="436">
        <f t="shared" si="31"/>
        <v>0</v>
      </c>
      <c r="L67" s="438">
        <v>0</v>
      </c>
      <c r="M67" s="435">
        <f t="shared" si="32"/>
        <v>0</v>
      </c>
      <c r="N67" s="438">
        <v>0</v>
      </c>
      <c r="O67" s="437">
        <f t="shared" si="6"/>
        <v>0</v>
      </c>
      <c r="P67" s="438">
        <v>0</v>
      </c>
      <c r="Q67" s="437">
        <f t="shared" si="7"/>
        <v>0</v>
      </c>
      <c r="R67" s="438">
        <v>0</v>
      </c>
      <c r="S67" s="437">
        <f t="shared" si="25"/>
        <v>0</v>
      </c>
      <c r="T67" s="438">
        <v>0</v>
      </c>
      <c r="U67" s="407" t="e">
        <f t="shared" si="26"/>
        <v>#DIV/0!</v>
      </c>
      <c r="V67" s="438">
        <v>0</v>
      </c>
      <c r="W67" s="410" t="e">
        <f t="shared" si="27"/>
        <v>#DIV/0!</v>
      </c>
      <c r="X67" s="438">
        <v>0</v>
      </c>
      <c r="Y67" s="407" t="e">
        <f t="shared" si="28"/>
        <v>#DIV/0!</v>
      </c>
      <c r="Z67" s="438">
        <v>0</v>
      </c>
      <c r="AA67" s="411" t="e">
        <f t="shared" si="29"/>
        <v>#DIV/0!</v>
      </c>
      <c r="AB67" s="401">
        <f t="shared" si="30"/>
        <v>0</v>
      </c>
      <c r="AC67" s="407">
        <f t="shared" si="22"/>
        <v>0</v>
      </c>
      <c r="AD67" s="397">
        <f t="shared" si="34"/>
        <v>0</v>
      </c>
      <c r="AE67" s="396"/>
      <c r="AG67" s="397">
        <f>VLOOKUP(B67,TWN_IS!B:P,15,0)</f>
        <v>0</v>
      </c>
      <c r="AH67" s="397">
        <f t="shared" si="14"/>
        <v>0</v>
      </c>
    </row>
    <row r="68" spans="1:34" outlineLevel="1">
      <c r="A68" s="432"/>
      <c r="B68" s="432" t="s">
        <v>1493</v>
      </c>
      <c r="D68" s="438">
        <v>0</v>
      </c>
      <c r="E68" s="435">
        <f t="shared" si="16"/>
        <v>0</v>
      </c>
      <c r="F68" s="438">
        <v>0</v>
      </c>
      <c r="G68" s="407">
        <f t="shared" si="17"/>
        <v>0</v>
      </c>
      <c r="H68" s="438">
        <v>0</v>
      </c>
      <c r="I68" s="407">
        <f t="shared" si="15"/>
        <v>0</v>
      </c>
      <c r="J68" s="438">
        <v>0</v>
      </c>
      <c r="K68" s="436">
        <f t="shared" si="31"/>
        <v>0</v>
      </c>
      <c r="L68" s="438">
        <v>0</v>
      </c>
      <c r="M68" s="435">
        <f t="shared" si="32"/>
        <v>0</v>
      </c>
      <c r="N68" s="438">
        <v>0</v>
      </c>
      <c r="O68" s="437">
        <f t="shared" si="6"/>
        <v>0</v>
      </c>
      <c r="P68" s="438">
        <v>0</v>
      </c>
      <c r="Q68" s="437">
        <f t="shared" si="7"/>
        <v>0</v>
      </c>
      <c r="R68" s="438">
        <v>0</v>
      </c>
      <c r="S68" s="437">
        <f t="shared" si="25"/>
        <v>0</v>
      </c>
      <c r="T68" s="438">
        <v>0</v>
      </c>
      <c r="U68" s="407" t="e">
        <f t="shared" si="26"/>
        <v>#DIV/0!</v>
      </c>
      <c r="V68" s="438">
        <v>0</v>
      </c>
      <c r="W68" s="410" t="e">
        <f t="shared" si="27"/>
        <v>#DIV/0!</v>
      </c>
      <c r="X68" s="438">
        <v>0</v>
      </c>
      <c r="Y68" s="407" t="e">
        <f t="shared" si="28"/>
        <v>#DIV/0!</v>
      </c>
      <c r="Z68" s="438">
        <v>0</v>
      </c>
      <c r="AA68" s="411" t="e">
        <f t="shared" si="29"/>
        <v>#DIV/0!</v>
      </c>
      <c r="AB68" s="401">
        <f t="shared" si="30"/>
        <v>0</v>
      </c>
      <c r="AC68" s="407">
        <f t="shared" si="22"/>
        <v>0</v>
      </c>
      <c r="AD68" s="397">
        <f t="shared" si="34"/>
        <v>0</v>
      </c>
      <c r="AE68" s="396"/>
      <c r="AG68" s="397">
        <f>VLOOKUP(B68,TWN_IS!B:P,15,0)</f>
        <v>0</v>
      </c>
      <c r="AH68" s="397">
        <f t="shared" si="14"/>
        <v>0</v>
      </c>
    </row>
    <row r="69" spans="1:34" outlineLevel="1">
      <c r="A69" s="432"/>
      <c r="B69" s="432" t="s">
        <v>1495</v>
      </c>
      <c r="D69" s="438">
        <v>-258335</v>
      </c>
      <c r="E69" s="435">
        <f t="shared" si="16"/>
        <v>-4.2879348367355552E-3</v>
      </c>
      <c r="F69" s="438">
        <v>39122</v>
      </c>
      <c r="G69" s="407">
        <f t="shared" si="17"/>
        <v>7.3715647758212976E-4</v>
      </c>
      <c r="H69" s="438">
        <v>114233</v>
      </c>
      <c r="I69" s="407">
        <f t="shared" si="15"/>
        <v>1.7923971281603253E-3</v>
      </c>
      <c r="J69" s="438">
        <v>-45706</v>
      </c>
      <c r="K69" s="436">
        <f t="shared" si="31"/>
        <v>-6.7847604299399933E-4</v>
      </c>
      <c r="L69" s="438">
        <v>-117503</v>
      </c>
      <c r="M69" s="435">
        <f t="shared" si="32"/>
        <v>-2.2053310480556016E-3</v>
      </c>
      <c r="N69" s="438">
        <v>-58268</v>
      </c>
      <c r="O69" s="437">
        <f t="shared" si="6"/>
        <v>-6.66011597526453E-4</v>
      </c>
      <c r="P69" s="438">
        <v>3112</v>
      </c>
      <c r="Q69" s="437">
        <f t="shared" si="7"/>
        <v>3.1677148457297421E-5</v>
      </c>
      <c r="R69" s="438">
        <v>465889</v>
      </c>
      <c r="S69" s="437">
        <f t="shared" si="25"/>
        <v>5.6722406055938574E-3</v>
      </c>
      <c r="T69" s="438">
        <v>0</v>
      </c>
      <c r="U69" s="407" t="e">
        <f t="shared" si="26"/>
        <v>#DIV/0!</v>
      </c>
      <c r="V69" s="438">
        <v>0</v>
      </c>
      <c r="W69" s="410" t="e">
        <f t="shared" si="27"/>
        <v>#DIV/0!</v>
      </c>
      <c r="X69" s="438">
        <v>0</v>
      </c>
      <c r="Y69" s="407" t="e">
        <f t="shared" si="28"/>
        <v>#DIV/0!</v>
      </c>
      <c r="Z69" s="438">
        <v>0</v>
      </c>
      <c r="AA69" s="411" t="e">
        <f t="shared" si="29"/>
        <v>#DIV/0!</v>
      </c>
      <c r="AB69" s="401">
        <f t="shared" si="30"/>
        <v>142544</v>
      </c>
      <c r="AC69" s="407">
        <f t="shared" si="22"/>
        <v>2.5203979101893982E-4</v>
      </c>
      <c r="AD69" s="397">
        <f t="shared" si="34"/>
        <v>11878.666666666666</v>
      </c>
      <c r="AE69" s="396"/>
      <c r="AG69" s="397">
        <f>VLOOKUP(B69,TWN_IS!B:P,15,0)</f>
        <v>142544</v>
      </c>
      <c r="AH69" s="397">
        <f t="shared" si="14"/>
        <v>0</v>
      </c>
    </row>
    <row r="70" spans="1:34" outlineLevel="1">
      <c r="A70" s="432"/>
      <c r="B70" s="432" t="s">
        <v>1496</v>
      </c>
      <c r="D70" s="438">
        <v>0</v>
      </c>
      <c r="E70" s="435">
        <f t="shared" si="16"/>
        <v>0</v>
      </c>
      <c r="F70" s="438">
        <v>0</v>
      </c>
      <c r="G70" s="407">
        <f t="shared" si="17"/>
        <v>0</v>
      </c>
      <c r="H70" s="438">
        <v>0</v>
      </c>
      <c r="I70" s="407">
        <f t="shared" si="15"/>
        <v>0</v>
      </c>
      <c r="J70" s="438">
        <v>0</v>
      </c>
      <c r="K70" s="436">
        <f t="shared" si="31"/>
        <v>0</v>
      </c>
      <c r="L70" s="438">
        <v>0</v>
      </c>
      <c r="M70" s="435">
        <f t="shared" si="32"/>
        <v>0</v>
      </c>
      <c r="N70" s="438">
        <v>0</v>
      </c>
      <c r="O70" s="437">
        <f t="shared" si="6"/>
        <v>0</v>
      </c>
      <c r="P70" s="438">
        <v>0</v>
      </c>
      <c r="Q70" s="437">
        <f t="shared" si="7"/>
        <v>0</v>
      </c>
      <c r="R70" s="438">
        <v>0</v>
      </c>
      <c r="S70" s="437">
        <f t="shared" si="25"/>
        <v>0</v>
      </c>
      <c r="T70" s="438">
        <v>0</v>
      </c>
      <c r="U70" s="407" t="e">
        <f t="shared" si="26"/>
        <v>#DIV/0!</v>
      </c>
      <c r="V70" s="438">
        <v>0</v>
      </c>
      <c r="W70" s="410" t="e">
        <f t="shared" si="27"/>
        <v>#DIV/0!</v>
      </c>
      <c r="X70" s="438">
        <v>0</v>
      </c>
      <c r="Y70" s="407" t="e">
        <f t="shared" si="28"/>
        <v>#DIV/0!</v>
      </c>
      <c r="Z70" s="438">
        <v>0</v>
      </c>
      <c r="AA70" s="411" t="e">
        <f t="shared" si="29"/>
        <v>#DIV/0!</v>
      </c>
      <c r="AB70" s="401">
        <f t="shared" si="30"/>
        <v>0</v>
      </c>
      <c r="AC70" s="407">
        <f t="shared" si="22"/>
        <v>0</v>
      </c>
      <c r="AD70" s="397">
        <f t="shared" si="34"/>
        <v>0</v>
      </c>
      <c r="AE70" s="396"/>
      <c r="AG70" s="397">
        <f>VLOOKUP(B70,TWN_IS!B:P,15,0)</f>
        <v>0</v>
      </c>
      <c r="AH70" s="397">
        <f t="shared" si="14"/>
        <v>0</v>
      </c>
    </row>
    <row r="71" spans="1:34" outlineLevel="1">
      <c r="A71" s="432"/>
      <c r="B71" s="432" t="s">
        <v>1497</v>
      </c>
      <c r="D71" s="438">
        <v>147313</v>
      </c>
      <c r="E71" s="435">
        <f t="shared" si="16"/>
        <v>2.4451527845782603E-3</v>
      </c>
      <c r="F71" s="438">
        <v>457747</v>
      </c>
      <c r="G71" s="407">
        <f t="shared" si="17"/>
        <v>8.6251001008074007E-3</v>
      </c>
      <c r="H71" s="438">
        <v>112765</v>
      </c>
      <c r="I71" s="407">
        <f t="shared" si="15"/>
        <v>1.7693631626325061E-3</v>
      </c>
      <c r="J71" s="438">
        <v>382867</v>
      </c>
      <c r="K71" s="436">
        <f t="shared" si="31"/>
        <v>5.6834132751276316E-3</v>
      </c>
      <c r="L71" s="438">
        <v>184001</v>
      </c>
      <c r="M71" s="435">
        <f t="shared" si="32"/>
        <v>3.4533851746191909E-3</v>
      </c>
      <c r="N71" s="438">
        <v>216031</v>
      </c>
      <c r="O71" s="437">
        <f t="shared" si="6"/>
        <v>2.4692653158721279E-3</v>
      </c>
      <c r="P71" s="438">
        <v>187402</v>
      </c>
      <c r="Q71" s="437">
        <f t="shared" si="7"/>
        <v>1.9075710074532299E-3</v>
      </c>
      <c r="R71" s="438">
        <v>338576</v>
      </c>
      <c r="S71" s="437">
        <f t="shared" si="25"/>
        <v>4.1221933449374117E-3</v>
      </c>
      <c r="T71" s="438">
        <v>0</v>
      </c>
      <c r="U71" s="407" t="e">
        <f t="shared" si="26"/>
        <v>#DIV/0!</v>
      </c>
      <c r="V71" s="438">
        <v>0</v>
      </c>
      <c r="W71" s="410" t="e">
        <f t="shared" si="27"/>
        <v>#DIV/0!</v>
      </c>
      <c r="X71" s="438">
        <v>0</v>
      </c>
      <c r="Y71" s="407" t="e">
        <f t="shared" si="28"/>
        <v>#DIV/0!</v>
      </c>
      <c r="Z71" s="438">
        <v>0</v>
      </c>
      <c r="AA71" s="411" t="e">
        <f t="shared" si="29"/>
        <v>#DIV/0!</v>
      </c>
      <c r="AB71" s="401">
        <f t="shared" si="30"/>
        <v>2026702</v>
      </c>
      <c r="AC71" s="407">
        <f t="shared" si="22"/>
        <v>3.5835219198118991E-3</v>
      </c>
      <c r="AD71" s="397">
        <f t="shared" si="34"/>
        <v>168891.83333333334</v>
      </c>
      <c r="AE71" s="396"/>
      <c r="AG71" s="397">
        <f>VLOOKUP(B71,TWN_IS!B:P,15,0)</f>
        <v>2026702</v>
      </c>
      <c r="AH71" s="397">
        <f t="shared" si="14"/>
        <v>0</v>
      </c>
    </row>
    <row r="72" spans="1:34">
      <c r="A72" s="432"/>
      <c r="B72" s="432" t="s">
        <v>1529</v>
      </c>
      <c r="D72" s="438">
        <v>0</v>
      </c>
      <c r="E72" s="435">
        <f t="shared" si="16"/>
        <v>0</v>
      </c>
      <c r="F72" s="438">
        <v>0</v>
      </c>
      <c r="G72" s="407">
        <f t="shared" si="17"/>
        <v>0</v>
      </c>
      <c r="H72" s="438">
        <v>0</v>
      </c>
      <c r="I72" s="407">
        <f t="shared" si="15"/>
        <v>0</v>
      </c>
      <c r="J72" s="438">
        <v>0</v>
      </c>
      <c r="K72" s="436">
        <f t="shared" si="31"/>
        <v>0</v>
      </c>
      <c r="L72" s="438">
        <v>0</v>
      </c>
      <c r="M72" s="435">
        <f t="shared" si="32"/>
        <v>0</v>
      </c>
      <c r="N72" s="438">
        <v>0</v>
      </c>
      <c r="O72" s="437">
        <f t="shared" si="6"/>
        <v>0</v>
      </c>
      <c r="P72" s="438">
        <v>0</v>
      </c>
      <c r="Q72" s="437">
        <f t="shared" si="7"/>
        <v>0</v>
      </c>
      <c r="R72" s="438">
        <v>0</v>
      </c>
      <c r="S72" s="437">
        <f t="shared" si="25"/>
        <v>0</v>
      </c>
      <c r="T72" s="438">
        <v>0</v>
      </c>
      <c r="U72" s="407" t="e">
        <f t="shared" si="26"/>
        <v>#DIV/0!</v>
      </c>
      <c r="V72" s="438">
        <v>0</v>
      </c>
      <c r="W72" s="410" t="e">
        <f t="shared" si="27"/>
        <v>#DIV/0!</v>
      </c>
      <c r="X72" s="438">
        <v>0</v>
      </c>
      <c r="Y72" s="407" t="e">
        <f t="shared" si="28"/>
        <v>#DIV/0!</v>
      </c>
      <c r="Z72" s="438">
        <v>0</v>
      </c>
      <c r="AA72" s="411" t="e">
        <f t="shared" si="29"/>
        <v>#DIV/0!</v>
      </c>
      <c r="AB72" s="397">
        <f t="shared" si="30"/>
        <v>0</v>
      </c>
      <c r="AC72" s="407">
        <f t="shared" si="22"/>
        <v>0</v>
      </c>
      <c r="AD72" s="397">
        <f t="shared" si="34"/>
        <v>0</v>
      </c>
      <c r="AE72" s="396"/>
      <c r="AG72" s="397">
        <f>VLOOKUP(B72,TWN_IS!B:P,15,0)</f>
        <v>0</v>
      </c>
      <c r="AH72" s="397">
        <f t="shared" si="14"/>
        <v>0</v>
      </c>
    </row>
    <row r="73" spans="1:34">
      <c r="A73" s="432"/>
      <c r="B73" s="432" t="s">
        <v>1530</v>
      </c>
      <c r="D73" s="438">
        <v>-3126489</v>
      </c>
      <c r="E73" s="435">
        <f t="shared" si="16"/>
        <v>-5.1894559776145349E-2</v>
      </c>
      <c r="F73" s="438">
        <v>-3444038</v>
      </c>
      <c r="G73" s="407">
        <f t="shared" si="17"/>
        <v>-6.4894302968636644E-2</v>
      </c>
      <c r="H73" s="438">
        <v>-3187980</v>
      </c>
      <c r="I73" s="407">
        <f t="shared" ref="I73:I136" si="35">H73/$H$21</f>
        <v>-5.0021676718921444E-2</v>
      </c>
      <c r="J73" s="438">
        <v>-3361489</v>
      </c>
      <c r="K73" s="436">
        <f t="shared" si="31"/>
        <v>-4.9899132614708262E-2</v>
      </c>
      <c r="L73" s="438">
        <v>-2893233</v>
      </c>
      <c r="M73" s="435">
        <f t="shared" si="32"/>
        <v>-5.4301052434057452E-2</v>
      </c>
      <c r="N73" s="438">
        <v>-3087333</v>
      </c>
      <c r="O73" s="437">
        <f t="shared" ref="O73:O136" si="36">N73/$N$21</f>
        <v>-3.5288659013972275E-2</v>
      </c>
      <c r="P73" s="438">
        <v>-3051936</v>
      </c>
      <c r="Q73" s="437">
        <f t="shared" ref="Q73:Q136" si="37">P73/$P$21</f>
        <v>-3.1065755062394108E-2</v>
      </c>
      <c r="R73" s="438">
        <v>-3692795</v>
      </c>
      <c r="S73" s="437">
        <f t="shared" si="25"/>
        <v>-4.4960112273811935E-2</v>
      </c>
      <c r="T73" s="438">
        <v>0</v>
      </c>
      <c r="U73" s="407" t="e">
        <f t="shared" si="26"/>
        <v>#DIV/0!</v>
      </c>
      <c r="V73" s="438">
        <v>0</v>
      </c>
      <c r="W73" s="410" t="e">
        <f t="shared" si="27"/>
        <v>#DIV/0!</v>
      </c>
      <c r="X73" s="438">
        <v>0</v>
      </c>
      <c r="Y73" s="407" t="e">
        <f t="shared" si="28"/>
        <v>#DIV/0!</v>
      </c>
      <c r="Z73" s="438">
        <v>0</v>
      </c>
      <c r="AA73" s="411" t="e">
        <f t="shared" si="29"/>
        <v>#DIV/0!</v>
      </c>
      <c r="AB73" s="397">
        <f t="shared" si="30"/>
        <v>-25845293</v>
      </c>
      <c r="AC73" s="407">
        <f t="shared" si="22"/>
        <v>-4.5698466764951644E-2</v>
      </c>
      <c r="AD73" s="397">
        <f t="shared" si="34"/>
        <v>-2153774.4166666665</v>
      </c>
      <c r="AE73" s="396"/>
      <c r="AG73" s="397">
        <f>VLOOKUP(B73,TWN_IS!B:P,15,0)</f>
        <v>-25845293</v>
      </c>
      <c r="AH73" s="397">
        <f t="shared" ref="AH73:AH136" si="38">AB73-AG73</f>
        <v>0</v>
      </c>
    </row>
    <row r="74" spans="1:34">
      <c r="A74" s="432"/>
      <c r="B74" s="432" t="s">
        <v>1531</v>
      </c>
      <c r="D74" s="438">
        <v>136175</v>
      </c>
      <c r="E74" s="435">
        <f t="shared" si="16"/>
        <v>2.2602803584201299E-3</v>
      </c>
      <c r="F74" s="438">
        <v>334294</v>
      </c>
      <c r="G74" s="407">
        <f t="shared" si="17"/>
        <v>6.2989363405971189E-3</v>
      </c>
      <c r="H74" s="438">
        <v>5828747</v>
      </c>
      <c r="I74" s="407">
        <f t="shared" si="35"/>
        <v>9.1457191735952931E-2</v>
      </c>
      <c r="J74" s="438">
        <v>683423</v>
      </c>
      <c r="K74" s="436">
        <f t="shared" si="31"/>
        <v>1.0144972929836083E-2</v>
      </c>
      <c r="L74" s="438">
        <v>90781</v>
      </c>
      <c r="M74" s="435">
        <f t="shared" si="32"/>
        <v>1.703804650719859E-3</v>
      </c>
      <c r="N74" s="438">
        <v>3316275</v>
      </c>
      <c r="O74" s="437">
        <f t="shared" si="36"/>
        <v>3.7905498911701752E-2</v>
      </c>
      <c r="P74" s="438">
        <v>4251307</v>
      </c>
      <c r="Q74" s="437">
        <f t="shared" si="37"/>
        <v>4.3274191187836673E-2</v>
      </c>
      <c r="R74" s="438">
        <v>339132</v>
      </c>
      <c r="S74" s="437">
        <f t="shared" si="25"/>
        <v>4.12896269509745E-3</v>
      </c>
      <c r="T74" s="438">
        <v>0</v>
      </c>
      <c r="U74" s="407" t="e">
        <f t="shared" si="26"/>
        <v>#DIV/0!</v>
      </c>
      <c r="V74" s="438">
        <v>0</v>
      </c>
      <c r="W74" s="410" t="e">
        <f t="shared" si="27"/>
        <v>#DIV/0!</v>
      </c>
      <c r="X74" s="438">
        <v>0</v>
      </c>
      <c r="Y74" s="407" t="e">
        <f t="shared" si="28"/>
        <v>#DIV/0!</v>
      </c>
      <c r="Z74" s="438">
        <v>0</v>
      </c>
      <c r="AA74" s="411" t="e">
        <f t="shared" si="29"/>
        <v>#DIV/0!</v>
      </c>
      <c r="AB74" s="401">
        <f t="shared" si="30"/>
        <v>14980134</v>
      </c>
      <c r="AC74" s="407">
        <f t="shared" si="22"/>
        <v>2.6487188817457871E-2</v>
      </c>
      <c r="AD74" s="397">
        <f t="shared" si="34"/>
        <v>1248344.5</v>
      </c>
      <c r="AE74" s="396"/>
      <c r="AG74" s="397">
        <f>VLOOKUP(B74,TWN_IS!B:P,15,0)</f>
        <v>14980134</v>
      </c>
      <c r="AH74" s="397">
        <f t="shared" si="38"/>
        <v>0</v>
      </c>
    </row>
    <row r="75" spans="1:34">
      <c r="A75" s="432"/>
      <c r="B75" s="432" t="s">
        <v>1532</v>
      </c>
      <c r="D75" s="438">
        <v>29313</v>
      </c>
      <c r="E75" s="435">
        <f t="shared" si="16"/>
        <v>4.8654744370383159E-4</v>
      </c>
      <c r="F75" s="438">
        <v>33618</v>
      </c>
      <c r="G75" s="407">
        <f t="shared" si="17"/>
        <v>6.3344733048811505E-4</v>
      </c>
      <c r="H75" s="438">
        <v>48932</v>
      </c>
      <c r="I75" s="407">
        <f t="shared" si="35"/>
        <v>7.677779299776862E-4</v>
      </c>
      <c r="J75" s="438">
        <v>114245</v>
      </c>
      <c r="K75" s="436">
        <f t="shared" si="31"/>
        <v>1.6958932204054053E-3</v>
      </c>
      <c r="L75" s="438">
        <v>43113</v>
      </c>
      <c r="M75" s="435">
        <f t="shared" si="32"/>
        <v>8.0915753193383283E-4</v>
      </c>
      <c r="N75" s="438">
        <v>30492</v>
      </c>
      <c r="O75" s="437">
        <f t="shared" si="36"/>
        <v>3.4852793354459743E-4</v>
      </c>
      <c r="P75" s="438">
        <v>19416</v>
      </c>
      <c r="Q75" s="437">
        <f t="shared" si="37"/>
        <v>1.9763609076056771E-4</v>
      </c>
      <c r="R75" s="438">
        <v>61317</v>
      </c>
      <c r="S75" s="437">
        <f t="shared" si="25"/>
        <v>7.4654000676813268E-4</v>
      </c>
      <c r="T75" s="438">
        <v>0</v>
      </c>
      <c r="U75" s="407" t="e">
        <f t="shared" si="26"/>
        <v>#DIV/0!</v>
      </c>
      <c r="V75" s="438">
        <v>0</v>
      </c>
      <c r="W75" s="410" t="e">
        <f t="shared" si="27"/>
        <v>#DIV/0!</v>
      </c>
      <c r="X75" s="438">
        <v>0</v>
      </c>
      <c r="Y75" s="407" t="e">
        <f t="shared" si="28"/>
        <v>#DIV/0!</v>
      </c>
      <c r="Z75" s="438">
        <v>0</v>
      </c>
      <c r="AA75" s="411" t="e">
        <f t="shared" si="29"/>
        <v>#DIV/0!</v>
      </c>
      <c r="AB75" s="401">
        <f t="shared" si="30"/>
        <v>380446</v>
      </c>
      <c r="AC75" s="407">
        <f t="shared" si="22"/>
        <v>6.7268724277410187E-4</v>
      </c>
      <c r="AD75" s="397">
        <f t="shared" si="34"/>
        <v>31703.833333333332</v>
      </c>
      <c r="AE75" s="396"/>
      <c r="AG75" s="397">
        <f>VLOOKUP(B75,TWN_IS!B:P,15,0)</f>
        <v>380446</v>
      </c>
      <c r="AH75" s="397">
        <f t="shared" si="38"/>
        <v>0</v>
      </c>
    </row>
    <row r="76" spans="1:34">
      <c r="A76" s="463"/>
      <c r="B76" s="463" t="s">
        <v>1533</v>
      </c>
      <c r="C76" s="464"/>
      <c r="D76" s="465">
        <v>0</v>
      </c>
      <c r="E76" s="466">
        <f t="shared" si="16"/>
        <v>0</v>
      </c>
      <c r="F76" s="465">
        <v>0</v>
      </c>
      <c r="G76" s="467">
        <f t="shared" si="17"/>
        <v>0</v>
      </c>
      <c r="H76" s="465">
        <v>0</v>
      </c>
      <c r="I76" s="467">
        <f t="shared" si="35"/>
        <v>0</v>
      </c>
      <c r="J76" s="465">
        <v>0</v>
      </c>
      <c r="K76" s="468">
        <f t="shared" si="31"/>
        <v>0</v>
      </c>
      <c r="L76" s="465">
        <v>0</v>
      </c>
      <c r="M76" s="466">
        <f t="shared" si="32"/>
        <v>0</v>
      </c>
      <c r="N76" s="465">
        <v>0</v>
      </c>
      <c r="O76" s="469">
        <f t="shared" si="36"/>
        <v>0</v>
      </c>
      <c r="P76" s="465">
        <v>0</v>
      </c>
      <c r="Q76" s="469">
        <f t="shared" si="37"/>
        <v>0</v>
      </c>
      <c r="R76" s="465">
        <v>0</v>
      </c>
      <c r="S76" s="469">
        <f t="shared" si="25"/>
        <v>0</v>
      </c>
      <c r="T76" s="465">
        <v>0</v>
      </c>
      <c r="U76" s="467" t="e">
        <f t="shared" si="26"/>
        <v>#DIV/0!</v>
      </c>
      <c r="V76" s="465">
        <v>0</v>
      </c>
      <c r="W76" s="470" t="e">
        <f t="shared" si="27"/>
        <v>#DIV/0!</v>
      </c>
      <c r="X76" s="465">
        <v>0</v>
      </c>
      <c r="Y76" s="466" t="e">
        <f t="shared" si="28"/>
        <v>#DIV/0!</v>
      </c>
      <c r="Z76" s="465">
        <v>0</v>
      </c>
      <c r="AA76" s="471" t="e">
        <f t="shared" si="29"/>
        <v>#DIV/0!</v>
      </c>
      <c r="AB76" s="472">
        <f t="shared" si="30"/>
        <v>0</v>
      </c>
      <c r="AC76" s="467">
        <f t="shared" si="22"/>
        <v>0</v>
      </c>
      <c r="AD76" s="473">
        <f t="shared" si="34"/>
        <v>0</v>
      </c>
      <c r="AE76" s="396"/>
      <c r="AG76" s="397">
        <f>VLOOKUP(B76,TWN_IS!B:P,15,0)</f>
        <v>0</v>
      </c>
      <c r="AH76" s="397">
        <f t="shared" si="38"/>
        <v>0</v>
      </c>
    </row>
    <row r="77" spans="1:34">
      <c r="A77" s="463"/>
      <c r="B77" s="463" t="s">
        <v>1534</v>
      </c>
      <c r="C77" s="464"/>
      <c r="D77" s="465">
        <v>2874749</v>
      </c>
      <c r="E77" s="466">
        <f t="shared" si="16"/>
        <v>4.771609105994426E-2</v>
      </c>
      <c r="F77" s="465">
        <v>2763471</v>
      </c>
      <c r="G77" s="467">
        <f t="shared" si="17"/>
        <v>5.2070715920974536E-2</v>
      </c>
      <c r="H77" s="465">
        <v>-7456555</v>
      </c>
      <c r="I77" s="467">
        <f t="shared" si="35"/>
        <v>-0.11699865860101297</v>
      </c>
      <c r="J77" s="465">
        <v>-591918</v>
      </c>
      <c r="K77" s="468">
        <f t="shared" si="31"/>
        <v>-8.7866403189279761E-3</v>
      </c>
      <c r="L77" s="465">
        <v>1054460</v>
      </c>
      <c r="M77" s="466">
        <f t="shared" si="32"/>
        <v>1.9790417069629796E-2</v>
      </c>
      <c r="N77" s="465">
        <v>-1470722</v>
      </c>
      <c r="O77" s="469">
        <f t="shared" si="36"/>
        <v>-1.681056340937221E-2</v>
      </c>
      <c r="P77" s="465">
        <v>-2031582</v>
      </c>
      <c r="Q77" s="469">
        <f t="shared" si="37"/>
        <v>-2.0679538758731752E-2</v>
      </c>
      <c r="R77" s="465">
        <v>23984</v>
      </c>
      <c r="S77" s="469">
        <f t="shared" si="25"/>
        <v>2.9200736373806435E-4</v>
      </c>
      <c r="T77" s="465">
        <v>0</v>
      </c>
      <c r="U77" s="467" t="e">
        <f t="shared" si="26"/>
        <v>#DIV/0!</v>
      </c>
      <c r="V77" s="465">
        <v>0</v>
      </c>
      <c r="W77" s="470" t="e">
        <f t="shared" si="27"/>
        <v>#DIV/0!</v>
      </c>
      <c r="X77" s="465">
        <v>0</v>
      </c>
      <c r="Y77" s="467" t="e">
        <f t="shared" si="28"/>
        <v>#DIV/0!</v>
      </c>
      <c r="Z77" s="465">
        <v>0</v>
      </c>
      <c r="AA77" s="471" t="e">
        <f t="shared" si="29"/>
        <v>#DIV/0!</v>
      </c>
      <c r="AB77" s="473">
        <f t="shared" si="30"/>
        <v>-4834113</v>
      </c>
      <c r="AC77" s="467">
        <f t="shared" si="22"/>
        <v>-8.5474578395578916E-3</v>
      </c>
      <c r="AD77" s="473">
        <f t="shared" si="34"/>
        <v>-402842.75</v>
      </c>
      <c r="AE77" s="474" t="s">
        <v>369</v>
      </c>
      <c r="AG77" s="397">
        <f>VLOOKUP(B77,TWN_IS!B:P,15,0)</f>
        <v>-4834113</v>
      </c>
      <c r="AH77" s="397">
        <f t="shared" si="38"/>
        <v>0</v>
      </c>
    </row>
    <row r="78" spans="1:34">
      <c r="A78" s="463"/>
      <c r="B78" s="463" t="s">
        <v>1535</v>
      </c>
      <c r="C78" s="464"/>
      <c r="D78" s="465">
        <v>0</v>
      </c>
      <c r="E78" s="466">
        <f t="shared" si="16"/>
        <v>0</v>
      </c>
      <c r="F78" s="465">
        <v>0</v>
      </c>
      <c r="G78" s="467">
        <f t="shared" si="17"/>
        <v>0</v>
      </c>
      <c r="H78" s="465">
        <v>0</v>
      </c>
      <c r="I78" s="467">
        <f t="shared" si="35"/>
        <v>0</v>
      </c>
      <c r="J78" s="465">
        <v>0</v>
      </c>
      <c r="K78" s="468">
        <f t="shared" si="31"/>
        <v>0</v>
      </c>
      <c r="L78" s="465">
        <v>0</v>
      </c>
      <c r="M78" s="466">
        <f t="shared" si="32"/>
        <v>0</v>
      </c>
      <c r="N78" s="465">
        <v>0</v>
      </c>
      <c r="O78" s="469">
        <f t="shared" si="36"/>
        <v>0</v>
      </c>
      <c r="P78" s="465">
        <v>0</v>
      </c>
      <c r="Q78" s="469">
        <f t="shared" si="37"/>
        <v>0</v>
      </c>
      <c r="R78" s="465">
        <v>0</v>
      </c>
      <c r="S78" s="469">
        <f t="shared" si="25"/>
        <v>0</v>
      </c>
      <c r="T78" s="465">
        <v>0</v>
      </c>
      <c r="U78" s="467" t="e">
        <f t="shared" si="26"/>
        <v>#DIV/0!</v>
      </c>
      <c r="V78" s="465">
        <v>0</v>
      </c>
      <c r="W78" s="470" t="e">
        <f t="shared" si="27"/>
        <v>#DIV/0!</v>
      </c>
      <c r="X78" s="465">
        <v>0</v>
      </c>
      <c r="Y78" s="467" t="e">
        <f t="shared" si="28"/>
        <v>#DIV/0!</v>
      </c>
      <c r="Z78" s="465">
        <v>0</v>
      </c>
      <c r="AA78" s="471" t="e">
        <f t="shared" si="29"/>
        <v>#DIV/0!</v>
      </c>
      <c r="AB78" s="473">
        <f t="shared" si="30"/>
        <v>0</v>
      </c>
      <c r="AC78" s="467">
        <f t="shared" si="22"/>
        <v>0</v>
      </c>
      <c r="AD78" s="473">
        <f t="shared" si="34"/>
        <v>0</v>
      </c>
      <c r="AE78" s="396"/>
      <c r="AG78" s="397">
        <f>VLOOKUP(B78,TWN_IS!B:P,15,0)</f>
        <v>0</v>
      </c>
      <c r="AH78" s="397">
        <f t="shared" si="38"/>
        <v>0</v>
      </c>
    </row>
    <row r="79" spans="1:34">
      <c r="A79" s="432"/>
      <c r="B79" s="432" t="s">
        <v>1536</v>
      </c>
      <c r="D79" s="438">
        <v>0</v>
      </c>
      <c r="E79" s="435">
        <f t="shared" ref="E79:E142" si="39">D79/$D$21</f>
        <v>0</v>
      </c>
      <c r="F79" s="438">
        <v>0</v>
      </c>
      <c r="G79" s="407">
        <f t="shared" ref="G79:G142" si="40">F79/$F$21</f>
        <v>0</v>
      </c>
      <c r="H79" s="438">
        <v>0</v>
      </c>
      <c r="I79" s="407">
        <f t="shared" si="35"/>
        <v>0</v>
      </c>
      <c r="J79" s="438">
        <v>0</v>
      </c>
      <c r="K79" s="436">
        <f t="shared" si="31"/>
        <v>0</v>
      </c>
      <c r="L79" s="438">
        <v>0</v>
      </c>
      <c r="M79" s="435">
        <f t="shared" si="32"/>
        <v>0</v>
      </c>
      <c r="N79" s="438">
        <v>0</v>
      </c>
      <c r="O79" s="437">
        <f t="shared" si="36"/>
        <v>0</v>
      </c>
      <c r="P79" s="438">
        <v>0</v>
      </c>
      <c r="Q79" s="437">
        <f t="shared" si="37"/>
        <v>0</v>
      </c>
      <c r="R79" s="438">
        <v>0</v>
      </c>
      <c r="S79" s="437">
        <f t="shared" si="25"/>
        <v>0</v>
      </c>
      <c r="T79" s="438">
        <v>0</v>
      </c>
      <c r="U79" s="407" t="e">
        <f t="shared" si="26"/>
        <v>#DIV/0!</v>
      </c>
      <c r="V79" s="438">
        <v>0</v>
      </c>
      <c r="W79" s="410" t="e">
        <f t="shared" si="27"/>
        <v>#DIV/0!</v>
      </c>
      <c r="X79" s="438">
        <v>0</v>
      </c>
      <c r="Y79" s="407" t="e">
        <f t="shared" si="28"/>
        <v>#DIV/0!</v>
      </c>
      <c r="Z79" s="438">
        <v>0</v>
      </c>
      <c r="AA79" s="411" t="e">
        <f t="shared" si="29"/>
        <v>#DIV/0!</v>
      </c>
      <c r="AB79" s="397">
        <f t="shared" si="30"/>
        <v>0</v>
      </c>
      <c r="AC79" s="407">
        <f t="shared" ref="AC79:AC142" si="41">AB79/$AB$21</f>
        <v>0</v>
      </c>
      <c r="AD79" s="397">
        <f t="shared" si="34"/>
        <v>0</v>
      </c>
      <c r="AE79" s="396"/>
      <c r="AG79" s="397">
        <f>VLOOKUP(B79,TWN_IS!B:P,15,0)</f>
        <v>0</v>
      </c>
      <c r="AH79" s="397">
        <f t="shared" si="38"/>
        <v>0</v>
      </c>
    </row>
    <row r="80" spans="1:34">
      <c r="A80" s="432"/>
      <c r="B80" s="432" t="s">
        <v>1537</v>
      </c>
      <c r="D80" s="438">
        <v>0</v>
      </c>
      <c r="E80" s="435">
        <f t="shared" si="39"/>
        <v>0</v>
      </c>
      <c r="F80" s="438">
        <v>0</v>
      </c>
      <c r="G80" s="407">
        <f t="shared" si="40"/>
        <v>0</v>
      </c>
      <c r="H80" s="438">
        <v>0</v>
      </c>
      <c r="I80" s="407">
        <f t="shared" si="35"/>
        <v>0</v>
      </c>
      <c r="J80" s="438">
        <v>0</v>
      </c>
      <c r="K80" s="436">
        <f t="shared" si="31"/>
        <v>0</v>
      </c>
      <c r="L80" s="438">
        <v>0</v>
      </c>
      <c r="M80" s="435">
        <f t="shared" si="32"/>
        <v>0</v>
      </c>
      <c r="N80" s="438">
        <v>0</v>
      </c>
      <c r="O80" s="437">
        <f t="shared" si="36"/>
        <v>0</v>
      </c>
      <c r="P80" s="438">
        <v>0</v>
      </c>
      <c r="Q80" s="437">
        <f t="shared" si="37"/>
        <v>0</v>
      </c>
      <c r="R80" s="438">
        <v>0</v>
      </c>
      <c r="S80" s="437">
        <f t="shared" si="25"/>
        <v>0</v>
      </c>
      <c r="T80" s="438">
        <v>0</v>
      </c>
      <c r="U80" s="407" t="e">
        <f t="shared" si="26"/>
        <v>#DIV/0!</v>
      </c>
      <c r="V80" s="438">
        <v>0</v>
      </c>
      <c r="W80" s="410" t="e">
        <f t="shared" si="27"/>
        <v>#DIV/0!</v>
      </c>
      <c r="X80" s="438">
        <v>0</v>
      </c>
      <c r="Y80" s="407" t="e">
        <f t="shared" si="28"/>
        <v>#DIV/0!</v>
      </c>
      <c r="Z80" s="438">
        <v>0</v>
      </c>
      <c r="AA80" s="411" t="e">
        <f t="shared" si="29"/>
        <v>#DIV/0!</v>
      </c>
      <c r="AB80" s="397">
        <f t="shared" si="30"/>
        <v>0</v>
      </c>
      <c r="AC80" s="407">
        <f t="shared" si="41"/>
        <v>0</v>
      </c>
      <c r="AD80" s="397">
        <f t="shared" si="34"/>
        <v>0</v>
      </c>
      <c r="AE80" s="396"/>
      <c r="AG80" s="397">
        <f>VLOOKUP(B80,TWN_IS!B:P,15,0)</f>
        <v>0</v>
      </c>
      <c r="AH80" s="397">
        <f t="shared" si="38"/>
        <v>0</v>
      </c>
    </row>
    <row r="81" spans="1:34">
      <c r="A81" s="432"/>
      <c r="B81" s="432" t="s">
        <v>1538</v>
      </c>
      <c r="D81" s="438">
        <v>0</v>
      </c>
      <c r="E81" s="435">
        <f t="shared" si="39"/>
        <v>0</v>
      </c>
      <c r="F81" s="438">
        <v>0</v>
      </c>
      <c r="G81" s="407">
        <f t="shared" si="40"/>
        <v>0</v>
      </c>
      <c r="H81" s="438">
        <v>0</v>
      </c>
      <c r="I81" s="407">
        <f t="shared" si="35"/>
        <v>0</v>
      </c>
      <c r="J81" s="438">
        <v>0</v>
      </c>
      <c r="K81" s="436">
        <f t="shared" si="31"/>
        <v>0</v>
      </c>
      <c r="L81" s="438">
        <v>0</v>
      </c>
      <c r="M81" s="435">
        <f t="shared" si="32"/>
        <v>0</v>
      </c>
      <c r="N81" s="438">
        <v>0</v>
      </c>
      <c r="O81" s="437">
        <f t="shared" si="36"/>
        <v>0</v>
      </c>
      <c r="P81" s="438">
        <v>0</v>
      </c>
      <c r="Q81" s="437">
        <f t="shared" si="37"/>
        <v>0</v>
      </c>
      <c r="R81" s="438">
        <v>0</v>
      </c>
      <c r="S81" s="437">
        <f t="shared" si="25"/>
        <v>0</v>
      </c>
      <c r="T81" s="438">
        <v>0</v>
      </c>
      <c r="U81" s="407" t="e">
        <f t="shared" si="26"/>
        <v>#DIV/0!</v>
      </c>
      <c r="V81" s="438">
        <v>0</v>
      </c>
      <c r="W81" s="410" t="e">
        <f t="shared" si="27"/>
        <v>#DIV/0!</v>
      </c>
      <c r="X81" s="438">
        <v>0</v>
      </c>
      <c r="Y81" s="407" t="e">
        <f t="shared" si="28"/>
        <v>#DIV/0!</v>
      </c>
      <c r="Z81" s="438">
        <v>0</v>
      </c>
      <c r="AA81" s="411" t="e">
        <f t="shared" si="29"/>
        <v>#DIV/0!</v>
      </c>
      <c r="AB81" s="397">
        <f t="shared" si="30"/>
        <v>0</v>
      </c>
      <c r="AC81" s="407">
        <f t="shared" si="41"/>
        <v>0</v>
      </c>
      <c r="AD81" s="397">
        <f t="shared" si="34"/>
        <v>0</v>
      </c>
      <c r="AE81" s="396"/>
      <c r="AG81" s="397">
        <f>VLOOKUP(B81,TWN_IS!B:P,15,0)</f>
        <v>0</v>
      </c>
      <c r="AH81" s="397">
        <f t="shared" si="38"/>
        <v>0</v>
      </c>
    </row>
    <row r="82" spans="1:34">
      <c r="A82" s="432"/>
      <c r="B82" s="432" t="s">
        <v>1539</v>
      </c>
      <c r="D82" s="438">
        <v>0</v>
      </c>
      <c r="E82" s="435">
        <f t="shared" si="39"/>
        <v>0</v>
      </c>
      <c r="F82" s="438">
        <v>0</v>
      </c>
      <c r="G82" s="407">
        <f t="shared" si="40"/>
        <v>0</v>
      </c>
      <c r="H82" s="438">
        <v>0</v>
      </c>
      <c r="I82" s="407">
        <f t="shared" si="35"/>
        <v>0</v>
      </c>
      <c r="J82" s="438">
        <v>0</v>
      </c>
      <c r="K82" s="436">
        <f t="shared" si="31"/>
        <v>0</v>
      </c>
      <c r="L82" s="438">
        <v>0</v>
      </c>
      <c r="M82" s="435">
        <f t="shared" si="32"/>
        <v>0</v>
      </c>
      <c r="N82" s="438">
        <v>0</v>
      </c>
      <c r="O82" s="437">
        <f t="shared" si="36"/>
        <v>0</v>
      </c>
      <c r="P82" s="438">
        <v>0</v>
      </c>
      <c r="Q82" s="437">
        <f t="shared" si="37"/>
        <v>0</v>
      </c>
      <c r="R82" s="438">
        <v>0</v>
      </c>
      <c r="S82" s="437">
        <f t="shared" si="25"/>
        <v>0</v>
      </c>
      <c r="T82" s="438">
        <v>0</v>
      </c>
      <c r="U82" s="407" t="e">
        <f t="shared" si="26"/>
        <v>#DIV/0!</v>
      </c>
      <c r="V82" s="438">
        <v>0</v>
      </c>
      <c r="W82" s="410" t="e">
        <f t="shared" si="27"/>
        <v>#DIV/0!</v>
      </c>
      <c r="X82" s="438">
        <v>0</v>
      </c>
      <c r="Y82" s="407" t="e">
        <f t="shared" si="28"/>
        <v>#DIV/0!</v>
      </c>
      <c r="Z82" s="438">
        <v>0</v>
      </c>
      <c r="AA82" s="411" t="e">
        <f t="shared" si="29"/>
        <v>#DIV/0!</v>
      </c>
      <c r="AB82" s="397">
        <f t="shared" si="30"/>
        <v>0</v>
      </c>
      <c r="AC82" s="407">
        <f t="shared" si="41"/>
        <v>0</v>
      </c>
      <c r="AD82" s="397">
        <f t="shared" si="34"/>
        <v>0</v>
      </c>
      <c r="AE82" s="396"/>
      <c r="AG82" s="397">
        <f>VLOOKUP(B82,TWN_IS!B:P,15,0)</f>
        <v>0</v>
      </c>
      <c r="AH82" s="397">
        <f t="shared" si="38"/>
        <v>0</v>
      </c>
    </row>
    <row r="83" spans="1:34">
      <c r="A83" s="432"/>
      <c r="B83" s="432" t="s">
        <v>1540</v>
      </c>
      <c r="D83" s="438">
        <v>0</v>
      </c>
      <c r="E83" s="435">
        <f t="shared" si="39"/>
        <v>0</v>
      </c>
      <c r="F83" s="438">
        <v>0</v>
      </c>
      <c r="G83" s="407">
        <f t="shared" si="40"/>
        <v>0</v>
      </c>
      <c r="H83" s="438">
        <v>0</v>
      </c>
      <c r="I83" s="407">
        <f t="shared" si="35"/>
        <v>0</v>
      </c>
      <c r="J83" s="438">
        <v>0</v>
      </c>
      <c r="K83" s="436">
        <f t="shared" si="31"/>
        <v>0</v>
      </c>
      <c r="L83" s="438">
        <v>0</v>
      </c>
      <c r="M83" s="435">
        <f t="shared" si="32"/>
        <v>0</v>
      </c>
      <c r="N83" s="438">
        <v>0</v>
      </c>
      <c r="O83" s="437">
        <f t="shared" si="36"/>
        <v>0</v>
      </c>
      <c r="P83" s="438">
        <v>0</v>
      </c>
      <c r="Q83" s="437">
        <f t="shared" si="37"/>
        <v>0</v>
      </c>
      <c r="R83" s="438">
        <v>0</v>
      </c>
      <c r="S83" s="437">
        <f t="shared" si="25"/>
        <v>0</v>
      </c>
      <c r="T83" s="438">
        <v>0</v>
      </c>
      <c r="U83" s="407" t="e">
        <f t="shared" si="26"/>
        <v>#DIV/0!</v>
      </c>
      <c r="V83" s="438">
        <v>0</v>
      </c>
      <c r="W83" s="439" t="e">
        <f t="shared" si="27"/>
        <v>#DIV/0!</v>
      </c>
      <c r="X83" s="438">
        <v>0</v>
      </c>
      <c r="Y83" s="407" t="e">
        <f t="shared" si="28"/>
        <v>#DIV/0!</v>
      </c>
      <c r="Z83" s="438">
        <v>0</v>
      </c>
      <c r="AA83" s="440" t="e">
        <f t="shared" si="29"/>
        <v>#DIV/0!</v>
      </c>
      <c r="AB83" s="397">
        <f t="shared" si="30"/>
        <v>0</v>
      </c>
      <c r="AC83" s="407">
        <f t="shared" si="41"/>
        <v>0</v>
      </c>
      <c r="AD83" s="397">
        <f t="shared" si="34"/>
        <v>0</v>
      </c>
      <c r="AE83" s="396"/>
      <c r="AG83" s="397">
        <f>VLOOKUP(B83,TWN_IS!B:P,15,0)</f>
        <v>0</v>
      </c>
      <c r="AH83" s="397">
        <f t="shared" si="38"/>
        <v>0</v>
      </c>
    </row>
    <row r="84" spans="1:34">
      <c r="A84" s="432"/>
      <c r="B84" s="431" t="s">
        <v>1541</v>
      </c>
      <c r="D84" s="438">
        <v>55645632</v>
      </c>
      <c r="E84" s="435">
        <f t="shared" si="39"/>
        <v>0.92362569518248316</v>
      </c>
      <c r="F84" s="438">
        <v>52320171</v>
      </c>
      <c r="G84" s="407">
        <f t="shared" si="40"/>
        <v>0.98584307961900453</v>
      </c>
      <c r="H84" s="438">
        <v>53472402</v>
      </c>
      <c r="I84" s="407">
        <f t="shared" si="35"/>
        <v>0.83902007108834076</v>
      </c>
      <c r="J84" s="438">
        <v>59943724</v>
      </c>
      <c r="K84" s="436">
        <f t="shared" si="31"/>
        <v>0.8898258579145939</v>
      </c>
      <c r="L84" s="438">
        <v>46938901</v>
      </c>
      <c r="M84" s="435">
        <f t="shared" si="32"/>
        <v>0.88096317316926487</v>
      </c>
      <c r="N84" s="438">
        <v>76556480</v>
      </c>
      <c r="O84" s="437">
        <f t="shared" si="36"/>
        <v>0.87505154708934485</v>
      </c>
      <c r="P84" s="438">
        <v>87191630</v>
      </c>
      <c r="Q84" s="437">
        <f t="shared" si="37"/>
        <v>0.88752641637009888</v>
      </c>
      <c r="R84" s="438">
        <v>70950644</v>
      </c>
      <c r="S84" s="437">
        <f t="shared" si="25"/>
        <v>0.86383049157596381</v>
      </c>
      <c r="T84" s="438">
        <v>0</v>
      </c>
      <c r="U84" s="407" t="e">
        <f t="shared" si="26"/>
        <v>#DIV/0!</v>
      </c>
      <c r="V84" s="438">
        <v>0</v>
      </c>
      <c r="W84" s="410" t="e">
        <f t="shared" si="27"/>
        <v>#DIV/0!</v>
      </c>
      <c r="X84" s="438">
        <v>0</v>
      </c>
      <c r="Y84" s="407" t="e">
        <f t="shared" si="28"/>
        <v>#DIV/0!</v>
      </c>
      <c r="Z84" s="438">
        <v>0</v>
      </c>
      <c r="AA84" s="411" t="e">
        <f t="shared" si="29"/>
        <v>#DIV/0!</v>
      </c>
      <c r="AB84" s="401">
        <f t="shared" si="30"/>
        <v>503019584</v>
      </c>
      <c r="AC84" s="407">
        <f t="shared" si="41"/>
        <v>0.88941625624224119</v>
      </c>
      <c r="AD84" s="397">
        <f t="shared" si="34"/>
        <v>41918298.666666664</v>
      </c>
      <c r="AE84" s="396"/>
      <c r="AG84" s="397">
        <f>VLOOKUP(B84,TWN_IS!B:P,15,0)</f>
        <v>503019584</v>
      </c>
      <c r="AH84" s="397">
        <f t="shared" si="38"/>
        <v>0</v>
      </c>
    </row>
    <row r="85" spans="1:34">
      <c r="A85" s="432"/>
      <c r="B85" s="431" t="s">
        <v>1542</v>
      </c>
      <c r="D85" s="438"/>
      <c r="E85" s="435"/>
      <c r="F85" s="438"/>
      <c r="H85" s="438"/>
      <c r="J85" s="438"/>
      <c r="K85" s="436"/>
      <c r="L85" s="438"/>
      <c r="M85" s="435"/>
      <c r="N85" s="438"/>
      <c r="O85" s="437"/>
      <c r="P85" s="438"/>
      <c r="Q85" s="437"/>
      <c r="R85" s="438"/>
      <c r="S85" s="437"/>
      <c r="T85" s="438"/>
      <c r="V85" s="438"/>
      <c r="X85" s="438"/>
      <c r="Z85" s="438"/>
      <c r="AC85" s="407"/>
      <c r="AD85" s="397"/>
      <c r="AE85" s="396"/>
      <c r="AG85" s="397">
        <f>VLOOKUP(B85,TWN_IS!B:P,15,0)</f>
        <v>0</v>
      </c>
      <c r="AH85" s="397">
        <f t="shared" si="38"/>
        <v>0</v>
      </c>
    </row>
    <row r="86" spans="1:34">
      <c r="A86" s="432"/>
      <c r="B86" s="432" t="s">
        <v>1543</v>
      </c>
      <c r="D86" s="438">
        <v>1237</v>
      </c>
      <c r="E86" s="435">
        <f t="shared" si="39"/>
        <v>2.0532159378488715E-5</v>
      </c>
      <c r="F86" s="438">
        <v>0</v>
      </c>
      <c r="G86" s="407">
        <f t="shared" si="40"/>
        <v>0</v>
      </c>
      <c r="H86" s="438">
        <v>0</v>
      </c>
      <c r="I86" s="407">
        <f t="shared" si="35"/>
        <v>0</v>
      </c>
      <c r="J86" s="438">
        <v>3591</v>
      </c>
      <c r="K86" s="436">
        <f t="shared" si="31"/>
        <v>5.3306075140932296E-5</v>
      </c>
      <c r="L86" s="438">
        <v>0</v>
      </c>
      <c r="M86" s="435">
        <f t="shared" si="32"/>
        <v>0</v>
      </c>
      <c r="N86" s="438">
        <v>0</v>
      </c>
      <c r="O86" s="437">
        <f t="shared" si="36"/>
        <v>0</v>
      </c>
      <c r="P86" s="438">
        <v>0</v>
      </c>
      <c r="Q86" s="437">
        <f t="shared" si="37"/>
        <v>0</v>
      </c>
      <c r="R86" s="438">
        <v>0</v>
      </c>
      <c r="S86" s="437">
        <f t="shared" si="25"/>
        <v>0</v>
      </c>
      <c r="T86" s="438">
        <v>0</v>
      </c>
      <c r="U86" s="407" t="e">
        <f>T86/$T$21</f>
        <v>#DIV/0!</v>
      </c>
      <c r="V86" s="438">
        <v>0</v>
      </c>
      <c r="W86" s="410" t="e">
        <f>V86/$V$21</f>
        <v>#DIV/0!</v>
      </c>
      <c r="X86" s="438">
        <v>0</v>
      </c>
      <c r="Y86" s="407" t="e">
        <f>X86/$X$21</f>
        <v>#DIV/0!</v>
      </c>
      <c r="Z86" s="438">
        <v>0</v>
      </c>
      <c r="AA86" s="411" t="e">
        <f>Z86/$Z$21</f>
        <v>#DIV/0!</v>
      </c>
      <c r="AB86" s="401">
        <f>SUM(D86,F86,H86,J86,L86,N86,P86,R86,T86,V86,X86,Z86)</f>
        <v>4828</v>
      </c>
      <c r="AC86" s="407">
        <f t="shared" si="41"/>
        <v>8.5366491121298773E-6</v>
      </c>
      <c r="AD86" s="397">
        <f t="shared" si="34"/>
        <v>402.33333333333331</v>
      </c>
      <c r="AE86" s="396"/>
      <c r="AG86" s="397">
        <f>VLOOKUP(B86,TWN_IS!B:P,15,0)</f>
        <v>4828</v>
      </c>
      <c r="AH86" s="397">
        <f t="shared" si="38"/>
        <v>0</v>
      </c>
    </row>
    <row r="87" spans="1:34">
      <c r="A87" s="432"/>
      <c r="B87" s="432" t="s">
        <v>1544</v>
      </c>
      <c r="D87" s="438">
        <v>0</v>
      </c>
      <c r="E87" s="435">
        <f t="shared" si="39"/>
        <v>0</v>
      </c>
      <c r="F87" s="438">
        <v>0</v>
      </c>
      <c r="G87" s="407">
        <f t="shared" si="40"/>
        <v>0</v>
      </c>
      <c r="H87" s="438">
        <v>0</v>
      </c>
      <c r="I87" s="407">
        <f t="shared" si="35"/>
        <v>0</v>
      </c>
      <c r="J87" s="438">
        <v>0</v>
      </c>
      <c r="K87" s="436">
        <f t="shared" si="31"/>
        <v>0</v>
      </c>
      <c r="L87" s="438">
        <v>0</v>
      </c>
      <c r="M87" s="435">
        <f t="shared" si="32"/>
        <v>0</v>
      </c>
      <c r="N87" s="438">
        <v>0</v>
      </c>
      <c r="O87" s="437">
        <f t="shared" si="36"/>
        <v>0</v>
      </c>
      <c r="P87" s="438">
        <v>0</v>
      </c>
      <c r="Q87" s="437">
        <f t="shared" si="37"/>
        <v>0</v>
      </c>
      <c r="R87" s="438">
        <v>0</v>
      </c>
      <c r="S87" s="437">
        <f t="shared" si="25"/>
        <v>0</v>
      </c>
      <c r="T87" s="438">
        <v>0</v>
      </c>
      <c r="U87" s="407" t="e">
        <f>T87/$T$21</f>
        <v>#DIV/0!</v>
      </c>
      <c r="V87" s="438">
        <v>0</v>
      </c>
      <c r="W87" s="410" t="e">
        <f>V87/$V$21</f>
        <v>#DIV/0!</v>
      </c>
      <c r="X87" s="438">
        <v>0</v>
      </c>
      <c r="Y87" s="407" t="e">
        <f>X87/$X$21</f>
        <v>#DIV/0!</v>
      </c>
      <c r="Z87" s="438">
        <v>0</v>
      </c>
      <c r="AA87" s="411" t="e">
        <f>Z87/$Z$21</f>
        <v>#DIV/0!</v>
      </c>
      <c r="AB87" s="401">
        <f>SUM(D87,F87,H87,J87,L87,N87,P87,R87,T87,V87,X87,Z87)</f>
        <v>0</v>
      </c>
      <c r="AC87" s="407">
        <f t="shared" si="41"/>
        <v>0</v>
      </c>
      <c r="AD87" s="397">
        <f t="shared" si="34"/>
        <v>0</v>
      </c>
      <c r="AE87" s="396"/>
      <c r="AG87" s="397">
        <f>VLOOKUP(B87,TWN_IS!B:P,15,0)</f>
        <v>0</v>
      </c>
      <c r="AH87" s="397">
        <f t="shared" si="38"/>
        <v>0</v>
      </c>
    </row>
    <row r="88" spans="1:34">
      <c r="A88" s="432"/>
      <c r="B88" s="431" t="s">
        <v>1545</v>
      </c>
      <c r="D88" s="438">
        <v>1237</v>
      </c>
      <c r="E88" s="435">
        <f t="shared" si="39"/>
        <v>2.0532159378488715E-5</v>
      </c>
      <c r="F88" s="438">
        <v>0</v>
      </c>
      <c r="G88" s="407">
        <f t="shared" si="40"/>
        <v>0</v>
      </c>
      <c r="H88" s="438">
        <v>0</v>
      </c>
      <c r="I88" s="407">
        <f t="shared" si="35"/>
        <v>0</v>
      </c>
      <c r="J88" s="438">
        <v>3591</v>
      </c>
      <c r="K88" s="436">
        <f t="shared" ref="K88:M151" si="42">J88/$J$21</f>
        <v>5.3306075140932296E-5</v>
      </c>
      <c r="L88" s="438">
        <v>0</v>
      </c>
      <c r="M88" s="435">
        <f>L88/$L$21</f>
        <v>0</v>
      </c>
      <c r="N88" s="438">
        <v>0</v>
      </c>
      <c r="O88" s="437">
        <f t="shared" si="36"/>
        <v>0</v>
      </c>
      <c r="P88" s="438">
        <v>0</v>
      </c>
      <c r="Q88" s="437">
        <f t="shared" si="37"/>
        <v>0</v>
      </c>
      <c r="R88" s="438">
        <v>0</v>
      </c>
      <c r="S88" s="437">
        <f t="shared" ref="S88:AA151" si="43">R88/$R$21</f>
        <v>0</v>
      </c>
      <c r="T88" s="438">
        <v>0</v>
      </c>
      <c r="U88" s="407" t="e">
        <f>T88/$T$21</f>
        <v>#DIV/0!</v>
      </c>
      <c r="V88" s="438">
        <v>0</v>
      </c>
      <c r="W88" s="410" t="e">
        <f>V88/$V$21</f>
        <v>#DIV/0!</v>
      </c>
      <c r="X88" s="438">
        <v>0</v>
      </c>
      <c r="Y88" s="407" t="e">
        <f>X88/$X$21</f>
        <v>#DIV/0!</v>
      </c>
      <c r="Z88" s="438">
        <v>0</v>
      </c>
      <c r="AA88" s="411" t="e">
        <f>Z88/$Z$21</f>
        <v>#DIV/0!</v>
      </c>
      <c r="AB88" s="401">
        <f>SUM(D88,F88,H88,J88,L88,N88,P88,R88,T88,V88,X88,Z88)</f>
        <v>4828</v>
      </c>
      <c r="AC88" s="407">
        <f t="shared" si="41"/>
        <v>8.5366491121298773E-6</v>
      </c>
      <c r="AD88" s="397">
        <f t="shared" si="34"/>
        <v>402.33333333333331</v>
      </c>
      <c r="AE88" s="396"/>
      <c r="AG88" s="397">
        <f>VLOOKUP(B88,TWN_IS!B:P,15,0)</f>
        <v>4828</v>
      </c>
      <c r="AH88" s="397">
        <f t="shared" si="38"/>
        <v>0</v>
      </c>
    </row>
    <row r="89" spans="1:34">
      <c r="A89" s="431" t="s">
        <v>1546</v>
      </c>
      <c r="B89" s="432"/>
      <c r="D89" s="438">
        <v>55646869</v>
      </c>
      <c r="E89" s="435">
        <f t="shared" si="39"/>
        <v>0.92364622734186164</v>
      </c>
      <c r="F89" s="438">
        <v>52320171</v>
      </c>
      <c r="G89" s="407">
        <f t="shared" si="40"/>
        <v>0.98584307961900453</v>
      </c>
      <c r="H89" s="438">
        <v>53472402</v>
      </c>
      <c r="I89" s="407">
        <f t="shared" si="35"/>
        <v>0.83902007108834076</v>
      </c>
      <c r="J89" s="438">
        <v>59947315</v>
      </c>
      <c r="K89" s="436">
        <f t="shared" si="42"/>
        <v>0.88987916398973488</v>
      </c>
      <c r="L89" s="438">
        <v>46938901</v>
      </c>
      <c r="M89" s="435">
        <f>L89/$L$21</f>
        <v>0.88096317316926487</v>
      </c>
      <c r="N89" s="438">
        <v>76556480</v>
      </c>
      <c r="O89" s="437">
        <f t="shared" si="36"/>
        <v>0.87505154708934485</v>
      </c>
      <c r="P89" s="438">
        <v>87191630</v>
      </c>
      <c r="Q89" s="437">
        <f t="shared" si="37"/>
        <v>0.88752641637009888</v>
      </c>
      <c r="R89" s="438">
        <v>70950644</v>
      </c>
      <c r="S89" s="437">
        <f t="shared" si="43"/>
        <v>0.86383049157596381</v>
      </c>
      <c r="T89" s="438">
        <v>0</v>
      </c>
      <c r="U89" s="407" t="e">
        <f>T89/$T$21</f>
        <v>#DIV/0!</v>
      </c>
      <c r="V89" s="438">
        <v>0</v>
      </c>
      <c r="W89" s="410" t="e">
        <f>V89/$V$21</f>
        <v>#DIV/0!</v>
      </c>
      <c r="X89" s="438">
        <v>0</v>
      </c>
      <c r="Y89" s="407" t="e">
        <f>X89/$X$21</f>
        <v>#DIV/0!</v>
      </c>
      <c r="Z89" s="438">
        <v>0</v>
      </c>
      <c r="AA89" s="411" t="e">
        <f>Z89/$Z$21</f>
        <v>#DIV/0!</v>
      </c>
      <c r="AB89" s="401">
        <f>SUM(D89,F89,H89,J89,L89,N89,P89,R89,T89,V89,X89,Z89)</f>
        <v>503024412</v>
      </c>
      <c r="AC89" s="407">
        <f t="shared" si="41"/>
        <v>0.88942479289135334</v>
      </c>
      <c r="AD89" s="397">
        <f t="shared" si="34"/>
        <v>41918701</v>
      </c>
      <c r="AE89" s="396"/>
      <c r="AG89" s="397">
        <f>VLOOKUP(A89,TWN_IS!A:P,16,0)</f>
        <v>503024412</v>
      </c>
      <c r="AH89" s="397">
        <f t="shared" si="38"/>
        <v>0</v>
      </c>
    </row>
    <row r="90" spans="1:34">
      <c r="A90" s="452" t="s">
        <v>1547</v>
      </c>
      <c r="B90" s="452"/>
      <c r="C90" s="453"/>
      <c r="D90" s="454">
        <v>4600082</v>
      </c>
      <c r="E90" s="475">
        <f t="shared" si="39"/>
        <v>7.6353772658138336E-2</v>
      </c>
      <c r="F90" s="454">
        <v>751329</v>
      </c>
      <c r="G90" s="456">
        <f t="shared" si="40"/>
        <v>1.415692038099545E-2</v>
      </c>
      <c r="H90" s="454">
        <v>10259568</v>
      </c>
      <c r="I90" s="455">
        <f t="shared" si="35"/>
        <v>0.16097992891165924</v>
      </c>
      <c r="J90" s="454">
        <v>7418365</v>
      </c>
      <c r="K90" s="457">
        <f t="shared" si="42"/>
        <v>0.11012083601026516</v>
      </c>
      <c r="L90" s="454">
        <v>6342442</v>
      </c>
      <c r="M90" s="455">
        <f>L90/$L$21</f>
        <v>0.1190368268307351</v>
      </c>
      <c r="N90" s="454">
        <v>10931486</v>
      </c>
      <c r="O90" s="458">
        <f t="shared" si="36"/>
        <v>0.12494845291065516</v>
      </c>
      <c r="P90" s="454">
        <v>11049536</v>
      </c>
      <c r="Q90" s="458">
        <f t="shared" si="37"/>
        <v>0.11247358362990113</v>
      </c>
      <c r="R90" s="454">
        <v>11184271</v>
      </c>
      <c r="S90" s="458">
        <f t="shared" si="43"/>
        <v>0.13616950842403625</v>
      </c>
      <c r="T90" s="454">
        <v>0</v>
      </c>
      <c r="U90" s="476" t="e">
        <f>T90/$T$21</f>
        <v>#DIV/0!</v>
      </c>
      <c r="V90" s="454">
        <v>0</v>
      </c>
      <c r="W90" s="459" t="e">
        <f>V90/$V$21</f>
        <v>#DIV/0!</v>
      </c>
      <c r="X90" s="454">
        <v>0</v>
      </c>
      <c r="Y90" s="456" t="e">
        <f>X90/$X$21</f>
        <v>#DIV/0!</v>
      </c>
      <c r="Z90" s="454">
        <v>0</v>
      </c>
      <c r="AA90" s="477" t="e">
        <f>Z90/$Z$21</f>
        <v>#DIV/0!</v>
      </c>
      <c r="AB90" s="461">
        <f>SUM(D90,F90,H90,J90,L90,N90,P90,R90,T90,V90,X90,Z90)</f>
        <v>62537079</v>
      </c>
      <c r="AC90" s="456">
        <f t="shared" si="41"/>
        <v>0.11057520710864666</v>
      </c>
      <c r="AD90" s="462">
        <f t="shared" si="34"/>
        <v>5211423.25</v>
      </c>
      <c r="AE90" s="396"/>
      <c r="AG90" s="397">
        <f>VLOOKUP(A90,TWN_IS!A:P,16,0)</f>
        <v>62537079</v>
      </c>
      <c r="AH90" s="397">
        <f t="shared" si="38"/>
        <v>0</v>
      </c>
    </row>
    <row r="91" spans="1:34">
      <c r="A91" s="452" t="s">
        <v>1548</v>
      </c>
      <c r="B91" s="452"/>
      <c r="C91" s="453"/>
      <c r="D91" s="478">
        <f>D90/D21*100</f>
        <v>7.6353772658138332</v>
      </c>
      <c r="E91" s="455"/>
      <c r="F91" s="478">
        <f>F90/F21*100</f>
        <v>1.415692038099545</v>
      </c>
      <c r="G91" s="455">
        <f t="shared" si="40"/>
        <v>2.667518419678255E-8</v>
      </c>
      <c r="H91" s="478">
        <f>H90/H21*100</f>
        <v>16.097992891165923</v>
      </c>
      <c r="I91" s="455"/>
      <c r="J91" s="478">
        <f>J90/J21*100</f>
        <v>11.012083601026516</v>
      </c>
      <c r="K91" s="457"/>
      <c r="L91" s="478">
        <f>L90/L21*100</f>
        <v>11.903682683073511</v>
      </c>
      <c r="M91" s="455"/>
      <c r="N91" s="478">
        <f>N90/N21*100</f>
        <v>12.494845291065516</v>
      </c>
      <c r="O91" s="458">
        <f t="shared" si="36"/>
        <v>1.4281787384410692E-7</v>
      </c>
      <c r="P91" s="478">
        <f>P90/P21*100</f>
        <v>11.247358362990113</v>
      </c>
      <c r="Q91" s="458">
        <f t="shared" si="37"/>
        <v>1.1448722384860652E-7</v>
      </c>
      <c r="R91" s="478">
        <f>R90/R21*100</f>
        <v>13.616950842403625</v>
      </c>
      <c r="S91" s="479">
        <f t="shared" si="43"/>
        <v>1.6578760497169353E-7</v>
      </c>
      <c r="T91" s="478" t="e">
        <f>T90/T21*100</f>
        <v>#DIV/0!</v>
      </c>
      <c r="U91" s="456"/>
      <c r="V91" s="478" t="e">
        <f>V90/V21*100</f>
        <v>#DIV/0!</v>
      </c>
      <c r="W91" s="459"/>
      <c r="X91" s="478" t="e">
        <f>X90/X21*100</f>
        <v>#DIV/0!</v>
      </c>
      <c r="Y91" s="456"/>
      <c r="Z91" s="478" t="e">
        <f>Z90/Z21*100</f>
        <v>#DIV/0!</v>
      </c>
      <c r="AA91" s="460"/>
      <c r="AB91" s="478">
        <f>AB90/AB21*100</f>
        <v>11.057520710864665</v>
      </c>
      <c r="AC91" s="456"/>
      <c r="AD91" s="478" t="e">
        <f t="shared" si="34"/>
        <v>#DIV/0!</v>
      </c>
      <c r="AE91" s="396"/>
      <c r="AG91" s="397">
        <f>VLOOKUP(A91,TWN_IS!A:P,16,0)</f>
        <v>11.057520710864665</v>
      </c>
      <c r="AH91" s="397">
        <f t="shared" si="38"/>
        <v>0</v>
      </c>
    </row>
    <row r="92" spans="1:34">
      <c r="A92" s="431" t="s">
        <v>1549</v>
      </c>
      <c r="B92" s="432"/>
      <c r="D92" s="438">
        <v>0</v>
      </c>
      <c r="E92" s="435">
        <f t="shared" si="39"/>
        <v>0</v>
      </c>
      <c r="F92" s="438">
        <v>0</v>
      </c>
      <c r="G92" s="407">
        <f t="shared" si="40"/>
        <v>0</v>
      </c>
      <c r="H92" s="438">
        <v>0</v>
      </c>
      <c r="I92" s="407">
        <f t="shared" si="35"/>
        <v>0</v>
      </c>
      <c r="J92" s="438">
        <v>0</v>
      </c>
      <c r="K92" s="436">
        <f t="shared" si="42"/>
        <v>0</v>
      </c>
      <c r="L92" s="438">
        <v>0</v>
      </c>
      <c r="M92" s="436">
        <f t="shared" si="42"/>
        <v>0</v>
      </c>
      <c r="N92" s="438">
        <v>0</v>
      </c>
      <c r="O92" s="407">
        <f t="shared" si="36"/>
        <v>0</v>
      </c>
      <c r="P92" s="438">
        <v>0</v>
      </c>
      <c r="Q92" s="437">
        <f t="shared" si="37"/>
        <v>0</v>
      </c>
      <c r="R92" s="438">
        <v>0</v>
      </c>
      <c r="S92" s="401">
        <f t="shared" si="43"/>
        <v>0</v>
      </c>
      <c r="T92" s="438">
        <v>0</v>
      </c>
      <c r="U92" s="401">
        <f t="shared" si="43"/>
        <v>0</v>
      </c>
      <c r="V92" s="438">
        <v>0</v>
      </c>
      <c r="W92" s="401">
        <f t="shared" si="43"/>
        <v>0</v>
      </c>
      <c r="X92" s="438">
        <v>0</v>
      </c>
      <c r="Y92" s="401">
        <f t="shared" si="43"/>
        <v>0</v>
      </c>
      <c r="Z92" s="438">
        <v>0</v>
      </c>
      <c r="AA92" s="401">
        <f t="shared" si="43"/>
        <v>0</v>
      </c>
      <c r="AB92" s="438">
        <f t="shared" ref="AB92:AB93" si="44">SUM(D92,F92,H92,J92,L92,N92,P92,R92,T92,V92,X92,Z92)</f>
        <v>0</v>
      </c>
      <c r="AC92" s="407">
        <f t="shared" si="41"/>
        <v>0</v>
      </c>
      <c r="AD92" s="438">
        <f t="shared" si="34"/>
        <v>0</v>
      </c>
      <c r="AE92" s="396"/>
      <c r="AG92" s="397">
        <f>VLOOKUP(A92,TWN_IS!A:P,16,0)</f>
        <v>0</v>
      </c>
      <c r="AH92" s="397">
        <f t="shared" si="38"/>
        <v>0</v>
      </c>
    </row>
    <row r="93" spans="1:34">
      <c r="A93" s="431" t="s">
        <v>1550</v>
      </c>
      <c r="B93" s="432"/>
      <c r="D93" s="438">
        <v>0</v>
      </c>
      <c r="E93" s="435">
        <f t="shared" si="39"/>
        <v>0</v>
      </c>
      <c r="F93" s="438">
        <v>0</v>
      </c>
      <c r="G93" s="407">
        <f t="shared" si="40"/>
        <v>0</v>
      </c>
      <c r="H93" s="438">
        <v>0</v>
      </c>
      <c r="I93" s="407">
        <f t="shared" si="35"/>
        <v>0</v>
      </c>
      <c r="J93" s="438">
        <v>0</v>
      </c>
      <c r="K93" s="436">
        <f t="shared" si="42"/>
        <v>0</v>
      </c>
      <c r="L93" s="438">
        <v>0</v>
      </c>
      <c r="M93" s="436">
        <f t="shared" si="42"/>
        <v>0</v>
      </c>
      <c r="N93" s="438">
        <v>0</v>
      </c>
      <c r="O93" s="407">
        <f t="shared" si="36"/>
        <v>0</v>
      </c>
      <c r="P93" s="438">
        <v>0</v>
      </c>
      <c r="Q93" s="437">
        <f t="shared" si="37"/>
        <v>0</v>
      </c>
      <c r="R93" s="438">
        <v>0</v>
      </c>
      <c r="S93" s="401">
        <f t="shared" si="43"/>
        <v>0</v>
      </c>
      <c r="T93" s="438">
        <v>0</v>
      </c>
      <c r="U93" s="401">
        <f t="shared" si="43"/>
        <v>0</v>
      </c>
      <c r="V93" s="438">
        <v>0</v>
      </c>
      <c r="W93" s="401">
        <f t="shared" si="43"/>
        <v>0</v>
      </c>
      <c r="X93" s="438">
        <v>0</v>
      </c>
      <c r="Y93" s="401">
        <f t="shared" si="43"/>
        <v>0</v>
      </c>
      <c r="Z93" s="438">
        <v>0</v>
      </c>
      <c r="AA93" s="401">
        <f t="shared" si="43"/>
        <v>0</v>
      </c>
      <c r="AB93" s="438">
        <f t="shared" si="44"/>
        <v>0</v>
      </c>
      <c r="AC93" s="407">
        <f t="shared" si="41"/>
        <v>0</v>
      </c>
      <c r="AD93" s="438">
        <f t="shared" si="34"/>
        <v>0</v>
      </c>
      <c r="AE93" s="396"/>
      <c r="AG93" s="397">
        <f>VLOOKUP(A93,TWN_IS!A:P,16,0)</f>
        <v>0</v>
      </c>
      <c r="AH93" s="397">
        <f t="shared" si="38"/>
        <v>0</v>
      </c>
    </row>
    <row r="94" spans="1:34">
      <c r="A94" s="431" t="s">
        <v>1551</v>
      </c>
      <c r="B94" s="432"/>
      <c r="D94" s="438"/>
      <c r="E94" s="435"/>
      <c r="F94" s="438"/>
      <c r="H94" s="438"/>
      <c r="J94" s="438"/>
      <c r="K94" s="436"/>
      <c r="L94" s="438"/>
      <c r="M94" s="435"/>
      <c r="N94" s="438"/>
      <c r="O94" s="437"/>
      <c r="P94" s="438"/>
      <c r="Q94" s="437"/>
      <c r="R94" s="438"/>
      <c r="T94" s="438"/>
      <c r="V94" s="438"/>
      <c r="X94" s="438"/>
      <c r="Z94" s="438"/>
      <c r="AB94" s="438"/>
      <c r="AC94" s="407"/>
      <c r="AD94" s="438"/>
      <c r="AE94" s="396"/>
      <c r="AG94" s="397">
        <f>VLOOKUP(A94,TWN_IS!A:P,16,0)</f>
        <v>0</v>
      </c>
      <c r="AH94" s="397">
        <f t="shared" si="38"/>
        <v>0</v>
      </c>
    </row>
    <row r="95" spans="1:34" s="398" customFormat="1" outlineLevel="1">
      <c r="A95" s="432"/>
      <c r="B95" s="431" t="s">
        <v>1552</v>
      </c>
      <c r="D95" s="438"/>
      <c r="E95" s="435"/>
      <c r="F95" s="438"/>
      <c r="G95" s="408"/>
      <c r="H95" s="438"/>
      <c r="I95" s="408"/>
      <c r="J95" s="438"/>
      <c r="K95" s="480"/>
      <c r="L95" s="438"/>
      <c r="M95" s="435"/>
      <c r="N95" s="438"/>
      <c r="O95" s="437"/>
      <c r="P95" s="438"/>
      <c r="Q95" s="437"/>
      <c r="R95" s="438"/>
      <c r="S95" s="481"/>
      <c r="T95" s="438"/>
      <c r="U95" s="408"/>
      <c r="V95" s="438"/>
      <c r="W95" s="482"/>
      <c r="X95" s="438"/>
      <c r="Y95" s="408"/>
      <c r="Z95" s="438"/>
      <c r="AA95" s="483"/>
      <c r="AB95" s="438"/>
      <c r="AC95" s="408"/>
      <c r="AD95" s="438"/>
      <c r="AG95" s="398">
        <f>VLOOKUP(B95,TWN_IS!B:P,15,0)</f>
        <v>0</v>
      </c>
      <c r="AH95" s="397">
        <f t="shared" si="38"/>
        <v>0</v>
      </c>
    </row>
    <row r="96" spans="1:34" outlineLevel="1">
      <c r="A96" s="432"/>
      <c r="B96" s="432" t="s">
        <v>1395</v>
      </c>
      <c r="D96" s="434">
        <v>1400449</v>
      </c>
      <c r="E96" s="435">
        <f t="shared" si="39"/>
        <v>2.3245143144256381E-2</v>
      </c>
      <c r="F96" s="434">
        <v>1731573</v>
      </c>
      <c r="G96" s="436">
        <f t="shared" si="40"/>
        <v>3.2627172776348891E-2</v>
      </c>
      <c r="H96" s="434">
        <v>1617767</v>
      </c>
      <c r="I96" s="407">
        <f t="shared" si="35"/>
        <v>2.5383916423735216E-2</v>
      </c>
      <c r="J96" s="434">
        <v>1595394</v>
      </c>
      <c r="K96" s="436">
        <f t="shared" si="42"/>
        <v>2.3682593273013797E-2</v>
      </c>
      <c r="L96" s="434">
        <v>1548120</v>
      </c>
      <c r="M96" s="435">
        <f t="shared" ref="M96:M159" si="45">L96/$L$21</f>
        <v>2.9055573918247517E-2</v>
      </c>
      <c r="N96" s="434">
        <v>1519795</v>
      </c>
      <c r="O96" s="437">
        <f t="shared" si="36"/>
        <v>1.7371474838036582E-2</v>
      </c>
      <c r="P96" s="434">
        <v>1616078</v>
      </c>
      <c r="Q96" s="437">
        <f t="shared" si="37"/>
        <v>1.6450110130003952E-2</v>
      </c>
      <c r="R96" s="434">
        <v>1718648</v>
      </c>
      <c r="S96" s="437">
        <f t="shared" si="43"/>
        <v>2.0924694449370285E-2</v>
      </c>
      <c r="T96" s="434">
        <v>0</v>
      </c>
      <c r="U96" s="407" t="e">
        <f t="shared" ref="U96:U159" si="46">T96/$T$21</f>
        <v>#DIV/0!</v>
      </c>
      <c r="V96" s="434">
        <v>0</v>
      </c>
      <c r="W96" s="410" t="e">
        <f t="shared" ref="W96:W134" si="47">V96/$V$21</f>
        <v>#DIV/0!</v>
      </c>
      <c r="X96" s="434">
        <v>0</v>
      </c>
      <c r="Y96" s="407" t="e">
        <f t="shared" ref="Y96:Y134" si="48">X96/$X$21</f>
        <v>#DIV/0!</v>
      </c>
      <c r="Z96" s="434">
        <v>0</v>
      </c>
      <c r="AA96" s="411" t="e">
        <f t="shared" ref="AA96:AA134" si="49">Z96/$Z$21</f>
        <v>#DIV/0!</v>
      </c>
      <c r="AB96" s="434">
        <f t="shared" ref="AB96:AB134" si="50">SUM(D96,F96,H96,J96,L96,N96,P96,R96,T96,V96,X96,Z96)</f>
        <v>12747824</v>
      </c>
      <c r="AC96" s="407">
        <f t="shared" si="41"/>
        <v>2.2540120221869915E-2</v>
      </c>
      <c r="AD96" s="434">
        <f t="shared" si="34"/>
        <v>1062318.6666666667</v>
      </c>
      <c r="AE96" s="396"/>
      <c r="AG96" s="397">
        <f>VLOOKUP(B96,TWN_IS!B:P,15,0)</f>
        <v>12747824</v>
      </c>
      <c r="AH96" s="397">
        <f t="shared" si="38"/>
        <v>0</v>
      </c>
    </row>
    <row r="97" spans="1:34" outlineLevel="1">
      <c r="A97" s="432"/>
      <c r="B97" s="432" t="s">
        <v>1396</v>
      </c>
      <c r="D97" s="434">
        <v>986000</v>
      </c>
      <c r="E97" s="435">
        <f t="shared" si="39"/>
        <v>1.6365973441543953E-2</v>
      </c>
      <c r="F97" s="434">
        <v>1193611</v>
      </c>
      <c r="G97" s="436">
        <f t="shared" si="40"/>
        <v>2.2490621143174773E-2</v>
      </c>
      <c r="H97" s="434">
        <v>1159419</v>
      </c>
      <c r="I97" s="407">
        <f t="shared" si="35"/>
        <v>1.8192109862601141E-2</v>
      </c>
      <c r="J97" s="434">
        <v>1183297</v>
      </c>
      <c r="K97" s="436">
        <f t="shared" si="42"/>
        <v>1.7565279531060921E-2</v>
      </c>
      <c r="L97" s="434">
        <v>1122853</v>
      </c>
      <c r="M97" s="435">
        <f t="shared" si="45"/>
        <v>2.1074037116519378E-2</v>
      </c>
      <c r="N97" s="434">
        <v>1122449</v>
      </c>
      <c r="O97" s="437">
        <f t="shared" si="36"/>
        <v>1.2829753065695915E-2</v>
      </c>
      <c r="P97" s="434">
        <v>1176565</v>
      </c>
      <c r="Q97" s="437">
        <f t="shared" si="37"/>
        <v>1.1976293115250688E-2</v>
      </c>
      <c r="R97" s="434">
        <v>1275463</v>
      </c>
      <c r="S97" s="437">
        <f t="shared" si="43"/>
        <v>1.5528877092038143E-2</v>
      </c>
      <c r="T97" s="434">
        <v>0</v>
      </c>
      <c r="U97" s="407" t="e">
        <f t="shared" si="46"/>
        <v>#DIV/0!</v>
      </c>
      <c r="V97" s="434">
        <v>0</v>
      </c>
      <c r="W97" s="410" t="e">
        <f t="shared" si="47"/>
        <v>#DIV/0!</v>
      </c>
      <c r="X97" s="434">
        <v>0</v>
      </c>
      <c r="Y97" s="407" t="e">
        <f t="shared" si="48"/>
        <v>#DIV/0!</v>
      </c>
      <c r="Z97" s="434">
        <v>0</v>
      </c>
      <c r="AA97" s="411" t="e">
        <f t="shared" si="49"/>
        <v>#DIV/0!</v>
      </c>
      <c r="AB97" s="434">
        <f t="shared" si="50"/>
        <v>9219657</v>
      </c>
      <c r="AC97" s="407">
        <f t="shared" si="41"/>
        <v>1.6301776458821877E-2</v>
      </c>
      <c r="AD97" s="434">
        <f t="shared" si="34"/>
        <v>768304.75</v>
      </c>
      <c r="AE97" s="396"/>
      <c r="AG97" s="397">
        <f>VLOOKUP(B97,TWN_IS!B:P,15,0)</f>
        <v>9219657</v>
      </c>
      <c r="AH97" s="397">
        <f t="shared" si="38"/>
        <v>0</v>
      </c>
    </row>
    <row r="98" spans="1:34" outlineLevel="1">
      <c r="A98" s="432"/>
      <c r="B98" s="432" t="s">
        <v>1397</v>
      </c>
      <c r="D98" s="434">
        <v>0</v>
      </c>
      <c r="E98" s="435">
        <f t="shared" si="39"/>
        <v>0</v>
      </c>
      <c r="F98" s="434">
        <v>18700</v>
      </c>
      <c r="G98" s="436">
        <f t="shared" si="40"/>
        <v>3.523548420527025E-4</v>
      </c>
      <c r="H98" s="434">
        <v>52614</v>
      </c>
      <c r="I98" s="407">
        <f t="shared" si="35"/>
        <v>8.2555113234378285E-4</v>
      </c>
      <c r="J98" s="434">
        <v>0</v>
      </c>
      <c r="K98" s="436">
        <f t="shared" si="42"/>
        <v>0</v>
      </c>
      <c r="L98" s="434">
        <v>15669</v>
      </c>
      <c r="M98" s="435">
        <f t="shared" si="45"/>
        <v>2.9408042511240752E-4</v>
      </c>
      <c r="N98" s="434">
        <v>0</v>
      </c>
      <c r="O98" s="437">
        <f t="shared" si="36"/>
        <v>0</v>
      </c>
      <c r="P98" s="434">
        <v>0</v>
      </c>
      <c r="Q98" s="437">
        <f t="shared" si="37"/>
        <v>0</v>
      </c>
      <c r="R98" s="434">
        <v>0</v>
      </c>
      <c r="S98" s="437">
        <f t="shared" si="43"/>
        <v>0</v>
      </c>
      <c r="T98" s="434">
        <v>0</v>
      </c>
      <c r="U98" s="407" t="e">
        <f t="shared" si="46"/>
        <v>#DIV/0!</v>
      </c>
      <c r="V98" s="434">
        <v>0</v>
      </c>
      <c r="W98" s="410" t="e">
        <f t="shared" si="47"/>
        <v>#DIV/0!</v>
      </c>
      <c r="X98" s="434">
        <v>0</v>
      </c>
      <c r="Y98" s="407" t="e">
        <f t="shared" si="48"/>
        <v>#DIV/0!</v>
      </c>
      <c r="Z98" s="434">
        <v>0</v>
      </c>
      <c r="AA98" s="411" t="e">
        <f t="shared" si="49"/>
        <v>#DIV/0!</v>
      </c>
      <c r="AB98" s="434">
        <f t="shared" si="50"/>
        <v>86983</v>
      </c>
      <c r="AC98" s="407">
        <f t="shared" si="41"/>
        <v>1.5379936821052054E-4</v>
      </c>
      <c r="AD98" s="434">
        <f t="shared" si="34"/>
        <v>7248.583333333333</v>
      </c>
      <c r="AE98" s="396"/>
      <c r="AG98" s="397">
        <f>VLOOKUP(B98,TWN_IS!B:P,15,0)</f>
        <v>86983</v>
      </c>
      <c r="AH98" s="397">
        <f t="shared" si="38"/>
        <v>0</v>
      </c>
    </row>
    <row r="99" spans="1:34" outlineLevel="1">
      <c r="A99" s="432"/>
      <c r="B99" s="432" t="s">
        <v>1398</v>
      </c>
      <c r="D99" s="434">
        <v>0</v>
      </c>
      <c r="E99" s="435">
        <f t="shared" si="39"/>
        <v>0</v>
      </c>
      <c r="F99" s="434">
        <v>0</v>
      </c>
      <c r="G99" s="436">
        <f t="shared" si="40"/>
        <v>0</v>
      </c>
      <c r="H99" s="434">
        <v>0</v>
      </c>
      <c r="I99" s="407">
        <f t="shared" si="35"/>
        <v>0</v>
      </c>
      <c r="J99" s="434">
        <v>0</v>
      </c>
      <c r="K99" s="436">
        <f t="shared" si="42"/>
        <v>0</v>
      </c>
      <c r="L99" s="434">
        <v>0</v>
      </c>
      <c r="M99" s="435">
        <f t="shared" si="45"/>
        <v>0</v>
      </c>
      <c r="N99" s="434">
        <v>0</v>
      </c>
      <c r="O99" s="437">
        <f t="shared" si="36"/>
        <v>0</v>
      </c>
      <c r="P99" s="434">
        <v>0</v>
      </c>
      <c r="Q99" s="437">
        <f t="shared" si="37"/>
        <v>0</v>
      </c>
      <c r="R99" s="434">
        <v>0</v>
      </c>
      <c r="S99" s="437">
        <f t="shared" si="43"/>
        <v>0</v>
      </c>
      <c r="T99" s="434">
        <v>0</v>
      </c>
      <c r="U99" s="407" t="e">
        <f t="shared" si="46"/>
        <v>#DIV/0!</v>
      </c>
      <c r="V99" s="434">
        <v>0</v>
      </c>
      <c r="W99" s="410" t="e">
        <f t="shared" si="47"/>
        <v>#DIV/0!</v>
      </c>
      <c r="X99" s="434">
        <v>0</v>
      </c>
      <c r="Y99" s="407" t="e">
        <f t="shared" si="48"/>
        <v>#DIV/0!</v>
      </c>
      <c r="Z99" s="434">
        <v>0</v>
      </c>
      <c r="AA99" s="411" t="e">
        <f t="shared" si="49"/>
        <v>#DIV/0!</v>
      </c>
      <c r="AB99" s="434">
        <f t="shared" si="50"/>
        <v>0</v>
      </c>
      <c r="AC99" s="407">
        <f t="shared" si="41"/>
        <v>0</v>
      </c>
      <c r="AD99" s="434">
        <f t="shared" si="34"/>
        <v>0</v>
      </c>
      <c r="AE99" s="396"/>
      <c r="AG99" s="397">
        <f>VLOOKUP(B99,TWN_IS!B:P,15,0)</f>
        <v>0</v>
      </c>
      <c r="AH99" s="397">
        <f t="shared" si="38"/>
        <v>0</v>
      </c>
    </row>
    <row r="100" spans="1:34" outlineLevel="1">
      <c r="A100" s="432"/>
      <c r="B100" s="432" t="s">
        <v>1399</v>
      </c>
      <c r="D100" s="434">
        <v>0</v>
      </c>
      <c r="E100" s="435">
        <f t="shared" si="39"/>
        <v>0</v>
      </c>
      <c r="F100" s="434">
        <v>18700</v>
      </c>
      <c r="G100" s="436">
        <f t="shared" si="40"/>
        <v>3.523548420527025E-4</v>
      </c>
      <c r="H100" s="434">
        <v>52614</v>
      </c>
      <c r="I100" s="407">
        <f t="shared" si="35"/>
        <v>8.2555113234378285E-4</v>
      </c>
      <c r="J100" s="434">
        <v>0</v>
      </c>
      <c r="K100" s="436">
        <f t="shared" si="42"/>
        <v>0</v>
      </c>
      <c r="L100" s="434">
        <v>15669</v>
      </c>
      <c r="M100" s="435">
        <f t="shared" si="45"/>
        <v>2.9408042511240752E-4</v>
      </c>
      <c r="N100" s="434">
        <v>0</v>
      </c>
      <c r="O100" s="437">
        <f t="shared" si="36"/>
        <v>0</v>
      </c>
      <c r="P100" s="434">
        <v>0</v>
      </c>
      <c r="Q100" s="437">
        <f t="shared" si="37"/>
        <v>0</v>
      </c>
      <c r="R100" s="434">
        <v>0</v>
      </c>
      <c r="S100" s="437">
        <f t="shared" si="43"/>
        <v>0</v>
      </c>
      <c r="T100" s="434">
        <v>0</v>
      </c>
      <c r="U100" s="407" t="e">
        <f t="shared" si="46"/>
        <v>#DIV/0!</v>
      </c>
      <c r="V100" s="434">
        <v>0</v>
      </c>
      <c r="W100" s="410" t="e">
        <f t="shared" si="47"/>
        <v>#DIV/0!</v>
      </c>
      <c r="X100" s="434">
        <v>0</v>
      </c>
      <c r="Y100" s="407" t="e">
        <f t="shared" si="48"/>
        <v>#DIV/0!</v>
      </c>
      <c r="Z100" s="434">
        <v>0</v>
      </c>
      <c r="AA100" s="411" t="e">
        <f t="shared" si="49"/>
        <v>#DIV/0!</v>
      </c>
      <c r="AB100" s="434">
        <f t="shared" si="50"/>
        <v>86983</v>
      </c>
      <c r="AC100" s="407">
        <f t="shared" si="41"/>
        <v>1.5379936821052054E-4</v>
      </c>
      <c r="AD100" s="434">
        <f t="shared" si="34"/>
        <v>7248.583333333333</v>
      </c>
      <c r="AE100" s="396"/>
      <c r="AG100" s="397">
        <f>VLOOKUP(B100,TWN_IS!B:P,15,0)</f>
        <v>86983</v>
      </c>
      <c r="AH100" s="397">
        <f t="shared" si="38"/>
        <v>0</v>
      </c>
    </row>
    <row r="101" spans="1:34" outlineLevel="1">
      <c r="A101" s="432"/>
      <c r="B101" s="432" t="s">
        <v>1400</v>
      </c>
      <c r="D101" s="434">
        <v>353500</v>
      </c>
      <c r="E101" s="435">
        <f t="shared" si="39"/>
        <v>5.867516847450089E-3</v>
      </c>
      <c r="F101" s="434">
        <v>447100</v>
      </c>
      <c r="G101" s="436">
        <f t="shared" si="40"/>
        <v>8.4244839508964327E-3</v>
      </c>
      <c r="H101" s="434">
        <v>335840</v>
      </c>
      <c r="I101" s="407">
        <f t="shared" si="35"/>
        <v>5.2695687894160495E-3</v>
      </c>
      <c r="J101" s="434">
        <v>340900</v>
      </c>
      <c r="K101" s="436">
        <f t="shared" si="42"/>
        <v>5.060440271663553E-3</v>
      </c>
      <c r="L101" s="434">
        <v>342100</v>
      </c>
      <c r="M101" s="435">
        <f t="shared" si="45"/>
        <v>6.4206339543656024E-3</v>
      </c>
      <c r="N101" s="434">
        <v>324800</v>
      </c>
      <c r="O101" s="437">
        <f t="shared" si="36"/>
        <v>3.7125105868846008E-3</v>
      </c>
      <c r="P101" s="434">
        <v>364300</v>
      </c>
      <c r="Q101" s="437">
        <f t="shared" si="37"/>
        <v>3.7082214598308004E-3</v>
      </c>
      <c r="R101" s="434">
        <v>364300</v>
      </c>
      <c r="S101" s="437">
        <f t="shared" si="43"/>
        <v>4.4353853656511361E-3</v>
      </c>
      <c r="T101" s="434">
        <v>0</v>
      </c>
      <c r="U101" s="407" t="e">
        <f t="shared" si="46"/>
        <v>#DIV/0!</v>
      </c>
      <c r="V101" s="434">
        <v>0</v>
      </c>
      <c r="W101" s="410" t="e">
        <f t="shared" si="47"/>
        <v>#DIV/0!</v>
      </c>
      <c r="X101" s="434">
        <v>0</v>
      </c>
      <c r="Y101" s="407" t="e">
        <f t="shared" si="48"/>
        <v>#DIV/0!</v>
      </c>
      <c r="Z101" s="434">
        <v>0</v>
      </c>
      <c r="AA101" s="411" t="e">
        <f t="shared" si="49"/>
        <v>#DIV/0!</v>
      </c>
      <c r="AB101" s="434">
        <f t="shared" si="50"/>
        <v>2872840</v>
      </c>
      <c r="AC101" s="407">
        <f t="shared" si="41"/>
        <v>5.0796244894969339E-3</v>
      </c>
      <c r="AD101" s="434">
        <f t="shared" si="34"/>
        <v>239403.33333333334</v>
      </c>
      <c r="AE101" s="396"/>
      <c r="AG101" s="397">
        <f>VLOOKUP(B101,TWN_IS!B:P,15,0)</f>
        <v>2872840</v>
      </c>
      <c r="AH101" s="397">
        <f t="shared" si="38"/>
        <v>0</v>
      </c>
    </row>
    <row r="102" spans="1:34" outlineLevel="1">
      <c r="A102" s="432"/>
      <c r="B102" s="432" t="s">
        <v>1401</v>
      </c>
      <c r="D102" s="434">
        <v>60949</v>
      </c>
      <c r="E102" s="435">
        <f t="shared" si="39"/>
        <v>1.0116528552623352E-3</v>
      </c>
      <c r="F102" s="434">
        <v>72162</v>
      </c>
      <c r="G102" s="436">
        <f t="shared" si="40"/>
        <v>1.3597128402249796E-3</v>
      </c>
      <c r="H102" s="434">
        <v>69894</v>
      </c>
      <c r="I102" s="407">
        <f t="shared" si="35"/>
        <v>1.0966866393742418E-3</v>
      </c>
      <c r="J102" s="434">
        <v>71197</v>
      </c>
      <c r="K102" s="436">
        <f t="shared" si="42"/>
        <v>1.0568734702893223E-3</v>
      </c>
      <c r="L102" s="434">
        <v>67498</v>
      </c>
      <c r="M102" s="435">
        <f t="shared" si="45"/>
        <v>1.2668224222501297E-3</v>
      </c>
      <c r="N102" s="434">
        <v>72546</v>
      </c>
      <c r="O102" s="437">
        <f t="shared" si="36"/>
        <v>8.2921118545606603E-4</v>
      </c>
      <c r="P102" s="434">
        <v>75213</v>
      </c>
      <c r="Q102" s="437">
        <f t="shared" si="37"/>
        <v>7.6559555492246496E-4</v>
      </c>
      <c r="R102" s="434">
        <v>78885</v>
      </c>
      <c r="S102" s="437">
        <f t="shared" si="43"/>
        <v>9.6043199168100433E-4</v>
      </c>
      <c r="T102" s="434">
        <v>0</v>
      </c>
      <c r="U102" s="407" t="e">
        <f t="shared" si="46"/>
        <v>#DIV/0!</v>
      </c>
      <c r="V102" s="434">
        <v>0</v>
      </c>
      <c r="W102" s="410" t="e">
        <f t="shared" si="47"/>
        <v>#DIV/0!</v>
      </c>
      <c r="X102" s="434">
        <v>0</v>
      </c>
      <c r="Y102" s="407" t="e">
        <f t="shared" si="48"/>
        <v>#DIV/0!</v>
      </c>
      <c r="Z102" s="434">
        <v>0</v>
      </c>
      <c r="AA102" s="411" t="e">
        <f t="shared" si="49"/>
        <v>#DIV/0!</v>
      </c>
      <c r="AB102" s="434">
        <f t="shared" si="50"/>
        <v>568344</v>
      </c>
      <c r="AC102" s="407">
        <f t="shared" si="41"/>
        <v>1.0049199053405848E-3</v>
      </c>
      <c r="AD102" s="434">
        <f t="shared" si="34"/>
        <v>47362</v>
      </c>
      <c r="AE102" s="396"/>
      <c r="AG102" s="397">
        <f>VLOOKUP(B102,TWN_IS!B:P,15,0)</f>
        <v>568344</v>
      </c>
      <c r="AH102" s="397">
        <f t="shared" si="38"/>
        <v>0</v>
      </c>
    </row>
    <row r="103" spans="1:34" outlineLevel="1">
      <c r="A103" s="432"/>
      <c r="B103" s="432" t="s">
        <v>1402</v>
      </c>
      <c r="D103" s="434">
        <v>0</v>
      </c>
      <c r="E103" s="435">
        <f t="shared" si="39"/>
        <v>0</v>
      </c>
      <c r="F103" s="434">
        <v>0</v>
      </c>
      <c r="G103" s="484">
        <f t="shared" si="40"/>
        <v>0</v>
      </c>
      <c r="H103" s="434">
        <v>0</v>
      </c>
      <c r="I103" s="407">
        <f t="shared" si="35"/>
        <v>0</v>
      </c>
      <c r="J103" s="434">
        <v>0</v>
      </c>
      <c r="K103" s="436">
        <f t="shared" si="42"/>
        <v>0</v>
      </c>
      <c r="L103" s="434">
        <v>0</v>
      </c>
      <c r="M103" s="435">
        <f t="shared" si="45"/>
        <v>0</v>
      </c>
      <c r="N103" s="434">
        <v>0</v>
      </c>
      <c r="O103" s="437">
        <f t="shared" si="36"/>
        <v>0</v>
      </c>
      <c r="P103" s="434">
        <v>0</v>
      </c>
      <c r="Q103" s="437">
        <f t="shared" si="37"/>
        <v>0</v>
      </c>
      <c r="R103" s="434">
        <v>0</v>
      </c>
      <c r="S103" s="437">
        <f t="shared" si="43"/>
        <v>0</v>
      </c>
      <c r="T103" s="434">
        <v>0</v>
      </c>
      <c r="U103" s="407" t="e">
        <f t="shared" si="46"/>
        <v>#DIV/0!</v>
      </c>
      <c r="V103" s="434">
        <v>0</v>
      </c>
      <c r="W103" s="410" t="e">
        <f t="shared" si="47"/>
        <v>#DIV/0!</v>
      </c>
      <c r="X103" s="434">
        <v>0</v>
      </c>
      <c r="Y103" s="407" t="e">
        <f t="shared" si="48"/>
        <v>#DIV/0!</v>
      </c>
      <c r="Z103" s="434">
        <v>0</v>
      </c>
      <c r="AA103" s="411" t="e">
        <f t="shared" si="49"/>
        <v>#DIV/0!</v>
      </c>
      <c r="AB103" s="434">
        <f t="shared" si="50"/>
        <v>0</v>
      </c>
      <c r="AC103" s="407">
        <f t="shared" si="41"/>
        <v>0</v>
      </c>
      <c r="AD103" s="434">
        <f t="shared" ref="AD103:AD166" si="51">AVERAGE(D103,F103,H103,J103,L103,N103,P103,R103,T103,V103,X103,Z103)</f>
        <v>0</v>
      </c>
      <c r="AE103" s="396"/>
      <c r="AG103" s="397">
        <f>VLOOKUP(B103,TWN_IS!B:P,15,0)</f>
        <v>0</v>
      </c>
      <c r="AH103" s="397">
        <f t="shared" si="38"/>
        <v>0</v>
      </c>
    </row>
    <row r="104" spans="1:34" outlineLevel="1">
      <c r="A104" s="432"/>
      <c r="B104" s="432" t="s">
        <v>1403</v>
      </c>
      <c r="D104" s="434">
        <v>0</v>
      </c>
      <c r="E104" s="435">
        <f t="shared" si="39"/>
        <v>0</v>
      </c>
      <c r="F104" s="434">
        <v>0</v>
      </c>
      <c r="G104" s="484">
        <f t="shared" si="40"/>
        <v>0</v>
      </c>
      <c r="H104" s="434">
        <v>0</v>
      </c>
      <c r="I104" s="407">
        <f t="shared" si="35"/>
        <v>0</v>
      </c>
      <c r="J104" s="434">
        <v>0</v>
      </c>
      <c r="K104" s="436">
        <f t="shared" si="42"/>
        <v>0</v>
      </c>
      <c r="L104" s="434">
        <v>0</v>
      </c>
      <c r="M104" s="435">
        <f t="shared" si="45"/>
        <v>0</v>
      </c>
      <c r="N104" s="434">
        <v>0</v>
      </c>
      <c r="O104" s="437">
        <f t="shared" si="36"/>
        <v>0</v>
      </c>
      <c r="P104" s="434">
        <v>0</v>
      </c>
      <c r="Q104" s="437">
        <f t="shared" si="37"/>
        <v>0</v>
      </c>
      <c r="R104" s="434">
        <v>0</v>
      </c>
      <c r="S104" s="437">
        <f t="shared" si="43"/>
        <v>0</v>
      </c>
      <c r="T104" s="434">
        <v>0</v>
      </c>
      <c r="U104" s="407" t="e">
        <f t="shared" si="46"/>
        <v>#DIV/0!</v>
      </c>
      <c r="V104" s="434">
        <v>0</v>
      </c>
      <c r="W104" s="410" t="e">
        <f t="shared" si="47"/>
        <v>#DIV/0!</v>
      </c>
      <c r="X104" s="434">
        <v>0</v>
      </c>
      <c r="Y104" s="407" t="e">
        <f t="shared" si="48"/>
        <v>#DIV/0!</v>
      </c>
      <c r="Z104" s="434">
        <v>0</v>
      </c>
      <c r="AA104" s="411" t="e">
        <f t="shared" si="49"/>
        <v>#DIV/0!</v>
      </c>
      <c r="AB104" s="434">
        <f t="shared" si="50"/>
        <v>0</v>
      </c>
      <c r="AC104" s="407">
        <f t="shared" si="41"/>
        <v>0</v>
      </c>
      <c r="AD104" s="434">
        <f t="shared" si="51"/>
        <v>0</v>
      </c>
      <c r="AE104" s="396"/>
      <c r="AG104" s="397">
        <f>VLOOKUP(B104,TWN_IS!B:P,15,0)</f>
        <v>0</v>
      </c>
      <c r="AH104" s="397">
        <f t="shared" si="38"/>
        <v>0</v>
      </c>
    </row>
    <row r="105" spans="1:34" outlineLevel="1">
      <c r="A105" s="432"/>
      <c r="B105" s="432" t="s">
        <v>1404</v>
      </c>
      <c r="D105" s="434">
        <v>0</v>
      </c>
      <c r="E105" s="435">
        <f t="shared" si="39"/>
        <v>0</v>
      </c>
      <c r="F105" s="434">
        <v>0</v>
      </c>
      <c r="G105" s="484">
        <f t="shared" si="40"/>
        <v>0</v>
      </c>
      <c r="H105" s="434">
        <v>492</v>
      </c>
      <c r="I105" s="407">
        <f t="shared" si="35"/>
        <v>7.7198304085061237E-6</v>
      </c>
      <c r="J105" s="434">
        <v>600</v>
      </c>
      <c r="K105" s="436">
        <f t="shared" si="42"/>
        <v>8.9066123877915274E-6</v>
      </c>
      <c r="L105" s="434">
        <v>0</v>
      </c>
      <c r="M105" s="435">
        <f t="shared" si="45"/>
        <v>0</v>
      </c>
      <c r="N105" s="434">
        <v>1491</v>
      </c>
      <c r="O105" s="437">
        <f t="shared" si="36"/>
        <v>1.704234385789698E-5</v>
      </c>
      <c r="P105" s="434">
        <v>2766</v>
      </c>
      <c r="Q105" s="437">
        <f t="shared" si="37"/>
        <v>2.8155203288202014E-5</v>
      </c>
      <c r="R105" s="434">
        <v>510</v>
      </c>
      <c r="S105" s="437">
        <f t="shared" si="43"/>
        <v>6.209296010107273E-6</v>
      </c>
      <c r="T105" s="434">
        <v>0</v>
      </c>
      <c r="U105" s="407" t="e">
        <f t="shared" si="46"/>
        <v>#DIV/0!</v>
      </c>
      <c r="V105" s="434">
        <v>0</v>
      </c>
      <c r="W105" s="410" t="e">
        <f t="shared" si="47"/>
        <v>#DIV/0!</v>
      </c>
      <c r="X105" s="434">
        <v>0</v>
      </c>
      <c r="Y105" s="407" t="e">
        <f t="shared" si="48"/>
        <v>#DIV/0!</v>
      </c>
      <c r="Z105" s="434">
        <v>0</v>
      </c>
      <c r="AA105" s="411" t="e">
        <f t="shared" si="49"/>
        <v>#DIV/0!</v>
      </c>
      <c r="AB105" s="434">
        <f t="shared" si="50"/>
        <v>5859</v>
      </c>
      <c r="AC105" s="407">
        <f t="shared" si="41"/>
        <v>1.0359616227831184E-5</v>
      </c>
      <c r="AD105" s="434">
        <f t="shared" si="51"/>
        <v>488.25</v>
      </c>
      <c r="AE105" s="396"/>
      <c r="AG105" s="397">
        <f>VLOOKUP(B105,TWN_IS!B:P,15,0)</f>
        <v>5859</v>
      </c>
      <c r="AH105" s="397">
        <f t="shared" si="38"/>
        <v>0</v>
      </c>
    </row>
    <row r="106" spans="1:34" outlineLevel="1">
      <c r="A106" s="432"/>
      <c r="B106" s="432" t="s">
        <v>1405</v>
      </c>
      <c r="D106" s="434">
        <v>14500</v>
      </c>
      <c r="E106" s="435">
        <f t="shared" si="39"/>
        <v>2.406760800227052E-4</v>
      </c>
      <c r="F106" s="434">
        <v>70700</v>
      </c>
      <c r="G106" s="484">
        <f t="shared" si="40"/>
        <v>1.3321650980281318E-3</v>
      </c>
      <c r="H106" s="434">
        <v>98827</v>
      </c>
      <c r="I106" s="407">
        <f t="shared" si="35"/>
        <v>1.5506660158159241E-3</v>
      </c>
      <c r="J106" s="434">
        <v>36419</v>
      </c>
      <c r="K106" s="436">
        <f t="shared" si="42"/>
        <v>5.4061652758496611E-4</v>
      </c>
      <c r="L106" s="434">
        <v>160433</v>
      </c>
      <c r="M106" s="435">
        <f t="shared" si="45"/>
        <v>3.0110539818787975E-3</v>
      </c>
      <c r="N106" s="434">
        <v>94864</v>
      </c>
      <c r="O106" s="437">
        <f t="shared" si="36"/>
        <v>1.0843091265831919E-3</v>
      </c>
      <c r="P106" s="434">
        <v>83134</v>
      </c>
      <c r="Q106" s="437">
        <f t="shared" si="37"/>
        <v>8.4622366961727635E-4</v>
      </c>
      <c r="R106" s="434">
        <v>34846</v>
      </c>
      <c r="S106" s="437">
        <f t="shared" si="43"/>
        <v>4.2425319366313341E-4</v>
      </c>
      <c r="T106" s="434">
        <v>0</v>
      </c>
      <c r="U106" s="407" t="e">
        <f t="shared" si="46"/>
        <v>#DIV/0!</v>
      </c>
      <c r="V106" s="434">
        <v>0</v>
      </c>
      <c r="W106" s="410" t="e">
        <f t="shared" si="47"/>
        <v>#DIV/0!</v>
      </c>
      <c r="X106" s="434">
        <v>0</v>
      </c>
      <c r="Y106" s="407" t="e">
        <f t="shared" si="48"/>
        <v>#DIV/0!</v>
      </c>
      <c r="Z106" s="434">
        <v>0</v>
      </c>
      <c r="AA106" s="411" t="e">
        <f t="shared" si="49"/>
        <v>#DIV/0!</v>
      </c>
      <c r="AB106" s="434">
        <f t="shared" si="50"/>
        <v>593723</v>
      </c>
      <c r="AC106" s="407">
        <f t="shared" si="41"/>
        <v>1.0497938941178722E-3</v>
      </c>
      <c r="AD106" s="434">
        <f t="shared" si="51"/>
        <v>49476.916666666664</v>
      </c>
      <c r="AE106" s="396"/>
      <c r="AG106" s="397">
        <f>VLOOKUP(B106,TWN_IS!B:P,15,0)</f>
        <v>593723</v>
      </c>
      <c r="AH106" s="397">
        <f t="shared" si="38"/>
        <v>0</v>
      </c>
    </row>
    <row r="107" spans="1:34" outlineLevel="1">
      <c r="A107" s="432"/>
      <c r="B107" s="432" t="s">
        <v>1406</v>
      </c>
      <c r="D107" s="434">
        <v>51044</v>
      </c>
      <c r="E107" s="435">
        <f t="shared" si="39"/>
        <v>8.4724619508130795E-4</v>
      </c>
      <c r="F107" s="434">
        <v>18828</v>
      </c>
      <c r="G107" s="436">
        <f t="shared" si="40"/>
        <v>3.5476668268279583E-4</v>
      </c>
      <c r="H107" s="434">
        <v>191659</v>
      </c>
      <c r="I107" s="407">
        <f t="shared" si="35"/>
        <v>3.0072662119184452E-3</v>
      </c>
      <c r="J107" s="434">
        <v>-175991</v>
      </c>
      <c r="K107" s="436">
        <f t="shared" si="42"/>
        <v>-2.6124727012330315E-3</v>
      </c>
      <c r="L107" s="434">
        <v>15619</v>
      </c>
      <c r="M107" s="435">
        <f t="shared" si="45"/>
        <v>2.9314201032808049E-4</v>
      </c>
      <c r="N107" s="434">
        <v>15194</v>
      </c>
      <c r="O107" s="437">
        <f t="shared" si="36"/>
        <v>1.7366959931380734E-4</v>
      </c>
      <c r="P107" s="434">
        <v>10051</v>
      </c>
      <c r="Q107" s="437">
        <f t="shared" si="37"/>
        <v>1.023094534525374E-4</v>
      </c>
      <c r="R107" s="434">
        <v>60530</v>
      </c>
      <c r="S107" s="437">
        <f t="shared" si="43"/>
        <v>7.3695821076822201E-4</v>
      </c>
      <c r="T107" s="434">
        <v>0</v>
      </c>
      <c r="U107" s="407" t="e">
        <f t="shared" si="46"/>
        <v>#DIV/0!</v>
      </c>
      <c r="V107" s="434">
        <v>0</v>
      </c>
      <c r="W107" s="410" t="e">
        <f t="shared" si="47"/>
        <v>#DIV/0!</v>
      </c>
      <c r="X107" s="434">
        <v>0</v>
      </c>
      <c r="Y107" s="407" t="e">
        <f t="shared" si="48"/>
        <v>#DIV/0!</v>
      </c>
      <c r="Z107" s="434">
        <v>0</v>
      </c>
      <c r="AA107" s="411" t="e">
        <f t="shared" si="49"/>
        <v>#DIV/0!</v>
      </c>
      <c r="AB107" s="434">
        <f t="shared" si="50"/>
        <v>186934</v>
      </c>
      <c r="AC107" s="407">
        <f t="shared" si="41"/>
        <v>3.3052816179098731E-4</v>
      </c>
      <c r="AD107" s="434">
        <f t="shared" si="51"/>
        <v>15577.833333333334</v>
      </c>
      <c r="AE107" s="396"/>
      <c r="AG107" s="397">
        <f>VLOOKUP(B107,TWN_IS!B:P,15,0)</f>
        <v>186934</v>
      </c>
      <c r="AH107" s="397">
        <f t="shared" si="38"/>
        <v>0</v>
      </c>
    </row>
    <row r="108" spans="1:34" outlineLevel="1">
      <c r="A108" s="432"/>
      <c r="B108" s="432" t="s">
        <v>1407</v>
      </c>
      <c r="D108" s="434">
        <v>12943</v>
      </c>
      <c r="E108" s="435">
        <f t="shared" si="39"/>
        <v>2.1483244853337058E-4</v>
      </c>
      <c r="F108" s="434">
        <v>0</v>
      </c>
      <c r="G108" s="436">
        <f t="shared" si="40"/>
        <v>0</v>
      </c>
      <c r="H108" s="434">
        <v>19883</v>
      </c>
      <c r="I108" s="407">
        <f t="shared" si="35"/>
        <v>3.1197843091936435E-4</v>
      </c>
      <c r="J108" s="434">
        <v>11820</v>
      </c>
      <c r="K108" s="436">
        <f t="shared" si="42"/>
        <v>1.754602640394931E-4</v>
      </c>
      <c r="L108" s="434">
        <v>12903</v>
      </c>
      <c r="M108" s="435">
        <f t="shared" si="45"/>
        <v>2.4216731924343572E-4</v>
      </c>
      <c r="N108" s="434">
        <v>10150</v>
      </c>
      <c r="O108" s="437">
        <f t="shared" si="36"/>
        <v>1.1601595584014378E-4</v>
      </c>
      <c r="P108" s="434">
        <v>10853</v>
      </c>
      <c r="Q108" s="437">
        <f t="shared" si="37"/>
        <v>1.104730373415967E-4</v>
      </c>
      <c r="R108" s="434">
        <v>12045</v>
      </c>
      <c r="S108" s="437">
        <f t="shared" si="43"/>
        <v>1.466489616504747E-4</v>
      </c>
      <c r="T108" s="434">
        <v>0</v>
      </c>
      <c r="U108" s="407" t="e">
        <f t="shared" si="46"/>
        <v>#DIV/0!</v>
      </c>
      <c r="V108" s="434">
        <v>0</v>
      </c>
      <c r="W108" s="410" t="e">
        <f t="shared" si="47"/>
        <v>#DIV/0!</v>
      </c>
      <c r="X108" s="434">
        <v>0</v>
      </c>
      <c r="Y108" s="407" t="e">
        <f t="shared" si="48"/>
        <v>#DIV/0!</v>
      </c>
      <c r="Z108" s="434">
        <v>0</v>
      </c>
      <c r="AA108" s="411" t="e">
        <f t="shared" si="49"/>
        <v>#DIV/0!</v>
      </c>
      <c r="AB108" s="434">
        <f t="shared" si="50"/>
        <v>90597</v>
      </c>
      <c r="AC108" s="407">
        <f t="shared" si="41"/>
        <v>1.6018947796429795E-4</v>
      </c>
      <c r="AD108" s="434">
        <f t="shared" si="51"/>
        <v>7549.75</v>
      </c>
      <c r="AE108" s="396"/>
      <c r="AG108" s="397">
        <f>VLOOKUP(B108,TWN_IS!B:P,15,0)</f>
        <v>90597</v>
      </c>
      <c r="AH108" s="397">
        <f t="shared" si="38"/>
        <v>0</v>
      </c>
    </row>
    <row r="109" spans="1:34" outlineLevel="1">
      <c r="A109" s="432"/>
      <c r="B109" s="432" t="s">
        <v>1408</v>
      </c>
      <c r="D109" s="434">
        <v>0</v>
      </c>
      <c r="E109" s="435">
        <f t="shared" si="39"/>
        <v>0</v>
      </c>
      <c r="F109" s="434">
        <v>0</v>
      </c>
      <c r="G109" s="436">
        <f t="shared" si="40"/>
        <v>0</v>
      </c>
      <c r="H109" s="434">
        <v>0</v>
      </c>
      <c r="I109" s="407">
        <f t="shared" si="35"/>
        <v>0</v>
      </c>
      <c r="J109" s="434">
        <v>0</v>
      </c>
      <c r="K109" s="436">
        <f t="shared" si="42"/>
        <v>0</v>
      </c>
      <c r="L109" s="434">
        <v>0</v>
      </c>
      <c r="M109" s="435">
        <f t="shared" si="45"/>
        <v>0</v>
      </c>
      <c r="N109" s="434">
        <v>0</v>
      </c>
      <c r="O109" s="437">
        <f t="shared" si="36"/>
        <v>0</v>
      </c>
      <c r="P109" s="434">
        <v>0</v>
      </c>
      <c r="Q109" s="437">
        <f t="shared" si="37"/>
        <v>0</v>
      </c>
      <c r="R109" s="434">
        <v>0</v>
      </c>
      <c r="S109" s="437">
        <f t="shared" si="43"/>
        <v>0</v>
      </c>
      <c r="T109" s="434">
        <v>0</v>
      </c>
      <c r="U109" s="407" t="e">
        <f t="shared" si="46"/>
        <v>#DIV/0!</v>
      </c>
      <c r="V109" s="434">
        <v>0</v>
      </c>
      <c r="W109" s="410" t="e">
        <f t="shared" si="47"/>
        <v>#DIV/0!</v>
      </c>
      <c r="X109" s="434">
        <v>0</v>
      </c>
      <c r="Y109" s="407" t="e">
        <f t="shared" si="48"/>
        <v>#DIV/0!</v>
      </c>
      <c r="Z109" s="434">
        <v>0</v>
      </c>
      <c r="AA109" s="411" t="e">
        <f t="shared" si="49"/>
        <v>#DIV/0!</v>
      </c>
      <c r="AB109" s="434">
        <f t="shared" si="50"/>
        <v>0</v>
      </c>
      <c r="AC109" s="407">
        <f t="shared" si="41"/>
        <v>0</v>
      </c>
      <c r="AD109" s="434">
        <f t="shared" si="51"/>
        <v>0</v>
      </c>
      <c r="AE109" s="396"/>
      <c r="AG109" s="397">
        <f>VLOOKUP(B109,TWN_IS!B:P,15,0)</f>
        <v>0</v>
      </c>
      <c r="AH109" s="397">
        <f t="shared" si="38"/>
        <v>0</v>
      </c>
    </row>
    <row r="110" spans="1:34" outlineLevel="1">
      <c r="A110" s="432"/>
      <c r="B110" s="432" t="s">
        <v>1409</v>
      </c>
      <c r="D110" s="434">
        <v>0</v>
      </c>
      <c r="E110" s="435">
        <f t="shared" si="39"/>
        <v>0</v>
      </c>
      <c r="F110" s="434">
        <v>10000</v>
      </c>
      <c r="G110" s="436">
        <f t="shared" si="40"/>
        <v>1.884250492260441E-4</v>
      </c>
      <c r="H110" s="434">
        <v>0</v>
      </c>
      <c r="I110" s="407">
        <f t="shared" si="35"/>
        <v>0</v>
      </c>
      <c r="J110" s="434">
        <v>0</v>
      </c>
      <c r="K110" s="436">
        <f t="shared" si="42"/>
        <v>0</v>
      </c>
      <c r="L110" s="434">
        <v>0</v>
      </c>
      <c r="M110" s="435">
        <f t="shared" si="45"/>
        <v>0</v>
      </c>
      <c r="N110" s="434">
        <v>489954</v>
      </c>
      <c r="O110" s="437">
        <f t="shared" si="36"/>
        <v>5.6002444953400787E-3</v>
      </c>
      <c r="P110" s="434">
        <v>0</v>
      </c>
      <c r="Q110" s="437">
        <f t="shared" si="37"/>
        <v>0</v>
      </c>
      <c r="R110" s="434">
        <v>22625</v>
      </c>
      <c r="S110" s="437">
        <f t="shared" si="43"/>
        <v>2.7546141613466087E-4</v>
      </c>
      <c r="T110" s="434">
        <v>0</v>
      </c>
      <c r="U110" s="407" t="e">
        <f t="shared" si="46"/>
        <v>#DIV/0!</v>
      </c>
      <c r="V110" s="434">
        <v>0</v>
      </c>
      <c r="W110" s="410" t="e">
        <f t="shared" si="47"/>
        <v>#DIV/0!</v>
      </c>
      <c r="X110" s="434">
        <v>0</v>
      </c>
      <c r="Y110" s="407" t="e">
        <f t="shared" si="48"/>
        <v>#DIV/0!</v>
      </c>
      <c r="Z110" s="434">
        <v>0</v>
      </c>
      <c r="AA110" s="411" t="e">
        <f t="shared" si="49"/>
        <v>#DIV/0!</v>
      </c>
      <c r="AB110" s="434">
        <f t="shared" si="50"/>
        <v>522579</v>
      </c>
      <c r="AC110" s="407">
        <f t="shared" si="41"/>
        <v>9.2400032236282504E-4</v>
      </c>
      <c r="AD110" s="434">
        <f t="shared" si="51"/>
        <v>43548.25</v>
      </c>
      <c r="AE110" s="396"/>
      <c r="AG110" s="397">
        <f>VLOOKUP(B110,TWN_IS!B:P,15,0)</f>
        <v>522579</v>
      </c>
      <c r="AH110" s="397">
        <f t="shared" si="38"/>
        <v>0</v>
      </c>
    </row>
    <row r="111" spans="1:34" outlineLevel="1">
      <c r="A111" s="432"/>
      <c r="B111" s="432" t="s">
        <v>1410</v>
      </c>
      <c r="D111" s="434">
        <v>17701</v>
      </c>
      <c r="E111" s="435">
        <f t="shared" si="39"/>
        <v>2.9380739948151068E-4</v>
      </c>
      <c r="F111" s="434">
        <v>10962</v>
      </c>
      <c r="G111" s="436">
        <f t="shared" si="40"/>
        <v>2.0655153896158955E-4</v>
      </c>
      <c r="H111" s="434">
        <v>14270</v>
      </c>
      <c r="I111" s="407">
        <f t="shared" si="35"/>
        <v>2.239064632711024E-4</v>
      </c>
      <c r="J111" s="434">
        <v>14710</v>
      </c>
      <c r="K111" s="436">
        <f t="shared" si="42"/>
        <v>2.1836044704068896E-4</v>
      </c>
      <c r="L111" s="434">
        <v>17659</v>
      </c>
      <c r="M111" s="435">
        <f t="shared" si="45"/>
        <v>3.3142933352862372E-4</v>
      </c>
      <c r="N111" s="434">
        <v>18979</v>
      </c>
      <c r="O111" s="437">
        <f t="shared" si="36"/>
        <v>2.1693269220592008E-4</v>
      </c>
      <c r="P111" s="434">
        <v>18905</v>
      </c>
      <c r="Q111" s="437">
        <f t="shared" si="37"/>
        <v>1.9243460526516959E-4</v>
      </c>
      <c r="R111" s="434">
        <v>26442</v>
      </c>
      <c r="S111" s="437">
        <f t="shared" si="43"/>
        <v>3.2193373548873827E-4</v>
      </c>
      <c r="T111" s="434">
        <v>0</v>
      </c>
      <c r="U111" s="407" t="e">
        <f t="shared" si="46"/>
        <v>#DIV/0!</v>
      </c>
      <c r="V111" s="434">
        <v>0</v>
      </c>
      <c r="W111" s="410" t="e">
        <f t="shared" si="47"/>
        <v>#DIV/0!</v>
      </c>
      <c r="X111" s="434">
        <v>0</v>
      </c>
      <c r="Y111" s="407" t="e">
        <f t="shared" si="48"/>
        <v>#DIV/0!</v>
      </c>
      <c r="Z111" s="434">
        <v>0</v>
      </c>
      <c r="AA111" s="411" t="e">
        <f t="shared" si="49"/>
        <v>#DIV/0!</v>
      </c>
      <c r="AB111" s="434">
        <f t="shared" si="50"/>
        <v>139628</v>
      </c>
      <c r="AC111" s="407">
        <f t="shared" si="41"/>
        <v>2.4688385298849845E-4</v>
      </c>
      <c r="AD111" s="434">
        <f t="shared" si="51"/>
        <v>11635.666666666666</v>
      </c>
      <c r="AE111" s="396"/>
      <c r="AG111" s="397">
        <f>VLOOKUP(B111,TWN_IS!B:P,15,0)</f>
        <v>139628</v>
      </c>
      <c r="AH111" s="397">
        <f t="shared" si="38"/>
        <v>0</v>
      </c>
    </row>
    <row r="112" spans="1:34" outlineLevel="1">
      <c r="A112" s="432"/>
      <c r="B112" s="432" t="s">
        <v>1411</v>
      </c>
      <c r="D112" s="434">
        <v>103517</v>
      </c>
      <c r="E112" s="435">
        <f t="shared" si="39"/>
        <v>1.7182114328076121E-3</v>
      </c>
      <c r="F112" s="434">
        <v>122908</v>
      </c>
      <c r="G112" s="436">
        <f t="shared" si="40"/>
        <v>2.3158945950274628E-3</v>
      </c>
      <c r="H112" s="434">
        <v>122347</v>
      </c>
      <c r="I112" s="407">
        <f t="shared" si="35"/>
        <v>1.9197115670518267E-3</v>
      </c>
      <c r="J112" s="434">
        <v>125238</v>
      </c>
      <c r="K112" s="436">
        <f t="shared" si="42"/>
        <v>1.8590772037037258E-3</v>
      </c>
      <c r="L112" s="434">
        <v>121879</v>
      </c>
      <c r="M112" s="435">
        <f t="shared" si="45"/>
        <v>2.2874611099799043E-3</v>
      </c>
      <c r="N112" s="434">
        <v>125170</v>
      </c>
      <c r="O112" s="437">
        <f t="shared" si="36"/>
        <v>1.4307110534493394E-3</v>
      </c>
      <c r="P112" s="434">
        <v>128998</v>
      </c>
      <c r="Q112" s="437">
        <f t="shared" si="37"/>
        <v>1.3130748061357497E-3</v>
      </c>
      <c r="R112" s="434">
        <v>133537</v>
      </c>
      <c r="S112" s="437">
        <f t="shared" si="43"/>
        <v>1.625825022160186E-3</v>
      </c>
      <c r="T112" s="434">
        <v>0</v>
      </c>
      <c r="U112" s="407" t="e">
        <f t="shared" si="46"/>
        <v>#DIV/0!</v>
      </c>
      <c r="V112" s="434">
        <v>0</v>
      </c>
      <c r="W112" s="410" t="e">
        <f t="shared" si="47"/>
        <v>#DIV/0!</v>
      </c>
      <c r="X112" s="434">
        <v>0</v>
      </c>
      <c r="Y112" s="407" t="e">
        <f t="shared" si="48"/>
        <v>#DIV/0!</v>
      </c>
      <c r="Z112" s="434">
        <v>0</v>
      </c>
      <c r="AA112" s="411" t="e">
        <f t="shared" si="49"/>
        <v>#DIV/0!</v>
      </c>
      <c r="AB112" s="434">
        <f t="shared" si="50"/>
        <v>983594</v>
      </c>
      <c r="AC112" s="407">
        <f t="shared" si="41"/>
        <v>1.7391459914656742E-3</v>
      </c>
      <c r="AD112" s="434">
        <f t="shared" si="51"/>
        <v>81966.166666666672</v>
      </c>
      <c r="AE112" s="396"/>
      <c r="AG112" s="397">
        <f>VLOOKUP(B112,TWN_IS!B:P,15,0)</f>
        <v>983594</v>
      </c>
      <c r="AH112" s="397">
        <f t="shared" si="38"/>
        <v>0</v>
      </c>
    </row>
    <row r="113" spans="1:34" outlineLevel="1">
      <c r="A113" s="432"/>
      <c r="B113" s="432" t="s">
        <v>1412</v>
      </c>
      <c r="D113" s="434">
        <v>1245</v>
      </c>
      <c r="E113" s="435">
        <f t="shared" si="39"/>
        <v>2.0664946181259862E-5</v>
      </c>
      <c r="F113" s="434">
        <v>4745</v>
      </c>
      <c r="G113" s="436">
        <f t="shared" si="40"/>
        <v>8.9407685857757936E-5</v>
      </c>
      <c r="H113" s="434">
        <v>101010</v>
      </c>
      <c r="I113" s="407">
        <f t="shared" si="35"/>
        <v>1.584918840575617E-3</v>
      </c>
      <c r="J113" s="434">
        <v>84510</v>
      </c>
      <c r="K113" s="436">
        <f t="shared" si="42"/>
        <v>1.2544963548204368E-3</v>
      </c>
      <c r="L113" s="434">
        <v>35922</v>
      </c>
      <c r="M113" s="435">
        <f t="shared" si="45"/>
        <v>6.7419471765191807E-4</v>
      </c>
      <c r="N113" s="434">
        <v>163716</v>
      </c>
      <c r="O113" s="437">
        <f t="shared" si="36"/>
        <v>1.8712973621995053E-3</v>
      </c>
      <c r="P113" s="434">
        <v>46187</v>
      </c>
      <c r="Q113" s="437">
        <f t="shared" si="37"/>
        <v>4.7013896394511442E-4</v>
      </c>
      <c r="R113" s="434">
        <v>45967</v>
      </c>
      <c r="S113" s="437">
        <f t="shared" si="43"/>
        <v>5.5965237195411963E-4</v>
      </c>
      <c r="T113" s="434">
        <v>0</v>
      </c>
      <c r="U113" s="407" t="e">
        <f t="shared" si="46"/>
        <v>#DIV/0!</v>
      </c>
      <c r="V113" s="434">
        <v>0</v>
      </c>
      <c r="W113" s="410" t="e">
        <f t="shared" si="47"/>
        <v>#DIV/0!</v>
      </c>
      <c r="X113" s="434">
        <v>0</v>
      </c>
      <c r="Y113" s="407" t="e">
        <f t="shared" si="48"/>
        <v>#DIV/0!</v>
      </c>
      <c r="Z113" s="434">
        <v>0</v>
      </c>
      <c r="AA113" s="411" t="e">
        <f t="shared" si="49"/>
        <v>#DIV/0!</v>
      </c>
      <c r="AB113" s="434">
        <f t="shared" si="50"/>
        <v>483302</v>
      </c>
      <c r="AC113" s="407">
        <f t="shared" si="41"/>
        <v>8.5455252468736415E-4</v>
      </c>
      <c r="AD113" s="434">
        <f t="shared" si="51"/>
        <v>40275.166666666664</v>
      </c>
      <c r="AE113" s="396"/>
      <c r="AG113" s="397">
        <f>VLOOKUP(B113,TWN_IS!B:P,15,0)</f>
        <v>483302</v>
      </c>
      <c r="AH113" s="397">
        <f t="shared" si="38"/>
        <v>0</v>
      </c>
    </row>
    <row r="114" spans="1:34" outlineLevel="1">
      <c r="A114" s="432"/>
      <c r="B114" s="432" t="s">
        <v>1413</v>
      </c>
      <c r="D114" s="434">
        <v>0</v>
      </c>
      <c r="E114" s="435">
        <f t="shared" si="39"/>
        <v>0</v>
      </c>
      <c r="F114" s="434">
        <v>0</v>
      </c>
      <c r="G114" s="436">
        <f t="shared" si="40"/>
        <v>0</v>
      </c>
      <c r="H114" s="434">
        <v>0</v>
      </c>
      <c r="I114" s="407">
        <f t="shared" si="35"/>
        <v>0</v>
      </c>
      <c r="J114" s="434">
        <v>0</v>
      </c>
      <c r="K114" s="436">
        <f t="shared" si="42"/>
        <v>0</v>
      </c>
      <c r="L114" s="434">
        <v>0</v>
      </c>
      <c r="M114" s="435">
        <f t="shared" si="45"/>
        <v>0</v>
      </c>
      <c r="N114" s="434">
        <v>0</v>
      </c>
      <c r="O114" s="437">
        <f t="shared" si="36"/>
        <v>0</v>
      </c>
      <c r="P114" s="434">
        <v>0</v>
      </c>
      <c r="Q114" s="437">
        <f t="shared" si="37"/>
        <v>0</v>
      </c>
      <c r="R114" s="434">
        <v>0</v>
      </c>
      <c r="S114" s="437">
        <f t="shared" si="43"/>
        <v>0</v>
      </c>
      <c r="T114" s="434">
        <v>0</v>
      </c>
      <c r="U114" s="407" t="e">
        <f t="shared" si="46"/>
        <v>#DIV/0!</v>
      </c>
      <c r="V114" s="434">
        <v>0</v>
      </c>
      <c r="W114" s="410" t="e">
        <f t="shared" si="47"/>
        <v>#DIV/0!</v>
      </c>
      <c r="X114" s="434">
        <v>0</v>
      </c>
      <c r="Y114" s="407" t="e">
        <f t="shared" si="48"/>
        <v>#DIV/0!</v>
      </c>
      <c r="Z114" s="434">
        <v>0</v>
      </c>
      <c r="AA114" s="411" t="e">
        <f t="shared" si="49"/>
        <v>#DIV/0!</v>
      </c>
      <c r="AB114" s="434">
        <f t="shared" si="50"/>
        <v>0</v>
      </c>
      <c r="AC114" s="407">
        <f t="shared" si="41"/>
        <v>0</v>
      </c>
      <c r="AD114" s="434">
        <f t="shared" si="51"/>
        <v>0</v>
      </c>
      <c r="AE114" s="396"/>
      <c r="AG114" s="397">
        <f>VLOOKUP(B114,TWN_IS!B:P,15,0)</f>
        <v>0</v>
      </c>
      <c r="AH114" s="397">
        <f t="shared" si="38"/>
        <v>0</v>
      </c>
    </row>
    <row r="115" spans="1:34" outlineLevel="1">
      <c r="A115" s="432"/>
      <c r="B115" s="432" t="s">
        <v>1414</v>
      </c>
      <c r="D115" s="434">
        <v>0</v>
      </c>
      <c r="E115" s="435">
        <f t="shared" si="39"/>
        <v>0</v>
      </c>
      <c r="F115" s="434">
        <v>0</v>
      </c>
      <c r="G115" s="436">
        <f t="shared" si="40"/>
        <v>0</v>
      </c>
      <c r="H115" s="434">
        <v>0</v>
      </c>
      <c r="I115" s="407">
        <f t="shared" si="35"/>
        <v>0</v>
      </c>
      <c r="J115" s="434">
        <v>0</v>
      </c>
      <c r="K115" s="436">
        <f t="shared" si="42"/>
        <v>0</v>
      </c>
      <c r="L115" s="434">
        <v>0</v>
      </c>
      <c r="M115" s="435">
        <f t="shared" si="45"/>
        <v>0</v>
      </c>
      <c r="N115" s="434">
        <v>0</v>
      </c>
      <c r="O115" s="437">
        <f t="shared" si="36"/>
        <v>0</v>
      </c>
      <c r="P115" s="434">
        <v>0</v>
      </c>
      <c r="Q115" s="437">
        <f t="shared" si="37"/>
        <v>0</v>
      </c>
      <c r="R115" s="434">
        <v>0</v>
      </c>
      <c r="S115" s="437">
        <f t="shared" si="43"/>
        <v>0</v>
      </c>
      <c r="T115" s="434">
        <v>0</v>
      </c>
      <c r="U115" s="407" t="e">
        <f t="shared" si="46"/>
        <v>#DIV/0!</v>
      </c>
      <c r="V115" s="434">
        <v>0</v>
      </c>
      <c r="W115" s="410" t="e">
        <f t="shared" si="47"/>
        <v>#DIV/0!</v>
      </c>
      <c r="X115" s="434">
        <v>0</v>
      </c>
      <c r="Y115" s="407" t="e">
        <f t="shared" si="48"/>
        <v>#DIV/0!</v>
      </c>
      <c r="Z115" s="434">
        <v>0</v>
      </c>
      <c r="AA115" s="411" t="e">
        <f t="shared" si="49"/>
        <v>#DIV/0!</v>
      </c>
      <c r="AB115" s="434">
        <f t="shared" si="50"/>
        <v>0</v>
      </c>
      <c r="AC115" s="407">
        <f t="shared" si="41"/>
        <v>0</v>
      </c>
      <c r="AD115" s="434">
        <f t="shared" si="51"/>
        <v>0</v>
      </c>
      <c r="AE115" s="396"/>
      <c r="AG115" s="397">
        <f>VLOOKUP(B115,TWN_IS!B:P,15,0)</f>
        <v>0</v>
      </c>
      <c r="AH115" s="397">
        <f t="shared" si="38"/>
        <v>0</v>
      </c>
    </row>
    <row r="116" spans="1:34" outlineLevel="1">
      <c r="A116" s="432"/>
      <c r="B116" s="432" t="s">
        <v>1415</v>
      </c>
      <c r="D116" s="434">
        <v>0</v>
      </c>
      <c r="E116" s="435">
        <f t="shared" si="39"/>
        <v>0</v>
      </c>
      <c r="F116" s="434">
        <v>-153329</v>
      </c>
      <c r="G116" s="436">
        <f t="shared" si="40"/>
        <v>-2.8891024372780117E-3</v>
      </c>
      <c r="H116" s="434">
        <v>-419419</v>
      </c>
      <c r="I116" s="407">
        <f t="shared" si="35"/>
        <v>-6.5809828254171339E-3</v>
      </c>
      <c r="J116" s="434">
        <v>5198</v>
      </c>
      <c r="K116" s="436">
        <f t="shared" si="42"/>
        <v>7.7160951986233943E-5</v>
      </c>
      <c r="L116" s="434">
        <v>-5198</v>
      </c>
      <c r="M116" s="435">
        <f t="shared" si="45"/>
        <v>-9.7557600978638993E-5</v>
      </c>
      <c r="N116" s="434">
        <v>0</v>
      </c>
      <c r="O116" s="437">
        <f t="shared" si="36"/>
        <v>0</v>
      </c>
      <c r="P116" s="434">
        <v>0</v>
      </c>
      <c r="Q116" s="437">
        <f t="shared" si="37"/>
        <v>0</v>
      </c>
      <c r="R116" s="434">
        <v>0</v>
      </c>
      <c r="S116" s="437">
        <f t="shared" si="43"/>
        <v>0</v>
      </c>
      <c r="T116" s="434">
        <v>0</v>
      </c>
      <c r="U116" s="407" t="e">
        <f t="shared" si="46"/>
        <v>#DIV/0!</v>
      </c>
      <c r="V116" s="434">
        <v>0</v>
      </c>
      <c r="W116" s="410" t="e">
        <f t="shared" si="47"/>
        <v>#DIV/0!</v>
      </c>
      <c r="X116" s="434">
        <v>0</v>
      </c>
      <c r="Y116" s="407" t="e">
        <f t="shared" si="48"/>
        <v>#DIV/0!</v>
      </c>
      <c r="Z116" s="434">
        <v>0</v>
      </c>
      <c r="AA116" s="411" t="e">
        <f t="shared" si="49"/>
        <v>#DIV/0!</v>
      </c>
      <c r="AB116" s="434">
        <f t="shared" si="50"/>
        <v>-572748</v>
      </c>
      <c r="AC116" s="407">
        <f t="shared" si="41"/>
        <v>-1.0127068570161895E-3</v>
      </c>
      <c r="AD116" s="434">
        <f t="shared" si="51"/>
        <v>-47729</v>
      </c>
      <c r="AE116" s="396"/>
      <c r="AG116" s="397">
        <f>VLOOKUP(B116,TWN_IS!B:P,15,0)</f>
        <v>-572748</v>
      </c>
      <c r="AH116" s="397">
        <f t="shared" si="38"/>
        <v>0</v>
      </c>
    </row>
    <row r="117" spans="1:34" outlineLevel="1">
      <c r="A117" s="432"/>
      <c r="B117" s="432" t="s">
        <v>1416</v>
      </c>
      <c r="D117" s="434">
        <v>391</v>
      </c>
      <c r="E117" s="435">
        <f t="shared" si="39"/>
        <v>6.4899549854398441E-6</v>
      </c>
      <c r="F117" s="434">
        <v>392</v>
      </c>
      <c r="G117" s="436">
        <f t="shared" si="40"/>
        <v>7.386261929660929E-6</v>
      </c>
      <c r="H117" s="434">
        <v>391</v>
      </c>
      <c r="I117" s="407">
        <f t="shared" si="35"/>
        <v>6.1350684750526304E-6</v>
      </c>
      <c r="J117" s="434">
        <v>392</v>
      </c>
      <c r="K117" s="436">
        <f t="shared" si="42"/>
        <v>5.8189867600237982E-6</v>
      </c>
      <c r="L117" s="434">
        <v>391</v>
      </c>
      <c r="M117" s="435">
        <f t="shared" si="45"/>
        <v>7.338403613437447E-6</v>
      </c>
      <c r="N117" s="434">
        <v>392</v>
      </c>
      <c r="O117" s="437">
        <f t="shared" si="36"/>
        <v>4.4806162255503806E-6</v>
      </c>
      <c r="P117" s="434">
        <v>391</v>
      </c>
      <c r="Q117" s="437">
        <f t="shared" si="37"/>
        <v>3.9800016217234227E-6</v>
      </c>
      <c r="R117" s="434">
        <v>392</v>
      </c>
      <c r="S117" s="437">
        <f t="shared" si="43"/>
        <v>4.7726353646314722E-6</v>
      </c>
      <c r="T117" s="434">
        <v>0</v>
      </c>
      <c r="U117" s="407" t="e">
        <f t="shared" si="46"/>
        <v>#DIV/0!</v>
      </c>
      <c r="V117" s="434">
        <v>0</v>
      </c>
      <c r="W117" s="410" t="e">
        <f t="shared" si="47"/>
        <v>#DIV/0!</v>
      </c>
      <c r="X117" s="434">
        <v>0</v>
      </c>
      <c r="Y117" s="407" t="e">
        <f t="shared" si="48"/>
        <v>#DIV/0!</v>
      </c>
      <c r="Z117" s="434">
        <v>0</v>
      </c>
      <c r="AA117" s="411" t="e">
        <f t="shared" si="49"/>
        <v>#DIV/0!</v>
      </c>
      <c r="AB117" s="434">
        <f t="shared" si="50"/>
        <v>3132</v>
      </c>
      <c r="AC117" s="407">
        <f t="shared" si="41"/>
        <v>5.5378593660295726E-6</v>
      </c>
      <c r="AD117" s="434">
        <f t="shared" si="51"/>
        <v>261</v>
      </c>
      <c r="AE117" s="396"/>
      <c r="AG117" s="397">
        <f>VLOOKUP(B117,TWN_IS!B:P,15,0)</f>
        <v>3132</v>
      </c>
      <c r="AH117" s="397">
        <f t="shared" si="38"/>
        <v>0</v>
      </c>
    </row>
    <row r="118" spans="1:34" outlineLevel="1">
      <c r="A118" s="432"/>
      <c r="B118" s="432" t="s">
        <v>1417</v>
      </c>
      <c r="D118" s="434">
        <v>3288</v>
      </c>
      <c r="E118" s="435">
        <f t="shared" si="39"/>
        <v>5.4575375938941705E-5</v>
      </c>
      <c r="F118" s="434">
        <v>3347</v>
      </c>
      <c r="G118" s="436">
        <f t="shared" si="40"/>
        <v>6.306586397595696E-5</v>
      </c>
      <c r="H118" s="434">
        <v>3266</v>
      </c>
      <c r="I118" s="407">
        <f t="shared" si="35"/>
        <v>5.1245866085733738E-5</v>
      </c>
      <c r="J118" s="434">
        <v>3348</v>
      </c>
      <c r="K118" s="436">
        <f t="shared" si="42"/>
        <v>4.969889712387673E-5</v>
      </c>
      <c r="L118" s="434">
        <v>3422</v>
      </c>
      <c r="M118" s="435">
        <f t="shared" si="45"/>
        <v>6.4225107839342561E-5</v>
      </c>
      <c r="N118" s="434">
        <v>3194</v>
      </c>
      <c r="O118" s="437">
        <f t="shared" si="36"/>
        <v>3.650787812348958E-5</v>
      </c>
      <c r="P118" s="434">
        <v>3421</v>
      </c>
      <c r="Q118" s="437">
        <f t="shared" si="37"/>
        <v>3.4822469432009798E-5</v>
      </c>
      <c r="R118" s="434">
        <v>3421</v>
      </c>
      <c r="S118" s="437">
        <f t="shared" si="43"/>
        <v>4.1650983628582315E-5</v>
      </c>
      <c r="T118" s="434">
        <v>0</v>
      </c>
      <c r="U118" s="407" t="e">
        <f t="shared" si="46"/>
        <v>#DIV/0!</v>
      </c>
      <c r="V118" s="434">
        <v>0</v>
      </c>
      <c r="W118" s="410" t="e">
        <f t="shared" si="47"/>
        <v>#DIV/0!</v>
      </c>
      <c r="X118" s="434">
        <v>0</v>
      </c>
      <c r="Y118" s="407" t="e">
        <f t="shared" si="48"/>
        <v>#DIV/0!</v>
      </c>
      <c r="Z118" s="434">
        <v>0</v>
      </c>
      <c r="AA118" s="411" t="e">
        <f t="shared" si="49"/>
        <v>#DIV/0!</v>
      </c>
      <c r="AB118" s="434">
        <f t="shared" si="50"/>
        <v>26707</v>
      </c>
      <c r="AC118" s="407">
        <f t="shared" si="41"/>
        <v>4.7222097729422668E-5</v>
      </c>
      <c r="AD118" s="434">
        <f t="shared" si="51"/>
        <v>2225.5833333333335</v>
      </c>
      <c r="AE118" s="396"/>
      <c r="AG118" s="397">
        <f>VLOOKUP(B118,TWN_IS!B:P,15,0)</f>
        <v>26707</v>
      </c>
      <c r="AH118" s="397">
        <f t="shared" si="38"/>
        <v>0</v>
      </c>
    </row>
    <row r="119" spans="1:34" outlineLevel="1">
      <c r="A119" s="432"/>
      <c r="B119" s="432" t="s">
        <v>1418</v>
      </c>
      <c r="D119" s="434">
        <v>27000</v>
      </c>
      <c r="E119" s="435">
        <f t="shared" si="39"/>
        <v>4.4815545935262348E-4</v>
      </c>
      <c r="F119" s="434">
        <v>30580</v>
      </c>
      <c r="G119" s="436">
        <f t="shared" si="40"/>
        <v>5.7620380053324284E-4</v>
      </c>
      <c r="H119" s="434">
        <v>30400</v>
      </c>
      <c r="I119" s="407">
        <f t="shared" si="35"/>
        <v>4.7699765125728893E-4</v>
      </c>
      <c r="J119" s="434">
        <v>31340</v>
      </c>
      <c r="K119" s="436">
        <f t="shared" si="42"/>
        <v>4.6522205372231083E-4</v>
      </c>
      <c r="L119" s="434">
        <v>28080</v>
      </c>
      <c r="M119" s="435">
        <f t="shared" si="45"/>
        <v>5.2701374287806517E-4</v>
      </c>
      <c r="N119" s="434">
        <v>29120</v>
      </c>
      <c r="O119" s="437">
        <f t="shared" si="36"/>
        <v>3.328457767551711E-4</v>
      </c>
      <c r="P119" s="434">
        <v>30080</v>
      </c>
      <c r="Q119" s="437">
        <f t="shared" si="37"/>
        <v>3.0618529100112678E-4</v>
      </c>
      <c r="R119" s="434">
        <v>31880</v>
      </c>
      <c r="S119" s="437">
        <f t="shared" si="43"/>
        <v>3.8814187608278406E-4</v>
      </c>
      <c r="T119" s="434">
        <v>0</v>
      </c>
      <c r="U119" s="407" t="e">
        <f t="shared" si="46"/>
        <v>#DIV/0!</v>
      </c>
      <c r="V119" s="434">
        <v>0</v>
      </c>
      <c r="W119" s="410" t="e">
        <f t="shared" si="47"/>
        <v>#DIV/0!</v>
      </c>
      <c r="X119" s="434">
        <v>0</v>
      </c>
      <c r="Y119" s="407" t="e">
        <f t="shared" si="48"/>
        <v>#DIV/0!</v>
      </c>
      <c r="Z119" s="434">
        <v>0</v>
      </c>
      <c r="AA119" s="411" t="e">
        <f t="shared" si="49"/>
        <v>#DIV/0!</v>
      </c>
      <c r="AB119" s="434">
        <f t="shared" si="50"/>
        <v>238480</v>
      </c>
      <c r="AC119" s="407">
        <f t="shared" si="41"/>
        <v>4.2166944495872688E-4</v>
      </c>
      <c r="AD119" s="434">
        <f t="shared" si="51"/>
        <v>19873.333333333332</v>
      </c>
      <c r="AE119" s="396"/>
      <c r="AG119" s="397">
        <f>VLOOKUP(B119,TWN_IS!B:P,15,0)</f>
        <v>238480</v>
      </c>
      <c r="AH119" s="397">
        <f t="shared" si="38"/>
        <v>0</v>
      </c>
    </row>
    <row r="120" spans="1:34" outlineLevel="1">
      <c r="A120" s="432"/>
      <c r="B120" s="432" t="s">
        <v>1419</v>
      </c>
      <c r="D120" s="434">
        <v>21907</v>
      </c>
      <c r="E120" s="435">
        <f t="shared" si="39"/>
        <v>3.636200610384416E-4</v>
      </c>
      <c r="F120" s="434">
        <v>19903</v>
      </c>
      <c r="G120" s="436">
        <f t="shared" si="40"/>
        <v>3.7502237547459562E-4</v>
      </c>
      <c r="H120" s="434">
        <v>23364</v>
      </c>
      <c r="I120" s="407">
        <f t="shared" si="35"/>
        <v>3.6659780013076641E-4</v>
      </c>
      <c r="J120" s="434">
        <v>25308</v>
      </c>
      <c r="K120" s="436">
        <f t="shared" si="42"/>
        <v>3.7568091051704667E-4</v>
      </c>
      <c r="L120" s="434">
        <v>20848</v>
      </c>
      <c r="M120" s="435">
        <f t="shared" si="45"/>
        <v>3.9128142847300225E-4</v>
      </c>
      <c r="N120" s="434">
        <v>30012</v>
      </c>
      <c r="O120" s="437">
        <f t="shared" si="36"/>
        <v>3.4304146469698471E-4</v>
      </c>
      <c r="P120" s="434">
        <v>38443</v>
      </c>
      <c r="Q120" s="437">
        <f t="shared" si="37"/>
        <v>3.9131253796397328E-4</v>
      </c>
      <c r="R120" s="434">
        <v>32141</v>
      </c>
      <c r="S120" s="437">
        <f t="shared" si="43"/>
        <v>3.9131957462913307E-4</v>
      </c>
      <c r="T120" s="434">
        <v>0</v>
      </c>
      <c r="U120" s="407" t="e">
        <f t="shared" si="46"/>
        <v>#DIV/0!</v>
      </c>
      <c r="V120" s="434">
        <v>0</v>
      </c>
      <c r="W120" s="410" t="e">
        <f t="shared" si="47"/>
        <v>#DIV/0!</v>
      </c>
      <c r="X120" s="434">
        <v>0</v>
      </c>
      <c r="Y120" s="407" t="e">
        <f t="shared" si="48"/>
        <v>#DIV/0!</v>
      </c>
      <c r="Z120" s="434">
        <v>0</v>
      </c>
      <c r="AA120" s="411" t="e">
        <f t="shared" si="49"/>
        <v>#DIV/0!</v>
      </c>
      <c r="AB120" s="434">
        <f t="shared" si="50"/>
        <v>211926</v>
      </c>
      <c r="AC120" s="407">
        <f t="shared" si="41"/>
        <v>3.7471787484201252E-4</v>
      </c>
      <c r="AD120" s="434">
        <f t="shared" si="51"/>
        <v>17660.5</v>
      </c>
      <c r="AE120" s="396"/>
      <c r="AG120" s="397">
        <f>VLOOKUP(B120,TWN_IS!B:P,15,0)</f>
        <v>211926</v>
      </c>
      <c r="AH120" s="397">
        <f t="shared" si="38"/>
        <v>0</v>
      </c>
    </row>
    <row r="121" spans="1:34" outlineLevel="1">
      <c r="A121" s="432"/>
      <c r="B121" s="432" t="s">
        <v>1420</v>
      </c>
      <c r="D121" s="434">
        <v>0</v>
      </c>
      <c r="E121" s="435">
        <f t="shared" si="39"/>
        <v>0</v>
      </c>
      <c r="F121" s="434">
        <v>294658</v>
      </c>
      <c r="G121" s="436">
        <f t="shared" si="40"/>
        <v>5.5520948154847705E-3</v>
      </c>
      <c r="H121" s="434">
        <v>0</v>
      </c>
      <c r="I121" s="407">
        <f t="shared" si="35"/>
        <v>0</v>
      </c>
      <c r="J121" s="434">
        <v>52383</v>
      </c>
      <c r="K121" s="436">
        <f t="shared" si="42"/>
        <v>7.7759179451613941E-4</v>
      </c>
      <c r="L121" s="434">
        <v>231552</v>
      </c>
      <c r="M121" s="435">
        <f t="shared" si="45"/>
        <v>4.3458364028098918E-3</v>
      </c>
      <c r="N121" s="434">
        <v>0</v>
      </c>
      <c r="O121" s="437">
        <f t="shared" si="36"/>
        <v>0</v>
      </c>
      <c r="P121" s="434">
        <v>293885</v>
      </c>
      <c r="Q121" s="437">
        <f t="shared" si="37"/>
        <v>2.9914649017907624E-3</v>
      </c>
      <c r="R121" s="434">
        <v>12080</v>
      </c>
      <c r="S121" s="437">
        <f t="shared" si="43"/>
        <v>1.4707508980803109E-4</v>
      </c>
      <c r="T121" s="434">
        <v>0</v>
      </c>
      <c r="U121" s="407" t="e">
        <f t="shared" si="46"/>
        <v>#DIV/0!</v>
      </c>
      <c r="V121" s="434">
        <v>0</v>
      </c>
      <c r="W121" s="410" t="e">
        <f t="shared" si="47"/>
        <v>#DIV/0!</v>
      </c>
      <c r="X121" s="434">
        <v>0</v>
      </c>
      <c r="Y121" s="407" t="e">
        <f t="shared" si="48"/>
        <v>#DIV/0!</v>
      </c>
      <c r="Z121" s="434">
        <v>0</v>
      </c>
      <c r="AA121" s="411" t="e">
        <f t="shared" si="49"/>
        <v>#DIV/0!</v>
      </c>
      <c r="AB121" s="434">
        <f t="shared" si="50"/>
        <v>884558</v>
      </c>
      <c r="AC121" s="407">
        <f t="shared" si="41"/>
        <v>1.5640350590984632E-3</v>
      </c>
      <c r="AD121" s="434">
        <f t="shared" si="51"/>
        <v>73713.166666666672</v>
      </c>
      <c r="AE121" s="396"/>
      <c r="AG121" s="397">
        <f>VLOOKUP(B121,TWN_IS!B:P,15,0)</f>
        <v>884558</v>
      </c>
      <c r="AH121" s="397">
        <f t="shared" si="38"/>
        <v>0</v>
      </c>
    </row>
    <row r="122" spans="1:34" outlineLevel="1">
      <c r="A122" s="432"/>
      <c r="B122" s="432" t="s">
        <v>1422</v>
      </c>
      <c r="D122" s="434">
        <v>0</v>
      </c>
      <c r="E122" s="435">
        <f t="shared" si="39"/>
        <v>0</v>
      </c>
      <c r="F122" s="434">
        <v>0</v>
      </c>
      <c r="G122" s="436">
        <f t="shared" si="40"/>
        <v>0</v>
      </c>
      <c r="H122" s="434">
        <v>0</v>
      </c>
      <c r="I122" s="407">
        <f t="shared" si="35"/>
        <v>0</v>
      </c>
      <c r="J122" s="434">
        <v>0</v>
      </c>
      <c r="K122" s="436">
        <f t="shared" si="42"/>
        <v>0</v>
      </c>
      <c r="L122" s="434">
        <v>0</v>
      </c>
      <c r="M122" s="435">
        <f t="shared" si="45"/>
        <v>0</v>
      </c>
      <c r="N122" s="434">
        <v>0</v>
      </c>
      <c r="O122" s="437">
        <f t="shared" si="36"/>
        <v>0</v>
      </c>
      <c r="P122" s="434">
        <v>0</v>
      </c>
      <c r="Q122" s="437">
        <f t="shared" si="37"/>
        <v>0</v>
      </c>
      <c r="R122" s="434">
        <v>0</v>
      </c>
      <c r="S122" s="437">
        <f t="shared" si="43"/>
        <v>0</v>
      </c>
      <c r="T122" s="434">
        <v>0</v>
      </c>
      <c r="U122" s="407" t="e">
        <f t="shared" si="46"/>
        <v>#DIV/0!</v>
      </c>
      <c r="V122" s="434">
        <v>0</v>
      </c>
      <c r="W122" s="410" t="e">
        <f t="shared" si="47"/>
        <v>#DIV/0!</v>
      </c>
      <c r="X122" s="434">
        <v>0</v>
      </c>
      <c r="Y122" s="407" t="e">
        <f t="shared" si="48"/>
        <v>#DIV/0!</v>
      </c>
      <c r="Z122" s="434">
        <v>0</v>
      </c>
      <c r="AA122" s="411" t="e">
        <f t="shared" si="49"/>
        <v>#DIV/0!</v>
      </c>
      <c r="AB122" s="434">
        <f t="shared" si="50"/>
        <v>0</v>
      </c>
      <c r="AC122" s="407">
        <f t="shared" si="41"/>
        <v>0</v>
      </c>
      <c r="AD122" s="434">
        <f t="shared" si="51"/>
        <v>0</v>
      </c>
      <c r="AE122" s="396"/>
      <c r="AG122" s="397">
        <f>VLOOKUP(B122,TWN_IS!B:P,15,0)</f>
        <v>0</v>
      </c>
      <c r="AH122" s="397">
        <f t="shared" si="38"/>
        <v>0</v>
      </c>
    </row>
    <row r="123" spans="1:34" outlineLevel="1">
      <c r="A123" s="432"/>
      <c r="B123" s="432" t="s">
        <v>1423</v>
      </c>
      <c r="D123" s="434">
        <v>175645</v>
      </c>
      <c r="E123" s="435">
        <f t="shared" si="39"/>
        <v>2.91541724659228E-3</v>
      </c>
      <c r="F123" s="434">
        <v>302795</v>
      </c>
      <c r="G123" s="436">
        <f t="shared" si="40"/>
        <v>5.705416278040003E-3</v>
      </c>
      <c r="H123" s="434">
        <v>214478</v>
      </c>
      <c r="I123" s="407">
        <f t="shared" si="35"/>
        <v>3.365312573893448E-3</v>
      </c>
      <c r="J123" s="434">
        <v>191200</v>
      </c>
      <c r="K123" s="436">
        <f t="shared" si="42"/>
        <v>2.8382404809095671E-3</v>
      </c>
      <c r="L123" s="434">
        <v>273885</v>
      </c>
      <c r="M123" s="435">
        <f t="shared" si="45"/>
        <v>5.140354664108223E-3</v>
      </c>
      <c r="N123" s="434">
        <v>226367</v>
      </c>
      <c r="O123" s="437">
        <f t="shared" si="36"/>
        <v>2.5874072783907218E-3</v>
      </c>
      <c r="P123" s="434">
        <v>254953</v>
      </c>
      <c r="Q123" s="437">
        <f t="shared" si="37"/>
        <v>2.5951748170415651E-3</v>
      </c>
      <c r="R123" s="434">
        <v>402536</v>
      </c>
      <c r="S123" s="437">
        <f t="shared" si="43"/>
        <v>4.9009121151461594E-3</v>
      </c>
      <c r="T123" s="434">
        <v>0</v>
      </c>
      <c r="U123" s="407" t="e">
        <f t="shared" si="46"/>
        <v>#DIV/0!</v>
      </c>
      <c r="V123" s="434">
        <v>0</v>
      </c>
      <c r="W123" s="410" t="e">
        <f t="shared" si="47"/>
        <v>#DIV/0!</v>
      </c>
      <c r="X123" s="434">
        <v>0</v>
      </c>
      <c r="Y123" s="407" t="e">
        <f t="shared" si="48"/>
        <v>#DIV/0!</v>
      </c>
      <c r="Z123" s="434">
        <v>0</v>
      </c>
      <c r="AA123" s="411" t="e">
        <f t="shared" si="49"/>
        <v>#DIV/0!</v>
      </c>
      <c r="AB123" s="434">
        <f t="shared" si="50"/>
        <v>2041859</v>
      </c>
      <c r="AC123" s="407">
        <f t="shared" si="41"/>
        <v>3.610321835013339E-3</v>
      </c>
      <c r="AD123" s="434">
        <f t="shared" si="51"/>
        <v>170154.91666666666</v>
      </c>
      <c r="AE123" s="396"/>
      <c r="AG123" s="397">
        <f>VLOOKUP(B123,TWN_IS!B:P,15,0)</f>
        <v>2041859</v>
      </c>
      <c r="AH123" s="397">
        <f t="shared" si="38"/>
        <v>0</v>
      </c>
    </row>
    <row r="124" spans="1:34" outlineLevel="1">
      <c r="A124" s="432"/>
      <c r="B124" s="432" t="s">
        <v>1425</v>
      </c>
      <c r="D124" s="434">
        <v>928</v>
      </c>
      <c r="E124" s="435">
        <f t="shared" si="39"/>
        <v>1.5403269121453134E-5</v>
      </c>
      <c r="F124" s="434">
        <v>928</v>
      </c>
      <c r="G124" s="436">
        <f t="shared" si="40"/>
        <v>1.7485844568176892E-5</v>
      </c>
      <c r="H124" s="434">
        <v>928</v>
      </c>
      <c r="I124" s="407">
        <f t="shared" si="35"/>
        <v>1.4560980933117241E-5</v>
      </c>
      <c r="J124" s="434">
        <v>928</v>
      </c>
      <c r="K124" s="436">
        <f t="shared" si="42"/>
        <v>1.3775560493117564E-5</v>
      </c>
      <c r="L124" s="434">
        <v>928</v>
      </c>
      <c r="M124" s="435">
        <f t="shared" si="45"/>
        <v>1.7416978397109848E-5</v>
      </c>
      <c r="N124" s="434">
        <v>928</v>
      </c>
      <c r="O124" s="437">
        <f t="shared" si="36"/>
        <v>1.0607173105384573E-5</v>
      </c>
      <c r="P124" s="434">
        <v>928</v>
      </c>
      <c r="Q124" s="437">
        <f t="shared" si="37"/>
        <v>9.4461419564177399E-6</v>
      </c>
      <c r="R124" s="434">
        <v>928</v>
      </c>
      <c r="S124" s="437">
        <f t="shared" si="43"/>
        <v>1.1298483720352057E-5</v>
      </c>
      <c r="T124" s="434">
        <v>0</v>
      </c>
      <c r="U124" s="407" t="e">
        <f t="shared" si="46"/>
        <v>#DIV/0!</v>
      </c>
      <c r="V124" s="434">
        <v>0</v>
      </c>
      <c r="W124" s="410" t="e">
        <f t="shared" si="47"/>
        <v>#DIV/0!</v>
      </c>
      <c r="X124" s="434">
        <v>0</v>
      </c>
      <c r="Y124" s="407" t="e">
        <f t="shared" si="48"/>
        <v>#DIV/0!</v>
      </c>
      <c r="Z124" s="434">
        <v>0</v>
      </c>
      <c r="AA124" s="411" t="e">
        <f t="shared" si="49"/>
        <v>#DIV/0!</v>
      </c>
      <c r="AB124" s="434">
        <f t="shared" si="50"/>
        <v>7424</v>
      </c>
      <c r="AC124" s="407">
        <f t="shared" si="41"/>
        <v>1.3126777756514542E-5</v>
      </c>
      <c r="AD124" s="434">
        <f t="shared" si="51"/>
        <v>618.66666666666663</v>
      </c>
      <c r="AE124" s="396"/>
      <c r="AG124" s="397">
        <f>VLOOKUP(B124,TWN_IS!B:P,15,0)</f>
        <v>7424</v>
      </c>
      <c r="AH124" s="397">
        <f t="shared" si="38"/>
        <v>0</v>
      </c>
    </row>
    <row r="125" spans="1:34" outlineLevel="1">
      <c r="A125" s="432"/>
      <c r="B125" s="551" t="s">
        <v>1426</v>
      </c>
      <c r="D125" s="434">
        <v>448</v>
      </c>
      <c r="E125" s="435">
        <f t="shared" si="39"/>
        <v>7.4360609551842718E-6</v>
      </c>
      <c r="F125" s="434">
        <v>8670</v>
      </c>
      <c r="G125" s="436">
        <f t="shared" si="40"/>
        <v>1.6336451767898024E-4</v>
      </c>
      <c r="H125" s="434">
        <v>21047</v>
      </c>
      <c r="I125" s="407">
        <f t="shared" si="35"/>
        <v>3.3024241993461054E-4</v>
      </c>
      <c r="J125" s="434">
        <v>20244</v>
      </c>
      <c r="K125" s="436">
        <f t="shared" si="42"/>
        <v>3.0050910196408617E-4</v>
      </c>
      <c r="L125" s="434">
        <v>1055</v>
      </c>
      <c r="M125" s="435">
        <f t="shared" si="45"/>
        <v>1.9800551949300528E-5</v>
      </c>
      <c r="N125" s="434">
        <v>53618</v>
      </c>
      <c r="O125" s="437">
        <f t="shared" si="36"/>
        <v>6.1286143056520483E-4</v>
      </c>
      <c r="P125" s="434">
        <v>2006</v>
      </c>
      <c r="Q125" s="437">
        <f t="shared" si="37"/>
        <v>2.0419138754928864E-5</v>
      </c>
      <c r="R125" s="434">
        <v>30190</v>
      </c>
      <c r="S125" s="437">
        <f t="shared" si="43"/>
        <v>3.6756597361791874E-4</v>
      </c>
      <c r="T125" s="434">
        <v>0</v>
      </c>
      <c r="U125" s="407" t="e">
        <f t="shared" si="46"/>
        <v>#DIV/0!</v>
      </c>
      <c r="V125" s="434">
        <v>0</v>
      </c>
      <c r="W125" s="410" t="e">
        <f t="shared" si="47"/>
        <v>#DIV/0!</v>
      </c>
      <c r="X125" s="434">
        <v>0</v>
      </c>
      <c r="Y125" s="407" t="e">
        <f t="shared" si="48"/>
        <v>#DIV/0!</v>
      </c>
      <c r="Z125" s="434">
        <v>0</v>
      </c>
      <c r="AA125" s="411" t="e">
        <f t="shared" si="49"/>
        <v>#DIV/0!</v>
      </c>
      <c r="AB125" s="434">
        <f t="shared" si="50"/>
        <v>137278</v>
      </c>
      <c r="AC125" s="407">
        <f t="shared" si="41"/>
        <v>2.4272869030964487E-4</v>
      </c>
      <c r="AD125" s="434">
        <f t="shared" si="51"/>
        <v>11439.833333333334</v>
      </c>
      <c r="AE125" s="396"/>
      <c r="AG125" s="397">
        <f>VLOOKUP(B125,TWN_IS!B:P,15,0)</f>
        <v>137278</v>
      </c>
      <c r="AH125" s="397">
        <f t="shared" si="38"/>
        <v>0</v>
      </c>
    </row>
    <row r="126" spans="1:34" outlineLevel="1">
      <c r="A126" s="432"/>
      <c r="B126" s="432" t="s">
        <v>1427</v>
      </c>
      <c r="D126" s="434">
        <v>602430</v>
      </c>
      <c r="E126" s="435">
        <f t="shared" si="39"/>
        <v>9.9993441991778134E-3</v>
      </c>
      <c r="F126" s="434">
        <v>530277</v>
      </c>
      <c r="G126" s="436">
        <f t="shared" si="40"/>
        <v>9.9917469828438993E-3</v>
      </c>
      <c r="H126" s="434">
        <v>637044</v>
      </c>
      <c r="I126" s="407">
        <f t="shared" si="35"/>
        <v>9.9956740706430378E-3</v>
      </c>
      <c r="J126" s="434">
        <v>673447</v>
      </c>
      <c r="K126" s="436">
        <f t="shared" si="42"/>
        <v>9.996885654535069E-3</v>
      </c>
      <c r="L126" s="434">
        <v>532382</v>
      </c>
      <c r="M126" s="435">
        <f t="shared" si="45"/>
        <v>9.9919027941919557E-3</v>
      </c>
      <c r="N126" s="434">
        <v>874061</v>
      </c>
      <c r="O126" s="437">
        <f t="shared" si="36"/>
        <v>9.9906425987775285E-3</v>
      </c>
      <c r="P126" s="434">
        <v>982376</v>
      </c>
      <c r="Q126" s="437">
        <f t="shared" si="37"/>
        <v>9.9996370157088722E-3</v>
      </c>
      <c r="R126" s="434">
        <v>821314</v>
      </c>
      <c r="S126" s="437">
        <f t="shared" si="43"/>
        <v>9.9995720455789104E-3</v>
      </c>
      <c r="T126" s="434">
        <v>0</v>
      </c>
      <c r="U126" s="407" t="e">
        <f t="shared" si="46"/>
        <v>#DIV/0!</v>
      </c>
      <c r="V126" s="434">
        <v>0</v>
      </c>
      <c r="W126" s="439" t="e">
        <f t="shared" si="47"/>
        <v>#DIV/0!</v>
      </c>
      <c r="X126" s="434">
        <v>0</v>
      </c>
      <c r="Y126" s="407" t="e">
        <f t="shared" si="48"/>
        <v>#DIV/0!</v>
      </c>
      <c r="Z126" s="434">
        <v>0</v>
      </c>
      <c r="AA126" s="440" t="e">
        <f t="shared" si="49"/>
        <v>#DIV/0!</v>
      </c>
      <c r="AB126" s="434">
        <f t="shared" si="50"/>
        <v>5653331</v>
      </c>
      <c r="AC126" s="407">
        <f t="shared" si="41"/>
        <v>9.9959616946409102E-3</v>
      </c>
      <c r="AD126" s="434">
        <f t="shared" si="51"/>
        <v>471110.91666666669</v>
      </c>
      <c r="AE126" s="396"/>
      <c r="AG126" s="397">
        <f>VLOOKUP(B126,TWN_IS!B:P,15,0)</f>
        <v>5653331</v>
      </c>
      <c r="AH126" s="397">
        <f t="shared" si="38"/>
        <v>0</v>
      </c>
    </row>
    <row r="127" spans="1:34" outlineLevel="1">
      <c r="A127" s="432"/>
      <c r="B127" s="432" t="s">
        <v>1428</v>
      </c>
      <c r="D127" s="434">
        <v>248745</v>
      </c>
      <c r="E127" s="435">
        <f t="shared" si="39"/>
        <v>4.1287566569136423E-3</v>
      </c>
      <c r="F127" s="434">
        <v>26641</v>
      </c>
      <c r="G127" s="436">
        <f t="shared" si="40"/>
        <v>5.0198317364310414E-4</v>
      </c>
      <c r="H127" s="434">
        <v>-612774</v>
      </c>
      <c r="I127" s="407">
        <f t="shared" si="35"/>
        <v>-9.6148604852478274E-3</v>
      </c>
      <c r="J127" s="434">
        <v>132228</v>
      </c>
      <c r="K127" s="436">
        <f t="shared" si="42"/>
        <v>1.9628392380214971E-3</v>
      </c>
      <c r="L127" s="434">
        <v>-100773</v>
      </c>
      <c r="M127" s="435">
        <f t="shared" si="45"/>
        <v>-1.8913374612197745E-3</v>
      </c>
      <c r="N127" s="434">
        <v>89556</v>
      </c>
      <c r="O127" s="437">
        <f t="shared" si="36"/>
        <v>1.0236379252433416E-3</v>
      </c>
      <c r="P127" s="434">
        <v>171259</v>
      </c>
      <c r="Q127" s="437">
        <f t="shared" si="37"/>
        <v>1.7432508893471398E-3</v>
      </c>
      <c r="R127" s="434">
        <v>196785</v>
      </c>
      <c r="S127" s="437">
        <f t="shared" si="43"/>
        <v>2.3958751281352151E-3</v>
      </c>
      <c r="T127" s="434">
        <v>0</v>
      </c>
      <c r="U127" s="407" t="e">
        <f t="shared" si="46"/>
        <v>#DIV/0!</v>
      </c>
      <c r="V127" s="434">
        <v>0</v>
      </c>
      <c r="W127" s="410" t="e">
        <f t="shared" si="47"/>
        <v>#DIV/0!</v>
      </c>
      <c r="X127" s="434">
        <v>0</v>
      </c>
      <c r="Y127" s="407" t="e">
        <f t="shared" si="48"/>
        <v>#DIV/0!</v>
      </c>
      <c r="Z127" s="434">
        <v>0</v>
      </c>
      <c r="AA127" s="411" t="e">
        <f t="shared" si="49"/>
        <v>#DIV/0!</v>
      </c>
      <c r="AB127" s="434">
        <f t="shared" si="50"/>
        <v>151667</v>
      </c>
      <c r="AC127" s="407">
        <f t="shared" si="41"/>
        <v>2.6817066298454891E-4</v>
      </c>
      <c r="AD127" s="434">
        <f t="shared" si="51"/>
        <v>12638.916666666666</v>
      </c>
      <c r="AE127" s="396"/>
      <c r="AG127" s="397">
        <f>VLOOKUP(B127,TWN_IS!B:P,15,0)</f>
        <v>151667</v>
      </c>
      <c r="AH127" s="397">
        <f t="shared" si="38"/>
        <v>0</v>
      </c>
    </row>
    <row r="128" spans="1:34" outlineLevel="1">
      <c r="A128" s="432"/>
      <c r="B128" s="432" t="s">
        <v>1429</v>
      </c>
      <c r="D128" s="434">
        <v>0</v>
      </c>
      <c r="E128" s="435">
        <f t="shared" si="39"/>
        <v>0</v>
      </c>
      <c r="F128" s="434">
        <v>23227</v>
      </c>
      <c r="G128" s="436">
        <f t="shared" si="40"/>
        <v>4.3765486183733267E-4</v>
      </c>
      <c r="H128" s="434">
        <v>0</v>
      </c>
      <c r="I128" s="407">
        <f t="shared" si="35"/>
        <v>0</v>
      </c>
      <c r="J128" s="434">
        <v>0</v>
      </c>
      <c r="K128" s="436">
        <f t="shared" si="42"/>
        <v>0</v>
      </c>
      <c r="L128" s="434">
        <v>8486</v>
      </c>
      <c r="M128" s="435">
        <f t="shared" si="45"/>
        <v>1.592677571959851E-4</v>
      </c>
      <c r="N128" s="434">
        <v>19655</v>
      </c>
      <c r="O128" s="437">
        <f t="shared" si="36"/>
        <v>2.2465946916630798E-4</v>
      </c>
      <c r="P128" s="434">
        <v>0</v>
      </c>
      <c r="Q128" s="437">
        <f t="shared" si="37"/>
        <v>0</v>
      </c>
      <c r="R128" s="434">
        <v>1243</v>
      </c>
      <c r="S128" s="437">
        <f t="shared" si="43"/>
        <v>1.5133637138359491E-5</v>
      </c>
      <c r="T128" s="434">
        <v>0</v>
      </c>
      <c r="U128" s="407" t="e">
        <f t="shared" si="46"/>
        <v>#DIV/0!</v>
      </c>
      <c r="V128" s="434">
        <v>0</v>
      </c>
      <c r="W128" s="410" t="e">
        <f t="shared" si="47"/>
        <v>#DIV/0!</v>
      </c>
      <c r="X128" s="434">
        <v>0</v>
      </c>
      <c r="Y128" s="407" t="e">
        <f t="shared" si="48"/>
        <v>#DIV/0!</v>
      </c>
      <c r="Z128" s="434">
        <v>0</v>
      </c>
      <c r="AA128" s="411" t="e">
        <f t="shared" si="49"/>
        <v>#DIV/0!</v>
      </c>
      <c r="AB128" s="434">
        <f t="shared" si="50"/>
        <v>52611</v>
      </c>
      <c r="AC128" s="407">
        <f t="shared" si="41"/>
        <v>9.3024367530709408E-5</v>
      </c>
      <c r="AD128" s="434">
        <f t="shared" si="51"/>
        <v>4384.25</v>
      </c>
      <c r="AE128" s="396"/>
      <c r="AG128" s="397">
        <f>VLOOKUP(B128,TWN_IS!B:P,15,0)</f>
        <v>52611</v>
      </c>
      <c r="AH128" s="397">
        <f t="shared" si="38"/>
        <v>0</v>
      </c>
    </row>
    <row r="129" spans="1:34" outlineLevel="1">
      <c r="A129" s="432"/>
      <c r="B129" s="432" t="s">
        <v>1430</v>
      </c>
      <c r="D129" s="434">
        <v>0</v>
      </c>
      <c r="E129" s="435">
        <f t="shared" si="39"/>
        <v>0</v>
      </c>
      <c r="F129" s="434">
        <v>0</v>
      </c>
      <c r="G129" s="436">
        <f t="shared" si="40"/>
        <v>0</v>
      </c>
      <c r="H129" s="434">
        <v>0</v>
      </c>
      <c r="I129" s="407">
        <f t="shared" si="35"/>
        <v>0</v>
      </c>
      <c r="J129" s="434">
        <v>0</v>
      </c>
      <c r="K129" s="436">
        <f t="shared" si="42"/>
        <v>0</v>
      </c>
      <c r="L129" s="434">
        <v>0</v>
      </c>
      <c r="M129" s="435">
        <f t="shared" si="45"/>
        <v>0</v>
      </c>
      <c r="N129" s="434">
        <v>0</v>
      </c>
      <c r="O129" s="437">
        <f t="shared" si="36"/>
        <v>0</v>
      </c>
      <c r="P129" s="434">
        <v>0</v>
      </c>
      <c r="Q129" s="437">
        <f t="shared" si="37"/>
        <v>0</v>
      </c>
      <c r="R129" s="434">
        <v>0</v>
      </c>
      <c r="S129" s="437">
        <f t="shared" si="43"/>
        <v>0</v>
      </c>
      <c r="T129" s="434">
        <v>0</v>
      </c>
      <c r="U129" s="407" t="e">
        <f t="shared" si="46"/>
        <v>#DIV/0!</v>
      </c>
      <c r="V129" s="434">
        <v>0</v>
      </c>
      <c r="W129" s="410" t="e">
        <f t="shared" si="47"/>
        <v>#DIV/0!</v>
      </c>
      <c r="X129" s="434">
        <v>0</v>
      </c>
      <c r="Y129" s="407" t="e">
        <f t="shared" si="48"/>
        <v>#DIV/0!</v>
      </c>
      <c r="Z129" s="434">
        <v>0</v>
      </c>
      <c r="AA129" s="411" t="e">
        <f t="shared" si="49"/>
        <v>#DIV/0!</v>
      </c>
      <c r="AB129" s="434">
        <f t="shared" si="50"/>
        <v>0</v>
      </c>
      <c r="AC129" s="407">
        <f t="shared" si="41"/>
        <v>0</v>
      </c>
      <c r="AD129" s="434">
        <f t="shared" si="51"/>
        <v>0</v>
      </c>
      <c r="AE129" s="396"/>
      <c r="AG129" s="397">
        <f>VLOOKUP(B129,TWN_IS!B:P,15,0)</f>
        <v>0</v>
      </c>
      <c r="AH129" s="397">
        <f t="shared" si="38"/>
        <v>0</v>
      </c>
    </row>
    <row r="130" spans="1:34" outlineLevel="1">
      <c r="A130" s="432"/>
      <c r="B130" s="432" t="s">
        <v>1431</v>
      </c>
      <c r="D130" s="434">
        <v>0</v>
      </c>
      <c r="E130" s="435">
        <f t="shared" si="39"/>
        <v>0</v>
      </c>
      <c r="F130" s="434">
        <v>0</v>
      </c>
      <c r="G130" s="436">
        <f t="shared" si="40"/>
        <v>0</v>
      </c>
      <c r="H130" s="434">
        <v>0</v>
      </c>
      <c r="I130" s="407">
        <f t="shared" si="35"/>
        <v>0</v>
      </c>
      <c r="J130" s="434">
        <v>0</v>
      </c>
      <c r="K130" s="436">
        <f t="shared" si="42"/>
        <v>0</v>
      </c>
      <c r="L130" s="434">
        <v>0</v>
      </c>
      <c r="M130" s="435">
        <f t="shared" si="45"/>
        <v>0</v>
      </c>
      <c r="N130" s="434">
        <v>0</v>
      </c>
      <c r="O130" s="437">
        <f t="shared" si="36"/>
        <v>0</v>
      </c>
      <c r="P130" s="434">
        <v>0</v>
      </c>
      <c r="Q130" s="437">
        <f t="shared" si="37"/>
        <v>0</v>
      </c>
      <c r="R130" s="434">
        <v>0</v>
      </c>
      <c r="S130" s="437">
        <f t="shared" si="43"/>
        <v>0</v>
      </c>
      <c r="T130" s="434">
        <v>0</v>
      </c>
      <c r="U130" s="407" t="e">
        <f t="shared" si="46"/>
        <v>#DIV/0!</v>
      </c>
      <c r="V130" s="434">
        <v>0</v>
      </c>
      <c r="W130" s="410" t="e">
        <f t="shared" si="47"/>
        <v>#DIV/0!</v>
      </c>
      <c r="X130" s="434">
        <v>0</v>
      </c>
      <c r="Y130" s="407" t="e">
        <f t="shared" si="48"/>
        <v>#DIV/0!</v>
      </c>
      <c r="Z130" s="434">
        <v>0</v>
      </c>
      <c r="AA130" s="411" t="e">
        <f t="shared" si="49"/>
        <v>#DIV/0!</v>
      </c>
      <c r="AB130" s="434">
        <f>SUM(D130,F130,H130,J130,L130,N130,P130,R130,T130,V130,X130,Z130)</f>
        <v>0</v>
      </c>
      <c r="AC130" s="407">
        <f t="shared" si="41"/>
        <v>0</v>
      </c>
      <c r="AD130" s="434">
        <f t="shared" si="51"/>
        <v>0</v>
      </c>
      <c r="AE130" s="396"/>
      <c r="AG130" s="397">
        <f>VLOOKUP(B130,TWN_IS!B:P,15,0)</f>
        <v>0</v>
      </c>
      <c r="AH130" s="397">
        <f t="shared" si="38"/>
        <v>0</v>
      </c>
    </row>
    <row r="131" spans="1:34" outlineLevel="1">
      <c r="A131" s="432"/>
      <c r="B131" s="432" t="s">
        <v>1432</v>
      </c>
      <c r="D131" s="434">
        <v>0</v>
      </c>
      <c r="E131" s="435">
        <f t="shared" si="39"/>
        <v>0</v>
      </c>
      <c r="F131" s="434">
        <v>0</v>
      </c>
      <c r="G131" s="436">
        <f t="shared" si="40"/>
        <v>0</v>
      </c>
      <c r="H131" s="434">
        <v>0</v>
      </c>
      <c r="I131" s="407">
        <f t="shared" si="35"/>
        <v>0</v>
      </c>
      <c r="J131" s="434">
        <v>0</v>
      </c>
      <c r="K131" s="436">
        <f t="shared" si="42"/>
        <v>0</v>
      </c>
      <c r="L131" s="434">
        <v>0</v>
      </c>
      <c r="M131" s="435">
        <f t="shared" si="45"/>
        <v>0</v>
      </c>
      <c r="N131" s="434">
        <v>0</v>
      </c>
      <c r="O131" s="437">
        <f t="shared" si="36"/>
        <v>0</v>
      </c>
      <c r="P131" s="434">
        <v>0</v>
      </c>
      <c r="Q131" s="437">
        <f t="shared" si="37"/>
        <v>0</v>
      </c>
      <c r="R131" s="434">
        <v>0</v>
      </c>
      <c r="S131" s="437">
        <f t="shared" si="43"/>
        <v>0</v>
      </c>
      <c r="T131" s="434">
        <v>0</v>
      </c>
      <c r="U131" s="407" t="e">
        <f t="shared" si="46"/>
        <v>#DIV/0!</v>
      </c>
      <c r="V131" s="434">
        <v>0</v>
      </c>
      <c r="W131" s="410" t="e">
        <f t="shared" si="47"/>
        <v>#DIV/0!</v>
      </c>
      <c r="X131" s="434">
        <v>0</v>
      </c>
      <c r="Y131" s="407" t="e">
        <f t="shared" si="48"/>
        <v>#DIV/0!</v>
      </c>
      <c r="Z131" s="434">
        <v>0</v>
      </c>
      <c r="AA131" s="411" t="e">
        <f t="shared" si="49"/>
        <v>#DIV/0!</v>
      </c>
      <c r="AB131" s="434">
        <f>SUM(D131,F131,H131,J131,L131,N131,P131,R131,T131,V131,X131,Z131)</f>
        <v>0</v>
      </c>
      <c r="AC131" s="407">
        <f t="shared" si="41"/>
        <v>0</v>
      </c>
      <c r="AD131" s="434">
        <f t="shared" si="51"/>
        <v>0</v>
      </c>
      <c r="AE131" s="396"/>
      <c r="AG131" s="397">
        <f>VLOOKUP(B131,TWN_IS!B:P,15,0)</f>
        <v>0</v>
      </c>
      <c r="AH131" s="397">
        <f t="shared" si="38"/>
        <v>0</v>
      </c>
    </row>
    <row r="132" spans="1:34" outlineLevel="1">
      <c r="A132" s="432"/>
      <c r="B132" s="432" t="s">
        <v>1433</v>
      </c>
      <c r="D132" s="434">
        <v>237798</v>
      </c>
      <c r="E132" s="435">
        <f t="shared" si="39"/>
        <v>3.9470545156716731E-3</v>
      </c>
      <c r="F132" s="434">
        <v>-7596</v>
      </c>
      <c r="G132" s="436">
        <f t="shared" si="40"/>
        <v>-1.4312766739210312E-4</v>
      </c>
      <c r="H132" s="434">
        <v>-642916</v>
      </c>
      <c r="I132" s="407">
        <f t="shared" si="35"/>
        <v>-1.0087809932754314E-2</v>
      </c>
      <c r="J132" s="434">
        <v>105729</v>
      </c>
      <c r="K132" s="436">
        <f t="shared" si="42"/>
        <v>1.5694787019146842E-3</v>
      </c>
      <c r="L132" s="434">
        <v>-129796</v>
      </c>
      <c r="M132" s="435">
        <f t="shared" si="45"/>
        <v>-2.4360497069302474E-3</v>
      </c>
      <c r="N132" s="434">
        <v>48013</v>
      </c>
      <c r="O132" s="437">
        <f t="shared" si="36"/>
        <v>5.4879547662589395E-4</v>
      </c>
      <c r="P132" s="434">
        <v>160693</v>
      </c>
      <c r="Q132" s="437">
        <f t="shared" si="37"/>
        <v>1.6356992342700819E-3</v>
      </c>
      <c r="R132" s="434">
        <v>180620</v>
      </c>
      <c r="S132" s="437">
        <f t="shared" si="43"/>
        <v>2.1990647947952463E-3</v>
      </c>
      <c r="T132" s="434">
        <v>0</v>
      </c>
      <c r="U132" s="407" t="e">
        <f t="shared" si="46"/>
        <v>#DIV/0!</v>
      </c>
      <c r="V132" s="434">
        <v>0</v>
      </c>
      <c r="W132" s="410" t="e">
        <f t="shared" si="47"/>
        <v>#DIV/0!</v>
      </c>
      <c r="X132" s="434">
        <v>0</v>
      </c>
      <c r="Y132" s="407" t="e">
        <f t="shared" si="48"/>
        <v>#DIV/0!</v>
      </c>
      <c r="Z132" s="434">
        <v>0</v>
      </c>
      <c r="AA132" s="411" t="e">
        <f t="shared" si="49"/>
        <v>#DIV/0!</v>
      </c>
      <c r="AB132" s="434">
        <f>SUM(D132,F132,H132,J132,L132,N132,P132,R132,T132,V132,X132,Z132)</f>
        <v>-47455</v>
      </c>
      <c r="AC132" s="407">
        <f t="shared" si="41"/>
        <v>-8.3907763797871448E-5</v>
      </c>
      <c r="AD132" s="434">
        <f t="shared" si="51"/>
        <v>-3954.5833333333335</v>
      </c>
      <c r="AE132" s="396"/>
      <c r="AG132" s="397">
        <f>VLOOKUP(B132,TWN_IS!B:P,15,0)</f>
        <v>-47455</v>
      </c>
      <c r="AH132" s="397">
        <f t="shared" si="38"/>
        <v>0</v>
      </c>
    </row>
    <row r="133" spans="1:34" outlineLevel="1">
      <c r="A133" s="432"/>
      <c r="B133" s="432" t="s">
        <v>1435</v>
      </c>
      <c r="D133" s="434">
        <v>10947</v>
      </c>
      <c r="E133" s="435">
        <f t="shared" si="39"/>
        <v>1.8170214124196924E-4</v>
      </c>
      <c r="F133" s="434">
        <v>11010</v>
      </c>
      <c r="G133" s="436">
        <f t="shared" si="40"/>
        <v>2.0745597919787456E-4</v>
      </c>
      <c r="H133" s="434">
        <v>30142</v>
      </c>
      <c r="I133" s="407">
        <f t="shared" si="35"/>
        <v>4.7294944750648691E-4</v>
      </c>
      <c r="J133" s="434">
        <v>26499</v>
      </c>
      <c r="K133" s="436">
        <f t="shared" si="42"/>
        <v>3.9336053610681285E-4</v>
      </c>
      <c r="L133" s="434">
        <v>20537</v>
      </c>
      <c r="M133" s="435">
        <f t="shared" si="45"/>
        <v>3.8544448851448806E-4</v>
      </c>
      <c r="N133" s="434">
        <v>21888</v>
      </c>
      <c r="O133" s="437">
        <f t="shared" si="36"/>
        <v>2.501829794511396E-4</v>
      </c>
      <c r="P133" s="434">
        <v>10566</v>
      </c>
      <c r="Q133" s="437">
        <f t="shared" si="37"/>
        <v>1.0755165507705803E-4</v>
      </c>
      <c r="R133" s="434">
        <v>14922</v>
      </c>
      <c r="S133" s="437">
        <f t="shared" si="43"/>
        <v>1.8167669620160927E-4</v>
      </c>
      <c r="T133" s="434">
        <v>0</v>
      </c>
      <c r="U133" s="407" t="e">
        <f t="shared" si="46"/>
        <v>#DIV/0!</v>
      </c>
      <c r="V133" s="434">
        <v>0</v>
      </c>
      <c r="W133" s="410" t="e">
        <f t="shared" si="47"/>
        <v>#DIV/0!</v>
      </c>
      <c r="X133" s="434">
        <v>0</v>
      </c>
      <c r="Y133" s="407" t="e">
        <f t="shared" si="48"/>
        <v>#DIV/0!</v>
      </c>
      <c r="Z133" s="434">
        <v>0</v>
      </c>
      <c r="AA133" s="411" t="e">
        <f t="shared" si="49"/>
        <v>#DIV/0!</v>
      </c>
      <c r="AB133" s="434">
        <f>SUM(D133,F133,H133,J133,L133,N133,P133,R133,T133,V133,X133,Z133)</f>
        <v>146511</v>
      </c>
      <c r="AC133" s="407">
        <f t="shared" si="41"/>
        <v>2.5905405925171095E-4</v>
      </c>
      <c r="AD133" s="434">
        <f t="shared" si="51"/>
        <v>12209.25</v>
      </c>
      <c r="AE133" s="396"/>
      <c r="AG133" s="397">
        <f>VLOOKUP(B133,TWN_IS!B:P,15,0)</f>
        <v>146511</v>
      </c>
      <c r="AH133" s="397">
        <f t="shared" si="38"/>
        <v>0</v>
      </c>
    </row>
    <row r="134" spans="1:34">
      <c r="A134" s="452"/>
      <c r="B134" s="485" t="s">
        <v>1553</v>
      </c>
      <c r="C134" s="453"/>
      <c r="D134" s="454">
        <v>2682181</v>
      </c>
      <c r="E134" s="455">
        <f t="shared" si="39"/>
        <v>4.4519779930439964E-2</v>
      </c>
      <c r="F134" s="454">
        <v>3034578</v>
      </c>
      <c r="G134" s="457">
        <f t="shared" si="40"/>
        <v>5.7179050903027051E-2</v>
      </c>
      <c r="H134" s="454">
        <v>2064980</v>
      </c>
      <c r="I134" s="456">
        <f t="shared" si="35"/>
        <v>3.2401006904384091E-2</v>
      </c>
      <c r="J134" s="454">
        <v>2828716</v>
      </c>
      <c r="K134" s="457">
        <f t="shared" si="42"/>
        <v>4.1990461611906837E-2</v>
      </c>
      <c r="L134" s="454">
        <v>2899107</v>
      </c>
      <c r="M134" s="455">
        <f t="shared" si="45"/>
        <v>5.4411297402920195E-2</v>
      </c>
      <c r="N134" s="454">
        <v>3746561</v>
      </c>
      <c r="O134" s="458">
        <f t="shared" si="36"/>
        <v>4.2823729608709844E-2</v>
      </c>
      <c r="P134" s="454">
        <v>3694714</v>
      </c>
      <c r="Q134" s="458">
        <f t="shared" si="37"/>
        <v>3.7608613073668119E-2</v>
      </c>
      <c r="R134" s="454">
        <v>3586817</v>
      </c>
      <c r="S134" s="458">
        <f t="shared" si="43"/>
        <v>4.3669820562911646E-2</v>
      </c>
      <c r="T134" s="454">
        <v>0</v>
      </c>
      <c r="U134" s="456" t="e">
        <f t="shared" si="46"/>
        <v>#DIV/0!</v>
      </c>
      <c r="V134" s="454">
        <v>0</v>
      </c>
      <c r="W134" s="459" t="e">
        <f t="shared" si="47"/>
        <v>#DIV/0!</v>
      </c>
      <c r="X134" s="454">
        <v>0</v>
      </c>
      <c r="Y134" s="456" t="e">
        <f t="shared" si="48"/>
        <v>#DIV/0!</v>
      </c>
      <c r="Z134" s="454">
        <v>0</v>
      </c>
      <c r="AA134" s="460" t="e">
        <f t="shared" si="49"/>
        <v>#DIV/0!</v>
      </c>
      <c r="AB134" s="454">
        <f t="shared" si="50"/>
        <v>24537654</v>
      </c>
      <c r="AC134" s="456">
        <f t="shared" si="41"/>
        <v>4.3386359203158691E-2</v>
      </c>
      <c r="AD134" s="454">
        <f t="shared" si="51"/>
        <v>2044804.5</v>
      </c>
      <c r="AE134" s="396"/>
      <c r="AG134" s="397">
        <f>VLOOKUP(B134,TWN_IS!B:P,15,0)</f>
        <v>24537654</v>
      </c>
      <c r="AH134" s="397">
        <f t="shared" si="38"/>
        <v>0</v>
      </c>
    </row>
    <row r="135" spans="1:34" outlineLevel="1">
      <c r="A135" s="432"/>
      <c r="B135" s="431" t="s">
        <v>1554</v>
      </c>
      <c r="D135" s="438"/>
      <c r="E135" s="435"/>
      <c r="F135" s="438"/>
      <c r="H135" s="438"/>
      <c r="J135" s="438"/>
      <c r="K135" s="436"/>
      <c r="L135" s="438"/>
      <c r="M135" s="435"/>
      <c r="N135" s="438"/>
      <c r="O135" s="437"/>
      <c r="P135" s="438"/>
      <c r="Q135" s="437"/>
      <c r="R135" s="438"/>
      <c r="T135" s="438"/>
      <c r="V135" s="438"/>
      <c r="X135" s="438"/>
      <c r="Z135" s="438"/>
      <c r="AB135" s="438"/>
      <c r="AC135" s="407"/>
      <c r="AD135" s="438"/>
      <c r="AE135" s="396"/>
      <c r="AG135" s="397">
        <f>VLOOKUP(B135,TWN_IS!B:P,15,0)</f>
        <v>0</v>
      </c>
      <c r="AH135" s="397">
        <f t="shared" si="38"/>
        <v>0</v>
      </c>
    </row>
    <row r="136" spans="1:34" outlineLevel="1">
      <c r="A136" s="432"/>
      <c r="B136" s="432" t="s">
        <v>1351</v>
      </c>
      <c r="D136" s="434">
        <v>1348010</v>
      </c>
      <c r="E136" s="435">
        <f t="shared" si="39"/>
        <v>2.2374742250441851E-2</v>
      </c>
      <c r="F136" s="434">
        <v>1387258</v>
      </c>
      <c r="G136" s="407">
        <f t="shared" si="40"/>
        <v>2.6139415693922349E-2</v>
      </c>
      <c r="H136" s="434">
        <v>1338557</v>
      </c>
      <c r="I136" s="407">
        <f t="shared" si="35"/>
        <v>2.1002912666907989E-2</v>
      </c>
      <c r="J136" s="434">
        <v>1330622</v>
      </c>
      <c r="K136" s="436">
        <f t="shared" si="42"/>
        <v>1.9752223981113232E-2</v>
      </c>
      <c r="L136" s="434">
        <v>1336029</v>
      </c>
      <c r="M136" s="435">
        <f t="shared" si="45"/>
        <v>2.5074987317793396E-2</v>
      </c>
      <c r="N136" s="434">
        <v>1353207</v>
      </c>
      <c r="O136" s="437">
        <f t="shared" si="36"/>
        <v>1.5467350103898861E-2</v>
      </c>
      <c r="P136" s="434">
        <v>3014551</v>
      </c>
      <c r="Q136" s="437">
        <f t="shared" si="37"/>
        <v>3.0685211940583036E-2</v>
      </c>
      <c r="R136" s="434">
        <v>1355631</v>
      </c>
      <c r="S136" s="437">
        <f t="shared" si="43"/>
        <v>1.6504929724466141E-2</v>
      </c>
      <c r="T136" s="434">
        <v>0</v>
      </c>
      <c r="U136" s="407" t="e">
        <f t="shared" si="46"/>
        <v>#DIV/0!</v>
      </c>
      <c r="V136" s="434">
        <v>0</v>
      </c>
      <c r="W136" s="410" t="e">
        <f t="shared" ref="W136:W172" si="52">V136/$V$21</f>
        <v>#DIV/0!</v>
      </c>
      <c r="X136" s="434">
        <v>0</v>
      </c>
      <c r="Y136" s="407" t="e">
        <f t="shared" ref="Y136:Y172" si="53">X136/$X$21</f>
        <v>#DIV/0!</v>
      </c>
      <c r="Z136" s="434">
        <v>0</v>
      </c>
      <c r="AA136" s="411" t="e">
        <f t="shared" ref="AA136:AA172" si="54">Z136/$Z$21</f>
        <v>#DIV/0!</v>
      </c>
      <c r="AB136" s="434">
        <f t="shared" ref="AB136:AB172" si="55">SUM(D136,F136,H136,J136,L136,N136,P136,R136,T136,V136,X136,Z136)</f>
        <v>12463865</v>
      </c>
      <c r="AC136" s="407">
        <f t="shared" si="41"/>
        <v>2.2038036886072216E-2</v>
      </c>
      <c r="AD136" s="434">
        <f t="shared" si="51"/>
        <v>1038655.4166666666</v>
      </c>
      <c r="AE136" s="396"/>
      <c r="AG136" s="397">
        <f>VLOOKUP(B136,TWN_IS!B:P,15,0)</f>
        <v>12463865</v>
      </c>
      <c r="AH136" s="397">
        <f t="shared" si="38"/>
        <v>0</v>
      </c>
    </row>
    <row r="137" spans="1:34" outlineLevel="1">
      <c r="A137" s="432"/>
      <c r="B137" s="432" t="s">
        <v>1352</v>
      </c>
      <c r="D137" s="434">
        <v>965400</v>
      </c>
      <c r="E137" s="435">
        <f t="shared" si="39"/>
        <v>1.6024047424408248E-2</v>
      </c>
      <c r="F137" s="434">
        <v>996534</v>
      </c>
      <c r="G137" s="407">
        <f t="shared" si="40"/>
        <v>1.8777196800542663E-2</v>
      </c>
      <c r="H137" s="434">
        <v>997200</v>
      </c>
      <c r="I137" s="407">
        <f t="shared" ref="I137:I200" si="56">H137/$H$21</f>
        <v>1.564677821821607E-2</v>
      </c>
      <c r="J137" s="434">
        <v>993898</v>
      </c>
      <c r="K137" s="436">
        <f t="shared" si="42"/>
        <v>1.4753773731668708E-2</v>
      </c>
      <c r="L137" s="434">
        <v>997200</v>
      </c>
      <c r="M137" s="435">
        <f t="shared" si="45"/>
        <v>1.8715744458618469E-2</v>
      </c>
      <c r="N137" s="434">
        <v>1016483</v>
      </c>
      <c r="O137" s="437">
        <f t="shared" ref="O137:O200" si="57">N137/$N$21</f>
        <v>1.1618546486724814E-2</v>
      </c>
      <c r="P137" s="434">
        <v>996534</v>
      </c>
      <c r="Q137" s="437">
        <f t="shared" ref="Q137:Q200" si="58">P137/$P$21</f>
        <v>1.0143751754737928E-2</v>
      </c>
      <c r="R137" s="434">
        <v>1000904</v>
      </c>
      <c r="S137" s="437">
        <f t="shared" si="43"/>
        <v>1.2186096497451783E-2</v>
      </c>
      <c r="T137" s="434">
        <v>0</v>
      </c>
      <c r="U137" s="407" t="e">
        <f t="shared" si="46"/>
        <v>#DIV/0!</v>
      </c>
      <c r="V137" s="434">
        <v>0</v>
      </c>
      <c r="W137" s="410" t="e">
        <f t="shared" si="52"/>
        <v>#DIV/0!</v>
      </c>
      <c r="X137" s="434">
        <v>0</v>
      </c>
      <c r="Y137" s="407" t="e">
        <f t="shared" si="53"/>
        <v>#DIV/0!</v>
      </c>
      <c r="Z137" s="434">
        <v>0</v>
      </c>
      <c r="AA137" s="411" t="e">
        <f t="shared" si="54"/>
        <v>#DIV/0!</v>
      </c>
      <c r="AB137" s="434">
        <f t="shared" si="55"/>
        <v>7964153</v>
      </c>
      <c r="AC137" s="407">
        <f t="shared" si="41"/>
        <v>1.4081851623097868E-2</v>
      </c>
      <c r="AD137" s="434">
        <f t="shared" si="51"/>
        <v>663679.41666666663</v>
      </c>
      <c r="AE137" s="396"/>
      <c r="AG137" s="397">
        <f>VLOOKUP(B137,TWN_IS!B:P,15,0)</f>
        <v>7964153</v>
      </c>
      <c r="AH137" s="397">
        <f t="shared" ref="AH137:AH200" si="59">AB137-AG137</f>
        <v>0</v>
      </c>
    </row>
    <row r="138" spans="1:34" outlineLevel="1">
      <c r="A138" s="432"/>
      <c r="B138" s="432" t="s">
        <v>1353</v>
      </c>
      <c r="D138" s="434">
        <v>0</v>
      </c>
      <c r="E138" s="435">
        <f t="shared" si="39"/>
        <v>0</v>
      </c>
      <c r="F138" s="434">
        <v>0</v>
      </c>
      <c r="G138" s="407">
        <f t="shared" si="40"/>
        <v>0</v>
      </c>
      <c r="H138" s="434">
        <v>1433</v>
      </c>
      <c r="I138" s="407">
        <f t="shared" si="56"/>
        <v>2.2484790600384706E-5</v>
      </c>
      <c r="J138" s="434">
        <v>0</v>
      </c>
      <c r="K138" s="436">
        <f t="shared" si="42"/>
        <v>0</v>
      </c>
      <c r="L138" s="434">
        <v>2219</v>
      </c>
      <c r="M138" s="435">
        <f t="shared" si="45"/>
        <v>4.1646848128434E-5</v>
      </c>
      <c r="N138" s="434">
        <v>0</v>
      </c>
      <c r="O138" s="437">
        <f t="shared" si="57"/>
        <v>0</v>
      </c>
      <c r="P138" s="434">
        <v>1925</v>
      </c>
      <c r="Q138" s="437">
        <f t="shared" si="58"/>
        <v>1.9594637140198439E-5</v>
      </c>
      <c r="R138" s="434">
        <v>16553</v>
      </c>
      <c r="S138" s="437">
        <f t="shared" si="43"/>
        <v>2.0153426834373665E-4</v>
      </c>
      <c r="T138" s="434">
        <v>0</v>
      </c>
      <c r="U138" s="407" t="e">
        <f t="shared" si="46"/>
        <v>#DIV/0!</v>
      </c>
      <c r="V138" s="434">
        <v>0</v>
      </c>
      <c r="W138" s="410" t="e">
        <f t="shared" si="52"/>
        <v>#DIV/0!</v>
      </c>
      <c r="X138" s="434">
        <v>0</v>
      </c>
      <c r="Y138" s="407" t="e">
        <f t="shared" si="53"/>
        <v>#DIV/0!</v>
      </c>
      <c r="Z138" s="434">
        <v>0</v>
      </c>
      <c r="AA138" s="411" t="e">
        <f t="shared" si="54"/>
        <v>#DIV/0!</v>
      </c>
      <c r="AB138" s="434">
        <f t="shared" si="55"/>
        <v>22130</v>
      </c>
      <c r="AC138" s="407">
        <f t="shared" si="41"/>
        <v>3.9129255354480986E-5</v>
      </c>
      <c r="AD138" s="434">
        <f t="shared" si="51"/>
        <v>1844.1666666666667</v>
      </c>
      <c r="AE138" s="396"/>
      <c r="AG138" s="397">
        <f>VLOOKUP(B138,TWN_IS!B:P,15,0)</f>
        <v>22130</v>
      </c>
      <c r="AH138" s="397">
        <f t="shared" si="59"/>
        <v>0</v>
      </c>
    </row>
    <row r="139" spans="1:34" outlineLevel="1">
      <c r="A139" s="432"/>
      <c r="B139" s="432" t="s">
        <v>1354</v>
      </c>
      <c r="D139" s="434">
        <v>0</v>
      </c>
      <c r="E139" s="435">
        <f t="shared" si="39"/>
        <v>0</v>
      </c>
      <c r="F139" s="434">
        <v>0</v>
      </c>
      <c r="G139" s="407">
        <f t="shared" si="40"/>
        <v>0</v>
      </c>
      <c r="H139" s="434">
        <v>0</v>
      </c>
      <c r="I139" s="407">
        <f t="shared" si="56"/>
        <v>0</v>
      </c>
      <c r="J139" s="434">
        <v>0</v>
      </c>
      <c r="K139" s="436">
        <f t="shared" si="42"/>
        <v>0</v>
      </c>
      <c r="L139" s="434">
        <v>0</v>
      </c>
      <c r="M139" s="435">
        <f t="shared" si="45"/>
        <v>0</v>
      </c>
      <c r="N139" s="434">
        <v>0</v>
      </c>
      <c r="O139" s="437">
        <f t="shared" si="57"/>
        <v>0</v>
      </c>
      <c r="P139" s="434">
        <v>0</v>
      </c>
      <c r="Q139" s="437">
        <f t="shared" si="58"/>
        <v>0</v>
      </c>
      <c r="R139" s="434">
        <v>0</v>
      </c>
      <c r="S139" s="437">
        <f t="shared" si="43"/>
        <v>0</v>
      </c>
      <c r="T139" s="434">
        <v>0</v>
      </c>
      <c r="U139" s="407" t="e">
        <f t="shared" si="46"/>
        <v>#DIV/0!</v>
      </c>
      <c r="V139" s="434">
        <v>0</v>
      </c>
      <c r="W139" s="410" t="e">
        <f t="shared" si="52"/>
        <v>#DIV/0!</v>
      </c>
      <c r="X139" s="434">
        <v>0</v>
      </c>
      <c r="Y139" s="407" t="e">
        <f t="shared" si="53"/>
        <v>#DIV/0!</v>
      </c>
      <c r="Z139" s="434">
        <v>0</v>
      </c>
      <c r="AA139" s="411" t="e">
        <f t="shared" si="54"/>
        <v>#DIV/0!</v>
      </c>
      <c r="AB139" s="434">
        <f t="shared" si="55"/>
        <v>0</v>
      </c>
      <c r="AC139" s="407">
        <f t="shared" si="41"/>
        <v>0</v>
      </c>
      <c r="AD139" s="434">
        <f t="shared" si="51"/>
        <v>0</v>
      </c>
      <c r="AE139" s="396"/>
      <c r="AG139" s="397">
        <f>VLOOKUP(B139,TWN_IS!B:P,15,0)</f>
        <v>0</v>
      </c>
      <c r="AH139" s="397">
        <f t="shared" si="59"/>
        <v>0</v>
      </c>
    </row>
    <row r="140" spans="1:34" outlineLevel="1">
      <c r="A140" s="432"/>
      <c r="B140" s="432" t="s">
        <v>1355</v>
      </c>
      <c r="D140" s="434">
        <v>0</v>
      </c>
      <c r="E140" s="435">
        <f t="shared" si="39"/>
        <v>0</v>
      </c>
      <c r="F140" s="434">
        <v>0</v>
      </c>
      <c r="G140" s="407">
        <f t="shared" si="40"/>
        <v>0</v>
      </c>
      <c r="H140" s="434">
        <v>1433</v>
      </c>
      <c r="I140" s="407">
        <f t="shared" si="56"/>
        <v>2.2484790600384706E-5</v>
      </c>
      <c r="J140" s="434">
        <v>0</v>
      </c>
      <c r="K140" s="436">
        <f t="shared" si="42"/>
        <v>0</v>
      </c>
      <c r="L140" s="434">
        <v>2219</v>
      </c>
      <c r="M140" s="435">
        <f t="shared" si="45"/>
        <v>4.1646848128434E-5</v>
      </c>
      <c r="N140" s="434">
        <v>0</v>
      </c>
      <c r="O140" s="437">
        <f t="shared" si="57"/>
        <v>0</v>
      </c>
      <c r="P140" s="434">
        <v>1925</v>
      </c>
      <c r="Q140" s="437">
        <f t="shared" si="58"/>
        <v>1.9594637140198439E-5</v>
      </c>
      <c r="R140" s="434">
        <v>16553</v>
      </c>
      <c r="S140" s="437">
        <f t="shared" si="43"/>
        <v>2.0153426834373665E-4</v>
      </c>
      <c r="T140" s="434">
        <v>0</v>
      </c>
      <c r="U140" s="407" t="e">
        <f t="shared" si="46"/>
        <v>#DIV/0!</v>
      </c>
      <c r="V140" s="434">
        <v>0</v>
      </c>
      <c r="W140" s="410" t="e">
        <f t="shared" si="52"/>
        <v>#DIV/0!</v>
      </c>
      <c r="X140" s="434">
        <v>0</v>
      </c>
      <c r="Y140" s="407" t="e">
        <f t="shared" si="53"/>
        <v>#DIV/0!</v>
      </c>
      <c r="Z140" s="434">
        <v>0</v>
      </c>
      <c r="AA140" s="411" t="e">
        <f t="shared" si="54"/>
        <v>#DIV/0!</v>
      </c>
      <c r="AB140" s="434">
        <f t="shared" si="55"/>
        <v>22130</v>
      </c>
      <c r="AC140" s="407">
        <f t="shared" si="41"/>
        <v>3.9129255354480986E-5</v>
      </c>
      <c r="AD140" s="434">
        <f t="shared" si="51"/>
        <v>1844.1666666666667</v>
      </c>
      <c r="AE140" s="396"/>
      <c r="AG140" s="397">
        <f>VLOOKUP(B140,TWN_IS!B:P,15,0)</f>
        <v>22130</v>
      </c>
      <c r="AH140" s="397">
        <f t="shared" si="59"/>
        <v>0</v>
      </c>
    </row>
    <row r="141" spans="1:34" outlineLevel="1">
      <c r="A141" s="432"/>
      <c r="B141" s="432" t="s">
        <v>1356</v>
      </c>
      <c r="D141" s="434">
        <v>330500</v>
      </c>
      <c r="E141" s="435">
        <f t="shared" si="39"/>
        <v>5.4857547894830395E-3</v>
      </c>
      <c r="F141" s="434">
        <v>338500</v>
      </c>
      <c r="G141" s="407">
        <f t="shared" si="40"/>
        <v>6.3781879163015932E-3</v>
      </c>
      <c r="H141" s="434">
        <v>287700</v>
      </c>
      <c r="I141" s="407">
        <f t="shared" si="56"/>
        <v>4.5142179035105928E-3</v>
      </c>
      <c r="J141" s="434">
        <v>284500</v>
      </c>
      <c r="K141" s="436">
        <f t="shared" si="42"/>
        <v>4.2232187072111498E-3</v>
      </c>
      <c r="L141" s="434">
        <v>284500</v>
      </c>
      <c r="M141" s="435">
        <f t="shared" si="45"/>
        <v>5.3395801228208533E-3</v>
      </c>
      <c r="N141" s="434">
        <v>284500</v>
      </c>
      <c r="O141" s="437">
        <f t="shared" si="57"/>
        <v>3.2518758065537838E-3</v>
      </c>
      <c r="P141" s="434">
        <v>1963868</v>
      </c>
      <c r="Q141" s="437">
        <f t="shared" si="58"/>
        <v>1.9990275766881675E-2</v>
      </c>
      <c r="R141" s="434">
        <v>285500</v>
      </c>
      <c r="S141" s="437">
        <f t="shared" si="43"/>
        <v>3.4759882566384832E-3</v>
      </c>
      <c r="T141" s="434">
        <v>0</v>
      </c>
      <c r="U141" s="407" t="e">
        <f t="shared" si="46"/>
        <v>#DIV/0!</v>
      </c>
      <c r="V141" s="434">
        <v>0</v>
      </c>
      <c r="W141" s="410" t="e">
        <f t="shared" si="52"/>
        <v>#DIV/0!</v>
      </c>
      <c r="X141" s="434">
        <v>0</v>
      </c>
      <c r="Y141" s="407" t="e">
        <f t="shared" si="53"/>
        <v>#DIV/0!</v>
      </c>
      <c r="Z141" s="434">
        <v>0</v>
      </c>
      <c r="AA141" s="411" t="e">
        <f t="shared" si="54"/>
        <v>#DIV/0!</v>
      </c>
      <c r="AB141" s="434">
        <f t="shared" si="55"/>
        <v>4059568</v>
      </c>
      <c r="AC141" s="407">
        <f t="shared" si="41"/>
        <v>7.1779427429227143E-3</v>
      </c>
      <c r="AD141" s="434">
        <f t="shared" si="51"/>
        <v>338297.33333333331</v>
      </c>
      <c r="AE141" s="396"/>
      <c r="AG141" s="397">
        <f>VLOOKUP(B141,TWN_IS!B:P,15,0)</f>
        <v>4059568</v>
      </c>
      <c r="AH141" s="397">
        <f t="shared" si="59"/>
        <v>0</v>
      </c>
    </row>
    <row r="142" spans="1:34" outlineLevel="1">
      <c r="A142" s="432"/>
      <c r="B142" s="432" t="s">
        <v>1357</v>
      </c>
      <c r="D142" s="434">
        <v>52110</v>
      </c>
      <c r="E142" s="435">
        <f t="shared" si="39"/>
        <v>8.6494003655056338E-4</v>
      </c>
      <c r="F142" s="434">
        <v>52224</v>
      </c>
      <c r="G142" s="407">
        <f t="shared" si="40"/>
        <v>9.840309770780928E-4</v>
      </c>
      <c r="H142" s="434">
        <v>52224</v>
      </c>
      <c r="I142" s="407">
        <f t="shared" si="56"/>
        <v>8.1943175458094267E-4</v>
      </c>
      <c r="J142" s="434">
        <v>52224</v>
      </c>
      <c r="K142" s="436">
        <f t="shared" si="42"/>
        <v>7.7523154223337466E-4</v>
      </c>
      <c r="L142" s="434">
        <v>52110</v>
      </c>
      <c r="M142" s="435">
        <f t="shared" si="45"/>
        <v>9.7801588822564022E-4</v>
      </c>
      <c r="N142" s="434">
        <v>52224</v>
      </c>
      <c r="O142" s="437">
        <f t="shared" si="57"/>
        <v>5.9692781062026289E-4</v>
      </c>
      <c r="P142" s="434">
        <v>52224</v>
      </c>
      <c r="Q142" s="437">
        <f t="shared" si="58"/>
        <v>5.3158978182323284E-4</v>
      </c>
      <c r="R142" s="434">
        <v>52674</v>
      </c>
      <c r="S142" s="437">
        <f t="shared" si="43"/>
        <v>6.4131070203213823E-4</v>
      </c>
      <c r="T142" s="434">
        <v>0</v>
      </c>
      <c r="U142" s="407" t="e">
        <f t="shared" si="46"/>
        <v>#DIV/0!</v>
      </c>
      <c r="V142" s="434">
        <v>0</v>
      </c>
      <c r="W142" s="410" t="e">
        <f t="shared" si="52"/>
        <v>#DIV/0!</v>
      </c>
      <c r="X142" s="434">
        <v>0</v>
      </c>
      <c r="Y142" s="407" t="e">
        <f t="shared" si="53"/>
        <v>#DIV/0!</v>
      </c>
      <c r="Z142" s="434">
        <v>0</v>
      </c>
      <c r="AA142" s="411" t="e">
        <f t="shared" si="54"/>
        <v>#DIV/0!</v>
      </c>
      <c r="AB142" s="434">
        <f t="shared" si="55"/>
        <v>418014</v>
      </c>
      <c r="AC142" s="407">
        <f t="shared" si="41"/>
        <v>7.3911326469715385E-4</v>
      </c>
      <c r="AD142" s="434">
        <f t="shared" si="51"/>
        <v>34834.5</v>
      </c>
      <c r="AE142" s="396"/>
      <c r="AG142" s="397">
        <f>VLOOKUP(B142,TWN_IS!B:P,15,0)</f>
        <v>418014</v>
      </c>
      <c r="AH142" s="397">
        <f t="shared" si="59"/>
        <v>0</v>
      </c>
    </row>
    <row r="143" spans="1:34" outlineLevel="1">
      <c r="A143" s="432"/>
      <c r="B143" s="432" t="s">
        <v>1358</v>
      </c>
      <c r="D143" s="434">
        <v>0</v>
      </c>
      <c r="E143" s="435">
        <f t="shared" ref="E143:E206" si="60">D143/$D$21</f>
        <v>0</v>
      </c>
      <c r="F143" s="434">
        <v>0</v>
      </c>
      <c r="G143" s="407">
        <f t="shared" ref="G143:G206" si="61">F143/$F$21</f>
        <v>0</v>
      </c>
      <c r="H143" s="434">
        <v>0</v>
      </c>
      <c r="I143" s="407">
        <f t="shared" si="56"/>
        <v>0</v>
      </c>
      <c r="J143" s="434">
        <v>0</v>
      </c>
      <c r="K143" s="436">
        <f t="shared" si="42"/>
        <v>0</v>
      </c>
      <c r="L143" s="434">
        <v>0</v>
      </c>
      <c r="M143" s="435">
        <f t="shared" si="45"/>
        <v>0</v>
      </c>
      <c r="N143" s="434">
        <v>0</v>
      </c>
      <c r="O143" s="437">
        <f t="shared" si="57"/>
        <v>0</v>
      </c>
      <c r="P143" s="434">
        <v>0</v>
      </c>
      <c r="Q143" s="437">
        <f t="shared" si="58"/>
        <v>0</v>
      </c>
      <c r="R143" s="434">
        <v>0</v>
      </c>
      <c r="S143" s="437">
        <f t="shared" si="43"/>
        <v>0</v>
      </c>
      <c r="T143" s="434">
        <v>0</v>
      </c>
      <c r="U143" s="407" t="e">
        <f t="shared" si="46"/>
        <v>#DIV/0!</v>
      </c>
      <c r="V143" s="434">
        <v>0</v>
      </c>
      <c r="W143" s="410" t="e">
        <f t="shared" si="52"/>
        <v>#DIV/0!</v>
      </c>
      <c r="X143" s="434">
        <v>0</v>
      </c>
      <c r="Y143" s="407" t="e">
        <f t="shared" si="53"/>
        <v>#DIV/0!</v>
      </c>
      <c r="Z143" s="434">
        <v>0</v>
      </c>
      <c r="AA143" s="411" t="e">
        <f t="shared" si="54"/>
        <v>#DIV/0!</v>
      </c>
      <c r="AB143" s="434">
        <f t="shared" si="55"/>
        <v>0</v>
      </c>
      <c r="AC143" s="407">
        <f t="shared" ref="AC143:AC206" si="62">AB143/$AB$21</f>
        <v>0</v>
      </c>
      <c r="AD143" s="434">
        <f t="shared" si="51"/>
        <v>0</v>
      </c>
      <c r="AE143" s="396"/>
      <c r="AG143" s="397">
        <f>VLOOKUP(B143,TWN_IS!B:P,15,0)</f>
        <v>0</v>
      </c>
      <c r="AH143" s="397">
        <f t="shared" si="59"/>
        <v>0</v>
      </c>
    </row>
    <row r="144" spans="1:34" outlineLevel="1">
      <c r="A144" s="432"/>
      <c r="B144" s="432" t="s">
        <v>1359</v>
      </c>
      <c r="D144" s="434">
        <v>9214</v>
      </c>
      <c r="E144" s="435">
        <f t="shared" si="60"/>
        <v>1.5293720009166938E-4</v>
      </c>
      <c r="F144" s="434">
        <v>9214</v>
      </c>
      <c r="G144" s="407">
        <f t="shared" si="61"/>
        <v>1.7361484035687704E-4</v>
      </c>
      <c r="H144" s="434">
        <v>9215</v>
      </c>
      <c r="I144" s="407">
        <f t="shared" si="56"/>
        <v>1.4458991303736572E-4</v>
      </c>
      <c r="J144" s="434">
        <v>9214</v>
      </c>
      <c r="K144" s="436">
        <f t="shared" si="42"/>
        <v>1.3677587756851856E-4</v>
      </c>
      <c r="L144" s="434">
        <v>9214</v>
      </c>
      <c r="M144" s="435">
        <f t="shared" si="45"/>
        <v>1.7293107645578677E-4</v>
      </c>
      <c r="N144" s="434">
        <v>15691</v>
      </c>
      <c r="O144" s="437">
        <f t="shared" si="57"/>
        <v>1.7935038059977299E-4</v>
      </c>
      <c r="P144" s="434">
        <v>9214</v>
      </c>
      <c r="Q144" s="437">
        <f t="shared" si="58"/>
        <v>9.3789603433656321E-5</v>
      </c>
      <c r="R144" s="434">
        <v>9214</v>
      </c>
      <c r="S144" s="437">
        <f t="shared" si="43"/>
        <v>1.1218128124927139E-4</v>
      </c>
      <c r="T144" s="434">
        <v>0</v>
      </c>
      <c r="U144" s="407" t="e">
        <f t="shared" si="46"/>
        <v>#DIV/0!</v>
      </c>
      <c r="V144" s="434">
        <v>0</v>
      </c>
      <c r="W144" s="410" t="e">
        <f t="shared" si="52"/>
        <v>#DIV/0!</v>
      </c>
      <c r="X144" s="434">
        <v>0</v>
      </c>
      <c r="Y144" s="407" t="e">
        <f t="shared" si="53"/>
        <v>#DIV/0!</v>
      </c>
      <c r="Z144" s="434">
        <v>0</v>
      </c>
      <c r="AA144" s="411" t="e">
        <f t="shared" si="54"/>
        <v>#DIV/0!</v>
      </c>
      <c r="AB144" s="434">
        <f t="shared" si="55"/>
        <v>80190</v>
      </c>
      <c r="AC144" s="407">
        <f t="shared" si="62"/>
        <v>1.4178829583713648E-4</v>
      </c>
      <c r="AD144" s="434">
        <f t="shared" si="51"/>
        <v>6682.5</v>
      </c>
      <c r="AE144" s="396"/>
      <c r="AG144" s="397">
        <f>VLOOKUP(B144,TWN_IS!B:P,15,0)</f>
        <v>80190</v>
      </c>
      <c r="AH144" s="397">
        <f t="shared" si="59"/>
        <v>0</v>
      </c>
    </row>
    <row r="145" spans="1:34" outlineLevel="1">
      <c r="A145" s="432"/>
      <c r="B145" s="432" t="s">
        <v>1360</v>
      </c>
      <c r="D145" s="434">
        <v>660</v>
      </c>
      <c r="E145" s="435">
        <f t="shared" si="60"/>
        <v>1.0954911228619685E-5</v>
      </c>
      <c r="F145" s="434">
        <v>3660</v>
      </c>
      <c r="G145" s="407">
        <f t="shared" si="61"/>
        <v>6.8963568016732144E-5</v>
      </c>
      <c r="H145" s="434">
        <v>5268</v>
      </c>
      <c r="I145" s="407">
        <f t="shared" si="56"/>
        <v>8.2658671934980198E-5</v>
      </c>
      <c r="J145" s="434">
        <v>2612</v>
      </c>
      <c r="K145" s="436">
        <f t="shared" si="42"/>
        <v>3.8773452594852454E-5</v>
      </c>
      <c r="L145" s="434">
        <v>6500</v>
      </c>
      <c r="M145" s="435">
        <f t="shared" si="45"/>
        <v>1.2199392196251509E-4</v>
      </c>
      <c r="N145" s="434">
        <v>2269</v>
      </c>
      <c r="O145" s="437">
        <f t="shared" si="57"/>
        <v>2.5934995448402584E-5</v>
      </c>
      <c r="P145" s="434">
        <v>16972</v>
      </c>
      <c r="Q145" s="437">
        <f t="shared" si="58"/>
        <v>1.7275853586672617E-4</v>
      </c>
      <c r="R145" s="434">
        <v>1610</v>
      </c>
      <c r="S145" s="437">
        <f t="shared" si="43"/>
        <v>1.9601895247593547E-5</v>
      </c>
      <c r="T145" s="434">
        <v>0</v>
      </c>
      <c r="U145" s="407" t="e">
        <f t="shared" si="46"/>
        <v>#DIV/0!</v>
      </c>
      <c r="V145" s="434">
        <v>0</v>
      </c>
      <c r="W145" s="410" t="e">
        <f t="shared" si="52"/>
        <v>#DIV/0!</v>
      </c>
      <c r="X145" s="434">
        <v>0</v>
      </c>
      <c r="Y145" s="407" t="e">
        <f t="shared" si="53"/>
        <v>#DIV/0!</v>
      </c>
      <c r="Z145" s="434">
        <v>0</v>
      </c>
      <c r="AA145" s="411" t="e">
        <f t="shared" si="54"/>
        <v>#DIV/0!</v>
      </c>
      <c r="AB145" s="434">
        <f t="shared" si="55"/>
        <v>39551</v>
      </c>
      <c r="AC145" s="407">
        <f t="shared" si="62"/>
        <v>6.993227196227191E-5</v>
      </c>
      <c r="AD145" s="434">
        <f t="shared" si="51"/>
        <v>3295.9166666666665</v>
      </c>
      <c r="AE145" s="396"/>
      <c r="AG145" s="397">
        <f>VLOOKUP(B145,TWN_IS!B:P,15,0)</f>
        <v>39551</v>
      </c>
      <c r="AH145" s="397">
        <f t="shared" si="59"/>
        <v>0</v>
      </c>
    </row>
    <row r="146" spans="1:34" outlineLevel="1">
      <c r="A146" s="432"/>
      <c r="B146" s="432" t="s">
        <v>1361</v>
      </c>
      <c r="D146" s="434">
        <v>47200</v>
      </c>
      <c r="E146" s="435">
        <f t="shared" si="60"/>
        <v>7.8344213634977151E-4</v>
      </c>
      <c r="F146" s="434">
        <v>233684</v>
      </c>
      <c r="G146" s="407">
        <f t="shared" si="61"/>
        <v>4.4031919203338888E-3</v>
      </c>
      <c r="H146" s="434">
        <v>135742</v>
      </c>
      <c r="I146" s="407">
        <f t="shared" si="56"/>
        <v>2.1298886571370695E-3</v>
      </c>
      <c r="J146" s="434">
        <v>33500</v>
      </c>
      <c r="K146" s="436">
        <f t="shared" si="42"/>
        <v>4.9728585831836038E-4</v>
      </c>
      <c r="L146" s="434">
        <v>24228</v>
      </c>
      <c r="M146" s="435">
        <f t="shared" si="45"/>
        <v>4.5471826789351012E-4</v>
      </c>
      <c r="N146" s="434">
        <v>21228</v>
      </c>
      <c r="O146" s="437">
        <f t="shared" si="57"/>
        <v>2.4263908478567211E-4</v>
      </c>
      <c r="P146" s="434">
        <v>78205</v>
      </c>
      <c r="Q146" s="437">
        <f t="shared" si="58"/>
        <v>7.9605121950608766E-4</v>
      </c>
      <c r="R146" s="434">
        <v>33973</v>
      </c>
      <c r="S146" s="437">
        <f t="shared" si="43"/>
        <v>4.1362433990465566E-4</v>
      </c>
      <c r="T146" s="434">
        <v>0</v>
      </c>
      <c r="U146" s="407" t="e">
        <f t="shared" si="46"/>
        <v>#DIV/0!</v>
      </c>
      <c r="V146" s="434">
        <v>0</v>
      </c>
      <c r="W146" s="410" t="e">
        <f t="shared" si="52"/>
        <v>#DIV/0!</v>
      </c>
      <c r="X146" s="434">
        <v>0</v>
      </c>
      <c r="Y146" s="407" t="e">
        <f t="shared" si="53"/>
        <v>#DIV/0!</v>
      </c>
      <c r="Z146" s="434">
        <v>0</v>
      </c>
      <c r="AA146" s="411" t="e">
        <f t="shared" si="54"/>
        <v>#DIV/0!</v>
      </c>
      <c r="AB146" s="434">
        <f t="shared" si="55"/>
        <v>607760</v>
      </c>
      <c r="AC146" s="407">
        <f t="shared" si="62"/>
        <v>1.074613476468114E-3</v>
      </c>
      <c r="AD146" s="434">
        <f t="shared" si="51"/>
        <v>50646.666666666664</v>
      </c>
      <c r="AE146" s="396"/>
      <c r="AG146" s="397">
        <f>VLOOKUP(B146,TWN_IS!B:P,15,0)</f>
        <v>607760</v>
      </c>
      <c r="AH146" s="397">
        <f t="shared" si="59"/>
        <v>0</v>
      </c>
    </row>
    <row r="147" spans="1:34" outlineLevel="1">
      <c r="A147" s="432"/>
      <c r="B147" s="432" t="s">
        <v>1362</v>
      </c>
      <c r="D147" s="434">
        <v>3250</v>
      </c>
      <c r="E147" s="435">
        <f t="shared" si="60"/>
        <v>5.3944638625778755E-5</v>
      </c>
      <c r="F147" s="434">
        <v>2710</v>
      </c>
      <c r="G147" s="407">
        <f t="shared" si="61"/>
        <v>5.1063188340257956E-5</v>
      </c>
      <c r="H147" s="434">
        <v>2710</v>
      </c>
      <c r="I147" s="407">
        <f t="shared" si="56"/>
        <v>4.2521830095633319E-5</v>
      </c>
      <c r="J147" s="434">
        <v>2600</v>
      </c>
      <c r="K147" s="436">
        <f t="shared" si="42"/>
        <v>3.859532034709662E-5</v>
      </c>
      <c r="L147" s="434">
        <v>2800</v>
      </c>
      <c r="M147" s="435">
        <f t="shared" si="45"/>
        <v>5.2551227922314193E-5</v>
      </c>
      <c r="N147" s="434">
        <v>2350</v>
      </c>
      <c r="O147" s="437">
        <f t="shared" si="57"/>
        <v>2.6860837066437229E-5</v>
      </c>
      <c r="P147" s="434">
        <v>2250</v>
      </c>
      <c r="Q147" s="437">
        <f t="shared" si="58"/>
        <v>2.2902822631400772E-5</v>
      </c>
      <c r="R147" s="434">
        <v>2900</v>
      </c>
      <c r="S147" s="437">
        <f t="shared" si="43"/>
        <v>3.5307761626100179E-5</v>
      </c>
      <c r="T147" s="434">
        <v>0</v>
      </c>
      <c r="U147" s="407" t="e">
        <f t="shared" si="46"/>
        <v>#DIV/0!</v>
      </c>
      <c r="V147" s="434">
        <v>0</v>
      </c>
      <c r="W147" s="410" t="e">
        <f t="shared" si="52"/>
        <v>#DIV/0!</v>
      </c>
      <c r="X147" s="434">
        <v>0</v>
      </c>
      <c r="Y147" s="407" t="e">
        <f t="shared" si="53"/>
        <v>#DIV/0!</v>
      </c>
      <c r="Z147" s="434">
        <v>0</v>
      </c>
      <c r="AA147" s="411" t="e">
        <f t="shared" si="54"/>
        <v>#DIV/0!</v>
      </c>
      <c r="AB147" s="434">
        <f t="shared" si="55"/>
        <v>21570</v>
      </c>
      <c r="AC147" s="407">
        <f t="shared" si="62"/>
        <v>3.8139088928881832E-5</v>
      </c>
      <c r="AD147" s="434">
        <f t="shared" si="51"/>
        <v>1797.5</v>
      </c>
      <c r="AE147" s="396"/>
      <c r="AG147" s="397">
        <f>VLOOKUP(B147,TWN_IS!B:P,15,0)</f>
        <v>21570</v>
      </c>
      <c r="AH147" s="397">
        <f t="shared" si="59"/>
        <v>0</v>
      </c>
    </row>
    <row r="148" spans="1:34" outlineLevel="1">
      <c r="A148" s="432"/>
      <c r="B148" s="432" t="s">
        <v>1363</v>
      </c>
      <c r="D148" s="434">
        <v>7080</v>
      </c>
      <c r="E148" s="435">
        <f t="shared" si="60"/>
        <v>1.1751632045246571E-4</v>
      </c>
      <c r="F148" s="434">
        <v>2784</v>
      </c>
      <c r="G148" s="407">
        <f t="shared" si="61"/>
        <v>5.245753370453068E-5</v>
      </c>
      <c r="H148" s="434">
        <v>21856</v>
      </c>
      <c r="I148" s="407">
        <f t="shared" si="56"/>
        <v>3.4293620611445088E-4</v>
      </c>
      <c r="J148" s="434">
        <v>8719</v>
      </c>
      <c r="K148" s="436">
        <f t="shared" si="42"/>
        <v>1.2942792234859056E-4</v>
      </c>
      <c r="L148" s="434">
        <v>11839</v>
      </c>
      <c r="M148" s="435">
        <f t="shared" si="45"/>
        <v>2.2219785263295633E-4</v>
      </c>
      <c r="N148" s="434">
        <v>12912</v>
      </c>
      <c r="O148" s="437">
        <f t="shared" si="57"/>
        <v>1.4758601200078191E-4</v>
      </c>
      <c r="P148" s="434">
        <v>11469</v>
      </c>
      <c r="Q148" s="437">
        <f t="shared" si="58"/>
        <v>1.167433212264602E-4</v>
      </c>
      <c r="R148" s="434">
        <v>8914</v>
      </c>
      <c r="S148" s="437">
        <f t="shared" si="43"/>
        <v>1.0852875418450241E-4</v>
      </c>
      <c r="T148" s="434">
        <v>0</v>
      </c>
      <c r="U148" s="407" t="e">
        <f t="shared" si="46"/>
        <v>#DIV/0!</v>
      </c>
      <c r="V148" s="434">
        <v>0</v>
      </c>
      <c r="W148" s="410" t="e">
        <f t="shared" si="52"/>
        <v>#DIV/0!</v>
      </c>
      <c r="X148" s="434">
        <v>0</v>
      </c>
      <c r="Y148" s="407" t="e">
        <f t="shared" si="53"/>
        <v>#DIV/0!</v>
      </c>
      <c r="Z148" s="434">
        <v>0</v>
      </c>
      <c r="AA148" s="411" t="e">
        <f t="shared" si="54"/>
        <v>#DIV/0!</v>
      </c>
      <c r="AB148" s="434">
        <f t="shared" si="55"/>
        <v>85573</v>
      </c>
      <c r="AC148" s="407">
        <f t="shared" si="62"/>
        <v>1.5130627060320838E-4</v>
      </c>
      <c r="AD148" s="434">
        <f t="shared" si="51"/>
        <v>7131.083333333333</v>
      </c>
      <c r="AE148" s="396"/>
      <c r="AG148" s="397">
        <f>VLOOKUP(B148,TWN_IS!B:P,15,0)</f>
        <v>85573</v>
      </c>
      <c r="AH148" s="397">
        <f t="shared" si="59"/>
        <v>0</v>
      </c>
    </row>
    <row r="149" spans="1:34" outlineLevel="1">
      <c r="A149" s="432"/>
      <c r="B149" s="432" t="s">
        <v>1364</v>
      </c>
      <c r="D149" s="434">
        <v>952</v>
      </c>
      <c r="E149" s="435">
        <f t="shared" si="60"/>
        <v>1.5801629529766576E-5</v>
      </c>
      <c r="F149" s="434">
        <v>2000</v>
      </c>
      <c r="G149" s="407">
        <f t="shared" si="61"/>
        <v>3.7685009845208825E-5</v>
      </c>
      <c r="H149" s="434">
        <v>0</v>
      </c>
      <c r="I149" s="407">
        <f t="shared" si="56"/>
        <v>0</v>
      </c>
      <c r="J149" s="434">
        <v>51434</v>
      </c>
      <c r="K149" s="436">
        <f t="shared" si="42"/>
        <v>7.6350450258944914E-4</v>
      </c>
      <c r="L149" s="434">
        <v>0</v>
      </c>
      <c r="M149" s="435">
        <f t="shared" si="45"/>
        <v>0</v>
      </c>
      <c r="N149" s="434">
        <v>3143</v>
      </c>
      <c r="O149" s="437">
        <f t="shared" si="57"/>
        <v>3.592494080843073E-5</v>
      </c>
      <c r="P149" s="434">
        <v>2000</v>
      </c>
      <c r="Q149" s="437">
        <f t="shared" si="58"/>
        <v>2.0358064561245131E-5</v>
      </c>
      <c r="R149" s="434">
        <v>25843</v>
      </c>
      <c r="S149" s="437">
        <f t="shared" si="43"/>
        <v>3.146408564494162E-4</v>
      </c>
      <c r="T149" s="434">
        <v>0</v>
      </c>
      <c r="U149" s="407" t="e">
        <f t="shared" si="46"/>
        <v>#DIV/0!</v>
      </c>
      <c r="V149" s="434">
        <v>0</v>
      </c>
      <c r="W149" s="410" t="e">
        <f t="shared" si="52"/>
        <v>#DIV/0!</v>
      </c>
      <c r="X149" s="434">
        <v>0</v>
      </c>
      <c r="Y149" s="407" t="e">
        <f t="shared" si="53"/>
        <v>#DIV/0!</v>
      </c>
      <c r="Z149" s="434">
        <v>0</v>
      </c>
      <c r="AA149" s="411" t="e">
        <f t="shared" si="54"/>
        <v>#DIV/0!</v>
      </c>
      <c r="AB149" s="434">
        <f t="shared" si="55"/>
        <v>85372</v>
      </c>
      <c r="AC149" s="407">
        <f t="shared" si="62"/>
        <v>1.5095087158259154E-4</v>
      </c>
      <c r="AD149" s="434">
        <f t="shared" si="51"/>
        <v>7114.333333333333</v>
      </c>
      <c r="AE149" s="396"/>
      <c r="AG149" s="397">
        <f>VLOOKUP(B149,TWN_IS!B:P,15,0)</f>
        <v>85372</v>
      </c>
      <c r="AH149" s="397">
        <f t="shared" si="59"/>
        <v>0</v>
      </c>
    </row>
    <row r="150" spans="1:34" outlineLevel="1">
      <c r="A150" s="432"/>
      <c r="B150" s="432" t="s">
        <v>1365</v>
      </c>
      <c r="D150" s="434">
        <v>2500</v>
      </c>
      <c r="E150" s="435">
        <f t="shared" si="60"/>
        <v>4.1495875865983658E-5</v>
      </c>
      <c r="F150" s="434">
        <v>2500</v>
      </c>
      <c r="G150" s="407">
        <f t="shared" si="61"/>
        <v>4.7106262306511024E-5</v>
      </c>
      <c r="H150" s="434">
        <v>2500</v>
      </c>
      <c r="I150" s="407">
        <f t="shared" si="56"/>
        <v>3.9226780531027053E-5</v>
      </c>
      <c r="J150" s="434">
        <v>2500</v>
      </c>
      <c r="K150" s="436">
        <f t="shared" si="42"/>
        <v>3.7110884949131365E-5</v>
      </c>
      <c r="L150" s="434">
        <v>2500</v>
      </c>
      <c r="M150" s="435">
        <f t="shared" si="45"/>
        <v>4.692073921635196E-5</v>
      </c>
      <c r="N150" s="434">
        <v>3280</v>
      </c>
      <c r="O150" s="437">
        <f t="shared" si="57"/>
        <v>3.7490870458686855E-5</v>
      </c>
      <c r="P150" s="434">
        <v>2500</v>
      </c>
      <c r="Q150" s="437">
        <f t="shared" si="58"/>
        <v>2.5447580701556413E-5</v>
      </c>
      <c r="R150" s="434">
        <v>2500</v>
      </c>
      <c r="S150" s="437">
        <f t="shared" si="43"/>
        <v>3.0437725539741534E-5</v>
      </c>
      <c r="T150" s="434">
        <v>0</v>
      </c>
      <c r="U150" s="407" t="e">
        <f t="shared" si="46"/>
        <v>#DIV/0!</v>
      </c>
      <c r="V150" s="434">
        <v>0</v>
      </c>
      <c r="W150" s="410" t="e">
        <f t="shared" si="52"/>
        <v>#DIV/0!</v>
      </c>
      <c r="X150" s="434">
        <v>0</v>
      </c>
      <c r="Y150" s="407" t="e">
        <f t="shared" si="53"/>
        <v>#DIV/0!</v>
      </c>
      <c r="Z150" s="434">
        <v>0</v>
      </c>
      <c r="AA150" s="411" t="e">
        <f t="shared" si="54"/>
        <v>#DIV/0!</v>
      </c>
      <c r="AB150" s="434">
        <f t="shared" si="55"/>
        <v>20780</v>
      </c>
      <c r="AC150" s="407">
        <f t="shared" si="62"/>
        <v>3.6742247007054447E-5</v>
      </c>
      <c r="AD150" s="434">
        <f t="shared" si="51"/>
        <v>1731.6666666666667</v>
      </c>
      <c r="AE150" s="396"/>
      <c r="AG150" s="397">
        <f>VLOOKUP(B150,TWN_IS!B:P,15,0)</f>
        <v>20780</v>
      </c>
      <c r="AH150" s="397">
        <f t="shared" si="59"/>
        <v>0</v>
      </c>
    </row>
    <row r="151" spans="1:34" outlineLevel="1">
      <c r="A151" s="432"/>
      <c r="B151" s="432" t="s">
        <v>1367</v>
      </c>
      <c r="D151" s="434">
        <v>13011</v>
      </c>
      <c r="E151" s="435">
        <f t="shared" si="60"/>
        <v>2.1596113635692535E-4</v>
      </c>
      <c r="F151" s="434">
        <v>8030</v>
      </c>
      <c r="G151" s="407">
        <f t="shared" si="61"/>
        <v>1.5130531452851341E-4</v>
      </c>
      <c r="H151" s="434">
        <v>10454</v>
      </c>
      <c r="I151" s="407">
        <f t="shared" si="56"/>
        <v>1.640307054685427E-4</v>
      </c>
      <c r="J151" s="434">
        <v>10776</v>
      </c>
      <c r="K151" s="436">
        <f t="shared" si="42"/>
        <v>1.5996275848473586E-4</v>
      </c>
      <c r="L151" s="434">
        <v>12937</v>
      </c>
      <c r="M151" s="435">
        <f t="shared" si="45"/>
        <v>2.4280544129677814E-4</v>
      </c>
      <c r="N151" s="434">
        <v>13205</v>
      </c>
      <c r="O151" s="437">
        <f t="shared" si="57"/>
        <v>1.5093504402651216E-4</v>
      </c>
      <c r="P151" s="434">
        <v>13851</v>
      </c>
      <c r="Q151" s="437">
        <f t="shared" si="58"/>
        <v>1.4098977611890314E-4</v>
      </c>
      <c r="R151" s="434">
        <v>19372</v>
      </c>
      <c r="S151" s="437">
        <f t="shared" si="43"/>
        <v>2.358558476623492E-4</v>
      </c>
      <c r="T151" s="434">
        <v>0</v>
      </c>
      <c r="U151" s="407" t="e">
        <f t="shared" si="46"/>
        <v>#DIV/0!</v>
      </c>
      <c r="V151" s="434">
        <v>0</v>
      </c>
      <c r="W151" s="410" t="e">
        <f t="shared" si="52"/>
        <v>#DIV/0!</v>
      </c>
      <c r="X151" s="434">
        <v>0</v>
      </c>
      <c r="Y151" s="407" t="e">
        <f t="shared" si="53"/>
        <v>#DIV/0!</v>
      </c>
      <c r="Z151" s="434">
        <v>0</v>
      </c>
      <c r="AA151" s="411" t="e">
        <f t="shared" si="54"/>
        <v>#DIV/0!</v>
      </c>
      <c r="AB151" s="434">
        <f t="shared" si="55"/>
        <v>101636</v>
      </c>
      <c r="AC151" s="407">
        <f t="shared" si="62"/>
        <v>1.7970813362892135E-4</v>
      </c>
      <c r="AD151" s="434">
        <f t="shared" si="51"/>
        <v>8469.6666666666661</v>
      </c>
      <c r="AE151" s="396"/>
      <c r="AG151" s="397">
        <f>VLOOKUP(B151,TWN_IS!B:P,15,0)</f>
        <v>101636</v>
      </c>
      <c r="AH151" s="397">
        <f t="shared" si="59"/>
        <v>0</v>
      </c>
    </row>
    <row r="152" spans="1:34" outlineLevel="1">
      <c r="A152" s="432"/>
      <c r="B152" s="432" t="s">
        <v>1368</v>
      </c>
      <c r="D152" s="434">
        <v>84268</v>
      </c>
      <c r="E152" s="435">
        <f t="shared" si="60"/>
        <v>1.3987097869898844E-3</v>
      </c>
      <c r="F152" s="434">
        <v>86007</v>
      </c>
      <c r="G152" s="407">
        <f t="shared" si="61"/>
        <v>1.6205873208784375E-3</v>
      </c>
      <c r="H152" s="434">
        <v>87624</v>
      </c>
      <c r="I152" s="407">
        <f t="shared" si="56"/>
        <v>1.3748829669002858E-3</v>
      </c>
      <c r="J152" s="434">
        <v>85735</v>
      </c>
      <c r="K152" s="436">
        <f t="shared" ref="K152:K215" si="63">J152/$J$21</f>
        <v>1.2726806884455111E-3</v>
      </c>
      <c r="L152" s="434">
        <v>85929</v>
      </c>
      <c r="M152" s="435">
        <f t="shared" si="45"/>
        <v>1.6127408800487631E-3</v>
      </c>
      <c r="N152" s="434">
        <v>180151</v>
      </c>
      <c r="O152" s="437">
        <f t="shared" si="57"/>
        <v>2.0591517695130778E-3</v>
      </c>
      <c r="P152" s="434">
        <v>101560</v>
      </c>
      <c r="Q152" s="437">
        <f t="shared" si="58"/>
        <v>1.0337825184200276E-3</v>
      </c>
      <c r="R152" s="434">
        <v>102144</v>
      </c>
      <c r="S152" s="437">
        <f t="shared" ref="S152:S215" si="64">R152/$R$21</f>
        <v>1.2436124150125437E-3</v>
      </c>
      <c r="T152" s="434">
        <v>0</v>
      </c>
      <c r="U152" s="407" t="e">
        <f t="shared" si="46"/>
        <v>#DIV/0!</v>
      </c>
      <c r="V152" s="434">
        <v>0</v>
      </c>
      <c r="W152" s="410" t="e">
        <f t="shared" si="52"/>
        <v>#DIV/0!</v>
      </c>
      <c r="X152" s="434">
        <v>0</v>
      </c>
      <c r="Y152" s="407" t="e">
        <f t="shared" si="53"/>
        <v>#DIV/0!</v>
      </c>
      <c r="Z152" s="434">
        <v>0</v>
      </c>
      <c r="AA152" s="411" t="e">
        <f t="shared" si="54"/>
        <v>#DIV/0!</v>
      </c>
      <c r="AB152" s="434">
        <f t="shared" si="55"/>
        <v>813418</v>
      </c>
      <c r="AC152" s="407">
        <f t="shared" si="62"/>
        <v>1.4382485599607417E-3</v>
      </c>
      <c r="AD152" s="434">
        <f t="shared" si="51"/>
        <v>67784.833333333328</v>
      </c>
      <c r="AE152" s="396"/>
      <c r="AG152" s="397">
        <f>VLOOKUP(B152,TWN_IS!B:P,15,0)</f>
        <v>813418</v>
      </c>
      <c r="AH152" s="397">
        <f t="shared" si="59"/>
        <v>0</v>
      </c>
    </row>
    <row r="153" spans="1:34" outlineLevel="1">
      <c r="A153" s="432"/>
      <c r="B153" s="432" t="s">
        <v>1369</v>
      </c>
      <c r="D153" s="434">
        <v>6348</v>
      </c>
      <c r="E153" s="435">
        <f t="shared" si="60"/>
        <v>1.053663279989057E-4</v>
      </c>
      <c r="F153" s="434">
        <v>66029</v>
      </c>
      <c r="G153" s="407">
        <f t="shared" si="61"/>
        <v>1.2441517575346468E-3</v>
      </c>
      <c r="H153" s="434">
        <v>22100</v>
      </c>
      <c r="I153" s="407">
        <f t="shared" si="56"/>
        <v>3.4676473989427909E-4</v>
      </c>
      <c r="J153" s="434">
        <v>6950</v>
      </c>
      <c r="K153" s="436">
        <f t="shared" si="63"/>
        <v>1.031682601585852E-4</v>
      </c>
      <c r="L153" s="434">
        <v>9367</v>
      </c>
      <c r="M153" s="435">
        <f t="shared" si="45"/>
        <v>1.7580262569582753E-4</v>
      </c>
      <c r="N153" s="434">
        <v>10427</v>
      </c>
      <c r="O153" s="437">
        <f t="shared" si="57"/>
        <v>1.1918210557095362E-4</v>
      </c>
      <c r="P153" s="434">
        <v>21335</v>
      </c>
      <c r="Q153" s="437">
        <f t="shared" si="58"/>
        <v>2.1716965370708244E-4</v>
      </c>
      <c r="R153" s="434">
        <v>4602</v>
      </c>
      <c r="S153" s="437">
        <f t="shared" si="64"/>
        <v>5.6029765173556218E-5</v>
      </c>
      <c r="T153" s="434">
        <v>0</v>
      </c>
      <c r="U153" s="407" t="e">
        <f t="shared" si="46"/>
        <v>#DIV/0!</v>
      </c>
      <c r="V153" s="434">
        <v>0</v>
      </c>
      <c r="W153" s="410" t="e">
        <f t="shared" si="52"/>
        <v>#DIV/0!</v>
      </c>
      <c r="X153" s="434">
        <v>0</v>
      </c>
      <c r="Y153" s="407" t="e">
        <f t="shared" si="53"/>
        <v>#DIV/0!</v>
      </c>
      <c r="Z153" s="434">
        <v>0</v>
      </c>
      <c r="AA153" s="411" t="e">
        <f t="shared" si="54"/>
        <v>#DIV/0!</v>
      </c>
      <c r="AB153" s="434">
        <f t="shared" si="55"/>
        <v>147158</v>
      </c>
      <c r="AC153" s="407">
        <f t="shared" si="62"/>
        <v>2.6019805510414429E-4</v>
      </c>
      <c r="AD153" s="434">
        <f t="shared" si="51"/>
        <v>12263.166666666666</v>
      </c>
      <c r="AE153" s="396"/>
      <c r="AG153" s="397">
        <f>VLOOKUP(B153,TWN_IS!B:P,15,0)</f>
        <v>147158</v>
      </c>
      <c r="AH153" s="397">
        <f t="shared" si="59"/>
        <v>0</v>
      </c>
    </row>
    <row r="154" spans="1:34" outlineLevel="1">
      <c r="A154" s="432"/>
      <c r="B154" s="432" t="s">
        <v>1370</v>
      </c>
      <c r="D154" s="434">
        <v>0</v>
      </c>
      <c r="E154" s="435">
        <f t="shared" si="60"/>
        <v>0</v>
      </c>
      <c r="F154" s="434">
        <v>0</v>
      </c>
      <c r="G154" s="407">
        <f t="shared" si="61"/>
        <v>0</v>
      </c>
      <c r="H154" s="434">
        <v>0</v>
      </c>
      <c r="I154" s="407">
        <f t="shared" si="56"/>
        <v>0</v>
      </c>
      <c r="J154" s="434">
        <v>0</v>
      </c>
      <c r="K154" s="436">
        <f t="shared" si="63"/>
        <v>0</v>
      </c>
      <c r="L154" s="434">
        <v>0</v>
      </c>
      <c r="M154" s="435">
        <f t="shared" si="45"/>
        <v>0</v>
      </c>
      <c r="N154" s="434">
        <v>0</v>
      </c>
      <c r="O154" s="437">
        <f t="shared" si="57"/>
        <v>0</v>
      </c>
      <c r="P154" s="434">
        <v>0</v>
      </c>
      <c r="Q154" s="437">
        <f t="shared" si="58"/>
        <v>0</v>
      </c>
      <c r="R154" s="434">
        <v>0</v>
      </c>
      <c r="S154" s="437">
        <f t="shared" si="64"/>
        <v>0</v>
      </c>
      <c r="T154" s="434">
        <v>0</v>
      </c>
      <c r="U154" s="407" t="e">
        <f t="shared" si="46"/>
        <v>#DIV/0!</v>
      </c>
      <c r="V154" s="434">
        <v>0</v>
      </c>
      <c r="W154" s="410" t="e">
        <f t="shared" si="52"/>
        <v>#DIV/0!</v>
      </c>
      <c r="X154" s="434">
        <v>0</v>
      </c>
      <c r="Y154" s="407" t="e">
        <f t="shared" si="53"/>
        <v>#DIV/0!</v>
      </c>
      <c r="Z154" s="434">
        <v>0</v>
      </c>
      <c r="AA154" s="411" t="e">
        <f t="shared" si="54"/>
        <v>#DIV/0!</v>
      </c>
      <c r="AB154" s="434">
        <f t="shared" si="55"/>
        <v>0</v>
      </c>
      <c r="AC154" s="407">
        <f t="shared" si="62"/>
        <v>0</v>
      </c>
      <c r="AD154" s="434">
        <f t="shared" si="51"/>
        <v>0</v>
      </c>
      <c r="AE154" s="396"/>
      <c r="AG154" s="397">
        <f>VLOOKUP(B154,TWN_IS!B:P,15,0)</f>
        <v>0</v>
      </c>
      <c r="AH154" s="397">
        <f t="shared" si="59"/>
        <v>0</v>
      </c>
    </row>
    <row r="155" spans="1:34" outlineLevel="1">
      <c r="A155" s="432"/>
      <c r="B155" s="432" t="s">
        <v>1371</v>
      </c>
      <c r="D155" s="434">
        <v>0</v>
      </c>
      <c r="E155" s="435">
        <f t="shared" si="60"/>
        <v>0</v>
      </c>
      <c r="F155" s="434">
        <v>0</v>
      </c>
      <c r="G155" s="407">
        <f t="shared" si="61"/>
        <v>0</v>
      </c>
      <c r="H155" s="434">
        <v>0</v>
      </c>
      <c r="I155" s="407">
        <f t="shared" si="56"/>
        <v>0</v>
      </c>
      <c r="J155" s="434">
        <v>0</v>
      </c>
      <c r="K155" s="436">
        <f t="shared" si="63"/>
        <v>0</v>
      </c>
      <c r="L155" s="434">
        <v>193470</v>
      </c>
      <c r="M155" s="435">
        <f t="shared" si="45"/>
        <v>3.6311021664750453E-3</v>
      </c>
      <c r="N155" s="434">
        <v>0</v>
      </c>
      <c r="O155" s="437">
        <f t="shared" si="57"/>
        <v>0</v>
      </c>
      <c r="P155" s="434">
        <v>0</v>
      </c>
      <c r="Q155" s="437">
        <f t="shared" si="58"/>
        <v>0</v>
      </c>
      <c r="R155" s="434">
        <v>0</v>
      </c>
      <c r="S155" s="437">
        <f t="shared" si="64"/>
        <v>0</v>
      </c>
      <c r="T155" s="434">
        <v>0</v>
      </c>
      <c r="U155" s="407" t="e">
        <f t="shared" si="46"/>
        <v>#DIV/0!</v>
      </c>
      <c r="V155" s="434">
        <v>0</v>
      </c>
      <c r="W155" s="410" t="e">
        <f t="shared" si="52"/>
        <v>#DIV/0!</v>
      </c>
      <c r="X155" s="434">
        <v>0</v>
      </c>
      <c r="Y155" s="407" t="e">
        <f t="shared" si="53"/>
        <v>#DIV/0!</v>
      </c>
      <c r="Z155" s="434">
        <v>0</v>
      </c>
      <c r="AA155" s="411" t="e">
        <f t="shared" si="54"/>
        <v>#DIV/0!</v>
      </c>
      <c r="AB155" s="434">
        <f t="shared" si="55"/>
        <v>193470</v>
      </c>
      <c r="AC155" s="407">
        <f t="shared" si="62"/>
        <v>3.420848185011946E-4</v>
      </c>
      <c r="AD155" s="434">
        <f t="shared" si="51"/>
        <v>16122.5</v>
      </c>
      <c r="AE155" s="396"/>
      <c r="AG155" s="397">
        <f>VLOOKUP(B155,TWN_IS!B:P,15,0)</f>
        <v>193470</v>
      </c>
      <c r="AH155" s="397">
        <f t="shared" si="59"/>
        <v>0</v>
      </c>
    </row>
    <row r="156" spans="1:34" outlineLevel="1">
      <c r="A156" s="432"/>
      <c r="B156" s="432" t="s">
        <v>1372</v>
      </c>
      <c r="D156" s="434">
        <v>0</v>
      </c>
      <c r="E156" s="435">
        <f t="shared" si="60"/>
        <v>0</v>
      </c>
      <c r="F156" s="434">
        <v>0</v>
      </c>
      <c r="G156" s="407">
        <f t="shared" si="61"/>
        <v>0</v>
      </c>
      <c r="H156" s="434">
        <v>0</v>
      </c>
      <c r="I156" s="407">
        <f t="shared" si="56"/>
        <v>0</v>
      </c>
      <c r="J156" s="434">
        <v>0</v>
      </c>
      <c r="K156" s="436">
        <f t="shared" si="63"/>
        <v>0</v>
      </c>
      <c r="L156" s="434">
        <v>0</v>
      </c>
      <c r="M156" s="435">
        <f t="shared" si="45"/>
        <v>0</v>
      </c>
      <c r="N156" s="434">
        <v>0</v>
      </c>
      <c r="O156" s="437">
        <f t="shared" si="57"/>
        <v>0</v>
      </c>
      <c r="P156" s="434">
        <v>0</v>
      </c>
      <c r="Q156" s="437">
        <f t="shared" si="58"/>
        <v>0</v>
      </c>
      <c r="R156" s="434">
        <v>0</v>
      </c>
      <c r="S156" s="437">
        <f t="shared" si="64"/>
        <v>0</v>
      </c>
      <c r="T156" s="434">
        <v>0</v>
      </c>
      <c r="U156" s="407" t="e">
        <f t="shared" si="46"/>
        <v>#DIV/0!</v>
      </c>
      <c r="V156" s="434">
        <v>0</v>
      </c>
      <c r="W156" s="410" t="e">
        <f t="shared" si="52"/>
        <v>#DIV/0!</v>
      </c>
      <c r="X156" s="434">
        <v>0</v>
      </c>
      <c r="Y156" s="407" t="e">
        <f t="shared" si="53"/>
        <v>#DIV/0!</v>
      </c>
      <c r="Z156" s="434">
        <v>0</v>
      </c>
      <c r="AA156" s="411" t="e">
        <f t="shared" si="54"/>
        <v>#DIV/0!</v>
      </c>
      <c r="AB156" s="434">
        <f t="shared" si="55"/>
        <v>0</v>
      </c>
      <c r="AC156" s="407">
        <f t="shared" si="62"/>
        <v>0</v>
      </c>
      <c r="AD156" s="434">
        <f t="shared" si="51"/>
        <v>0</v>
      </c>
      <c r="AE156" s="396"/>
      <c r="AG156" s="397">
        <f>VLOOKUP(B156,TWN_IS!B:P,15,0)</f>
        <v>0</v>
      </c>
      <c r="AH156" s="397">
        <f t="shared" si="59"/>
        <v>0</v>
      </c>
    </row>
    <row r="157" spans="1:34" outlineLevel="1">
      <c r="A157" s="432"/>
      <c r="B157" s="432" t="s">
        <v>1374</v>
      </c>
      <c r="D157" s="434">
        <v>35306</v>
      </c>
      <c r="E157" s="435">
        <f t="shared" si="60"/>
        <v>5.860213573297676E-4</v>
      </c>
      <c r="F157" s="434">
        <v>35299</v>
      </c>
      <c r="G157" s="407">
        <f t="shared" si="61"/>
        <v>6.6512158126301305E-4</v>
      </c>
      <c r="H157" s="434">
        <v>35306</v>
      </c>
      <c r="I157" s="407">
        <f t="shared" si="56"/>
        <v>5.5397628537137646E-4</v>
      </c>
      <c r="J157" s="434">
        <v>35303</v>
      </c>
      <c r="K157" s="436">
        <f t="shared" si="63"/>
        <v>5.2405022854367387E-4</v>
      </c>
      <c r="L157" s="434">
        <v>30705</v>
      </c>
      <c r="M157" s="435">
        <f t="shared" si="45"/>
        <v>5.7628051905523475E-4</v>
      </c>
      <c r="N157" s="434">
        <v>30711</v>
      </c>
      <c r="O157" s="437">
        <f t="shared" si="57"/>
        <v>3.5103113495632072E-4</v>
      </c>
      <c r="P157" s="434">
        <v>30705</v>
      </c>
      <c r="Q157" s="437">
        <f t="shared" si="58"/>
        <v>3.1254718617651587E-4</v>
      </c>
      <c r="R157" s="434">
        <v>30711</v>
      </c>
      <c r="S157" s="437">
        <f t="shared" si="64"/>
        <v>3.7390919562040091E-4</v>
      </c>
      <c r="T157" s="434">
        <v>0</v>
      </c>
      <c r="U157" s="407" t="e">
        <f t="shared" si="46"/>
        <v>#DIV/0!</v>
      </c>
      <c r="V157" s="434">
        <v>0</v>
      </c>
      <c r="W157" s="410" t="e">
        <f t="shared" si="52"/>
        <v>#DIV/0!</v>
      </c>
      <c r="X157" s="434">
        <v>0</v>
      </c>
      <c r="Y157" s="407" t="e">
        <f t="shared" si="53"/>
        <v>#DIV/0!</v>
      </c>
      <c r="Z157" s="434">
        <v>0</v>
      </c>
      <c r="AA157" s="411" t="e">
        <f t="shared" si="54"/>
        <v>#DIV/0!</v>
      </c>
      <c r="AB157" s="434">
        <f t="shared" si="55"/>
        <v>264046</v>
      </c>
      <c r="AC157" s="407">
        <f t="shared" si="62"/>
        <v>4.6687407859599125E-4</v>
      </c>
      <c r="AD157" s="434">
        <f t="shared" si="51"/>
        <v>22003.833333333332</v>
      </c>
      <c r="AE157" s="396"/>
      <c r="AG157" s="397">
        <f>VLOOKUP(B157,TWN_IS!B:P,15,0)</f>
        <v>264046</v>
      </c>
      <c r="AH157" s="397">
        <f t="shared" si="59"/>
        <v>0</v>
      </c>
    </row>
    <row r="158" spans="1:34" outlineLevel="1">
      <c r="A158" s="432"/>
      <c r="B158" s="432" t="s">
        <v>1376</v>
      </c>
      <c r="D158" s="434">
        <v>1221</v>
      </c>
      <c r="E158" s="435">
        <f t="shared" si="60"/>
        <v>2.026658577294642E-5</v>
      </c>
      <c r="F158" s="434">
        <v>1191</v>
      </c>
      <c r="G158" s="407">
        <f t="shared" si="61"/>
        <v>2.2441423362821855E-5</v>
      </c>
      <c r="H158" s="434">
        <v>1214</v>
      </c>
      <c r="I158" s="407">
        <f t="shared" si="56"/>
        <v>1.9048524625866734E-5</v>
      </c>
      <c r="J158" s="434">
        <v>1191</v>
      </c>
      <c r="K158" s="436">
        <f t="shared" si="63"/>
        <v>1.7679625589766182E-5</v>
      </c>
      <c r="L158" s="434">
        <v>1764</v>
      </c>
      <c r="M158" s="435">
        <f t="shared" si="45"/>
        <v>3.3107273591057944E-5</v>
      </c>
      <c r="N158" s="434">
        <v>1757</v>
      </c>
      <c r="O158" s="437">
        <f t="shared" si="57"/>
        <v>2.0082762010949025E-5</v>
      </c>
      <c r="P158" s="434">
        <v>1764</v>
      </c>
      <c r="Q158" s="437">
        <f t="shared" si="58"/>
        <v>1.7955812943018204E-5</v>
      </c>
      <c r="R158" s="434">
        <v>1764</v>
      </c>
      <c r="S158" s="437">
        <f t="shared" si="64"/>
        <v>2.1476859140841625E-5</v>
      </c>
      <c r="T158" s="434">
        <v>0</v>
      </c>
      <c r="U158" s="407" t="e">
        <f t="shared" si="46"/>
        <v>#DIV/0!</v>
      </c>
      <c r="V158" s="434">
        <v>0</v>
      </c>
      <c r="W158" s="410" t="e">
        <f t="shared" si="52"/>
        <v>#DIV/0!</v>
      </c>
      <c r="X158" s="434">
        <v>0</v>
      </c>
      <c r="Y158" s="407" t="e">
        <f t="shared" si="53"/>
        <v>#DIV/0!</v>
      </c>
      <c r="Z158" s="434">
        <v>0</v>
      </c>
      <c r="AA158" s="411" t="e">
        <f t="shared" si="54"/>
        <v>#DIV/0!</v>
      </c>
      <c r="AB158" s="434">
        <f t="shared" si="55"/>
        <v>11866</v>
      </c>
      <c r="AC158" s="407">
        <f t="shared" si="62"/>
        <v>2.0980919296713574E-5</v>
      </c>
      <c r="AD158" s="434">
        <f t="shared" si="51"/>
        <v>988.83333333333337</v>
      </c>
      <c r="AE158" s="396"/>
      <c r="AG158" s="397">
        <f>VLOOKUP(B158,TWN_IS!B:P,15,0)</f>
        <v>11866</v>
      </c>
      <c r="AH158" s="397">
        <f t="shared" si="59"/>
        <v>0</v>
      </c>
    </row>
    <row r="159" spans="1:34" outlineLevel="1">
      <c r="A159" s="432"/>
      <c r="B159" s="432" t="s">
        <v>1377</v>
      </c>
      <c r="D159" s="434">
        <v>19800</v>
      </c>
      <c r="E159" s="435">
        <f t="shared" si="60"/>
        <v>3.2864733685859055E-4</v>
      </c>
      <c r="F159" s="434">
        <v>21080</v>
      </c>
      <c r="G159" s="407">
        <f t="shared" si="61"/>
        <v>3.9720000376850098E-4</v>
      </c>
      <c r="H159" s="434">
        <v>21080</v>
      </c>
      <c r="I159" s="407">
        <f t="shared" si="56"/>
        <v>3.307602134376201E-4</v>
      </c>
      <c r="J159" s="434">
        <v>19880</v>
      </c>
      <c r="K159" s="436">
        <f t="shared" si="63"/>
        <v>2.9510575711549263E-4</v>
      </c>
      <c r="L159" s="434">
        <v>19800</v>
      </c>
      <c r="M159" s="435">
        <f t="shared" si="45"/>
        <v>3.7161225459350752E-4</v>
      </c>
      <c r="N159" s="434">
        <v>20280</v>
      </c>
      <c r="O159" s="437">
        <f t="shared" si="57"/>
        <v>2.3180330881163703E-4</v>
      </c>
      <c r="P159" s="434">
        <v>20520</v>
      </c>
      <c r="Q159" s="437">
        <f t="shared" si="58"/>
        <v>2.0887374239837503E-4</v>
      </c>
      <c r="R159" s="434">
        <v>19880</v>
      </c>
      <c r="S159" s="437">
        <f t="shared" si="64"/>
        <v>2.4204079349202467E-4</v>
      </c>
      <c r="T159" s="434">
        <v>0</v>
      </c>
      <c r="U159" s="407" t="e">
        <f t="shared" si="46"/>
        <v>#DIV/0!</v>
      </c>
      <c r="V159" s="434">
        <v>0</v>
      </c>
      <c r="W159" s="410" t="e">
        <f t="shared" si="52"/>
        <v>#DIV/0!</v>
      </c>
      <c r="X159" s="434">
        <v>0</v>
      </c>
      <c r="Y159" s="407" t="e">
        <f t="shared" si="53"/>
        <v>#DIV/0!</v>
      </c>
      <c r="Z159" s="434">
        <v>0</v>
      </c>
      <c r="AA159" s="411" t="e">
        <f t="shared" si="54"/>
        <v>#DIV/0!</v>
      </c>
      <c r="AB159" s="434">
        <f t="shared" si="55"/>
        <v>162320</v>
      </c>
      <c r="AC159" s="407">
        <f t="shared" si="62"/>
        <v>2.8700681107724147E-4</v>
      </c>
      <c r="AD159" s="434">
        <f t="shared" si="51"/>
        <v>13526.666666666666</v>
      </c>
      <c r="AE159" s="396"/>
      <c r="AG159" s="397">
        <f>VLOOKUP(B159,TWN_IS!B:P,15,0)</f>
        <v>162320</v>
      </c>
      <c r="AH159" s="397">
        <f t="shared" si="59"/>
        <v>0</v>
      </c>
    </row>
    <row r="160" spans="1:34" outlineLevel="1">
      <c r="A160" s="432"/>
      <c r="B160" s="432" t="s">
        <v>1378</v>
      </c>
      <c r="D160" s="434">
        <v>15062</v>
      </c>
      <c r="E160" s="435">
        <f t="shared" si="60"/>
        <v>2.5000435291737833E-4</v>
      </c>
      <c r="F160" s="434">
        <v>12877</v>
      </c>
      <c r="G160" s="407">
        <f t="shared" si="61"/>
        <v>2.42634935888377E-4</v>
      </c>
      <c r="H160" s="434">
        <v>16063</v>
      </c>
      <c r="I160" s="407">
        <f t="shared" si="56"/>
        <v>2.52039910267955E-4</v>
      </c>
      <c r="J160" s="434">
        <v>16374</v>
      </c>
      <c r="K160" s="436">
        <f t="shared" si="63"/>
        <v>2.4306145206283081E-4</v>
      </c>
      <c r="L160" s="434">
        <v>12741</v>
      </c>
      <c r="M160" s="435">
        <f t="shared" ref="M160:M223" si="65">L160/$L$21</f>
        <v>2.3912685534221612E-4</v>
      </c>
      <c r="N160" s="434">
        <v>20632</v>
      </c>
      <c r="O160" s="437">
        <f t="shared" si="57"/>
        <v>2.3582671929988635E-4</v>
      </c>
      <c r="P160" s="434">
        <v>23492</v>
      </c>
      <c r="Q160" s="437">
        <f t="shared" si="58"/>
        <v>2.391258263363853E-4</v>
      </c>
      <c r="R160" s="434">
        <v>19641</v>
      </c>
      <c r="S160" s="437">
        <f t="shared" si="64"/>
        <v>2.391309469304254E-4</v>
      </c>
      <c r="T160" s="434">
        <v>0</v>
      </c>
      <c r="U160" s="407" t="e">
        <f t="shared" ref="U160:U223" si="66">T160/$T$21</f>
        <v>#DIV/0!</v>
      </c>
      <c r="V160" s="434">
        <v>0</v>
      </c>
      <c r="W160" s="410" t="e">
        <f t="shared" si="52"/>
        <v>#DIV/0!</v>
      </c>
      <c r="X160" s="434">
        <v>0</v>
      </c>
      <c r="Y160" s="407" t="e">
        <f t="shared" si="53"/>
        <v>#DIV/0!</v>
      </c>
      <c r="Z160" s="434">
        <v>0</v>
      </c>
      <c r="AA160" s="411" t="e">
        <f t="shared" si="54"/>
        <v>#DIV/0!</v>
      </c>
      <c r="AB160" s="434">
        <f t="shared" si="55"/>
        <v>136882</v>
      </c>
      <c r="AC160" s="407">
        <f t="shared" si="62"/>
        <v>2.4202850119439974E-4</v>
      </c>
      <c r="AD160" s="434">
        <f t="shared" si="51"/>
        <v>11406.833333333334</v>
      </c>
      <c r="AE160" s="396"/>
      <c r="AG160" s="397">
        <f>VLOOKUP(B160,TWN_IS!B:P,15,0)</f>
        <v>136882</v>
      </c>
      <c r="AH160" s="397">
        <f t="shared" si="59"/>
        <v>0</v>
      </c>
    </row>
    <row r="161" spans="1:34" outlineLevel="1">
      <c r="A161" s="432"/>
      <c r="B161" s="432" t="s">
        <v>1379</v>
      </c>
      <c r="D161" s="434">
        <v>0</v>
      </c>
      <c r="E161" s="435">
        <f t="shared" si="60"/>
        <v>0</v>
      </c>
      <c r="F161" s="434">
        <v>0</v>
      </c>
      <c r="G161" s="407">
        <f t="shared" si="61"/>
        <v>0</v>
      </c>
      <c r="H161" s="434">
        <v>0</v>
      </c>
      <c r="I161" s="407">
        <f t="shared" si="56"/>
        <v>0</v>
      </c>
      <c r="J161" s="434">
        <v>0</v>
      </c>
      <c r="K161" s="436">
        <f t="shared" si="63"/>
        <v>0</v>
      </c>
      <c r="L161" s="434">
        <v>0</v>
      </c>
      <c r="M161" s="435">
        <f t="shared" si="65"/>
        <v>0</v>
      </c>
      <c r="N161" s="434">
        <v>0</v>
      </c>
      <c r="O161" s="437">
        <f t="shared" si="57"/>
        <v>0</v>
      </c>
      <c r="P161" s="434">
        <v>0</v>
      </c>
      <c r="Q161" s="437">
        <f t="shared" si="58"/>
        <v>0</v>
      </c>
      <c r="R161" s="434">
        <v>0</v>
      </c>
      <c r="S161" s="437">
        <f t="shared" si="64"/>
        <v>0</v>
      </c>
      <c r="T161" s="434">
        <v>0</v>
      </c>
      <c r="U161" s="407" t="e">
        <f t="shared" si="66"/>
        <v>#DIV/0!</v>
      </c>
      <c r="V161" s="434">
        <v>0</v>
      </c>
      <c r="W161" s="410" t="e">
        <f t="shared" si="52"/>
        <v>#DIV/0!</v>
      </c>
      <c r="X161" s="434">
        <v>0</v>
      </c>
      <c r="Y161" s="407" t="e">
        <f t="shared" si="53"/>
        <v>#DIV/0!</v>
      </c>
      <c r="Z161" s="434">
        <v>0</v>
      </c>
      <c r="AA161" s="411" t="e">
        <f t="shared" si="54"/>
        <v>#DIV/0!</v>
      </c>
      <c r="AB161" s="434">
        <f t="shared" si="55"/>
        <v>0</v>
      </c>
      <c r="AC161" s="407">
        <f t="shared" si="62"/>
        <v>0</v>
      </c>
      <c r="AD161" s="434">
        <f t="shared" si="51"/>
        <v>0</v>
      </c>
      <c r="AE161" s="396"/>
      <c r="AG161" s="397">
        <f>VLOOKUP(B161,TWN_IS!B:P,15,0)</f>
        <v>0</v>
      </c>
      <c r="AH161" s="397">
        <f t="shared" si="59"/>
        <v>0</v>
      </c>
    </row>
    <row r="162" spans="1:34" outlineLevel="1">
      <c r="A162" s="432"/>
      <c r="B162" s="432" t="s">
        <v>1381</v>
      </c>
      <c r="D162" s="434">
        <v>0</v>
      </c>
      <c r="E162" s="435">
        <f t="shared" si="60"/>
        <v>0</v>
      </c>
      <c r="F162" s="434">
        <v>0</v>
      </c>
      <c r="G162" s="407">
        <f t="shared" si="61"/>
        <v>0</v>
      </c>
      <c r="H162" s="434">
        <v>0</v>
      </c>
      <c r="I162" s="407">
        <f t="shared" si="56"/>
        <v>0</v>
      </c>
      <c r="J162" s="434">
        <v>0</v>
      </c>
      <c r="K162" s="436">
        <f t="shared" si="63"/>
        <v>0</v>
      </c>
      <c r="L162" s="434">
        <v>0</v>
      </c>
      <c r="M162" s="435">
        <f t="shared" si="65"/>
        <v>0</v>
      </c>
      <c r="N162" s="434">
        <v>0</v>
      </c>
      <c r="O162" s="437">
        <f t="shared" si="57"/>
        <v>0</v>
      </c>
      <c r="P162" s="434">
        <v>0</v>
      </c>
      <c r="Q162" s="437">
        <f t="shared" si="58"/>
        <v>0</v>
      </c>
      <c r="R162" s="434">
        <v>0</v>
      </c>
      <c r="S162" s="437">
        <f t="shared" si="64"/>
        <v>0</v>
      </c>
      <c r="T162" s="434">
        <v>0</v>
      </c>
      <c r="U162" s="407" t="e">
        <f t="shared" si="66"/>
        <v>#DIV/0!</v>
      </c>
      <c r="V162" s="434">
        <v>0</v>
      </c>
      <c r="W162" s="410" t="e">
        <f t="shared" si="52"/>
        <v>#DIV/0!</v>
      </c>
      <c r="X162" s="434">
        <v>0</v>
      </c>
      <c r="Y162" s="407" t="e">
        <f t="shared" si="53"/>
        <v>#DIV/0!</v>
      </c>
      <c r="Z162" s="434">
        <v>0</v>
      </c>
      <c r="AA162" s="411" t="e">
        <f t="shared" si="54"/>
        <v>#DIV/0!</v>
      </c>
      <c r="AB162" s="434">
        <f t="shared" si="55"/>
        <v>0</v>
      </c>
      <c r="AC162" s="407">
        <f t="shared" si="62"/>
        <v>0</v>
      </c>
      <c r="AD162" s="434">
        <f t="shared" si="51"/>
        <v>0</v>
      </c>
      <c r="AE162" s="396"/>
      <c r="AG162" s="397">
        <f>VLOOKUP(B162,TWN_IS!B:P,15,0)</f>
        <v>0</v>
      </c>
      <c r="AH162" s="397">
        <f t="shared" si="59"/>
        <v>0</v>
      </c>
    </row>
    <row r="163" spans="1:34" outlineLevel="1">
      <c r="A163" s="432"/>
      <c r="B163" s="432" t="s">
        <v>1382</v>
      </c>
      <c r="D163" s="434">
        <v>0</v>
      </c>
      <c r="E163" s="435">
        <f t="shared" si="60"/>
        <v>0</v>
      </c>
      <c r="F163" s="434">
        <v>0</v>
      </c>
      <c r="G163" s="407">
        <f t="shared" si="61"/>
        <v>0</v>
      </c>
      <c r="H163" s="434">
        <v>0</v>
      </c>
      <c r="I163" s="407">
        <f t="shared" si="56"/>
        <v>0</v>
      </c>
      <c r="J163" s="434">
        <v>0</v>
      </c>
      <c r="K163" s="436">
        <f t="shared" si="63"/>
        <v>0</v>
      </c>
      <c r="L163" s="434">
        <v>0</v>
      </c>
      <c r="M163" s="435">
        <f t="shared" si="65"/>
        <v>0</v>
      </c>
      <c r="N163" s="434">
        <v>0</v>
      </c>
      <c r="O163" s="437">
        <f t="shared" si="57"/>
        <v>0</v>
      </c>
      <c r="P163" s="434">
        <v>0</v>
      </c>
      <c r="Q163" s="437">
        <f t="shared" si="58"/>
        <v>0</v>
      </c>
      <c r="R163" s="434">
        <v>0</v>
      </c>
      <c r="S163" s="437">
        <f t="shared" si="64"/>
        <v>0</v>
      </c>
      <c r="T163" s="434">
        <v>0</v>
      </c>
      <c r="U163" s="407" t="e">
        <f t="shared" si="66"/>
        <v>#DIV/0!</v>
      </c>
      <c r="V163" s="434">
        <v>0</v>
      </c>
      <c r="W163" s="410" t="e">
        <f t="shared" si="52"/>
        <v>#DIV/0!</v>
      </c>
      <c r="X163" s="434">
        <v>0</v>
      </c>
      <c r="Y163" s="407" t="e">
        <f t="shared" si="53"/>
        <v>#DIV/0!</v>
      </c>
      <c r="Z163" s="434">
        <v>0</v>
      </c>
      <c r="AA163" s="411" t="e">
        <f t="shared" si="54"/>
        <v>#DIV/0!</v>
      </c>
      <c r="AB163" s="434">
        <f t="shared" si="55"/>
        <v>0</v>
      </c>
      <c r="AC163" s="407">
        <f t="shared" si="62"/>
        <v>0</v>
      </c>
      <c r="AD163" s="434">
        <f t="shared" si="51"/>
        <v>0</v>
      </c>
      <c r="AE163" s="396"/>
      <c r="AG163" s="397">
        <f>VLOOKUP(B163,TWN_IS!B:P,15,0)</f>
        <v>0</v>
      </c>
      <c r="AH163" s="397">
        <f t="shared" si="59"/>
        <v>0</v>
      </c>
    </row>
    <row r="164" spans="1:34" outlineLevel="1">
      <c r="A164" s="432"/>
      <c r="B164" s="432" t="s">
        <v>1384</v>
      </c>
      <c r="D164" s="434">
        <v>679</v>
      </c>
      <c r="E164" s="435">
        <f t="shared" si="60"/>
        <v>1.1270279885201162E-5</v>
      </c>
      <c r="F164" s="434">
        <v>679</v>
      </c>
      <c r="G164" s="407">
        <f t="shared" si="61"/>
        <v>1.2794060842448396E-5</v>
      </c>
      <c r="H164" s="434">
        <v>679</v>
      </c>
      <c r="I164" s="407">
        <f t="shared" si="56"/>
        <v>1.0653993592226947E-5</v>
      </c>
      <c r="J164" s="434">
        <v>679</v>
      </c>
      <c r="K164" s="436">
        <f t="shared" si="63"/>
        <v>1.0079316352184079E-5</v>
      </c>
      <c r="L164" s="434">
        <v>679</v>
      </c>
      <c r="M164" s="435">
        <f t="shared" si="65"/>
        <v>1.2743672771161192E-5</v>
      </c>
      <c r="N164" s="434">
        <v>679</v>
      </c>
      <c r="O164" s="437">
        <f t="shared" si="57"/>
        <v>7.7610673906854807E-6</v>
      </c>
      <c r="P164" s="434">
        <v>679</v>
      </c>
      <c r="Q164" s="437">
        <f t="shared" si="58"/>
        <v>6.9115629185427215E-6</v>
      </c>
      <c r="R164" s="434">
        <v>679</v>
      </c>
      <c r="S164" s="437">
        <f t="shared" si="64"/>
        <v>8.2668862565938003E-6</v>
      </c>
      <c r="T164" s="434">
        <v>0</v>
      </c>
      <c r="U164" s="407" t="e">
        <f t="shared" si="66"/>
        <v>#DIV/0!</v>
      </c>
      <c r="V164" s="434">
        <v>0</v>
      </c>
      <c r="W164" s="410" t="e">
        <f t="shared" si="52"/>
        <v>#DIV/0!</v>
      </c>
      <c r="X164" s="434">
        <v>0</v>
      </c>
      <c r="Y164" s="407" t="e">
        <f t="shared" si="53"/>
        <v>#DIV/0!</v>
      </c>
      <c r="Z164" s="434">
        <v>0</v>
      </c>
      <c r="AA164" s="411" t="e">
        <f t="shared" si="54"/>
        <v>#DIV/0!</v>
      </c>
      <c r="AB164" s="434">
        <f t="shared" si="55"/>
        <v>5432</v>
      </c>
      <c r="AC164" s="407">
        <f t="shared" si="62"/>
        <v>9.6046143283118265E-6</v>
      </c>
      <c r="AD164" s="434">
        <f t="shared" si="51"/>
        <v>452.66666666666669</v>
      </c>
      <c r="AE164" s="396"/>
      <c r="AG164" s="397">
        <f>VLOOKUP(B164,TWN_IS!B:P,15,0)</f>
        <v>5432</v>
      </c>
      <c r="AH164" s="397">
        <f t="shared" si="59"/>
        <v>0</v>
      </c>
    </row>
    <row r="165" spans="1:34" outlineLevel="1">
      <c r="A165" s="432"/>
      <c r="B165" s="551" t="s">
        <v>1385</v>
      </c>
      <c r="D165" s="434">
        <v>11793</v>
      </c>
      <c r="E165" s="435">
        <f t="shared" si="60"/>
        <v>1.9574434563501811E-4</v>
      </c>
      <c r="F165" s="434">
        <v>9520</v>
      </c>
      <c r="G165" s="407">
        <f t="shared" si="61"/>
        <v>1.7938064686319398E-4</v>
      </c>
      <c r="H165" s="434">
        <v>9599</v>
      </c>
      <c r="I165" s="407">
        <f t="shared" si="56"/>
        <v>1.5061514652693145E-4</v>
      </c>
      <c r="J165" s="434">
        <v>9518</v>
      </c>
      <c r="K165" s="436">
        <f t="shared" si="63"/>
        <v>1.4128856117833294E-4</v>
      </c>
      <c r="L165" s="434">
        <v>9537</v>
      </c>
      <c r="M165" s="435">
        <f t="shared" si="65"/>
        <v>1.7899323596253945E-4</v>
      </c>
      <c r="N165" s="434">
        <v>9608</v>
      </c>
      <c r="O165" s="437">
        <f t="shared" si="57"/>
        <v>1.0982081809971443E-4</v>
      </c>
      <c r="P165" s="434">
        <v>9516</v>
      </c>
      <c r="Q165" s="437">
        <f t="shared" si="58"/>
        <v>9.686367118240433E-5</v>
      </c>
      <c r="R165" s="434">
        <v>11288</v>
      </c>
      <c r="S165" s="437">
        <f t="shared" si="64"/>
        <v>1.3743241835704098E-4</v>
      </c>
      <c r="T165" s="434">
        <v>0</v>
      </c>
      <c r="U165" s="407" t="e">
        <f t="shared" si="66"/>
        <v>#DIV/0!</v>
      </c>
      <c r="V165" s="434">
        <v>0</v>
      </c>
      <c r="W165" s="410" t="e">
        <f t="shared" si="52"/>
        <v>#DIV/0!</v>
      </c>
      <c r="X165" s="434">
        <v>0</v>
      </c>
      <c r="Y165" s="407" t="e">
        <f t="shared" si="53"/>
        <v>#DIV/0!</v>
      </c>
      <c r="Z165" s="434">
        <v>0</v>
      </c>
      <c r="AA165" s="411" t="e">
        <f t="shared" si="54"/>
        <v>#DIV/0!</v>
      </c>
      <c r="AB165" s="434">
        <f t="shared" si="55"/>
        <v>80379</v>
      </c>
      <c r="AC165" s="407">
        <f t="shared" si="62"/>
        <v>1.4212247700577619E-4</v>
      </c>
      <c r="AD165" s="434">
        <f t="shared" si="51"/>
        <v>6698.25</v>
      </c>
      <c r="AE165" s="396"/>
      <c r="AG165" s="397">
        <f>VLOOKUP(B165,TWN_IS!B:P,15,0)</f>
        <v>80379</v>
      </c>
      <c r="AH165" s="397">
        <f t="shared" si="59"/>
        <v>0</v>
      </c>
    </row>
    <row r="166" spans="1:34" outlineLevel="1">
      <c r="A166" s="432"/>
      <c r="B166" s="432" t="s">
        <v>1386</v>
      </c>
      <c r="D166" s="434">
        <v>149411</v>
      </c>
      <c r="E166" s="435">
        <f t="shared" si="60"/>
        <v>2.4799761236049939E-3</v>
      </c>
      <c r="F166" s="434">
        <v>191353</v>
      </c>
      <c r="G166" s="407">
        <f t="shared" si="61"/>
        <v>3.605569844455122E-3</v>
      </c>
      <c r="H166" s="434">
        <v>162679</v>
      </c>
      <c r="I166" s="407">
        <f t="shared" si="56"/>
        <v>2.5525493720027796E-3</v>
      </c>
      <c r="J166" s="434">
        <v>143343</v>
      </c>
      <c r="K166" s="436">
        <f t="shared" si="63"/>
        <v>2.1278342325053352E-3</v>
      </c>
      <c r="L166" s="434">
        <v>101524</v>
      </c>
      <c r="M166" s="435">
        <f t="shared" si="65"/>
        <v>1.9054324512803665E-3</v>
      </c>
      <c r="N166" s="434">
        <v>96131</v>
      </c>
      <c r="O166" s="437">
        <f t="shared" si="57"/>
        <v>1.0987911183122031E-3</v>
      </c>
      <c r="P166" s="434">
        <v>137536</v>
      </c>
      <c r="Q166" s="437">
        <f t="shared" si="58"/>
        <v>1.3999833837477051E-3</v>
      </c>
      <c r="R166" s="434">
        <v>104558</v>
      </c>
      <c r="S166" s="437">
        <f t="shared" si="64"/>
        <v>1.273003082793718E-3</v>
      </c>
      <c r="T166" s="434">
        <v>0</v>
      </c>
      <c r="U166" s="407" t="e">
        <f t="shared" si="66"/>
        <v>#DIV/0!</v>
      </c>
      <c r="V166" s="434">
        <v>0</v>
      </c>
      <c r="W166" s="410" t="e">
        <f t="shared" si="52"/>
        <v>#DIV/0!</v>
      </c>
      <c r="X166" s="434">
        <v>0</v>
      </c>
      <c r="Y166" s="407" t="e">
        <f t="shared" si="53"/>
        <v>#DIV/0!</v>
      </c>
      <c r="Z166" s="434">
        <v>0</v>
      </c>
      <c r="AA166" s="411" t="e">
        <f t="shared" si="54"/>
        <v>#DIV/0!</v>
      </c>
      <c r="AB166" s="434">
        <f t="shared" si="55"/>
        <v>1086535</v>
      </c>
      <c r="AC166" s="407">
        <f t="shared" si="62"/>
        <v>1.9211615664971079E-3</v>
      </c>
      <c r="AD166" s="434">
        <f t="shared" si="51"/>
        <v>90544.583333333328</v>
      </c>
      <c r="AE166" s="396"/>
      <c r="AG166" s="397">
        <f>VLOOKUP(B166,TWN_IS!B:P,15,0)</f>
        <v>1086535</v>
      </c>
      <c r="AH166" s="397">
        <f t="shared" si="59"/>
        <v>0</v>
      </c>
    </row>
    <row r="167" spans="1:34" outlineLevel="1">
      <c r="A167" s="432"/>
      <c r="B167" s="432" t="s">
        <v>1387</v>
      </c>
      <c r="D167" s="434">
        <v>1800</v>
      </c>
      <c r="E167" s="435">
        <f t="shared" si="60"/>
        <v>2.9877030623508234E-5</v>
      </c>
      <c r="F167" s="434">
        <v>3118</v>
      </c>
      <c r="G167" s="407">
        <f t="shared" si="61"/>
        <v>5.8750930348680553E-5</v>
      </c>
      <c r="H167" s="434">
        <v>24262</v>
      </c>
      <c r="I167" s="407">
        <f t="shared" si="56"/>
        <v>3.8068805969751132E-4</v>
      </c>
      <c r="J167" s="434">
        <v>18353</v>
      </c>
      <c r="K167" s="436">
        <f t="shared" si="63"/>
        <v>2.7243842858856319E-4</v>
      </c>
      <c r="L167" s="434">
        <v>0</v>
      </c>
      <c r="M167" s="435">
        <f t="shared" si="65"/>
        <v>0</v>
      </c>
      <c r="N167" s="434">
        <v>0</v>
      </c>
      <c r="O167" s="437">
        <f t="shared" si="57"/>
        <v>0</v>
      </c>
      <c r="P167" s="434">
        <v>23140</v>
      </c>
      <c r="Q167" s="437">
        <f t="shared" si="58"/>
        <v>2.3554280697360614E-4</v>
      </c>
      <c r="R167" s="434">
        <v>6149</v>
      </c>
      <c r="S167" s="437">
        <f t="shared" si="64"/>
        <v>7.4864629737548275E-5</v>
      </c>
      <c r="T167" s="434">
        <v>0</v>
      </c>
      <c r="U167" s="407" t="e">
        <f t="shared" si="66"/>
        <v>#DIV/0!</v>
      </c>
      <c r="V167" s="434">
        <v>0</v>
      </c>
      <c r="W167" s="410" t="e">
        <f t="shared" si="52"/>
        <v>#DIV/0!</v>
      </c>
      <c r="X167" s="434">
        <v>0</v>
      </c>
      <c r="Y167" s="407" t="e">
        <f t="shared" si="53"/>
        <v>#DIV/0!</v>
      </c>
      <c r="Z167" s="434">
        <v>0</v>
      </c>
      <c r="AA167" s="411" t="e">
        <f t="shared" si="54"/>
        <v>#DIV/0!</v>
      </c>
      <c r="AB167" s="434">
        <f t="shared" si="55"/>
        <v>76822</v>
      </c>
      <c r="AC167" s="407">
        <f t="shared" si="62"/>
        <v>1.3583315204889011E-4</v>
      </c>
      <c r="AD167" s="434">
        <f t="shared" ref="AD167:AD230" si="67">AVERAGE(D167,F167,H167,J167,L167,N167,P167,R167,T167,V167,X167,Z167)</f>
        <v>6401.833333333333</v>
      </c>
      <c r="AE167" s="396"/>
      <c r="AG167" s="397">
        <f>VLOOKUP(B167,TWN_IS!B:P,15,0)</f>
        <v>76822</v>
      </c>
      <c r="AH167" s="397">
        <f t="shared" si="59"/>
        <v>0</v>
      </c>
    </row>
    <row r="168" spans="1:34" outlineLevel="1">
      <c r="A168" s="432"/>
      <c r="B168" s="432" t="s">
        <v>1389</v>
      </c>
      <c r="D168" s="434">
        <v>0</v>
      </c>
      <c r="E168" s="435">
        <f t="shared" si="60"/>
        <v>0</v>
      </c>
      <c r="F168" s="434">
        <v>1200</v>
      </c>
      <c r="G168" s="407">
        <f t="shared" si="61"/>
        <v>2.2611005907125294E-5</v>
      </c>
      <c r="H168" s="434">
        <v>0</v>
      </c>
      <c r="I168" s="407">
        <f t="shared" si="56"/>
        <v>0</v>
      </c>
      <c r="J168" s="434">
        <v>2400</v>
      </c>
      <c r="K168" s="436">
        <f t="shared" si="63"/>
        <v>3.562644955116611E-5</v>
      </c>
      <c r="L168" s="434">
        <v>0</v>
      </c>
      <c r="M168" s="435">
        <f t="shared" si="65"/>
        <v>0</v>
      </c>
      <c r="N168" s="434">
        <v>2400</v>
      </c>
      <c r="O168" s="437">
        <f t="shared" si="57"/>
        <v>2.7432344238063552E-5</v>
      </c>
      <c r="P168" s="434">
        <v>0</v>
      </c>
      <c r="Q168" s="437">
        <f t="shared" si="58"/>
        <v>0</v>
      </c>
      <c r="R168" s="434">
        <v>2400</v>
      </c>
      <c r="S168" s="437">
        <f t="shared" si="64"/>
        <v>2.9220216518151872E-5</v>
      </c>
      <c r="T168" s="434">
        <v>0</v>
      </c>
      <c r="U168" s="407" t="e">
        <f t="shared" si="66"/>
        <v>#DIV/0!</v>
      </c>
      <c r="V168" s="434">
        <v>0</v>
      </c>
      <c r="W168" s="410" t="e">
        <f t="shared" si="52"/>
        <v>#DIV/0!</v>
      </c>
      <c r="X168" s="434">
        <v>0</v>
      </c>
      <c r="Y168" s="407" t="e">
        <f t="shared" si="53"/>
        <v>#DIV/0!</v>
      </c>
      <c r="Z168" s="434">
        <v>0</v>
      </c>
      <c r="AA168" s="411" t="e">
        <f t="shared" si="54"/>
        <v>#DIV/0!</v>
      </c>
      <c r="AB168" s="434">
        <f t="shared" si="55"/>
        <v>8400</v>
      </c>
      <c r="AC168" s="407">
        <f t="shared" si="62"/>
        <v>1.485249638398736E-5</v>
      </c>
      <c r="AD168" s="434">
        <f t="shared" si="67"/>
        <v>700</v>
      </c>
      <c r="AE168" s="396"/>
      <c r="AG168" s="397">
        <f>VLOOKUP(B168,TWN_IS!B:P,15,0)</f>
        <v>8400</v>
      </c>
      <c r="AH168" s="397">
        <f t="shared" si="59"/>
        <v>0</v>
      </c>
    </row>
    <row r="169" spans="1:34" outlineLevel="1">
      <c r="A169" s="432"/>
      <c r="B169" s="432" t="s">
        <v>1390</v>
      </c>
      <c r="D169" s="434">
        <v>130000</v>
      </c>
      <c r="E169" s="435">
        <f t="shared" si="60"/>
        <v>2.1577855450311502E-3</v>
      </c>
      <c r="F169" s="434">
        <v>57000</v>
      </c>
      <c r="G169" s="407">
        <f t="shared" si="61"/>
        <v>1.0740227805884515E-3</v>
      </c>
      <c r="H169" s="434">
        <v>103720</v>
      </c>
      <c r="I169" s="407">
        <f t="shared" si="56"/>
        <v>1.6274406706712503E-3</v>
      </c>
      <c r="J169" s="434">
        <v>85750</v>
      </c>
      <c r="K169" s="436">
        <f t="shared" si="63"/>
        <v>1.2729033537552058E-3</v>
      </c>
      <c r="L169" s="434">
        <v>64500</v>
      </c>
      <c r="M169" s="435">
        <f t="shared" si="65"/>
        <v>1.2105550717818807E-3</v>
      </c>
      <c r="N169" s="434">
        <v>60000</v>
      </c>
      <c r="O169" s="437">
        <f t="shared" si="57"/>
        <v>6.8580860595158881E-4</v>
      </c>
      <c r="P169" s="434">
        <v>82000</v>
      </c>
      <c r="Q169" s="437">
        <f t="shared" si="58"/>
        <v>8.3468064701105028E-4</v>
      </c>
      <c r="R169" s="434">
        <v>66750</v>
      </c>
      <c r="S169" s="437">
        <f t="shared" si="64"/>
        <v>8.1268727191109898E-4</v>
      </c>
      <c r="T169" s="434">
        <v>0</v>
      </c>
      <c r="U169" s="407" t="e">
        <f t="shared" si="66"/>
        <v>#DIV/0!</v>
      </c>
      <c r="V169" s="434">
        <v>0</v>
      </c>
      <c r="W169" s="410" t="e">
        <f t="shared" si="52"/>
        <v>#DIV/0!</v>
      </c>
      <c r="X169" s="434">
        <v>0</v>
      </c>
      <c r="Y169" s="407" t="e">
        <f t="shared" si="53"/>
        <v>#DIV/0!</v>
      </c>
      <c r="Z169" s="434">
        <v>0</v>
      </c>
      <c r="AA169" s="411" t="e">
        <f t="shared" si="54"/>
        <v>#DIV/0!</v>
      </c>
      <c r="AB169" s="434">
        <f t="shared" si="55"/>
        <v>649720</v>
      </c>
      <c r="AC169" s="407">
        <f t="shared" si="62"/>
        <v>1.1488052322147938E-3</v>
      </c>
      <c r="AD169" s="434">
        <f t="shared" si="67"/>
        <v>54143.333333333336</v>
      </c>
      <c r="AE169" s="396"/>
      <c r="AG169" s="397">
        <f>VLOOKUP(B169,TWN_IS!B:P,15,0)</f>
        <v>649720</v>
      </c>
      <c r="AH169" s="397">
        <f t="shared" si="59"/>
        <v>0</v>
      </c>
    </row>
    <row r="170" spans="1:34" outlineLevel="1">
      <c r="A170" s="432"/>
      <c r="B170" s="432" t="s">
        <v>1391</v>
      </c>
      <c r="D170" s="434">
        <v>0</v>
      </c>
      <c r="E170" s="435">
        <f t="shared" si="60"/>
        <v>0</v>
      </c>
      <c r="F170" s="434">
        <v>0</v>
      </c>
      <c r="G170" s="407">
        <f t="shared" si="61"/>
        <v>0</v>
      </c>
      <c r="H170" s="434">
        <v>0</v>
      </c>
      <c r="I170" s="407">
        <f t="shared" si="56"/>
        <v>0</v>
      </c>
      <c r="J170" s="434">
        <v>0</v>
      </c>
      <c r="K170" s="436">
        <f t="shared" si="63"/>
        <v>0</v>
      </c>
      <c r="L170" s="434">
        <v>0</v>
      </c>
      <c r="M170" s="435">
        <f t="shared" si="65"/>
        <v>0</v>
      </c>
      <c r="N170" s="434">
        <v>0</v>
      </c>
      <c r="O170" s="437">
        <f t="shared" si="57"/>
        <v>0</v>
      </c>
      <c r="P170" s="434">
        <v>0</v>
      </c>
      <c r="Q170" s="437">
        <f t="shared" si="58"/>
        <v>0</v>
      </c>
      <c r="R170" s="434">
        <v>0</v>
      </c>
      <c r="S170" s="437">
        <f t="shared" si="64"/>
        <v>0</v>
      </c>
      <c r="T170" s="434">
        <v>0</v>
      </c>
      <c r="U170" s="407" t="e">
        <f t="shared" si="66"/>
        <v>#DIV/0!</v>
      </c>
      <c r="V170" s="434">
        <v>0</v>
      </c>
      <c r="W170" s="410" t="e">
        <f t="shared" si="52"/>
        <v>#DIV/0!</v>
      </c>
      <c r="X170" s="434">
        <v>0</v>
      </c>
      <c r="Y170" s="407" t="e">
        <f t="shared" si="53"/>
        <v>#DIV/0!</v>
      </c>
      <c r="Z170" s="434">
        <v>0</v>
      </c>
      <c r="AA170" s="411" t="e">
        <f t="shared" si="54"/>
        <v>#DIV/0!</v>
      </c>
      <c r="AB170" s="434">
        <f t="shared" si="55"/>
        <v>0</v>
      </c>
      <c r="AC170" s="407">
        <f t="shared" si="62"/>
        <v>0</v>
      </c>
      <c r="AD170" s="434">
        <f t="shared" si="67"/>
        <v>0</v>
      </c>
      <c r="AE170" s="396"/>
      <c r="AG170" s="397">
        <f>VLOOKUP(B170,TWN_IS!B:P,15,0)</f>
        <v>0</v>
      </c>
      <c r="AH170" s="397">
        <f t="shared" si="59"/>
        <v>0</v>
      </c>
    </row>
    <row r="171" spans="1:34" outlineLevel="1">
      <c r="A171" s="432"/>
      <c r="B171" s="432" t="s">
        <v>1393</v>
      </c>
      <c r="D171" s="434">
        <v>17611</v>
      </c>
      <c r="E171" s="435">
        <f t="shared" si="60"/>
        <v>2.9231354795033527E-4</v>
      </c>
      <c r="F171" s="434">
        <v>130035</v>
      </c>
      <c r="G171" s="407">
        <f t="shared" si="61"/>
        <v>2.4501851276108647E-3</v>
      </c>
      <c r="H171" s="434">
        <v>34697</v>
      </c>
      <c r="I171" s="407">
        <f t="shared" si="56"/>
        <v>5.4442064163401826E-4</v>
      </c>
      <c r="J171" s="434">
        <v>36840</v>
      </c>
      <c r="K171" s="436">
        <f t="shared" si="63"/>
        <v>5.4686600061039988E-4</v>
      </c>
      <c r="L171" s="434">
        <v>37024</v>
      </c>
      <c r="M171" s="435">
        <f t="shared" si="65"/>
        <v>6.9487737949848602E-4</v>
      </c>
      <c r="N171" s="434">
        <v>33731</v>
      </c>
      <c r="O171" s="437">
        <f t="shared" si="57"/>
        <v>3.8555016812255073E-4</v>
      </c>
      <c r="P171" s="434">
        <v>32396</v>
      </c>
      <c r="Q171" s="437">
        <f t="shared" si="58"/>
        <v>3.2975992976304861E-4</v>
      </c>
      <c r="R171" s="434">
        <v>29259</v>
      </c>
      <c r="S171" s="437">
        <f t="shared" si="64"/>
        <v>3.56230964626919E-4</v>
      </c>
      <c r="T171" s="434">
        <v>0</v>
      </c>
      <c r="U171" s="407" t="e">
        <f t="shared" si="66"/>
        <v>#DIV/0!</v>
      </c>
      <c r="V171" s="434">
        <v>0</v>
      </c>
      <c r="W171" s="410" t="e">
        <f t="shared" si="52"/>
        <v>#DIV/0!</v>
      </c>
      <c r="X171" s="434">
        <v>0</v>
      </c>
      <c r="Y171" s="407" t="e">
        <f t="shared" si="53"/>
        <v>#DIV/0!</v>
      </c>
      <c r="Z171" s="434">
        <v>0</v>
      </c>
      <c r="AA171" s="411" t="e">
        <f t="shared" si="54"/>
        <v>#DIV/0!</v>
      </c>
      <c r="AB171" s="434">
        <f t="shared" si="55"/>
        <v>351593</v>
      </c>
      <c r="AC171" s="407">
        <f t="shared" si="62"/>
        <v>6.2167068584943665E-4</v>
      </c>
      <c r="AD171" s="434">
        <f t="shared" si="67"/>
        <v>29299.416666666668</v>
      </c>
      <c r="AE171" s="396"/>
      <c r="AG171" s="397">
        <f>VLOOKUP(B171,TWN_IS!B:P,15,0)</f>
        <v>351593</v>
      </c>
      <c r="AH171" s="397">
        <f t="shared" si="59"/>
        <v>0</v>
      </c>
    </row>
    <row r="172" spans="1:34">
      <c r="A172" s="452"/>
      <c r="B172" s="485" t="s">
        <v>1555</v>
      </c>
      <c r="C172" s="453"/>
      <c r="D172" s="486">
        <v>1755765</v>
      </c>
      <c r="E172" s="455">
        <f t="shared" si="60"/>
        <v>2.9142802595935519E-2</v>
      </c>
      <c r="F172" s="486">
        <v>2075875</v>
      </c>
      <c r="G172" s="456">
        <f t="shared" si="61"/>
        <v>3.9114684906211429E-2</v>
      </c>
      <c r="H172" s="486">
        <v>1882646</v>
      </c>
      <c r="I172" s="456">
        <f t="shared" si="56"/>
        <v>2.954005658384638E-2</v>
      </c>
      <c r="J172" s="486">
        <v>1770950</v>
      </c>
      <c r="K172" s="457">
        <f t="shared" si="63"/>
        <v>2.6288608680265679E-2</v>
      </c>
      <c r="L172" s="486">
        <v>1871563</v>
      </c>
      <c r="M172" s="455">
        <f t="shared" si="65"/>
        <v>3.5126047779989331E-2</v>
      </c>
      <c r="N172" s="486">
        <v>1797661</v>
      </c>
      <c r="O172" s="458">
        <f t="shared" si="57"/>
        <v>2.0547523073058984E-2</v>
      </c>
      <c r="P172" s="486">
        <v>3498119</v>
      </c>
      <c r="Q172" s="458">
        <f t="shared" si="58"/>
        <v>3.5607466222459125E-2</v>
      </c>
      <c r="R172" s="486">
        <v>1755224</v>
      </c>
      <c r="S172" s="458">
        <f t="shared" si="64"/>
        <v>2.1370010549106918E-2</v>
      </c>
      <c r="T172" s="486">
        <v>0</v>
      </c>
      <c r="U172" s="456" t="e">
        <f t="shared" si="66"/>
        <v>#DIV/0!</v>
      </c>
      <c r="V172" s="486">
        <v>0</v>
      </c>
      <c r="W172" s="459" t="e">
        <f t="shared" si="52"/>
        <v>#DIV/0!</v>
      </c>
      <c r="X172" s="486">
        <v>0</v>
      </c>
      <c r="Y172" s="456" t="e">
        <f t="shared" si="53"/>
        <v>#DIV/0!</v>
      </c>
      <c r="Z172" s="486">
        <v>0</v>
      </c>
      <c r="AA172" s="460" t="e">
        <f t="shared" si="54"/>
        <v>#DIV/0!</v>
      </c>
      <c r="AB172" s="486">
        <f t="shared" si="55"/>
        <v>16407803</v>
      </c>
      <c r="AC172" s="456">
        <f t="shared" si="62"/>
        <v>2.901152794365202E-2</v>
      </c>
      <c r="AD172" s="486">
        <f t="shared" si="67"/>
        <v>1367316.9166666667</v>
      </c>
      <c r="AE172" s="396"/>
      <c r="AG172" s="397">
        <f>VLOOKUP(B172,TWN_IS!B:P,15,0)</f>
        <v>16407803</v>
      </c>
      <c r="AH172" s="397">
        <f t="shared" si="59"/>
        <v>0</v>
      </c>
    </row>
    <row r="173" spans="1:34" outlineLevel="1">
      <c r="A173" s="432"/>
      <c r="B173" s="431" t="s">
        <v>1556</v>
      </c>
      <c r="D173" s="438"/>
      <c r="E173" s="435"/>
      <c r="F173" s="438"/>
      <c r="H173" s="438"/>
      <c r="J173" s="438"/>
      <c r="K173" s="436"/>
      <c r="L173" s="438"/>
      <c r="M173" s="435"/>
      <c r="N173" s="438"/>
      <c r="O173" s="437"/>
      <c r="P173" s="438"/>
      <c r="Q173" s="437"/>
      <c r="R173" s="438"/>
      <c r="T173" s="438"/>
      <c r="V173" s="438"/>
      <c r="X173" s="438"/>
      <c r="Z173" s="438"/>
      <c r="AB173" s="438"/>
      <c r="AC173" s="407"/>
      <c r="AD173" s="438"/>
      <c r="AE173" s="396"/>
      <c r="AG173" s="397">
        <f>VLOOKUP(B173,TWN_IS!B:P,15,0)</f>
        <v>0</v>
      </c>
      <c r="AH173" s="397">
        <f t="shared" si="59"/>
        <v>0</v>
      </c>
    </row>
    <row r="174" spans="1:34" outlineLevel="1">
      <c r="A174" s="432"/>
      <c r="B174" s="432" t="s">
        <v>1283</v>
      </c>
      <c r="D174" s="438">
        <v>1991941</v>
      </c>
      <c r="E174" s="435">
        <f t="shared" si="60"/>
        <v>3.3062934587345341E-2</v>
      </c>
      <c r="F174" s="438">
        <v>1991341</v>
      </c>
      <c r="G174" s="407">
        <f t="shared" si="61"/>
        <v>3.752185259508399E-2</v>
      </c>
      <c r="H174" s="438">
        <v>2121411</v>
      </c>
      <c r="I174" s="435">
        <f t="shared" si="56"/>
        <v>3.3286449485242647E-2</v>
      </c>
      <c r="J174" s="438">
        <v>1988501</v>
      </c>
      <c r="K174" s="436">
        <f t="shared" si="63"/>
        <v>2.9518012732893069E-2</v>
      </c>
      <c r="L174" s="438">
        <v>2049368</v>
      </c>
      <c r="M174" s="435">
        <f t="shared" si="65"/>
        <v>3.8463144594534711E-2</v>
      </c>
      <c r="N174" s="438">
        <v>2061506</v>
      </c>
      <c r="O174" s="437">
        <f t="shared" si="57"/>
        <v>2.3563309267013933E-2</v>
      </c>
      <c r="P174" s="438">
        <v>2076086</v>
      </c>
      <c r="Q174" s="437">
        <f t="shared" si="58"/>
        <v>2.1132546411348579E-2</v>
      </c>
      <c r="R174" s="438">
        <v>2079573</v>
      </c>
      <c r="S174" s="437">
        <f t="shared" si="64"/>
        <v>2.5318988885542768E-2</v>
      </c>
      <c r="T174" s="438">
        <v>0</v>
      </c>
      <c r="U174" s="407" t="e">
        <f t="shared" si="66"/>
        <v>#DIV/0!</v>
      </c>
      <c r="V174" s="438">
        <v>0</v>
      </c>
      <c r="W174" s="410" t="e">
        <f t="shared" ref="W174:W211" si="68">V174/$V$21</f>
        <v>#DIV/0!</v>
      </c>
      <c r="X174" s="438">
        <v>0</v>
      </c>
      <c r="Y174" s="407" t="e">
        <f t="shared" ref="Y174:Y211" si="69">X174/$X$21</f>
        <v>#DIV/0!</v>
      </c>
      <c r="Z174" s="438">
        <v>0</v>
      </c>
      <c r="AA174" s="411" t="e">
        <f t="shared" ref="AA174:AA211" si="70">Z174/$Z$21</f>
        <v>#DIV/0!</v>
      </c>
      <c r="AB174" s="438">
        <f t="shared" ref="AB174:AB211" si="71">SUM(D174,F174,H174,J174,L174,N174,P174,R174,T174,V174,X174,Z174)</f>
        <v>16359727</v>
      </c>
      <c r="AC174" s="407">
        <f t="shared" si="62"/>
        <v>2.8926522156014333E-2</v>
      </c>
      <c r="AD174" s="438">
        <f t="shared" si="67"/>
        <v>1363310.5833333333</v>
      </c>
      <c r="AE174" s="396"/>
      <c r="AG174" s="397">
        <f>VLOOKUP(B174,TWN_IS!B:P,15,0)</f>
        <v>16359727</v>
      </c>
      <c r="AH174" s="397">
        <f t="shared" si="59"/>
        <v>0</v>
      </c>
    </row>
    <row r="175" spans="1:34" outlineLevel="1">
      <c r="A175" s="432"/>
      <c r="B175" s="432" t="s">
        <v>1285</v>
      </c>
      <c r="D175" s="438">
        <v>1499800</v>
      </c>
      <c r="E175" s="435">
        <f t="shared" si="60"/>
        <v>2.4894205849520915E-2</v>
      </c>
      <c r="F175" s="438">
        <v>1460057</v>
      </c>
      <c r="G175" s="407">
        <f t="shared" si="61"/>
        <v>2.7511131209783029E-2</v>
      </c>
      <c r="H175" s="438">
        <v>1445212</v>
      </c>
      <c r="I175" s="435">
        <f t="shared" si="56"/>
        <v>2.2676405577922665E-2</v>
      </c>
      <c r="J175" s="438">
        <v>1430173</v>
      </c>
      <c r="K175" s="436">
        <f t="shared" si="63"/>
        <v>2.1229994264141624E-2</v>
      </c>
      <c r="L175" s="438">
        <v>1517600</v>
      </c>
      <c r="M175" s="435">
        <f t="shared" si="65"/>
        <v>2.8482765533894294E-2</v>
      </c>
      <c r="N175" s="438">
        <v>1487560</v>
      </c>
      <c r="O175" s="437">
        <f t="shared" si="57"/>
        <v>1.7003024164489091E-2</v>
      </c>
      <c r="P175" s="438">
        <v>1536930</v>
      </c>
      <c r="Q175" s="437">
        <f t="shared" si="58"/>
        <v>1.5644460083057241E-2</v>
      </c>
      <c r="R175" s="438">
        <v>1531827</v>
      </c>
      <c r="S175" s="437">
        <f t="shared" si="64"/>
        <v>1.8650131920146262E-2</v>
      </c>
      <c r="T175" s="438">
        <v>0</v>
      </c>
      <c r="U175" s="407" t="e">
        <f t="shared" si="66"/>
        <v>#DIV/0!</v>
      </c>
      <c r="V175" s="438">
        <v>0</v>
      </c>
      <c r="W175" s="410" t="e">
        <f t="shared" si="68"/>
        <v>#DIV/0!</v>
      </c>
      <c r="X175" s="438">
        <v>0</v>
      </c>
      <c r="Y175" s="407" t="e">
        <f t="shared" si="69"/>
        <v>#DIV/0!</v>
      </c>
      <c r="Z175" s="438">
        <v>0</v>
      </c>
      <c r="AA175" s="411" t="e">
        <f t="shared" si="70"/>
        <v>#DIV/0!</v>
      </c>
      <c r="AB175" s="438">
        <f t="shared" si="71"/>
        <v>11909159</v>
      </c>
      <c r="AC175" s="407">
        <f t="shared" si="62"/>
        <v>2.1057231069503635E-2</v>
      </c>
      <c r="AD175" s="438">
        <f t="shared" si="67"/>
        <v>992429.91666666663</v>
      </c>
      <c r="AE175" s="396"/>
      <c r="AG175" s="397">
        <f>VLOOKUP(B175,TWN_IS!B:P,15,0)</f>
        <v>11909159</v>
      </c>
      <c r="AH175" s="397">
        <f t="shared" si="59"/>
        <v>0</v>
      </c>
    </row>
    <row r="176" spans="1:34" outlineLevel="1">
      <c r="A176" s="432"/>
      <c r="B176" s="432" t="s">
        <v>1287</v>
      </c>
      <c r="D176" s="438">
        <v>0</v>
      </c>
      <c r="E176" s="435">
        <f t="shared" si="60"/>
        <v>0</v>
      </c>
      <c r="F176" s="438">
        <v>3300</v>
      </c>
      <c r="G176" s="407">
        <f t="shared" si="61"/>
        <v>6.2180266244594559E-5</v>
      </c>
      <c r="H176" s="438">
        <v>41250</v>
      </c>
      <c r="I176" s="435">
        <f t="shared" si="56"/>
        <v>6.4724187876194635E-4</v>
      </c>
      <c r="J176" s="438">
        <v>50310</v>
      </c>
      <c r="K176" s="436">
        <f t="shared" si="63"/>
        <v>7.4681944871631965E-4</v>
      </c>
      <c r="L176" s="438">
        <v>0</v>
      </c>
      <c r="M176" s="435">
        <f t="shared" si="65"/>
        <v>0</v>
      </c>
      <c r="N176" s="438">
        <v>12135</v>
      </c>
      <c r="O176" s="437">
        <f t="shared" si="57"/>
        <v>1.3870479055370883E-4</v>
      </c>
      <c r="P176" s="438">
        <v>0</v>
      </c>
      <c r="Q176" s="437">
        <f t="shared" si="58"/>
        <v>0</v>
      </c>
      <c r="R176" s="438">
        <v>7132</v>
      </c>
      <c r="S176" s="437">
        <f t="shared" si="64"/>
        <v>8.6832743419774645E-5</v>
      </c>
      <c r="T176" s="438">
        <v>0</v>
      </c>
      <c r="U176" s="407" t="e">
        <f t="shared" si="66"/>
        <v>#DIV/0!</v>
      </c>
      <c r="V176" s="438">
        <v>0</v>
      </c>
      <c r="W176" s="410" t="e">
        <f t="shared" si="68"/>
        <v>#DIV/0!</v>
      </c>
      <c r="X176" s="438">
        <v>0</v>
      </c>
      <c r="Y176" s="407" t="e">
        <f t="shared" si="69"/>
        <v>#DIV/0!</v>
      </c>
      <c r="Z176" s="438">
        <v>0</v>
      </c>
      <c r="AA176" s="411" t="e">
        <f t="shared" si="70"/>
        <v>#DIV/0!</v>
      </c>
      <c r="AB176" s="438">
        <f t="shared" si="71"/>
        <v>114127</v>
      </c>
      <c r="AC176" s="407">
        <f t="shared" si="62"/>
        <v>2.0179414938277683E-4</v>
      </c>
      <c r="AD176" s="438">
        <f t="shared" si="67"/>
        <v>9510.5833333333339</v>
      </c>
      <c r="AE176" s="396"/>
      <c r="AG176" s="397">
        <f>VLOOKUP(B176,TWN_IS!B:P,15,0)</f>
        <v>114127</v>
      </c>
      <c r="AH176" s="397">
        <f t="shared" si="59"/>
        <v>0</v>
      </c>
    </row>
    <row r="177" spans="1:34" outlineLevel="1">
      <c r="A177" s="432"/>
      <c r="B177" s="432" t="s">
        <v>1289</v>
      </c>
      <c r="D177" s="438">
        <v>0</v>
      </c>
      <c r="E177" s="435">
        <f t="shared" si="60"/>
        <v>0</v>
      </c>
      <c r="F177" s="438">
        <v>0</v>
      </c>
      <c r="G177" s="407">
        <f t="shared" si="61"/>
        <v>0</v>
      </c>
      <c r="H177" s="438">
        <v>0</v>
      </c>
      <c r="I177" s="435">
        <f t="shared" si="56"/>
        <v>0</v>
      </c>
      <c r="J177" s="438">
        <v>0</v>
      </c>
      <c r="K177" s="436">
        <f t="shared" si="63"/>
        <v>0</v>
      </c>
      <c r="L177" s="438">
        <v>0</v>
      </c>
      <c r="M177" s="435">
        <f t="shared" si="65"/>
        <v>0</v>
      </c>
      <c r="N177" s="438">
        <v>0</v>
      </c>
      <c r="O177" s="437">
        <f t="shared" si="57"/>
        <v>0</v>
      </c>
      <c r="P177" s="438">
        <v>0</v>
      </c>
      <c r="Q177" s="437">
        <f t="shared" si="58"/>
        <v>0</v>
      </c>
      <c r="R177" s="438">
        <v>0</v>
      </c>
      <c r="S177" s="437">
        <f t="shared" si="64"/>
        <v>0</v>
      </c>
      <c r="T177" s="438">
        <v>0</v>
      </c>
      <c r="U177" s="407" t="e">
        <f t="shared" si="66"/>
        <v>#DIV/0!</v>
      </c>
      <c r="V177" s="438">
        <v>0</v>
      </c>
      <c r="W177" s="410" t="e">
        <f t="shared" si="68"/>
        <v>#DIV/0!</v>
      </c>
      <c r="X177" s="438">
        <v>0</v>
      </c>
      <c r="Y177" s="407" t="e">
        <f t="shared" si="69"/>
        <v>#DIV/0!</v>
      </c>
      <c r="Z177" s="438">
        <v>0</v>
      </c>
      <c r="AA177" s="411" t="e">
        <f t="shared" si="70"/>
        <v>#DIV/0!</v>
      </c>
      <c r="AB177" s="438">
        <f t="shared" si="71"/>
        <v>0</v>
      </c>
      <c r="AC177" s="407">
        <f t="shared" si="62"/>
        <v>0</v>
      </c>
      <c r="AD177" s="438">
        <f t="shared" si="67"/>
        <v>0</v>
      </c>
      <c r="AE177" s="396"/>
      <c r="AG177" s="397">
        <f>VLOOKUP(B177,TWN_IS!B:P,15,0)</f>
        <v>0</v>
      </c>
      <c r="AH177" s="397">
        <f t="shared" si="59"/>
        <v>0</v>
      </c>
    </row>
    <row r="178" spans="1:34" outlineLevel="1">
      <c r="A178" s="432"/>
      <c r="B178" s="432" t="s">
        <v>1291</v>
      </c>
      <c r="D178" s="438">
        <v>0</v>
      </c>
      <c r="E178" s="435">
        <f t="shared" si="60"/>
        <v>0</v>
      </c>
      <c r="F178" s="438">
        <v>3300</v>
      </c>
      <c r="G178" s="407">
        <f t="shared" si="61"/>
        <v>6.2180266244594559E-5</v>
      </c>
      <c r="H178" s="438">
        <v>41250</v>
      </c>
      <c r="I178" s="435">
        <f t="shared" si="56"/>
        <v>6.4724187876194635E-4</v>
      </c>
      <c r="J178" s="438">
        <v>50310</v>
      </c>
      <c r="K178" s="436">
        <f t="shared" si="63"/>
        <v>7.4681944871631965E-4</v>
      </c>
      <c r="L178" s="438">
        <v>0</v>
      </c>
      <c r="M178" s="435">
        <f t="shared" si="65"/>
        <v>0</v>
      </c>
      <c r="N178" s="438">
        <v>12135</v>
      </c>
      <c r="O178" s="437">
        <f t="shared" si="57"/>
        <v>1.3870479055370883E-4</v>
      </c>
      <c r="P178" s="438">
        <v>0</v>
      </c>
      <c r="Q178" s="437">
        <f t="shared" si="58"/>
        <v>0</v>
      </c>
      <c r="R178" s="438">
        <v>7132</v>
      </c>
      <c r="S178" s="437">
        <f t="shared" si="64"/>
        <v>8.6832743419774645E-5</v>
      </c>
      <c r="T178" s="438">
        <v>0</v>
      </c>
      <c r="U178" s="407" t="e">
        <f t="shared" si="66"/>
        <v>#DIV/0!</v>
      </c>
      <c r="V178" s="438">
        <v>0</v>
      </c>
      <c r="W178" s="410" t="e">
        <f t="shared" si="68"/>
        <v>#DIV/0!</v>
      </c>
      <c r="X178" s="438">
        <v>0</v>
      </c>
      <c r="Y178" s="407" t="e">
        <f t="shared" si="69"/>
        <v>#DIV/0!</v>
      </c>
      <c r="Z178" s="438">
        <v>0</v>
      </c>
      <c r="AA178" s="411" t="e">
        <f t="shared" si="70"/>
        <v>#DIV/0!</v>
      </c>
      <c r="AB178" s="438">
        <f t="shared" si="71"/>
        <v>114127</v>
      </c>
      <c r="AC178" s="407">
        <f t="shared" si="62"/>
        <v>2.0179414938277683E-4</v>
      </c>
      <c r="AD178" s="438">
        <f t="shared" si="67"/>
        <v>9510.5833333333339</v>
      </c>
      <c r="AE178" s="396"/>
      <c r="AG178" s="397">
        <f>VLOOKUP(B178,TWN_IS!B:P,15,0)</f>
        <v>114127</v>
      </c>
      <c r="AH178" s="397">
        <f t="shared" si="59"/>
        <v>0</v>
      </c>
    </row>
    <row r="179" spans="1:34" outlineLevel="1">
      <c r="A179" s="432"/>
      <c r="B179" s="432" t="s">
        <v>1293</v>
      </c>
      <c r="D179" s="438">
        <v>398000</v>
      </c>
      <c r="E179" s="435">
        <f t="shared" si="60"/>
        <v>6.606143437864598E-3</v>
      </c>
      <c r="F179" s="438">
        <v>435000</v>
      </c>
      <c r="G179" s="407">
        <f t="shared" si="61"/>
        <v>8.1964896413329186E-3</v>
      </c>
      <c r="H179" s="438">
        <v>445580</v>
      </c>
      <c r="I179" s="435">
        <f t="shared" si="56"/>
        <v>6.991467547606013E-3</v>
      </c>
      <c r="J179" s="438">
        <v>416500</v>
      </c>
      <c r="K179" s="436">
        <f t="shared" si="63"/>
        <v>6.1826734325252861E-3</v>
      </c>
      <c r="L179" s="438">
        <v>436300</v>
      </c>
      <c r="M179" s="435">
        <f t="shared" si="65"/>
        <v>8.1886074080377447E-3</v>
      </c>
      <c r="N179" s="438">
        <v>466600</v>
      </c>
      <c r="O179" s="437">
        <f t="shared" si="57"/>
        <v>5.3333049256168554E-3</v>
      </c>
      <c r="P179" s="438">
        <v>441800</v>
      </c>
      <c r="Q179" s="437">
        <f t="shared" si="58"/>
        <v>4.4970964615790492E-3</v>
      </c>
      <c r="R179" s="438">
        <v>443000</v>
      </c>
      <c r="S179" s="437">
        <f t="shared" si="64"/>
        <v>5.3935649656421999E-3</v>
      </c>
      <c r="T179" s="438">
        <v>0</v>
      </c>
      <c r="U179" s="407" t="e">
        <f t="shared" si="66"/>
        <v>#DIV/0!</v>
      </c>
      <c r="V179" s="438">
        <v>0</v>
      </c>
      <c r="W179" s="410" t="e">
        <f t="shared" si="68"/>
        <v>#DIV/0!</v>
      </c>
      <c r="X179" s="438">
        <v>0</v>
      </c>
      <c r="Y179" s="407" t="e">
        <f t="shared" si="69"/>
        <v>#DIV/0!</v>
      </c>
      <c r="Z179" s="438">
        <v>0</v>
      </c>
      <c r="AA179" s="411" t="e">
        <f t="shared" si="70"/>
        <v>#DIV/0!</v>
      </c>
      <c r="AB179" s="438">
        <f t="shared" si="71"/>
        <v>3482780</v>
      </c>
      <c r="AC179" s="407">
        <f t="shared" si="62"/>
        <v>6.1580925424075594E-3</v>
      </c>
      <c r="AD179" s="438">
        <f t="shared" si="67"/>
        <v>290231.66666666669</v>
      </c>
      <c r="AE179" s="396"/>
      <c r="AG179" s="397">
        <f>VLOOKUP(B179,TWN_IS!B:P,15,0)</f>
        <v>3482780</v>
      </c>
      <c r="AH179" s="397">
        <f t="shared" si="59"/>
        <v>0</v>
      </c>
    </row>
    <row r="180" spans="1:34" outlineLevel="1">
      <c r="A180" s="432"/>
      <c r="B180" s="432" t="s">
        <v>1295</v>
      </c>
      <c r="D180" s="438">
        <v>94141</v>
      </c>
      <c r="E180" s="435">
        <f t="shared" si="60"/>
        <v>1.562585299959827E-3</v>
      </c>
      <c r="F180" s="438">
        <v>92984</v>
      </c>
      <c r="G180" s="407">
        <f t="shared" si="61"/>
        <v>1.7520514777234486E-3</v>
      </c>
      <c r="H180" s="438">
        <v>94024</v>
      </c>
      <c r="I180" s="435">
        <f t="shared" si="56"/>
        <v>1.475303525059715E-3</v>
      </c>
      <c r="J180" s="438">
        <v>91518</v>
      </c>
      <c r="K180" s="436">
        <f t="shared" si="63"/>
        <v>1.3585255875098417E-3</v>
      </c>
      <c r="L180" s="438">
        <v>95468</v>
      </c>
      <c r="M180" s="435">
        <f t="shared" si="65"/>
        <v>1.7917716526026756E-3</v>
      </c>
      <c r="N180" s="438">
        <v>95211</v>
      </c>
      <c r="O180" s="437">
        <f t="shared" si="57"/>
        <v>1.0882753863542787E-3</v>
      </c>
      <c r="P180" s="438">
        <v>97356</v>
      </c>
      <c r="Q180" s="437">
        <f t="shared" si="58"/>
        <v>9.9098986671229054E-4</v>
      </c>
      <c r="R180" s="438">
        <v>97614</v>
      </c>
      <c r="S180" s="437">
        <f t="shared" si="64"/>
        <v>1.1884592563345319E-3</v>
      </c>
      <c r="T180" s="438">
        <v>0</v>
      </c>
      <c r="U180" s="407" t="e">
        <f t="shared" si="66"/>
        <v>#DIV/0!</v>
      </c>
      <c r="V180" s="438">
        <v>0</v>
      </c>
      <c r="W180" s="410" t="e">
        <f t="shared" si="68"/>
        <v>#DIV/0!</v>
      </c>
      <c r="X180" s="438">
        <v>0</v>
      </c>
      <c r="Y180" s="407" t="e">
        <f t="shared" si="69"/>
        <v>#DIV/0!</v>
      </c>
      <c r="Z180" s="438">
        <v>0</v>
      </c>
      <c r="AA180" s="411" t="e">
        <f t="shared" si="70"/>
        <v>#DIV/0!</v>
      </c>
      <c r="AB180" s="438">
        <f t="shared" si="71"/>
        <v>758316</v>
      </c>
      <c r="AC180" s="407">
        <f t="shared" si="62"/>
        <v>1.3408197199904475E-3</v>
      </c>
      <c r="AD180" s="438">
        <f t="shared" si="67"/>
        <v>63193</v>
      </c>
      <c r="AE180" s="396"/>
      <c r="AG180" s="397">
        <f>VLOOKUP(B180,TWN_IS!B:P,15,0)</f>
        <v>758316</v>
      </c>
      <c r="AH180" s="397">
        <f t="shared" si="59"/>
        <v>0</v>
      </c>
    </row>
    <row r="181" spans="1:34" outlineLevel="1">
      <c r="A181" s="432"/>
      <c r="B181" s="432" t="s">
        <v>1297</v>
      </c>
      <c r="D181" s="438">
        <v>0</v>
      </c>
      <c r="E181" s="435">
        <f t="shared" si="60"/>
        <v>0</v>
      </c>
      <c r="F181" s="438">
        <v>0</v>
      </c>
      <c r="G181" s="407">
        <f t="shared" si="61"/>
        <v>0</v>
      </c>
      <c r="H181" s="438">
        <v>95345</v>
      </c>
      <c r="I181" s="435">
        <f t="shared" si="56"/>
        <v>1.4960309558923097E-3</v>
      </c>
      <c r="J181" s="438">
        <v>0</v>
      </c>
      <c r="K181" s="436">
        <f t="shared" si="63"/>
        <v>0</v>
      </c>
      <c r="L181" s="438">
        <v>0</v>
      </c>
      <c r="M181" s="435">
        <f t="shared" si="65"/>
        <v>0</v>
      </c>
      <c r="N181" s="438">
        <v>0</v>
      </c>
      <c r="O181" s="437">
        <f t="shared" si="57"/>
        <v>0</v>
      </c>
      <c r="P181" s="438">
        <v>0</v>
      </c>
      <c r="Q181" s="437">
        <f t="shared" si="58"/>
        <v>0</v>
      </c>
      <c r="R181" s="438">
        <v>0</v>
      </c>
      <c r="S181" s="437">
        <f t="shared" si="64"/>
        <v>0</v>
      </c>
      <c r="T181" s="438">
        <v>0</v>
      </c>
      <c r="U181" s="407" t="e">
        <f t="shared" si="66"/>
        <v>#DIV/0!</v>
      </c>
      <c r="V181" s="438">
        <v>0</v>
      </c>
      <c r="W181" s="410" t="e">
        <f t="shared" si="68"/>
        <v>#DIV/0!</v>
      </c>
      <c r="X181" s="438">
        <v>0</v>
      </c>
      <c r="Y181" s="407" t="e">
        <f t="shared" si="69"/>
        <v>#DIV/0!</v>
      </c>
      <c r="Z181" s="438">
        <v>0</v>
      </c>
      <c r="AA181" s="411" t="e">
        <f t="shared" si="70"/>
        <v>#DIV/0!</v>
      </c>
      <c r="AB181" s="438">
        <f t="shared" si="71"/>
        <v>95345</v>
      </c>
      <c r="AC181" s="407">
        <f t="shared" si="62"/>
        <v>1.6858467472991368E-4</v>
      </c>
      <c r="AD181" s="438">
        <f t="shared" si="67"/>
        <v>7945.416666666667</v>
      </c>
      <c r="AE181" s="396"/>
      <c r="AG181" s="397">
        <f>VLOOKUP(B181,TWN_IS!B:P,15,0)</f>
        <v>95345</v>
      </c>
      <c r="AH181" s="397">
        <f t="shared" si="59"/>
        <v>0</v>
      </c>
    </row>
    <row r="182" spans="1:34" outlineLevel="1">
      <c r="A182" s="432"/>
      <c r="B182" s="432" t="s">
        <v>1299</v>
      </c>
      <c r="D182" s="438">
        <v>0</v>
      </c>
      <c r="E182" s="435">
        <f t="shared" si="60"/>
        <v>0</v>
      </c>
      <c r="F182" s="438">
        <v>0</v>
      </c>
      <c r="G182" s="407">
        <f t="shared" si="61"/>
        <v>0</v>
      </c>
      <c r="H182" s="438">
        <v>0</v>
      </c>
      <c r="I182" s="435">
        <f t="shared" si="56"/>
        <v>0</v>
      </c>
      <c r="J182" s="438">
        <v>0</v>
      </c>
      <c r="K182" s="436">
        <f t="shared" si="63"/>
        <v>0</v>
      </c>
      <c r="L182" s="438">
        <v>0</v>
      </c>
      <c r="M182" s="435">
        <f t="shared" si="65"/>
        <v>0</v>
      </c>
      <c r="N182" s="438">
        <v>0</v>
      </c>
      <c r="O182" s="437">
        <f t="shared" si="57"/>
        <v>0</v>
      </c>
      <c r="P182" s="438">
        <v>0</v>
      </c>
      <c r="Q182" s="437">
        <f t="shared" si="58"/>
        <v>0</v>
      </c>
      <c r="R182" s="438">
        <v>0</v>
      </c>
      <c r="S182" s="437">
        <f t="shared" si="64"/>
        <v>0</v>
      </c>
      <c r="T182" s="438">
        <v>0</v>
      </c>
      <c r="U182" s="407" t="e">
        <f t="shared" si="66"/>
        <v>#DIV/0!</v>
      </c>
      <c r="V182" s="438">
        <v>0</v>
      </c>
      <c r="W182" s="410" t="e">
        <f t="shared" si="68"/>
        <v>#DIV/0!</v>
      </c>
      <c r="X182" s="438">
        <v>0</v>
      </c>
      <c r="Y182" s="407" t="e">
        <f t="shared" si="69"/>
        <v>#DIV/0!</v>
      </c>
      <c r="Z182" s="438">
        <v>0</v>
      </c>
      <c r="AA182" s="411" t="e">
        <f t="shared" si="70"/>
        <v>#DIV/0!</v>
      </c>
      <c r="AB182" s="438">
        <f t="shared" si="71"/>
        <v>0</v>
      </c>
      <c r="AC182" s="407">
        <f t="shared" si="62"/>
        <v>0</v>
      </c>
      <c r="AD182" s="438">
        <f t="shared" si="67"/>
        <v>0</v>
      </c>
      <c r="AE182" s="396"/>
      <c r="AG182" s="397">
        <f>VLOOKUP(B182,TWN_IS!B:P,15,0)</f>
        <v>0</v>
      </c>
      <c r="AH182" s="397">
        <f t="shared" si="59"/>
        <v>0</v>
      </c>
    </row>
    <row r="183" spans="1:34" outlineLevel="1">
      <c r="A183" s="432"/>
      <c r="B183" s="432" t="s">
        <v>1301</v>
      </c>
      <c r="D183" s="438">
        <v>0</v>
      </c>
      <c r="E183" s="435">
        <f t="shared" si="60"/>
        <v>0</v>
      </c>
      <c r="F183" s="438">
        <v>600</v>
      </c>
      <c r="G183" s="407">
        <f t="shared" si="61"/>
        <v>1.1305502953562647E-5</v>
      </c>
      <c r="H183" s="438">
        <v>0</v>
      </c>
      <c r="I183" s="435">
        <f t="shared" si="56"/>
        <v>0</v>
      </c>
      <c r="J183" s="438">
        <v>300</v>
      </c>
      <c r="K183" s="436">
        <f t="shared" si="63"/>
        <v>4.4533061938957637E-6</v>
      </c>
      <c r="L183" s="438">
        <v>0</v>
      </c>
      <c r="M183" s="435">
        <f t="shared" si="65"/>
        <v>0</v>
      </c>
      <c r="N183" s="438">
        <v>600</v>
      </c>
      <c r="O183" s="437">
        <f t="shared" si="57"/>
        <v>6.8580860595158879E-6</v>
      </c>
      <c r="P183" s="438">
        <v>0</v>
      </c>
      <c r="Q183" s="437">
        <f t="shared" si="58"/>
        <v>0</v>
      </c>
      <c r="R183" s="438">
        <v>0</v>
      </c>
      <c r="S183" s="437">
        <f t="shared" si="64"/>
        <v>0</v>
      </c>
      <c r="T183" s="438">
        <v>0</v>
      </c>
      <c r="U183" s="407" t="e">
        <f t="shared" si="66"/>
        <v>#DIV/0!</v>
      </c>
      <c r="V183" s="438">
        <v>0</v>
      </c>
      <c r="W183" s="410" t="e">
        <f t="shared" si="68"/>
        <v>#DIV/0!</v>
      </c>
      <c r="X183" s="438">
        <v>0</v>
      </c>
      <c r="Y183" s="407" t="e">
        <f t="shared" si="69"/>
        <v>#DIV/0!</v>
      </c>
      <c r="Z183" s="438">
        <v>0</v>
      </c>
      <c r="AA183" s="411" t="e">
        <f t="shared" si="70"/>
        <v>#DIV/0!</v>
      </c>
      <c r="AB183" s="438">
        <f t="shared" si="71"/>
        <v>1500</v>
      </c>
      <c r="AC183" s="407">
        <f t="shared" si="62"/>
        <v>2.6522314971405998E-6</v>
      </c>
      <c r="AD183" s="438">
        <f t="shared" si="67"/>
        <v>125</v>
      </c>
      <c r="AE183" s="396"/>
      <c r="AG183" s="397">
        <f>VLOOKUP(B183,TWN_IS!B:P,15,0)</f>
        <v>1500</v>
      </c>
      <c r="AH183" s="397">
        <f t="shared" si="59"/>
        <v>0</v>
      </c>
    </row>
    <row r="184" spans="1:34" outlineLevel="1">
      <c r="A184" s="432"/>
      <c r="B184" s="432" t="s">
        <v>1303</v>
      </c>
      <c r="D184" s="438">
        <v>0</v>
      </c>
      <c r="E184" s="435">
        <f t="shared" si="60"/>
        <v>0</v>
      </c>
      <c r="F184" s="438">
        <v>27700</v>
      </c>
      <c r="G184" s="407">
        <f t="shared" si="61"/>
        <v>5.2193738635614216E-4</v>
      </c>
      <c r="H184" s="438">
        <v>2100</v>
      </c>
      <c r="I184" s="435">
        <f t="shared" si="56"/>
        <v>3.2950495646062721E-5</v>
      </c>
      <c r="J184" s="438">
        <v>0</v>
      </c>
      <c r="K184" s="436">
        <f t="shared" si="63"/>
        <v>0</v>
      </c>
      <c r="L184" s="438">
        <v>78118</v>
      </c>
      <c r="M184" s="435">
        <f t="shared" si="65"/>
        <v>1.466141722441193E-3</v>
      </c>
      <c r="N184" s="438">
        <v>3900</v>
      </c>
      <c r="O184" s="437">
        <f t="shared" si="57"/>
        <v>4.4577559386853275E-5</v>
      </c>
      <c r="P184" s="438">
        <v>0</v>
      </c>
      <c r="Q184" s="437">
        <f t="shared" si="58"/>
        <v>0</v>
      </c>
      <c r="R184" s="438">
        <v>0</v>
      </c>
      <c r="S184" s="437">
        <f t="shared" si="64"/>
        <v>0</v>
      </c>
      <c r="T184" s="438">
        <v>0</v>
      </c>
      <c r="U184" s="407" t="e">
        <f t="shared" si="66"/>
        <v>#DIV/0!</v>
      </c>
      <c r="V184" s="438">
        <v>0</v>
      </c>
      <c r="W184" s="410" t="e">
        <f t="shared" si="68"/>
        <v>#DIV/0!</v>
      </c>
      <c r="X184" s="438">
        <v>0</v>
      </c>
      <c r="Y184" s="407" t="e">
        <f t="shared" si="69"/>
        <v>#DIV/0!</v>
      </c>
      <c r="Z184" s="438">
        <v>0</v>
      </c>
      <c r="AA184" s="411" t="e">
        <f t="shared" si="70"/>
        <v>#DIV/0!</v>
      </c>
      <c r="AB184" s="438">
        <f t="shared" si="71"/>
        <v>111818</v>
      </c>
      <c r="AC184" s="407">
        <f t="shared" si="62"/>
        <v>1.9771148103151173E-4</v>
      </c>
      <c r="AD184" s="438">
        <f t="shared" si="67"/>
        <v>9318.1666666666661</v>
      </c>
      <c r="AE184" s="396"/>
      <c r="AG184" s="397">
        <f>VLOOKUP(B184,TWN_IS!B:P,15,0)</f>
        <v>111818</v>
      </c>
      <c r="AH184" s="397">
        <f t="shared" si="59"/>
        <v>0</v>
      </c>
    </row>
    <row r="185" spans="1:34" outlineLevel="1">
      <c r="A185" s="432"/>
      <c r="B185" s="432" t="s">
        <v>1306</v>
      </c>
      <c r="D185" s="438">
        <v>546</v>
      </c>
      <c r="E185" s="435">
        <f t="shared" si="60"/>
        <v>9.0626992891308301E-6</v>
      </c>
      <c r="F185" s="438">
        <v>750</v>
      </c>
      <c r="G185" s="407">
        <f t="shared" si="61"/>
        <v>1.4131878691953308E-5</v>
      </c>
      <c r="H185" s="438">
        <v>960</v>
      </c>
      <c r="I185" s="435">
        <f t="shared" si="56"/>
        <v>1.5063083723914387E-5</v>
      </c>
      <c r="J185" s="438">
        <v>2734</v>
      </c>
      <c r="K185" s="436">
        <f t="shared" si="63"/>
        <v>4.0584463780370061E-5</v>
      </c>
      <c r="L185" s="438">
        <v>3530</v>
      </c>
      <c r="M185" s="435">
        <f t="shared" si="65"/>
        <v>6.6252083773488962E-5</v>
      </c>
      <c r="N185" s="438">
        <v>200</v>
      </c>
      <c r="O185" s="437">
        <f t="shared" si="57"/>
        <v>2.2860286865052961E-6</v>
      </c>
      <c r="P185" s="438">
        <v>948</v>
      </c>
      <c r="Q185" s="437">
        <f t="shared" si="58"/>
        <v>9.6497226020301922E-6</v>
      </c>
      <c r="R185" s="438">
        <v>290</v>
      </c>
      <c r="S185" s="437">
        <f t="shared" si="64"/>
        <v>3.5307761626100177E-6</v>
      </c>
      <c r="T185" s="438">
        <v>0</v>
      </c>
      <c r="U185" s="407" t="e">
        <f t="shared" si="66"/>
        <v>#DIV/0!</v>
      </c>
      <c r="V185" s="438">
        <v>0</v>
      </c>
      <c r="W185" s="410" t="e">
        <f t="shared" si="68"/>
        <v>#DIV/0!</v>
      </c>
      <c r="X185" s="438">
        <v>0</v>
      </c>
      <c r="Y185" s="407" t="e">
        <f t="shared" si="69"/>
        <v>#DIV/0!</v>
      </c>
      <c r="Z185" s="438">
        <v>0</v>
      </c>
      <c r="AA185" s="411" t="e">
        <f t="shared" si="70"/>
        <v>#DIV/0!</v>
      </c>
      <c r="AB185" s="438">
        <f t="shared" si="71"/>
        <v>9958</v>
      </c>
      <c r="AC185" s="407">
        <f t="shared" si="62"/>
        <v>1.7607280832350731E-5</v>
      </c>
      <c r="AD185" s="438">
        <f t="shared" si="67"/>
        <v>829.83333333333337</v>
      </c>
      <c r="AE185" s="396"/>
      <c r="AG185" s="397">
        <f>VLOOKUP(B185,TWN_IS!B:P,15,0)</f>
        <v>9958</v>
      </c>
      <c r="AH185" s="397">
        <f t="shared" si="59"/>
        <v>0</v>
      </c>
    </row>
    <row r="186" spans="1:34" outlineLevel="1">
      <c r="A186" s="432"/>
      <c r="B186" s="432" t="s">
        <v>1308</v>
      </c>
      <c r="D186" s="438">
        <v>16772</v>
      </c>
      <c r="E186" s="435">
        <f t="shared" si="60"/>
        <v>2.7838753200971119E-4</v>
      </c>
      <c r="F186" s="438">
        <v>0</v>
      </c>
      <c r="G186" s="407">
        <f t="shared" si="61"/>
        <v>0</v>
      </c>
      <c r="H186" s="438">
        <v>34445</v>
      </c>
      <c r="I186" s="435">
        <f t="shared" si="56"/>
        <v>5.4046658215649074E-4</v>
      </c>
      <c r="J186" s="438">
        <v>19186</v>
      </c>
      <c r="K186" s="436">
        <f t="shared" si="63"/>
        <v>2.8480377545361379E-4</v>
      </c>
      <c r="L186" s="438">
        <v>18651</v>
      </c>
      <c r="M186" s="435">
        <f t="shared" si="65"/>
        <v>3.5004748284967217E-4</v>
      </c>
      <c r="N186" s="438">
        <v>15128</v>
      </c>
      <c r="O186" s="437">
        <f t="shared" si="57"/>
        <v>1.729152098472606E-4</v>
      </c>
      <c r="P186" s="438">
        <v>16240</v>
      </c>
      <c r="Q186" s="437">
        <f t="shared" si="58"/>
        <v>1.6530748423731047E-4</v>
      </c>
      <c r="R186" s="438">
        <v>15686</v>
      </c>
      <c r="S186" s="437">
        <f t="shared" si="64"/>
        <v>1.9097846512655428E-4</v>
      </c>
      <c r="T186" s="438">
        <v>0</v>
      </c>
      <c r="U186" s="407" t="e">
        <f t="shared" si="66"/>
        <v>#DIV/0!</v>
      </c>
      <c r="V186" s="438">
        <v>0</v>
      </c>
      <c r="W186" s="410" t="e">
        <f t="shared" si="68"/>
        <v>#DIV/0!</v>
      </c>
      <c r="X186" s="438">
        <v>0</v>
      </c>
      <c r="Y186" s="407" t="e">
        <f t="shared" si="69"/>
        <v>#DIV/0!</v>
      </c>
      <c r="Z186" s="438">
        <v>0</v>
      </c>
      <c r="AA186" s="411" t="e">
        <f t="shared" si="70"/>
        <v>#DIV/0!</v>
      </c>
      <c r="AB186" s="438">
        <f t="shared" si="71"/>
        <v>136108</v>
      </c>
      <c r="AC186" s="407">
        <f t="shared" si="62"/>
        <v>2.4065994974187521E-4</v>
      </c>
      <c r="AD186" s="438">
        <f t="shared" si="67"/>
        <v>11342.333333333334</v>
      </c>
      <c r="AE186" s="396"/>
      <c r="AG186" s="397">
        <f>VLOOKUP(B186,TWN_IS!B:P,15,0)</f>
        <v>136108</v>
      </c>
      <c r="AH186" s="397">
        <f t="shared" si="59"/>
        <v>0</v>
      </c>
    </row>
    <row r="187" spans="1:34" outlineLevel="1">
      <c r="A187" s="432"/>
      <c r="B187" s="432" t="s">
        <v>1310</v>
      </c>
      <c r="D187" s="438">
        <v>0</v>
      </c>
      <c r="E187" s="435">
        <f t="shared" si="60"/>
        <v>0</v>
      </c>
      <c r="F187" s="438">
        <v>0</v>
      </c>
      <c r="G187" s="407">
        <f t="shared" si="61"/>
        <v>0</v>
      </c>
      <c r="H187" s="438">
        <v>5720</v>
      </c>
      <c r="I187" s="435">
        <f t="shared" si="56"/>
        <v>8.9750873854989888E-5</v>
      </c>
      <c r="J187" s="438">
        <v>-5720</v>
      </c>
      <c r="K187" s="436">
        <f t="shared" si="63"/>
        <v>-8.4909704763612564E-5</v>
      </c>
      <c r="L187" s="438">
        <v>1000</v>
      </c>
      <c r="M187" s="435">
        <f t="shared" si="65"/>
        <v>1.8768295686540784E-5</v>
      </c>
      <c r="N187" s="438">
        <v>0</v>
      </c>
      <c r="O187" s="437">
        <f t="shared" si="57"/>
        <v>0</v>
      </c>
      <c r="P187" s="438">
        <v>0</v>
      </c>
      <c r="Q187" s="437">
        <f t="shared" si="58"/>
        <v>0</v>
      </c>
      <c r="R187" s="438">
        <v>0</v>
      </c>
      <c r="S187" s="437">
        <f t="shared" si="64"/>
        <v>0</v>
      </c>
      <c r="T187" s="438">
        <v>0</v>
      </c>
      <c r="U187" s="407" t="e">
        <f t="shared" si="66"/>
        <v>#DIV/0!</v>
      </c>
      <c r="V187" s="438">
        <v>0</v>
      </c>
      <c r="W187" s="410" t="e">
        <f t="shared" si="68"/>
        <v>#DIV/0!</v>
      </c>
      <c r="X187" s="438">
        <v>0</v>
      </c>
      <c r="Y187" s="407" t="e">
        <f t="shared" si="69"/>
        <v>#DIV/0!</v>
      </c>
      <c r="Z187" s="438">
        <v>0</v>
      </c>
      <c r="AA187" s="411" t="e">
        <f t="shared" si="70"/>
        <v>#DIV/0!</v>
      </c>
      <c r="AB187" s="438">
        <f t="shared" si="71"/>
        <v>1000</v>
      </c>
      <c r="AC187" s="407">
        <f t="shared" si="62"/>
        <v>1.7681543314270667E-6</v>
      </c>
      <c r="AD187" s="438">
        <f t="shared" si="67"/>
        <v>83.333333333333329</v>
      </c>
      <c r="AE187" s="396"/>
      <c r="AG187" s="397">
        <f>VLOOKUP(B187,TWN_IS!B:P,15,0)</f>
        <v>1000</v>
      </c>
      <c r="AH187" s="397">
        <f t="shared" si="59"/>
        <v>0</v>
      </c>
    </row>
    <row r="188" spans="1:34" outlineLevel="1">
      <c r="A188" s="432"/>
      <c r="B188" s="432" t="s">
        <v>1312</v>
      </c>
      <c r="D188" s="438">
        <v>31288</v>
      </c>
      <c r="E188" s="435">
        <f t="shared" si="60"/>
        <v>5.1932918563795869E-4</v>
      </c>
      <c r="F188" s="438">
        <v>18992</v>
      </c>
      <c r="G188" s="407">
        <f t="shared" si="61"/>
        <v>3.5785685349010296E-4</v>
      </c>
      <c r="H188" s="438">
        <v>24722</v>
      </c>
      <c r="I188" s="435">
        <f t="shared" si="56"/>
        <v>3.8790578731522031E-4</v>
      </c>
      <c r="J188" s="438">
        <v>25486</v>
      </c>
      <c r="K188" s="436">
        <f t="shared" si="63"/>
        <v>3.7832320552542482E-4</v>
      </c>
      <c r="L188" s="438">
        <v>30596</v>
      </c>
      <c r="M188" s="435">
        <f t="shared" si="65"/>
        <v>5.7423477482540183E-4</v>
      </c>
      <c r="N188" s="438">
        <v>31234</v>
      </c>
      <c r="O188" s="437">
        <f t="shared" si="57"/>
        <v>3.5700909997153207E-4</v>
      </c>
      <c r="P188" s="438">
        <v>32754</v>
      </c>
      <c r="Q188" s="437">
        <f t="shared" si="58"/>
        <v>3.334040233195115E-4</v>
      </c>
      <c r="R188" s="438">
        <v>45814</v>
      </c>
      <c r="S188" s="437">
        <f t="shared" si="64"/>
        <v>5.5778958315108747E-4</v>
      </c>
      <c r="T188" s="438">
        <v>0</v>
      </c>
      <c r="U188" s="407" t="e">
        <f t="shared" si="66"/>
        <v>#DIV/0!</v>
      </c>
      <c r="V188" s="438">
        <v>0</v>
      </c>
      <c r="W188" s="410" t="e">
        <f t="shared" si="68"/>
        <v>#DIV/0!</v>
      </c>
      <c r="X188" s="438">
        <v>0</v>
      </c>
      <c r="Y188" s="407" t="e">
        <f t="shared" si="69"/>
        <v>#DIV/0!</v>
      </c>
      <c r="Z188" s="438">
        <v>0</v>
      </c>
      <c r="AA188" s="411" t="e">
        <f t="shared" si="70"/>
        <v>#DIV/0!</v>
      </c>
      <c r="AB188" s="438">
        <f t="shared" si="71"/>
        <v>240886</v>
      </c>
      <c r="AC188" s="407">
        <f t="shared" si="62"/>
        <v>4.2592362428014037E-4</v>
      </c>
      <c r="AD188" s="438">
        <f t="shared" si="67"/>
        <v>20073.833333333332</v>
      </c>
      <c r="AE188" s="396"/>
      <c r="AG188" s="397">
        <f>VLOOKUP(B188,TWN_IS!B:P,15,0)</f>
        <v>240886</v>
      </c>
      <c r="AH188" s="397">
        <f t="shared" si="59"/>
        <v>0</v>
      </c>
    </row>
    <row r="189" spans="1:34" outlineLevel="1">
      <c r="A189" s="432"/>
      <c r="B189" s="432" t="s">
        <v>1314</v>
      </c>
      <c r="D189" s="438">
        <v>163587</v>
      </c>
      <c r="E189" s="435">
        <f t="shared" si="60"/>
        <v>2.7152743381154676E-3</v>
      </c>
      <c r="F189" s="438">
        <v>162864</v>
      </c>
      <c r="G189" s="407">
        <f t="shared" si="61"/>
        <v>3.0687657217150447E-3</v>
      </c>
      <c r="H189" s="438">
        <v>170709</v>
      </c>
      <c r="I189" s="435">
        <f t="shared" si="56"/>
        <v>2.6785457910684387E-3</v>
      </c>
      <c r="J189" s="438">
        <v>159277</v>
      </c>
      <c r="K189" s="436">
        <f t="shared" si="63"/>
        <v>2.3643641688171186E-3</v>
      </c>
      <c r="L189" s="438">
        <v>163810</v>
      </c>
      <c r="M189" s="435">
        <f t="shared" si="65"/>
        <v>3.0744345164122459E-3</v>
      </c>
      <c r="N189" s="438">
        <v>176515</v>
      </c>
      <c r="O189" s="437">
        <f t="shared" si="57"/>
        <v>2.0175917679924119E-3</v>
      </c>
      <c r="P189" s="438">
        <v>168942</v>
      </c>
      <c r="Q189" s="437">
        <f t="shared" si="58"/>
        <v>1.7196660715529373E-3</v>
      </c>
      <c r="R189" s="438">
        <v>169278</v>
      </c>
      <c r="S189" s="437">
        <f t="shared" si="64"/>
        <v>2.0609749215665467E-3</v>
      </c>
      <c r="T189" s="438">
        <v>0</v>
      </c>
      <c r="U189" s="407" t="e">
        <f t="shared" si="66"/>
        <v>#DIV/0!</v>
      </c>
      <c r="V189" s="438">
        <v>0</v>
      </c>
      <c r="W189" s="410" t="e">
        <f t="shared" si="68"/>
        <v>#DIV/0!</v>
      </c>
      <c r="X189" s="438">
        <v>0</v>
      </c>
      <c r="Y189" s="407" t="e">
        <f t="shared" si="69"/>
        <v>#DIV/0!</v>
      </c>
      <c r="Z189" s="438">
        <v>0</v>
      </c>
      <c r="AA189" s="411" t="e">
        <f t="shared" si="70"/>
        <v>#DIV/0!</v>
      </c>
      <c r="AB189" s="438">
        <f t="shared" si="71"/>
        <v>1334982</v>
      </c>
      <c r="AC189" s="407">
        <f t="shared" si="62"/>
        <v>2.3604542056771686E-3</v>
      </c>
      <c r="AD189" s="438">
        <f t="shared" si="67"/>
        <v>111248.5</v>
      </c>
      <c r="AE189" s="396"/>
      <c r="AG189" s="397">
        <f>VLOOKUP(B189,TWN_IS!B:P,15,0)</f>
        <v>1334982</v>
      </c>
      <c r="AH189" s="397">
        <f t="shared" si="59"/>
        <v>0</v>
      </c>
    </row>
    <row r="190" spans="1:34" outlineLevel="1">
      <c r="A190" s="432"/>
      <c r="B190" s="432" t="s">
        <v>1316</v>
      </c>
      <c r="D190" s="438">
        <v>0</v>
      </c>
      <c r="E190" s="435">
        <f t="shared" si="60"/>
        <v>0</v>
      </c>
      <c r="F190" s="438">
        <v>598</v>
      </c>
      <c r="G190" s="407">
        <f t="shared" si="61"/>
        <v>1.1267817943717437E-5</v>
      </c>
      <c r="H190" s="438">
        <v>9880</v>
      </c>
      <c r="I190" s="435">
        <f t="shared" si="56"/>
        <v>1.5502423665861889E-4</v>
      </c>
      <c r="J190" s="438">
        <v>0</v>
      </c>
      <c r="K190" s="436">
        <f t="shared" si="63"/>
        <v>0</v>
      </c>
      <c r="L190" s="438">
        <v>1942</v>
      </c>
      <c r="M190" s="435">
        <f t="shared" si="65"/>
        <v>3.6448030223262201E-5</v>
      </c>
      <c r="N190" s="438">
        <v>0</v>
      </c>
      <c r="O190" s="437">
        <f t="shared" si="57"/>
        <v>0</v>
      </c>
      <c r="P190" s="438">
        <v>0</v>
      </c>
      <c r="Q190" s="437">
        <f t="shared" si="58"/>
        <v>0</v>
      </c>
      <c r="R190" s="438">
        <v>0</v>
      </c>
      <c r="S190" s="437">
        <f t="shared" si="64"/>
        <v>0</v>
      </c>
      <c r="T190" s="438">
        <v>0</v>
      </c>
      <c r="U190" s="407" t="e">
        <f t="shared" si="66"/>
        <v>#DIV/0!</v>
      </c>
      <c r="V190" s="438">
        <v>0</v>
      </c>
      <c r="W190" s="410" t="e">
        <f t="shared" si="68"/>
        <v>#DIV/0!</v>
      </c>
      <c r="X190" s="438">
        <v>0</v>
      </c>
      <c r="Y190" s="407" t="e">
        <f t="shared" si="69"/>
        <v>#DIV/0!</v>
      </c>
      <c r="Z190" s="438">
        <v>0</v>
      </c>
      <c r="AA190" s="411" t="e">
        <f t="shared" si="70"/>
        <v>#DIV/0!</v>
      </c>
      <c r="AB190" s="438">
        <f t="shared" si="71"/>
        <v>12420</v>
      </c>
      <c r="AC190" s="407">
        <f t="shared" si="62"/>
        <v>2.196047679632417E-5</v>
      </c>
      <c r="AD190" s="438">
        <f t="shared" si="67"/>
        <v>1035</v>
      </c>
      <c r="AE190" s="396"/>
      <c r="AG190" s="397">
        <f>VLOOKUP(B190,TWN_IS!B:P,15,0)</f>
        <v>12420</v>
      </c>
      <c r="AH190" s="397">
        <f t="shared" si="59"/>
        <v>0</v>
      </c>
    </row>
    <row r="191" spans="1:34" outlineLevel="1">
      <c r="A191" s="432"/>
      <c r="B191" s="432" t="s">
        <v>1318</v>
      </c>
      <c r="D191" s="438">
        <v>0</v>
      </c>
      <c r="E191" s="435">
        <f t="shared" si="60"/>
        <v>0</v>
      </c>
      <c r="F191" s="438">
        <v>0</v>
      </c>
      <c r="G191" s="407">
        <f t="shared" si="61"/>
        <v>0</v>
      </c>
      <c r="H191" s="438">
        <v>0</v>
      </c>
      <c r="I191" s="435">
        <f t="shared" si="56"/>
        <v>0</v>
      </c>
      <c r="J191" s="438">
        <v>0</v>
      </c>
      <c r="K191" s="436">
        <f t="shared" si="63"/>
        <v>0</v>
      </c>
      <c r="L191" s="438">
        <v>0</v>
      </c>
      <c r="M191" s="435">
        <f t="shared" si="65"/>
        <v>0</v>
      </c>
      <c r="N191" s="438">
        <v>0</v>
      </c>
      <c r="O191" s="437">
        <f t="shared" si="57"/>
        <v>0</v>
      </c>
      <c r="P191" s="438">
        <v>0</v>
      </c>
      <c r="Q191" s="437">
        <f t="shared" si="58"/>
        <v>0</v>
      </c>
      <c r="R191" s="438">
        <v>0</v>
      </c>
      <c r="S191" s="437">
        <f t="shared" si="64"/>
        <v>0</v>
      </c>
      <c r="T191" s="438">
        <v>0</v>
      </c>
      <c r="U191" s="407" t="e">
        <f t="shared" si="66"/>
        <v>#DIV/0!</v>
      </c>
      <c r="V191" s="438">
        <v>0</v>
      </c>
      <c r="W191" s="410" t="e">
        <f t="shared" si="68"/>
        <v>#DIV/0!</v>
      </c>
      <c r="X191" s="438">
        <v>0</v>
      </c>
      <c r="Y191" s="407" t="e">
        <f t="shared" si="69"/>
        <v>#DIV/0!</v>
      </c>
      <c r="Z191" s="438">
        <v>0</v>
      </c>
      <c r="AA191" s="411" t="e">
        <f t="shared" si="70"/>
        <v>#DIV/0!</v>
      </c>
      <c r="AB191" s="438">
        <f t="shared" si="71"/>
        <v>0</v>
      </c>
      <c r="AC191" s="407">
        <f t="shared" si="62"/>
        <v>0</v>
      </c>
      <c r="AD191" s="438">
        <f t="shared" si="67"/>
        <v>0</v>
      </c>
      <c r="AE191" s="396"/>
      <c r="AG191" s="397">
        <f>VLOOKUP(B191,TWN_IS!B:P,15,0)</f>
        <v>0</v>
      </c>
      <c r="AH191" s="397">
        <f t="shared" si="59"/>
        <v>0</v>
      </c>
    </row>
    <row r="192" spans="1:34" outlineLevel="1">
      <c r="A192" s="432"/>
      <c r="B192" s="432" t="s">
        <v>1320</v>
      </c>
      <c r="D192" s="438">
        <v>0</v>
      </c>
      <c r="E192" s="435">
        <f t="shared" si="60"/>
        <v>0</v>
      </c>
      <c r="F192" s="438">
        <v>0</v>
      </c>
      <c r="G192" s="407">
        <f t="shared" si="61"/>
        <v>0</v>
      </c>
      <c r="H192" s="438">
        <v>0</v>
      </c>
      <c r="I192" s="435">
        <f t="shared" si="56"/>
        <v>0</v>
      </c>
      <c r="J192" s="438">
        <v>0</v>
      </c>
      <c r="K192" s="436">
        <f t="shared" si="63"/>
        <v>0</v>
      </c>
      <c r="L192" s="438">
        <v>0</v>
      </c>
      <c r="M192" s="435">
        <f t="shared" si="65"/>
        <v>0</v>
      </c>
      <c r="N192" s="438">
        <v>0</v>
      </c>
      <c r="O192" s="437">
        <f t="shared" si="57"/>
        <v>0</v>
      </c>
      <c r="P192" s="438">
        <v>0</v>
      </c>
      <c r="Q192" s="437">
        <f t="shared" si="58"/>
        <v>0</v>
      </c>
      <c r="R192" s="438">
        <v>0</v>
      </c>
      <c r="S192" s="437">
        <f t="shared" si="64"/>
        <v>0</v>
      </c>
      <c r="T192" s="438">
        <v>0</v>
      </c>
      <c r="U192" s="407" t="e">
        <f t="shared" si="66"/>
        <v>#DIV/0!</v>
      </c>
      <c r="V192" s="438">
        <v>0</v>
      </c>
      <c r="W192" s="410" t="e">
        <f t="shared" si="68"/>
        <v>#DIV/0!</v>
      </c>
      <c r="X192" s="438">
        <v>0</v>
      </c>
      <c r="Y192" s="407" t="e">
        <f t="shared" si="69"/>
        <v>#DIV/0!</v>
      </c>
      <c r="Z192" s="438">
        <v>0</v>
      </c>
      <c r="AA192" s="411" t="e">
        <f t="shared" si="70"/>
        <v>#DIV/0!</v>
      </c>
      <c r="AB192" s="438">
        <f t="shared" si="71"/>
        <v>0</v>
      </c>
      <c r="AC192" s="407">
        <f t="shared" si="62"/>
        <v>0</v>
      </c>
      <c r="AD192" s="438">
        <f t="shared" si="67"/>
        <v>0</v>
      </c>
      <c r="AE192" s="396"/>
      <c r="AG192" s="397">
        <f>VLOOKUP(B192,TWN_IS!B:P,15,0)</f>
        <v>0</v>
      </c>
      <c r="AH192" s="397">
        <f t="shared" si="59"/>
        <v>0</v>
      </c>
    </row>
    <row r="193" spans="1:34" outlineLevel="1">
      <c r="A193" s="432"/>
      <c r="B193" s="432" t="s">
        <v>1322</v>
      </c>
      <c r="D193" s="438">
        <v>116342</v>
      </c>
      <c r="E193" s="435">
        <f t="shared" si="60"/>
        <v>1.9310852760001083E-3</v>
      </c>
      <c r="F193" s="438">
        <v>116342</v>
      </c>
      <c r="G193" s="407">
        <f t="shared" si="61"/>
        <v>2.1921747077056422E-3</v>
      </c>
      <c r="H193" s="438">
        <v>116342</v>
      </c>
      <c r="I193" s="435">
        <f t="shared" si="56"/>
        <v>1.8254888402162996E-3</v>
      </c>
      <c r="J193" s="438">
        <v>116342</v>
      </c>
      <c r="K193" s="436">
        <f t="shared" si="63"/>
        <v>1.7270218307007367E-3</v>
      </c>
      <c r="L193" s="438">
        <v>116342</v>
      </c>
      <c r="M193" s="435">
        <f t="shared" si="65"/>
        <v>2.1835410567635277E-3</v>
      </c>
      <c r="N193" s="438">
        <v>116342</v>
      </c>
      <c r="O193" s="437">
        <f t="shared" si="57"/>
        <v>1.3298057472269959E-3</v>
      </c>
      <c r="P193" s="438">
        <v>116341</v>
      </c>
      <c r="Q193" s="437">
        <f t="shared" si="58"/>
        <v>1.1842387945599098E-3</v>
      </c>
      <c r="R193" s="438">
        <v>116342</v>
      </c>
      <c r="S193" s="437">
        <f t="shared" si="64"/>
        <v>1.4164743458978438E-3</v>
      </c>
      <c r="T193" s="438">
        <v>0</v>
      </c>
      <c r="U193" s="407" t="e">
        <f t="shared" si="66"/>
        <v>#DIV/0!</v>
      </c>
      <c r="V193" s="438">
        <v>0</v>
      </c>
      <c r="W193" s="410" t="e">
        <f t="shared" si="68"/>
        <v>#DIV/0!</v>
      </c>
      <c r="X193" s="438">
        <v>0</v>
      </c>
      <c r="Y193" s="407" t="e">
        <f t="shared" si="69"/>
        <v>#DIV/0!</v>
      </c>
      <c r="Z193" s="438">
        <v>0</v>
      </c>
      <c r="AA193" s="411" t="e">
        <f t="shared" si="70"/>
        <v>#DIV/0!</v>
      </c>
      <c r="AB193" s="438">
        <f t="shared" si="71"/>
        <v>930735</v>
      </c>
      <c r="AC193" s="407">
        <f t="shared" si="62"/>
        <v>1.6456831216607709E-3</v>
      </c>
      <c r="AD193" s="438">
        <f t="shared" si="67"/>
        <v>77561.25</v>
      </c>
      <c r="AE193" s="396"/>
      <c r="AG193" s="397">
        <f>VLOOKUP(B193,TWN_IS!B:P,15,0)</f>
        <v>930735</v>
      </c>
      <c r="AH193" s="397">
        <f t="shared" si="59"/>
        <v>0</v>
      </c>
    </row>
    <row r="194" spans="1:34" outlineLevel="1">
      <c r="A194" s="432"/>
      <c r="B194" s="432" t="s">
        <v>1324</v>
      </c>
      <c r="D194" s="438">
        <v>172176</v>
      </c>
      <c r="E194" s="435">
        <f t="shared" si="60"/>
        <v>2.857837569240641E-3</v>
      </c>
      <c r="F194" s="438">
        <v>172184</v>
      </c>
      <c r="G194" s="407">
        <f t="shared" si="61"/>
        <v>3.2443778675937179E-3</v>
      </c>
      <c r="H194" s="438">
        <v>5920</v>
      </c>
      <c r="I194" s="435">
        <f t="shared" si="56"/>
        <v>9.288901629747205E-5</v>
      </c>
      <c r="J194" s="438">
        <v>87715</v>
      </c>
      <c r="K194" s="436">
        <f t="shared" si="63"/>
        <v>1.3020725093252231E-3</v>
      </c>
      <c r="L194" s="438">
        <v>88318</v>
      </c>
      <c r="M194" s="435">
        <f t="shared" si="65"/>
        <v>1.657578338443909E-3</v>
      </c>
      <c r="N194" s="438">
        <v>48409</v>
      </c>
      <c r="O194" s="437">
        <f t="shared" si="57"/>
        <v>5.533218134251744E-4</v>
      </c>
      <c r="P194" s="438">
        <v>47806</v>
      </c>
      <c r="Q194" s="437">
        <f t="shared" si="58"/>
        <v>4.8661881720744236E-4</v>
      </c>
      <c r="R194" s="438">
        <v>47802</v>
      </c>
      <c r="S194" s="437">
        <f t="shared" si="64"/>
        <v>5.8199366250028992E-4</v>
      </c>
      <c r="T194" s="438">
        <v>0</v>
      </c>
      <c r="U194" s="407" t="e">
        <f t="shared" si="66"/>
        <v>#DIV/0!</v>
      </c>
      <c r="V194" s="438">
        <v>0</v>
      </c>
      <c r="W194" s="410" t="e">
        <f t="shared" si="68"/>
        <v>#DIV/0!</v>
      </c>
      <c r="X194" s="438">
        <v>0</v>
      </c>
      <c r="Y194" s="407" t="e">
        <f t="shared" si="69"/>
        <v>#DIV/0!</v>
      </c>
      <c r="Z194" s="438">
        <v>0</v>
      </c>
      <c r="AA194" s="411" t="e">
        <f t="shared" si="70"/>
        <v>#DIV/0!</v>
      </c>
      <c r="AB194" s="438">
        <f t="shared" si="71"/>
        <v>670330</v>
      </c>
      <c r="AC194" s="407">
        <f t="shared" si="62"/>
        <v>1.1852468929855057E-3</v>
      </c>
      <c r="AD194" s="438">
        <f t="shared" si="67"/>
        <v>55860.833333333336</v>
      </c>
      <c r="AE194" s="396"/>
      <c r="AG194" s="397">
        <f>VLOOKUP(B194,TWN_IS!B:P,15,0)</f>
        <v>670330</v>
      </c>
      <c r="AH194" s="397">
        <f t="shared" si="59"/>
        <v>0</v>
      </c>
    </row>
    <row r="195" spans="1:34" outlineLevel="1">
      <c r="A195" s="432"/>
      <c r="B195" s="432" t="s">
        <v>1326</v>
      </c>
      <c r="D195" s="438">
        <v>45000</v>
      </c>
      <c r="E195" s="435">
        <f t="shared" si="60"/>
        <v>7.4692576558770582E-4</v>
      </c>
      <c r="F195" s="438">
        <v>49520</v>
      </c>
      <c r="G195" s="407">
        <f t="shared" si="61"/>
        <v>9.330808437673704E-4</v>
      </c>
      <c r="H195" s="438">
        <v>53800</v>
      </c>
      <c r="I195" s="435">
        <f t="shared" si="56"/>
        <v>8.441603170277021E-4</v>
      </c>
      <c r="J195" s="438">
        <v>48880</v>
      </c>
      <c r="K195" s="436">
        <f t="shared" si="63"/>
        <v>7.2559202252541648E-4</v>
      </c>
      <c r="L195" s="438">
        <v>45000</v>
      </c>
      <c r="M195" s="435">
        <f t="shared" si="65"/>
        <v>8.445733058943353E-4</v>
      </c>
      <c r="N195" s="438">
        <v>50140</v>
      </c>
      <c r="O195" s="437">
        <f t="shared" si="57"/>
        <v>5.7310739170687776E-4</v>
      </c>
      <c r="P195" s="438">
        <v>52920</v>
      </c>
      <c r="Q195" s="437">
        <f t="shared" si="58"/>
        <v>5.3867438829054615E-4</v>
      </c>
      <c r="R195" s="438">
        <v>49040</v>
      </c>
      <c r="S195" s="437">
        <f t="shared" si="64"/>
        <v>5.9706642418756988E-4</v>
      </c>
      <c r="T195" s="438">
        <v>0</v>
      </c>
      <c r="U195" s="407" t="e">
        <f t="shared" si="66"/>
        <v>#DIV/0!</v>
      </c>
      <c r="V195" s="438">
        <v>0</v>
      </c>
      <c r="W195" s="410" t="e">
        <f t="shared" si="68"/>
        <v>#DIV/0!</v>
      </c>
      <c r="X195" s="438">
        <v>0</v>
      </c>
      <c r="Y195" s="407" t="e">
        <f t="shared" si="69"/>
        <v>#DIV/0!</v>
      </c>
      <c r="Z195" s="438">
        <v>0</v>
      </c>
      <c r="AA195" s="411" t="e">
        <f t="shared" si="70"/>
        <v>#DIV/0!</v>
      </c>
      <c r="AB195" s="438">
        <f t="shared" si="71"/>
        <v>394300</v>
      </c>
      <c r="AC195" s="407">
        <f t="shared" si="62"/>
        <v>6.9718325288169235E-4</v>
      </c>
      <c r="AD195" s="438">
        <f t="shared" si="67"/>
        <v>32858.333333333336</v>
      </c>
      <c r="AE195" s="396"/>
      <c r="AG195" s="397">
        <f>VLOOKUP(B195,TWN_IS!B:P,15,0)</f>
        <v>394300</v>
      </c>
      <c r="AH195" s="397">
        <f t="shared" si="59"/>
        <v>0</v>
      </c>
    </row>
    <row r="196" spans="1:34" outlineLevel="1">
      <c r="A196" s="432"/>
      <c r="B196" s="432" t="s">
        <v>1328</v>
      </c>
      <c r="D196" s="438">
        <v>32862</v>
      </c>
      <c r="E196" s="435">
        <f t="shared" si="60"/>
        <v>5.4545498908318201E-4</v>
      </c>
      <c r="F196" s="438">
        <v>29267</v>
      </c>
      <c r="G196" s="407">
        <f t="shared" si="61"/>
        <v>5.5146359156986327E-4</v>
      </c>
      <c r="H196" s="438">
        <v>36507</v>
      </c>
      <c r="I196" s="435">
        <f t="shared" si="56"/>
        <v>5.7282083073848184E-4</v>
      </c>
      <c r="J196" s="438">
        <v>35725</v>
      </c>
      <c r="K196" s="436">
        <f t="shared" si="63"/>
        <v>5.3031454592308727E-4</v>
      </c>
      <c r="L196" s="438">
        <v>27801</v>
      </c>
      <c r="M196" s="435">
        <f t="shared" si="65"/>
        <v>5.2177738838152037E-4</v>
      </c>
      <c r="N196" s="438">
        <v>50645</v>
      </c>
      <c r="O196" s="437">
        <f t="shared" si="57"/>
        <v>5.7887961414030363E-4</v>
      </c>
      <c r="P196" s="438">
        <v>51256</v>
      </c>
      <c r="Q196" s="437">
        <f t="shared" si="58"/>
        <v>5.2173647857559015E-4</v>
      </c>
      <c r="R196" s="438">
        <v>42851</v>
      </c>
      <c r="S196" s="437">
        <f t="shared" si="64"/>
        <v>5.2171479084138581E-4</v>
      </c>
      <c r="T196" s="438">
        <v>0</v>
      </c>
      <c r="U196" s="407" t="e">
        <f t="shared" si="66"/>
        <v>#DIV/0!</v>
      </c>
      <c r="V196" s="438">
        <v>0</v>
      </c>
      <c r="W196" s="410" t="e">
        <f t="shared" si="68"/>
        <v>#DIV/0!</v>
      </c>
      <c r="X196" s="438">
        <v>0</v>
      </c>
      <c r="Y196" s="407" t="e">
        <f t="shared" si="69"/>
        <v>#DIV/0!</v>
      </c>
      <c r="Z196" s="438">
        <v>0</v>
      </c>
      <c r="AA196" s="411" t="e">
        <f t="shared" si="70"/>
        <v>#DIV/0!</v>
      </c>
      <c r="AB196" s="438">
        <f t="shared" si="71"/>
        <v>306914</v>
      </c>
      <c r="AC196" s="407">
        <f t="shared" si="62"/>
        <v>5.4267131847560678E-4</v>
      </c>
      <c r="AD196" s="438">
        <f t="shared" si="67"/>
        <v>25576.166666666668</v>
      </c>
      <c r="AE196" s="396"/>
      <c r="AG196" s="397">
        <f>VLOOKUP(B196,TWN_IS!B:P,15,0)</f>
        <v>306914</v>
      </c>
      <c r="AH196" s="397">
        <f t="shared" si="59"/>
        <v>0</v>
      </c>
    </row>
    <row r="197" spans="1:34" outlineLevel="1">
      <c r="A197" s="432"/>
      <c r="B197" s="432" t="s">
        <v>1330</v>
      </c>
      <c r="D197" s="438">
        <v>29800</v>
      </c>
      <c r="E197" s="435">
        <f t="shared" si="60"/>
        <v>4.9463084032252524E-4</v>
      </c>
      <c r="F197" s="438">
        <v>32137</v>
      </c>
      <c r="G197" s="407">
        <f t="shared" si="61"/>
        <v>6.0554158069773796E-4</v>
      </c>
      <c r="H197" s="438">
        <v>295681</v>
      </c>
      <c r="I197" s="435">
        <f t="shared" si="56"/>
        <v>4.6394454776778433E-3</v>
      </c>
      <c r="J197" s="438">
        <v>533230</v>
      </c>
      <c r="K197" s="436">
        <f t="shared" si="63"/>
        <v>7.9154548725701279E-3</v>
      </c>
      <c r="L197" s="438">
        <v>32680</v>
      </c>
      <c r="M197" s="435">
        <f t="shared" si="65"/>
        <v>6.1334790303615278E-4</v>
      </c>
      <c r="N197" s="438">
        <v>207816</v>
      </c>
      <c r="O197" s="437">
        <f t="shared" si="57"/>
        <v>2.375366687573923E-3</v>
      </c>
      <c r="P197" s="438">
        <v>180000</v>
      </c>
      <c r="Q197" s="437">
        <f t="shared" si="58"/>
        <v>1.8322258105120618E-3</v>
      </c>
      <c r="R197" s="438">
        <v>478148</v>
      </c>
      <c r="S197" s="437">
        <f t="shared" si="64"/>
        <v>5.8214950365505337E-3</v>
      </c>
      <c r="T197" s="438">
        <v>0</v>
      </c>
      <c r="U197" s="407" t="e">
        <f t="shared" si="66"/>
        <v>#DIV/0!</v>
      </c>
      <c r="V197" s="438">
        <v>0</v>
      </c>
      <c r="W197" s="410" t="e">
        <f t="shared" si="68"/>
        <v>#DIV/0!</v>
      </c>
      <c r="X197" s="438">
        <v>0</v>
      </c>
      <c r="Y197" s="407" t="e">
        <f t="shared" si="69"/>
        <v>#DIV/0!</v>
      </c>
      <c r="Z197" s="438">
        <v>0</v>
      </c>
      <c r="AA197" s="411" t="e">
        <f t="shared" si="70"/>
        <v>#DIV/0!</v>
      </c>
      <c r="AB197" s="438">
        <f t="shared" si="71"/>
        <v>1789492</v>
      </c>
      <c r="AC197" s="407">
        <f t="shared" si="62"/>
        <v>3.1640980308540846E-3</v>
      </c>
      <c r="AD197" s="438">
        <f t="shared" si="67"/>
        <v>149124.33333333334</v>
      </c>
      <c r="AE197" s="396"/>
      <c r="AG197" s="397">
        <f>VLOOKUP(B197,TWN_IS!B:P,15,0)</f>
        <v>1789492</v>
      </c>
      <c r="AH197" s="397">
        <f t="shared" si="59"/>
        <v>0</v>
      </c>
    </row>
    <row r="198" spans="1:34" outlineLevel="1">
      <c r="A198" s="432"/>
      <c r="B198" s="432" t="s">
        <v>1332</v>
      </c>
      <c r="D198" s="438">
        <v>0</v>
      </c>
      <c r="E198" s="435">
        <f t="shared" si="60"/>
        <v>0</v>
      </c>
      <c r="F198" s="438">
        <v>0</v>
      </c>
      <c r="G198" s="407">
        <f t="shared" si="61"/>
        <v>0</v>
      </c>
      <c r="H198" s="438">
        <v>0</v>
      </c>
      <c r="I198" s="435">
        <f t="shared" si="56"/>
        <v>0</v>
      </c>
      <c r="J198" s="438">
        <v>0</v>
      </c>
      <c r="K198" s="436">
        <f t="shared" si="63"/>
        <v>0</v>
      </c>
      <c r="L198" s="438">
        <v>0</v>
      </c>
      <c r="M198" s="435">
        <f t="shared" si="65"/>
        <v>0</v>
      </c>
      <c r="N198" s="438">
        <v>0</v>
      </c>
      <c r="O198" s="437">
        <f t="shared" si="57"/>
        <v>0</v>
      </c>
      <c r="P198" s="438">
        <v>0</v>
      </c>
      <c r="Q198" s="437">
        <f t="shared" si="58"/>
        <v>0</v>
      </c>
      <c r="R198" s="438">
        <v>0</v>
      </c>
      <c r="S198" s="437">
        <f t="shared" si="64"/>
        <v>0</v>
      </c>
      <c r="T198" s="438">
        <v>0</v>
      </c>
      <c r="U198" s="407" t="e">
        <f t="shared" si="66"/>
        <v>#DIV/0!</v>
      </c>
      <c r="V198" s="438">
        <v>0</v>
      </c>
      <c r="W198" s="410" t="e">
        <f t="shared" si="68"/>
        <v>#DIV/0!</v>
      </c>
      <c r="X198" s="438">
        <v>0</v>
      </c>
      <c r="Y198" s="407" t="e">
        <f t="shared" si="69"/>
        <v>#DIV/0!</v>
      </c>
      <c r="Z198" s="438">
        <v>0</v>
      </c>
      <c r="AA198" s="411" t="e">
        <f t="shared" si="70"/>
        <v>#DIV/0!</v>
      </c>
      <c r="AB198" s="438">
        <f t="shared" si="71"/>
        <v>0</v>
      </c>
      <c r="AC198" s="407">
        <f t="shared" si="62"/>
        <v>0</v>
      </c>
      <c r="AD198" s="438">
        <f t="shared" si="67"/>
        <v>0</v>
      </c>
      <c r="AE198" s="396"/>
      <c r="AG198" s="397">
        <f>VLOOKUP(B198,TWN_IS!B:P,15,0)</f>
        <v>0</v>
      </c>
      <c r="AH198" s="397">
        <f t="shared" si="59"/>
        <v>0</v>
      </c>
    </row>
    <row r="199" spans="1:34" outlineLevel="1">
      <c r="A199" s="432"/>
      <c r="B199" s="432" t="s">
        <v>1334</v>
      </c>
      <c r="D199" s="438">
        <v>1610</v>
      </c>
      <c r="E199" s="435">
        <f t="shared" si="60"/>
        <v>2.6723344057693477E-5</v>
      </c>
      <c r="F199" s="438">
        <v>1610</v>
      </c>
      <c r="G199" s="407">
        <f t="shared" si="61"/>
        <v>3.0336432925393101E-5</v>
      </c>
      <c r="H199" s="438">
        <v>1610</v>
      </c>
      <c r="I199" s="435">
        <f t="shared" si="56"/>
        <v>2.5262046661981421E-5</v>
      </c>
      <c r="J199" s="438">
        <v>1610</v>
      </c>
      <c r="K199" s="436">
        <f t="shared" si="63"/>
        <v>2.38994099072406E-5</v>
      </c>
      <c r="L199" s="438">
        <v>1610</v>
      </c>
      <c r="M199" s="435">
        <f t="shared" si="65"/>
        <v>3.0216956055330664E-5</v>
      </c>
      <c r="N199" s="438">
        <v>1610</v>
      </c>
      <c r="O199" s="437">
        <f t="shared" si="57"/>
        <v>1.8402530926367633E-5</v>
      </c>
      <c r="P199" s="438">
        <v>1610</v>
      </c>
      <c r="Q199" s="437">
        <f t="shared" si="58"/>
        <v>1.6388241971802329E-5</v>
      </c>
      <c r="R199" s="438">
        <v>1610</v>
      </c>
      <c r="S199" s="437">
        <f t="shared" si="64"/>
        <v>1.9601895247593547E-5</v>
      </c>
      <c r="T199" s="438">
        <v>0</v>
      </c>
      <c r="U199" s="407" t="e">
        <f t="shared" si="66"/>
        <v>#DIV/0!</v>
      </c>
      <c r="V199" s="438">
        <v>0</v>
      </c>
      <c r="W199" s="410" t="e">
        <f t="shared" si="68"/>
        <v>#DIV/0!</v>
      </c>
      <c r="X199" s="438">
        <v>0</v>
      </c>
      <c r="Y199" s="407" t="e">
        <f t="shared" si="69"/>
        <v>#DIV/0!</v>
      </c>
      <c r="Z199" s="438">
        <v>0</v>
      </c>
      <c r="AA199" s="411" t="e">
        <f t="shared" si="70"/>
        <v>#DIV/0!</v>
      </c>
      <c r="AB199" s="438">
        <f t="shared" si="71"/>
        <v>12880</v>
      </c>
      <c r="AC199" s="407">
        <f t="shared" si="62"/>
        <v>2.277382778878062E-5</v>
      </c>
      <c r="AD199" s="438">
        <f t="shared" si="67"/>
        <v>1073.3333333333333</v>
      </c>
      <c r="AE199" s="396"/>
      <c r="AG199" s="397">
        <f>VLOOKUP(B199,TWN_IS!B:P,15,0)</f>
        <v>12880</v>
      </c>
      <c r="AH199" s="397">
        <f t="shared" si="59"/>
        <v>0</v>
      </c>
    </row>
    <row r="200" spans="1:34" outlineLevel="1">
      <c r="A200" s="432"/>
      <c r="B200" s="551" t="s">
        <v>1336</v>
      </c>
      <c r="D200" s="438">
        <v>6187</v>
      </c>
      <c r="E200" s="435">
        <f t="shared" si="60"/>
        <v>1.0269399359313636E-4</v>
      </c>
      <c r="F200" s="438">
        <v>4631</v>
      </c>
      <c r="G200" s="407">
        <f t="shared" si="61"/>
        <v>8.7259640296581028E-5</v>
      </c>
      <c r="H200" s="438">
        <v>653</v>
      </c>
      <c r="I200" s="435">
        <f t="shared" si="56"/>
        <v>1.0246035074704266E-5</v>
      </c>
      <c r="J200" s="438">
        <v>5037</v>
      </c>
      <c r="K200" s="436">
        <f t="shared" si="63"/>
        <v>7.4771010995509875E-5</v>
      </c>
      <c r="L200" s="438">
        <v>0</v>
      </c>
      <c r="M200" s="435">
        <f t="shared" si="65"/>
        <v>0</v>
      </c>
      <c r="N200" s="438">
        <v>3300</v>
      </c>
      <c r="O200" s="437">
        <f t="shared" si="57"/>
        <v>3.7719473327337383E-5</v>
      </c>
      <c r="P200" s="438">
        <v>2650</v>
      </c>
      <c r="Q200" s="437">
        <f t="shared" si="58"/>
        <v>2.6974435543649797E-5</v>
      </c>
      <c r="R200" s="438">
        <v>9291</v>
      </c>
      <c r="S200" s="437">
        <f t="shared" si="64"/>
        <v>1.1311876319589543E-4</v>
      </c>
      <c r="T200" s="438">
        <v>0</v>
      </c>
      <c r="U200" s="407" t="e">
        <f t="shared" si="66"/>
        <v>#DIV/0!</v>
      </c>
      <c r="V200" s="438">
        <v>0</v>
      </c>
      <c r="W200" s="410" t="e">
        <f t="shared" si="68"/>
        <v>#DIV/0!</v>
      </c>
      <c r="X200" s="438">
        <v>0</v>
      </c>
      <c r="Y200" s="407" t="e">
        <f t="shared" si="69"/>
        <v>#DIV/0!</v>
      </c>
      <c r="Z200" s="438">
        <v>0</v>
      </c>
      <c r="AA200" s="411" t="e">
        <f t="shared" si="70"/>
        <v>#DIV/0!</v>
      </c>
      <c r="AB200" s="438">
        <f t="shared" si="71"/>
        <v>31749</v>
      </c>
      <c r="AC200" s="407">
        <f t="shared" si="62"/>
        <v>5.6137131868477937E-5</v>
      </c>
      <c r="AD200" s="438">
        <f t="shared" si="67"/>
        <v>2645.75</v>
      </c>
      <c r="AE200" s="396"/>
      <c r="AG200" s="397">
        <f>VLOOKUP(B200,TWN_IS!B:P,15,0)</f>
        <v>31749</v>
      </c>
      <c r="AH200" s="397">
        <f t="shared" si="59"/>
        <v>0</v>
      </c>
    </row>
    <row r="201" spans="1:34" outlineLevel="1">
      <c r="A201" s="432"/>
      <c r="B201" s="432" t="s">
        <v>1338</v>
      </c>
      <c r="D201" s="438">
        <v>329745</v>
      </c>
      <c r="E201" s="435">
        <f t="shared" si="60"/>
        <v>5.4732230349715128E-3</v>
      </c>
      <c r="F201" s="438">
        <v>23706</v>
      </c>
      <c r="G201" s="407">
        <f t="shared" si="61"/>
        <v>4.4668042169526017E-4</v>
      </c>
      <c r="H201" s="438">
        <v>327763</v>
      </c>
      <c r="I201" s="435">
        <f t="shared" ref="I201:I264" si="72">H201/$H$21</f>
        <v>5.1428349068764079E-3</v>
      </c>
      <c r="J201" s="438">
        <v>349638</v>
      </c>
      <c r="K201" s="436">
        <f t="shared" si="63"/>
        <v>5.1901502367377571E-3</v>
      </c>
      <c r="L201" s="438">
        <v>336499</v>
      </c>
      <c r="M201" s="435">
        <f t="shared" si="65"/>
        <v>6.315512730225287E-3</v>
      </c>
      <c r="N201" s="438">
        <v>386187</v>
      </c>
      <c r="O201" s="437">
        <f t="shared" ref="O201:O264" si="73">N201/$N$21</f>
        <v>4.414172801777104E-3</v>
      </c>
      <c r="P201" s="438">
        <v>417799</v>
      </c>
      <c r="Q201" s="437">
        <f t="shared" ref="Q201:Q264" si="74">P201/$P$21</f>
        <v>4.2527895078118272E-3</v>
      </c>
      <c r="R201" s="438">
        <v>263766</v>
      </c>
      <c r="S201" s="437">
        <f t="shared" si="64"/>
        <v>3.2113748458861861E-3</v>
      </c>
      <c r="T201" s="438">
        <v>0</v>
      </c>
      <c r="U201" s="407" t="e">
        <f t="shared" si="66"/>
        <v>#DIV/0!</v>
      </c>
      <c r="V201" s="438">
        <v>0</v>
      </c>
      <c r="W201" s="410" t="e">
        <f t="shared" si="68"/>
        <v>#DIV/0!</v>
      </c>
      <c r="X201" s="438">
        <v>0</v>
      </c>
      <c r="Y201" s="407" t="e">
        <f t="shared" si="69"/>
        <v>#DIV/0!</v>
      </c>
      <c r="Z201" s="438">
        <v>0</v>
      </c>
      <c r="AA201" s="411" t="e">
        <f t="shared" si="70"/>
        <v>#DIV/0!</v>
      </c>
      <c r="AB201" s="438">
        <f t="shared" si="71"/>
        <v>2435103</v>
      </c>
      <c r="AC201" s="407">
        <f t="shared" si="62"/>
        <v>4.3056379169210445E-3</v>
      </c>
      <c r="AD201" s="438">
        <f t="shared" si="67"/>
        <v>202925.25</v>
      </c>
      <c r="AE201" s="396"/>
      <c r="AG201" s="397">
        <f>VLOOKUP(B201,TWN_IS!B:P,15,0)</f>
        <v>2435103</v>
      </c>
      <c r="AH201" s="397">
        <f t="shared" ref="AH201:AH264" si="75">AB201-AG201</f>
        <v>0</v>
      </c>
    </row>
    <row r="202" spans="1:34" outlineLevel="1">
      <c r="A202" s="432"/>
      <c r="B202" s="432" t="s">
        <v>1340</v>
      </c>
      <c r="D202" s="438">
        <v>0</v>
      </c>
      <c r="E202" s="435">
        <f t="shared" si="60"/>
        <v>0</v>
      </c>
      <c r="F202" s="438">
        <v>760</v>
      </c>
      <c r="G202" s="407">
        <f t="shared" si="61"/>
        <v>1.4320303741179352E-5</v>
      </c>
      <c r="H202" s="438">
        <v>25108</v>
      </c>
      <c r="I202" s="435">
        <f t="shared" si="72"/>
        <v>3.9396240222921086E-4</v>
      </c>
      <c r="J202" s="438">
        <v>1500</v>
      </c>
      <c r="K202" s="436">
        <f t="shared" si="63"/>
        <v>2.226653096947882E-5</v>
      </c>
      <c r="L202" s="438">
        <v>23691</v>
      </c>
      <c r="M202" s="435">
        <f t="shared" si="65"/>
        <v>4.4463969310983774E-4</v>
      </c>
      <c r="N202" s="438">
        <v>0</v>
      </c>
      <c r="O202" s="437">
        <f t="shared" si="73"/>
        <v>0</v>
      </c>
      <c r="P202" s="438">
        <v>3901</v>
      </c>
      <c r="Q202" s="437">
        <f t="shared" si="74"/>
        <v>3.9708404926708626E-5</v>
      </c>
      <c r="R202" s="438">
        <v>0</v>
      </c>
      <c r="S202" s="437">
        <f t="shared" si="64"/>
        <v>0</v>
      </c>
      <c r="T202" s="438">
        <v>0</v>
      </c>
      <c r="U202" s="407" t="e">
        <f t="shared" si="66"/>
        <v>#DIV/0!</v>
      </c>
      <c r="V202" s="438">
        <v>0</v>
      </c>
      <c r="W202" s="410" t="e">
        <f t="shared" si="68"/>
        <v>#DIV/0!</v>
      </c>
      <c r="X202" s="438">
        <v>0</v>
      </c>
      <c r="Y202" s="407" t="e">
        <f t="shared" si="69"/>
        <v>#DIV/0!</v>
      </c>
      <c r="Z202" s="438">
        <v>0</v>
      </c>
      <c r="AA202" s="411" t="e">
        <f t="shared" si="70"/>
        <v>#DIV/0!</v>
      </c>
      <c r="AB202" s="438">
        <f t="shared" si="71"/>
        <v>54960</v>
      </c>
      <c r="AC202" s="407">
        <f t="shared" si="62"/>
        <v>9.7177762055231589E-5</v>
      </c>
      <c r="AD202" s="438">
        <f t="shared" si="67"/>
        <v>4580</v>
      </c>
      <c r="AE202" s="396"/>
      <c r="AG202" s="397">
        <f>VLOOKUP(B202,TWN_IS!B:P,15,0)</f>
        <v>54960</v>
      </c>
      <c r="AH202" s="397">
        <f t="shared" si="75"/>
        <v>0</v>
      </c>
    </row>
    <row r="203" spans="1:34" outlineLevel="1">
      <c r="A203" s="432"/>
      <c r="B203" s="432" t="s">
        <v>1341</v>
      </c>
      <c r="D203" s="438">
        <v>0</v>
      </c>
      <c r="E203" s="435">
        <f t="shared" si="60"/>
        <v>0</v>
      </c>
      <c r="F203" s="438">
        <v>0</v>
      </c>
      <c r="G203" s="407">
        <f t="shared" si="61"/>
        <v>0</v>
      </c>
      <c r="H203" s="438">
        <v>0</v>
      </c>
      <c r="I203" s="435">
        <f t="shared" si="72"/>
        <v>0</v>
      </c>
      <c r="J203" s="438">
        <v>0</v>
      </c>
      <c r="K203" s="436">
        <f t="shared" si="63"/>
        <v>0</v>
      </c>
      <c r="L203" s="438">
        <v>0</v>
      </c>
      <c r="M203" s="435">
        <f t="shared" si="65"/>
        <v>0</v>
      </c>
      <c r="N203" s="438">
        <v>0</v>
      </c>
      <c r="O203" s="437">
        <f t="shared" si="73"/>
        <v>0</v>
      </c>
      <c r="P203" s="438">
        <v>0</v>
      </c>
      <c r="Q203" s="437">
        <f t="shared" si="74"/>
        <v>0</v>
      </c>
      <c r="R203" s="438">
        <v>0</v>
      </c>
      <c r="S203" s="437">
        <f t="shared" si="64"/>
        <v>0</v>
      </c>
      <c r="T203" s="438">
        <v>0</v>
      </c>
      <c r="U203" s="407" t="e">
        <f t="shared" si="66"/>
        <v>#DIV/0!</v>
      </c>
      <c r="V203" s="438">
        <v>0</v>
      </c>
      <c r="W203" s="410" t="e">
        <f t="shared" si="68"/>
        <v>#DIV/0!</v>
      </c>
      <c r="X203" s="438">
        <v>0</v>
      </c>
      <c r="Y203" s="407" t="e">
        <f t="shared" si="69"/>
        <v>#DIV/0!</v>
      </c>
      <c r="Z203" s="438">
        <v>0</v>
      </c>
      <c r="AA203" s="411" t="e">
        <f t="shared" si="70"/>
        <v>#DIV/0!</v>
      </c>
      <c r="AB203" s="438">
        <f t="shared" si="71"/>
        <v>0</v>
      </c>
      <c r="AC203" s="407">
        <f t="shared" si="62"/>
        <v>0</v>
      </c>
      <c r="AD203" s="438">
        <f t="shared" si="67"/>
        <v>0</v>
      </c>
      <c r="AE203" s="396"/>
      <c r="AG203" s="397">
        <f>VLOOKUP(B203,TWN_IS!B:P,15,0)</f>
        <v>0</v>
      </c>
      <c r="AH203" s="397">
        <f t="shared" si="75"/>
        <v>0</v>
      </c>
    </row>
    <row r="204" spans="1:34" outlineLevel="1">
      <c r="A204" s="432"/>
      <c r="B204" s="432" t="s">
        <v>1343</v>
      </c>
      <c r="D204" s="438">
        <v>0</v>
      </c>
      <c r="E204" s="435">
        <f t="shared" si="60"/>
        <v>0</v>
      </c>
      <c r="F204" s="438">
        <v>18000</v>
      </c>
      <c r="G204" s="407">
        <f t="shared" si="61"/>
        <v>3.3916508860687943E-4</v>
      </c>
      <c r="H204" s="438">
        <v>60000</v>
      </c>
      <c r="I204" s="435">
        <f t="shared" si="72"/>
        <v>9.4144273274464915E-4</v>
      </c>
      <c r="J204" s="438">
        <v>0</v>
      </c>
      <c r="K204" s="436">
        <f t="shared" si="63"/>
        <v>0</v>
      </c>
      <c r="L204" s="438">
        <v>2000</v>
      </c>
      <c r="M204" s="435">
        <f t="shared" si="65"/>
        <v>3.7536591373081568E-5</v>
      </c>
      <c r="N204" s="438">
        <v>23200</v>
      </c>
      <c r="O204" s="437">
        <f t="shared" si="73"/>
        <v>2.6517932763461436E-4</v>
      </c>
      <c r="P204" s="438">
        <v>18000</v>
      </c>
      <c r="Q204" s="437">
        <f t="shared" si="74"/>
        <v>1.8322258105120618E-4</v>
      </c>
      <c r="R204" s="438">
        <v>0</v>
      </c>
      <c r="S204" s="437">
        <f t="shared" si="64"/>
        <v>0</v>
      </c>
      <c r="T204" s="438">
        <v>0</v>
      </c>
      <c r="U204" s="407" t="e">
        <f t="shared" si="66"/>
        <v>#DIV/0!</v>
      </c>
      <c r="V204" s="438">
        <v>0</v>
      </c>
      <c r="W204" s="410" t="e">
        <f t="shared" si="68"/>
        <v>#DIV/0!</v>
      </c>
      <c r="X204" s="438">
        <v>0</v>
      </c>
      <c r="Y204" s="407" t="e">
        <f t="shared" si="69"/>
        <v>#DIV/0!</v>
      </c>
      <c r="Z204" s="438">
        <v>0</v>
      </c>
      <c r="AA204" s="411" t="e">
        <f t="shared" si="70"/>
        <v>#DIV/0!</v>
      </c>
      <c r="AB204" s="438">
        <f t="shared" si="71"/>
        <v>121200</v>
      </c>
      <c r="AC204" s="407">
        <f t="shared" si="62"/>
        <v>2.1430030496896049E-4</v>
      </c>
      <c r="AD204" s="438">
        <f t="shared" si="67"/>
        <v>10100</v>
      </c>
      <c r="AE204" s="396"/>
      <c r="AG204" s="397">
        <f>VLOOKUP(B204,TWN_IS!B:P,15,0)</f>
        <v>121200</v>
      </c>
      <c r="AH204" s="397">
        <f t="shared" si="75"/>
        <v>0</v>
      </c>
    </row>
    <row r="205" spans="1:34" outlineLevel="1">
      <c r="A205" s="432"/>
      <c r="B205" s="432" t="s">
        <v>1345</v>
      </c>
      <c r="D205" s="438">
        <v>-182393</v>
      </c>
      <c r="E205" s="435">
        <f t="shared" si="60"/>
        <v>-3.027422914729743E-3</v>
      </c>
      <c r="F205" s="438">
        <v>78687</v>
      </c>
      <c r="G205" s="407">
        <f t="shared" si="61"/>
        <v>1.4826601848449733E-3</v>
      </c>
      <c r="H205" s="438">
        <v>81631</v>
      </c>
      <c r="I205" s="435">
        <f t="shared" si="72"/>
        <v>1.2808485286113077E-3</v>
      </c>
      <c r="J205" s="438">
        <v>107149</v>
      </c>
      <c r="K205" s="436">
        <f t="shared" si="63"/>
        <v>1.5905576845657908E-3</v>
      </c>
      <c r="L205" s="438">
        <v>187925</v>
      </c>
      <c r="M205" s="435">
        <f t="shared" si="65"/>
        <v>3.527031966893177E-3</v>
      </c>
      <c r="N205" s="438">
        <v>100326</v>
      </c>
      <c r="O205" s="437">
        <f t="shared" si="73"/>
        <v>1.1467405700116516E-3</v>
      </c>
      <c r="P205" s="438">
        <v>212709</v>
      </c>
      <c r="Q205" s="437">
        <f t="shared" si="74"/>
        <v>2.1651717773789451E-3</v>
      </c>
      <c r="R205" s="438">
        <v>97949</v>
      </c>
      <c r="S205" s="437">
        <f t="shared" si="64"/>
        <v>1.1925379115568574E-3</v>
      </c>
      <c r="T205" s="438">
        <v>0</v>
      </c>
      <c r="U205" s="407" t="e">
        <f t="shared" si="66"/>
        <v>#DIV/0!</v>
      </c>
      <c r="V205" s="438">
        <v>0</v>
      </c>
      <c r="W205" s="410" t="e">
        <f t="shared" si="68"/>
        <v>#DIV/0!</v>
      </c>
      <c r="X205" s="438">
        <v>0</v>
      </c>
      <c r="Y205" s="407" t="e">
        <f t="shared" si="69"/>
        <v>#DIV/0!</v>
      </c>
      <c r="Z205" s="438">
        <v>0</v>
      </c>
      <c r="AA205" s="411" t="e">
        <f t="shared" si="70"/>
        <v>#DIV/0!</v>
      </c>
      <c r="AB205" s="438">
        <f t="shared" si="71"/>
        <v>683983</v>
      </c>
      <c r="AC205" s="407">
        <f t="shared" si="62"/>
        <v>1.2093875040724794E-3</v>
      </c>
      <c r="AD205" s="438">
        <f t="shared" si="67"/>
        <v>56998.583333333336</v>
      </c>
      <c r="AE205" s="396"/>
      <c r="AG205" s="397">
        <f>VLOOKUP(B205,TWN_IS!B:P,15,0)</f>
        <v>683983</v>
      </c>
      <c r="AH205" s="397">
        <f t="shared" si="75"/>
        <v>0</v>
      </c>
    </row>
    <row r="206" spans="1:34" outlineLevel="1">
      <c r="A206" s="432"/>
      <c r="B206" s="432" t="s">
        <v>1346</v>
      </c>
      <c r="D206" s="438">
        <v>191082</v>
      </c>
      <c r="E206" s="435">
        <f t="shared" si="60"/>
        <v>3.1716459808895556E-3</v>
      </c>
      <c r="F206" s="438">
        <v>126677</v>
      </c>
      <c r="G206" s="407">
        <f t="shared" si="61"/>
        <v>2.3869119960807589E-3</v>
      </c>
      <c r="H206" s="438">
        <v>103703</v>
      </c>
      <c r="I206" s="435">
        <f t="shared" si="72"/>
        <v>1.6271739285636392E-3</v>
      </c>
      <c r="J206" s="438">
        <v>125992</v>
      </c>
      <c r="K206" s="436">
        <f t="shared" si="63"/>
        <v>1.8702698466043837E-3</v>
      </c>
      <c r="L206" s="438">
        <v>105690</v>
      </c>
      <c r="M206" s="435">
        <f t="shared" si="65"/>
        <v>1.9836211711104956E-3</v>
      </c>
      <c r="N206" s="438">
        <v>147063</v>
      </c>
      <c r="O206" s="437">
        <f t="shared" si="73"/>
        <v>1.6809511836176417E-3</v>
      </c>
      <c r="P206" s="438">
        <v>134457</v>
      </c>
      <c r="Q206" s="437">
        <f t="shared" si="74"/>
        <v>1.3686421433556683E-3</v>
      </c>
      <c r="R206" s="438">
        <v>118923</v>
      </c>
      <c r="S206" s="437">
        <f t="shared" si="64"/>
        <v>1.4478982537450729E-3</v>
      </c>
      <c r="T206" s="438">
        <v>0</v>
      </c>
      <c r="U206" s="407" t="e">
        <f t="shared" si="66"/>
        <v>#DIV/0!</v>
      </c>
      <c r="V206" s="438">
        <v>0</v>
      </c>
      <c r="W206" s="410" t="e">
        <f t="shared" si="68"/>
        <v>#DIV/0!</v>
      </c>
      <c r="X206" s="438">
        <v>0</v>
      </c>
      <c r="Y206" s="407" t="e">
        <f t="shared" si="69"/>
        <v>#DIV/0!</v>
      </c>
      <c r="Z206" s="438">
        <v>0</v>
      </c>
      <c r="AA206" s="411" t="e">
        <f t="shared" si="70"/>
        <v>#DIV/0!</v>
      </c>
      <c r="AB206" s="438">
        <f t="shared" si="71"/>
        <v>1053587</v>
      </c>
      <c r="AC206" s="407">
        <f t="shared" si="62"/>
        <v>1.862904417585249E-3</v>
      </c>
      <c r="AD206" s="438">
        <f t="shared" si="67"/>
        <v>87798.916666666672</v>
      </c>
      <c r="AE206" s="396"/>
      <c r="AG206" s="397">
        <f>VLOOKUP(B206,TWN_IS!B:P,15,0)</f>
        <v>1053587</v>
      </c>
      <c r="AH206" s="397">
        <f t="shared" si="75"/>
        <v>0</v>
      </c>
    </row>
    <row r="207" spans="1:34" outlineLevel="1">
      <c r="A207" s="432"/>
      <c r="B207" s="432" t="s">
        <v>1347</v>
      </c>
      <c r="D207" s="438">
        <v>4500</v>
      </c>
      <c r="E207" s="435">
        <f t="shared" ref="E207:E270" si="76">D207/$D$21</f>
        <v>7.4692576558770584E-5</v>
      </c>
      <c r="F207" s="438">
        <v>12500</v>
      </c>
      <c r="G207" s="407">
        <f t="shared" ref="G207:G270" si="77">F207/$F$21</f>
        <v>2.3553131153255513E-4</v>
      </c>
      <c r="H207" s="438">
        <v>22200</v>
      </c>
      <c r="I207" s="435">
        <f t="shared" si="72"/>
        <v>3.4833381111552022E-4</v>
      </c>
      <c r="J207" s="438">
        <v>38500</v>
      </c>
      <c r="K207" s="436">
        <f t="shared" si="63"/>
        <v>5.7150762821662311E-4</v>
      </c>
      <c r="L207" s="438">
        <v>0</v>
      </c>
      <c r="M207" s="435">
        <f t="shared" si="65"/>
        <v>0</v>
      </c>
      <c r="N207" s="438">
        <v>80000</v>
      </c>
      <c r="O207" s="437">
        <f t="shared" si="73"/>
        <v>9.1441147460211841E-4</v>
      </c>
      <c r="P207" s="438">
        <v>0</v>
      </c>
      <c r="Q207" s="437">
        <f t="shared" si="74"/>
        <v>0</v>
      </c>
      <c r="R207" s="438">
        <v>20000</v>
      </c>
      <c r="S207" s="437">
        <f t="shared" si="64"/>
        <v>2.4350180431793227E-4</v>
      </c>
      <c r="T207" s="438">
        <v>0</v>
      </c>
      <c r="U207" s="407" t="e">
        <f t="shared" si="66"/>
        <v>#DIV/0!</v>
      </c>
      <c r="V207" s="438">
        <v>0</v>
      </c>
      <c r="W207" s="410" t="e">
        <f t="shared" si="68"/>
        <v>#DIV/0!</v>
      </c>
      <c r="X207" s="438">
        <v>0</v>
      </c>
      <c r="Y207" s="407" t="e">
        <f t="shared" si="69"/>
        <v>#DIV/0!</v>
      </c>
      <c r="Z207" s="438">
        <v>0</v>
      </c>
      <c r="AA207" s="411" t="e">
        <f t="shared" si="70"/>
        <v>#DIV/0!</v>
      </c>
      <c r="AB207" s="438">
        <f t="shared" si="71"/>
        <v>177700</v>
      </c>
      <c r="AC207" s="407">
        <f t="shared" ref="AC207:AC270" si="78">AB207/$AB$21</f>
        <v>3.1420102469458975E-4</v>
      </c>
      <c r="AD207" s="438">
        <f t="shared" si="67"/>
        <v>14808.333333333334</v>
      </c>
      <c r="AE207" s="396"/>
      <c r="AG207" s="397">
        <f>VLOOKUP(B207,TWN_IS!B:P,15,0)</f>
        <v>177700</v>
      </c>
      <c r="AH207" s="397">
        <f t="shared" si="75"/>
        <v>0</v>
      </c>
    </row>
    <row r="208" spans="1:34" outlineLevel="1">
      <c r="A208" s="432"/>
      <c r="B208" s="432" t="s">
        <v>1349</v>
      </c>
      <c r="D208" s="438">
        <v>316556</v>
      </c>
      <c r="E208" s="435">
        <f t="shared" si="76"/>
        <v>5.2543073922529295E-3</v>
      </c>
      <c r="F208" s="438">
        <v>-212918</v>
      </c>
      <c r="G208" s="407">
        <f t="shared" si="77"/>
        <v>-4.0119084631110857E-3</v>
      </c>
      <c r="H208" s="438">
        <v>35121</v>
      </c>
      <c r="I208" s="435">
        <f t="shared" si="72"/>
        <v>5.5107350361208044E-4</v>
      </c>
      <c r="J208" s="438">
        <v>76497</v>
      </c>
      <c r="K208" s="436">
        <f t="shared" si="63"/>
        <v>1.135548546381481E-3</v>
      </c>
      <c r="L208" s="438">
        <v>17193</v>
      </c>
      <c r="M208" s="435">
        <f t="shared" si="65"/>
        <v>3.2268330773869568E-4</v>
      </c>
      <c r="N208" s="438">
        <v>35598</v>
      </c>
      <c r="O208" s="437">
        <f t="shared" si="73"/>
        <v>4.0689024591107766E-4</v>
      </c>
      <c r="P208" s="438">
        <v>48732</v>
      </c>
      <c r="Q208" s="437">
        <f t="shared" si="74"/>
        <v>4.9604460109929887E-4</v>
      </c>
      <c r="R208" s="438">
        <v>26894</v>
      </c>
      <c r="S208" s="437">
        <f t="shared" si="64"/>
        <v>3.2743687626632351E-4</v>
      </c>
      <c r="T208" s="438">
        <v>0</v>
      </c>
      <c r="U208" s="407" t="e">
        <f t="shared" si="66"/>
        <v>#DIV/0!</v>
      </c>
      <c r="V208" s="438">
        <v>0</v>
      </c>
      <c r="W208" s="410" t="e">
        <f t="shared" si="68"/>
        <v>#DIV/0!</v>
      </c>
      <c r="X208" s="438">
        <v>0</v>
      </c>
      <c r="Y208" s="407" t="e">
        <f t="shared" si="69"/>
        <v>#DIV/0!</v>
      </c>
      <c r="Z208" s="438">
        <v>0</v>
      </c>
      <c r="AA208" s="411" t="e">
        <f t="shared" si="70"/>
        <v>#DIV/0!</v>
      </c>
      <c r="AB208" s="438">
        <f t="shared" si="71"/>
        <v>343673</v>
      </c>
      <c r="AC208" s="407">
        <f t="shared" si="78"/>
        <v>6.0766690354453431E-4</v>
      </c>
      <c r="AD208" s="438">
        <f t="shared" si="67"/>
        <v>28639.416666666668</v>
      </c>
      <c r="AE208" s="396"/>
      <c r="AG208" s="397">
        <f>VLOOKUP(B208,TWN_IS!B:P,15,0)</f>
        <v>343673</v>
      </c>
      <c r="AH208" s="397">
        <f t="shared" si="75"/>
        <v>0</v>
      </c>
    </row>
    <row r="209" spans="1:34">
      <c r="A209" s="452"/>
      <c r="B209" s="485" t="s">
        <v>1557</v>
      </c>
      <c r="C209" s="453"/>
      <c r="D209" s="454">
        <v>2937856</v>
      </c>
      <c r="E209" s="455">
        <f t="shared" si="76"/>
        <v>4.8763563155254111E-2</v>
      </c>
      <c r="F209" s="454">
        <v>2632242</v>
      </c>
      <c r="G209" s="456">
        <f t="shared" si="77"/>
        <v>4.9598032842486081E-2</v>
      </c>
      <c r="H209" s="454">
        <v>3208223</v>
      </c>
      <c r="I209" s="455">
        <f t="shared" si="72"/>
        <v>5.033930380623728E-2</v>
      </c>
      <c r="J209" s="454">
        <v>3367941</v>
      </c>
      <c r="K209" s="457">
        <f t="shared" si="63"/>
        <v>4.9994908386584977E-2</v>
      </c>
      <c r="L209" s="454">
        <v>2995265</v>
      </c>
      <c r="M209" s="455">
        <f t="shared" si="65"/>
        <v>5.6216019179546585E-2</v>
      </c>
      <c r="N209" s="454">
        <v>3153532</v>
      </c>
      <c r="O209" s="458">
        <f t="shared" si="73"/>
        <v>3.6045323079062094E-2</v>
      </c>
      <c r="P209" s="454">
        <v>3165352</v>
      </c>
      <c r="Q209" s="458">
        <f t="shared" si="74"/>
        <v>3.2220220187533198E-2</v>
      </c>
      <c r="R209" s="454">
        <v>3319491</v>
      </c>
      <c r="S209" s="458">
        <f t="shared" si="64"/>
        <v>4.0415102395856863E-2</v>
      </c>
      <c r="T209" s="454">
        <v>0</v>
      </c>
      <c r="U209" s="456" t="e">
        <f t="shared" si="66"/>
        <v>#DIV/0!</v>
      </c>
      <c r="V209" s="454">
        <v>0</v>
      </c>
      <c r="W209" s="459" t="e">
        <f t="shared" si="68"/>
        <v>#DIV/0!</v>
      </c>
      <c r="X209" s="454">
        <v>0</v>
      </c>
      <c r="Y209" s="456" t="e">
        <f t="shared" si="69"/>
        <v>#DIV/0!</v>
      </c>
      <c r="Z209" s="454">
        <v>0</v>
      </c>
      <c r="AA209" s="460" t="e">
        <f t="shared" si="70"/>
        <v>#DIV/0!</v>
      </c>
      <c r="AB209" s="454">
        <f t="shared" si="71"/>
        <v>24779902</v>
      </c>
      <c r="AC209" s="456">
        <f t="shared" si="78"/>
        <v>4.3814691053638236E-2</v>
      </c>
      <c r="AD209" s="454">
        <f t="shared" si="67"/>
        <v>2064991.8333333333</v>
      </c>
      <c r="AE209" s="396"/>
      <c r="AG209" s="397">
        <f>VLOOKUP(B209,TWN_IS!B:P,15,0)</f>
        <v>24779902</v>
      </c>
      <c r="AH209" s="397">
        <f t="shared" si="75"/>
        <v>0</v>
      </c>
    </row>
    <row r="210" spans="1:34">
      <c r="A210" s="431" t="s">
        <v>1558</v>
      </c>
      <c r="B210" s="432"/>
      <c r="D210" s="438">
        <v>7375802</v>
      </c>
      <c r="E210" s="435">
        <f t="shared" si="76"/>
        <v>0.1224261456816296</v>
      </c>
      <c r="F210" s="438">
        <v>7742695</v>
      </c>
      <c r="G210" s="407">
        <f t="shared" si="77"/>
        <v>0.14589176865172457</v>
      </c>
      <c r="H210" s="438">
        <v>7155849</v>
      </c>
      <c r="I210" s="407">
        <f t="shared" si="72"/>
        <v>0.11228036729446775</v>
      </c>
      <c r="J210" s="438">
        <v>7967607</v>
      </c>
      <c r="K210" s="436">
        <f t="shared" si="63"/>
        <v>0.1182739786787575</v>
      </c>
      <c r="L210" s="438">
        <v>7765935</v>
      </c>
      <c r="M210" s="435">
        <f t="shared" si="65"/>
        <v>0.14575336436245612</v>
      </c>
      <c r="N210" s="438">
        <v>8697754</v>
      </c>
      <c r="O210" s="437">
        <f t="shared" si="73"/>
        <v>9.9416575760830919E-2</v>
      </c>
      <c r="P210" s="438">
        <v>10358185</v>
      </c>
      <c r="Q210" s="437">
        <f t="shared" si="74"/>
        <v>0.10543629948366044</v>
      </c>
      <c r="R210" s="438">
        <v>8661532</v>
      </c>
      <c r="S210" s="437">
        <f t="shared" si="64"/>
        <v>0.10545493350787542</v>
      </c>
      <c r="T210" s="438">
        <v>0</v>
      </c>
      <c r="U210" s="407" t="e">
        <f t="shared" si="66"/>
        <v>#DIV/0!</v>
      </c>
      <c r="V210" s="438">
        <v>0</v>
      </c>
      <c r="W210" s="410" t="e">
        <f t="shared" si="68"/>
        <v>#DIV/0!</v>
      </c>
      <c r="X210" s="438">
        <v>0</v>
      </c>
      <c r="Y210" s="407" t="e">
        <f t="shared" si="69"/>
        <v>#DIV/0!</v>
      </c>
      <c r="Z210" s="438">
        <v>0</v>
      </c>
      <c r="AA210" s="411" t="e">
        <f t="shared" si="70"/>
        <v>#DIV/0!</v>
      </c>
      <c r="AB210" s="438">
        <f t="shared" si="71"/>
        <v>65725359</v>
      </c>
      <c r="AC210" s="407">
        <f t="shared" si="78"/>
        <v>0.11621257820044895</v>
      </c>
      <c r="AD210" s="438">
        <f t="shared" si="67"/>
        <v>5477113.25</v>
      </c>
      <c r="AE210" s="396"/>
      <c r="AG210" s="397">
        <f>VLOOKUP(A210,TWN_IS!A:P,16,0)</f>
        <v>65725359</v>
      </c>
      <c r="AH210" s="397">
        <f t="shared" si="75"/>
        <v>0</v>
      </c>
    </row>
    <row r="211" spans="1:34">
      <c r="A211" s="485" t="s">
        <v>1559</v>
      </c>
      <c r="B211" s="452"/>
      <c r="C211" s="453"/>
      <c r="D211" s="454">
        <v>-2775720</v>
      </c>
      <c r="E211" s="475">
        <f t="shared" si="76"/>
        <v>-4.6072373023491264E-2</v>
      </c>
      <c r="F211" s="454">
        <v>-6991366</v>
      </c>
      <c r="G211" s="456">
        <f t="shared" si="77"/>
        <v>-0.13173484827072912</v>
      </c>
      <c r="H211" s="454">
        <v>3103719</v>
      </c>
      <c r="I211" s="456">
        <f t="shared" si="72"/>
        <v>4.8699561617191495E-2</v>
      </c>
      <c r="J211" s="454">
        <v>-549242</v>
      </c>
      <c r="K211" s="457">
        <f t="shared" si="63"/>
        <v>-8.1531426684923244E-3</v>
      </c>
      <c r="L211" s="454">
        <v>-1423493</v>
      </c>
      <c r="M211" s="455">
        <f t="shared" si="65"/>
        <v>-2.6716537531720999E-2</v>
      </c>
      <c r="N211" s="454">
        <v>2233732</v>
      </c>
      <c r="O211" s="458">
        <f t="shared" si="73"/>
        <v>2.5531877149824241E-2</v>
      </c>
      <c r="P211" s="454">
        <v>691351</v>
      </c>
      <c r="Q211" s="458">
        <f t="shared" si="74"/>
        <v>7.037284146240691E-3</v>
      </c>
      <c r="R211" s="454">
        <v>2522739</v>
      </c>
      <c r="S211" s="458">
        <f t="shared" si="64"/>
        <v>3.0714574916160808E-2</v>
      </c>
      <c r="T211" s="454">
        <v>0</v>
      </c>
      <c r="U211" s="456" t="e">
        <f t="shared" si="66"/>
        <v>#DIV/0!</v>
      </c>
      <c r="V211" s="454">
        <v>0</v>
      </c>
      <c r="W211" s="459" t="e">
        <f t="shared" si="68"/>
        <v>#DIV/0!</v>
      </c>
      <c r="X211" s="454">
        <v>0</v>
      </c>
      <c r="Y211" s="456" t="e">
        <f t="shared" si="69"/>
        <v>#DIV/0!</v>
      </c>
      <c r="Z211" s="454">
        <v>0</v>
      </c>
      <c r="AA211" s="460" t="e">
        <f t="shared" si="70"/>
        <v>#DIV/0!</v>
      </c>
      <c r="AB211" s="454">
        <f t="shared" si="71"/>
        <v>-3188280</v>
      </c>
      <c r="AC211" s="456">
        <f t="shared" si="78"/>
        <v>-5.6373710918022884E-3</v>
      </c>
      <c r="AD211" s="454">
        <f t="shared" si="67"/>
        <v>-265690</v>
      </c>
      <c r="AE211" s="396"/>
      <c r="AG211" s="397">
        <f>VLOOKUP(A211,TWN_IS!A:P,16,0)</f>
        <v>-3188280</v>
      </c>
      <c r="AH211" s="397">
        <f t="shared" si="75"/>
        <v>0</v>
      </c>
    </row>
    <row r="212" spans="1:34" outlineLevel="1">
      <c r="A212" s="431" t="s">
        <v>1560</v>
      </c>
      <c r="B212" s="432"/>
      <c r="D212" s="438"/>
      <c r="E212" s="435"/>
      <c r="F212" s="438"/>
      <c r="H212" s="438"/>
      <c r="J212" s="438"/>
      <c r="K212" s="436"/>
      <c r="L212" s="438"/>
      <c r="M212" s="435"/>
      <c r="N212" s="438"/>
      <c r="O212" s="437"/>
      <c r="P212" s="438"/>
      <c r="Q212" s="437"/>
      <c r="R212" s="438"/>
      <c r="T212" s="438"/>
      <c r="V212" s="438"/>
      <c r="X212" s="438"/>
      <c r="Z212" s="438"/>
      <c r="AB212" s="438"/>
      <c r="AC212" s="407"/>
      <c r="AD212" s="438"/>
      <c r="AE212" s="396"/>
      <c r="AG212" s="397">
        <f>VLOOKUP(A212,TWN_IS!A:P,16,0)</f>
        <v>0</v>
      </c>
      <c r="AH212" s="397">
        <f t="shared" si="75"/>
        <v>0</v>
      </c>
    </row>
    <row r="213" spans="1:34" outlineLevel="1">
      <c r="A213" s="432"/>
      <c r="B213" s="431" t="s">
        <v>1561</v>
      </c>
      <c r="D213" s="438"/>
      <c r="E213" s="435"/>
      <c r="F213" s="438"/>
      <c r="H213" s="438"/>
      <c r="J213" s="438"/>
      <c r="K213" s="436"/>
      <c r="L213" s="438"/>
      <c r="M213" s="435"/>
      <c r="N213" s="438"/>
      <c r="O213" s="437"/>
      <c r="P213" s="438"/>
      <c r="Q213" s="437"/>
      <c r="R213" s="438"/>
      <c r="T213" s="438"/>
      <c r="V213" s="438"/>
      <c r="X213" s="438"/>
      <c r="Z213" s="438"/>
      <c r="AB213" s="438"/>
      <c r="AC213" s="407"/>
      <c r="AD213" s="438"/>
      <c r="AE213" s="396"/>
      <c r="AG213" s="397">
        <f>VLOOKUP(B213,TWN_IS!B:P,15,0)</f>
        <v>0</v>
      </c>
      <c r="AH213" s="397">
        <f t="shared" si="75"/>
        <v>0</v>
      </c>
    </row>
    <row r="214" spans="1:34" outlineLevel="1">
      <c r="A214" s="432"/>
      <c r="B214" s="432" t="s">
        <v>1562</v>
      </c>
      <c r="D214" s="438">
        <v>1250</v>
      </c>
      <c r="E214" s="435">
        <f t="shared" si="76"/>
        <v>2.0747937932991829E-5</v>
      </c>
      <c r="F214" s="438">
        <v>1250</v>
      </c>
      <c r="G214" s="407">
        <f t="shared" si="77"/>
        <v>2.3553131153255512E-5</v>
      </c>
      <c r="H214" s="438">
        <v>1250</v>
      </c>
      <c r="I214" s="407">
        <f t="shared" si="72"/>
        <v>1.9613390265513526E-5</v>
      </c>
      <c r="J214" s="438">
        <v>1250</v>
      </c>
      <c r="K214" s="436">
        <f t="shared" si="63"/>
        <v>1.8555442474565682E-5</v>
      </c>
      <c r="L214" s="438">
        <v>1250</v>
      </c>
      <c r="M214" s="435">
        <f t="shared" si="65"/>
        <v>2.346036960817598E-5</v>
      </c>
      <c r="N214" s="438">
        <v>61835</v>
      </c>
      <c r="O214" s="437">
        <f t="shared" si="73"/>
        <v>7.0678291915027486E-4</v>
      </c>
      <c r="P214" s="438">
        <v>1250</v>
      </c>
      <c r="Q214" s="437">
        <f t="shared" si="74"/>
        <v>1.2723790350778206E-5</v>
      </c>
      <c r="R214" s="438">
        <v>1250</v>
      </c>
      <c r="S214" s="437">
        <f t="shared" si="64"/>
        <v>1.5218862769870767E-5</v>
      </c>
      <c r="T214" s="438">
        <v>0</v>
      </c>
      <c r="U214" s="407" t="e">
        <f t="shared" si="66"/>
        <v>#DIV/0!</v>
      </c>
      <c r="V214" s="438">
        <v>0</v>
      </c>
      <c r="W214" s="410" t="e">
        <f t="shared" ref="W214:W239" si="79">V214/$V$21</f>
        <v>#DIV/0!</v>
      </c>
      <c r="X214" s="438">
        <v>0</v>
      </c>
      <c r="Y214" s="407" t="e">
        <f t="shared" ref="Y214:Y239" si="80">X214/$X$21</f>
        <v>#DIV/0!</v>
      </c>
      <c r="Z214" s="438">
        <v>0</v>
      </c>
      <c r="AA214" s="411" t="e">
        <f t="shared" ref="AA214:AA239" si="81">Z214/$Z$21</f>
        <v>#DIV/0!</v>
      </c>
      <c r="AB214" s="438">
        <f t="shared" ref="AB214:AB239" si="82">SUM(D214,F214,H214,J214,L214,N214,P214,R214,T214,V214,X214,Z214)</f>
        <v>70585</v>
      </c>
      <c r="AC214" s="407">
        <f t="shared" si="78"/>
        <v>1.248051734837795E-4</v>
      </c>
      <c r="AD214" s="438">
        <f t="shared" si="67"/>
        <v>5882.083333333333</v>
      </c>
      <c r="AE214" s="396"/>
      <c r="AG214" s="397">
        <f>VLOOKUP(B214,TWN_IS!B:P,15,0)</f>
        <v>70585</v>
      </c>
      <c r="AH214" s="397">
        <f t="shared" si="75"/>
        <v>0</v>
      </c>
    </row>
    <row r="215" spans="1:34" outlineLevel="1">
      <c r="A215" s="432"/>
      <c r="B215" s="432" t="s">
        <v>1563</v>
      </c>
      <c r="D215" s="438">
        <v>1250</v>
      </c>
      <c r="E215" s="435">
        <f t="shared" si="76"/>
        <v>2.0747937932991829E-5</v>
      </c>
      <c r="F215" s="438">
        <v>1250</v>
      </c>
      <c r="G215" s="407">
        <f t="shared" si="77"/>
        <v>2.3553131153255512E-5</v>
      </c>
      <c r="H215" s="438">
        <v>1250</v>
      </c>
      <c r="I215" s="407">
        <f t="shared" si="72"/>
        <v>1.9613390265513526E-5</v>
      </c>
      <c r="J215" s="438">
        <v>1250</v>
      </c>
      <c r="K215" s="436">
        <f t="shared" si="63"/>
        <v>1.8555442474565682E-5</v>
      </c>
      <c r="L215" s="438">
        <v>1250</v>
      </c>
      <c r="M215" s="435">
        <f t="shared" si="65"/>
        <v>2.346036960817598E-5</v>
      </c>
      <c r="N215" s="438">
        <v>61835</v>
      </c>
      <c r="O215" s="437">
        <f t="shared" si="73"/>
        <v>7.0678291915027486E-4</v>
      </c>
      <c r="P215" s="438">
        <v>1250</v>
      </c>
      <c r="Q215" s="437">
        <f t="shared" si="74"/>
        <v>1.2723790350778206E-5</v>
      </c>
      <c r="R215" s="438">
        <v>1250</v>
      </c>
      <c r="S215" s="437">
        <f t="shared" si="64"/>
        <v>1.5218862769870767E-5</v>
      </c>
      <c r="T215" s="438">
        <v>0</v>
      </c>
      <c r="U215" s="407" t="e">
        <f t="shared" si="66"/>
        <v>#DIV/0!</v>
      </c>
      <c r="V215" s="438">
        <v>0</v>
      </c>
      <c r="W215" s="410" t="e">
        <f t="shared" si="79"/>
        <v>#DIV/0!</v>
      </c>
      <c r="X215" s="438">
        <v>0</v>
      </c>
      <c r="Y215" s="407" t="e">
        <f t="shared" si="80"/>
        <v>#DIV/0!</v>
      </c>
      <c r="Z215" s="438">
        <v>0</v>
      </c>
      <c r="AA215" s="411" t="e">
        <f t="shared" si="81"/>
        <v>#DIV/0!</v>
      </c>
      <c r="AB215" s="438">
        <f t="shared" si="82"/>
        <v>70585</v>
      </c>
      <c r="AC215" s="407">
        <f t="shared" si="78"/>
        <v>1.248051734837795E-4</v>
      </c>
      <c r="AD215" s="438">
        <f t="shared" si="67"/>
        <v>5882.083333333333</v>
      </c>
      <c r="AE215" s="396"/>
      <c r="AG215" s="397">
        <f>VLOOKUP(B215,TWN_IS!B:P,15,0)</f>
        <v>70585</v>
      </c>
      <c r="AH215" s="397">
        <f t="shared" si="75"/>
        <v>0</v>
      </c>
    </row>
    <row r="216" spans="1:34" outlineLevel="1">
      <c r="A216" s="432"/>
      <c r="B216" s="432" t="s">
        <v>1564</v>
      </c>
      <c r="D216" s="438">
        <v>0</v>
      </c>
      <c r="E216" s="435">
        <f t="shared" si="76"/>
        <v>0</v>
      </c>
      <c r="F216" s="438">
        <v>0</v>
      </c>
      <c r="G216" s="407">
        <f t="shared" si="77"/>
        <v>0</v>
      </c>
      <c r="H216" s="438">
        <v>0</v>
      </c>
      <c r="I216" s="407">
        <f t="shared" si="72"/>
        <v>0</v>
      </c>
      <c r="J216" s="438">
        <v>0</v>
      </c>
      <c r="K216" s="436">
        <f t="shared" ref="K216:K273" si="83">J216/$J$21</f>
        <v>0</v>
      </c>
      <c r="L216" s="438">
        <v>0</v>
      </c>
      <c r="M216" s="435">
        <f t="shared" si="65"/>
        <v>0</v>
      </c>
      <c r="N216" s="438">
        <v>0</v>
      </c>
      <c r="O216" s="437">
        <f t="shared" si="73"/>
        <v>0</v>
      </c>
      <c r="P216" s="438">
        <v>0</v>
      </c>
      <c r="Q216" s="437">
        <f t="shared" si="74"/>
        <v>0</v>
      </c>
      <c r="R216" s="438">
        <v>0</v>
      </c>
      <c r="S216" s="437">
        <f t="shared" ref="S216:S273" si="84">R216/$R$21</f>
        <v>0</v>
      </c>
      <c r="T216" s="438">
        <v>0</v>
      </c>
      <c r="U216" s="407" t="e">
        <f t="shared" si="66"/>
        <v>#DIV/0!</v>
      </c>
      <c r="V216" s="438">
        <v>0</v>
      </c>
      <c r="W216" s="410" t="e">
        <f t="shared" si="79"/>
        <v>#DIV/0!</v>
      </c>
      <c r="X216" s="438">
        <v>0</v>
      </c>
      <c r="Y216" s="407" t="e">
        <f t="shared" si="80"/>
        <v>#DIV/0!</v>
      </c>
      <c r="Z216" s="438">
        <v>0</v>
      </c>
      <c r="AA216" s="411" t="e">
        <f t="shared" si="81"/>
        <v>#DIV/0!</v>
      </c>
      <c r="AB216" s="438">
        <f t="shared" si="82"/>
        <v>0</v>
      </c>
      <c r="AC216" s="407">
        <f t="shared" si="78"/>
        <v>0</v>
      </c>
      <c r="AD216" s="438">
        <f t="shared" si="67"/>
        <v>0</v>
      </c>
      <c r="AE216" s="396"/>
      <c r="AG216" s="397">
        <f>VLOOKUP(B216,TWN_IS!B:P,15,0)</f>
        <v>0</v>
      </c>
      <c r="AH216" s="397">
        <f t="shared" si="75"/>
        <v>0</v>
      </c>
    </row>
    <row r="217" spans="1:34" outlineLevel="1">
      <c r="A217" s="432"/>
      <c r="B217" s="432" t="s">
        <v>1565</v>
      </c>
      <c r="D217" s="438">
        <v>0</v>
      </c>
      <c r="E217" s="435">
        <f t="shared" si="76"/>
        <v>0</v>
      </c>
      <c r="F217" s="438">
        <v>0</v>
      </c>
      <c r="G217" s="407">
        <f t="shared" si="77"/>
        <v>0</v>
      </c>
      <c r="H217" s="438">
        <v>0</v>
      </c>
      <c r="I217" s="407">
        <f t="shared" si="72"/>
        <v>0</v>
      </c>
      <c r="J217" s="438">
        <v>0</v>
      </c>
      <c r="K217" s="436">
        <f t="shared" si="83"/>
        <v>0</v>
      </c>
      <c r="L217" s="438">
        <v>0</v>
      </c>
      <c r="M217" s="435">
        <f t="shared" si="65"/>
        <v>0</v>
      </c>
      <c r="N217" s="438">
        <v>0</v>
      </c>
      <c r="O217" s="437">
        <f t="shared" si="73"/>
        <v>0</v>
      </c>
      <c r="P217" s="438">
        <v>0</v>
      </c>
      <c r="Q217" s="437">
        <f t="shared" si="74"/>
        <v>0</v>
      </c>
      <c r="R217" s="438">
        <v>0</v>
      </c>
      <c r="S217" s="437">
        <f t="shared" si="84"/>
        <v>0</v>
      </c>
      <c r="T217" s="438">
        <v>0</v>
      </c>
      <c r="U217" s="407" t="e">
        <f t="shared" si="66"/>
        <v>#DIV/0!</v>
      </c>
      <c r="V217" s="438">
        <v>0</v>
      </c>
      <c r="W217" s="410" t="e">
        <f t="shared" si="79"/>
        <v>#DIV/0!</v>
      </c>
      <c r="X217" s="438">
        <v>0</v>
      </c>
      <c r="Y217" s="407" t="e">
        <f t="shared" si="80"/>
        <v>#DIV/0!</v>
      </c>
      <c r="Z217" s="438">
        <v>0</v>
      </c>
      <c r="AA217" s="411" t="e">
        <f t="shared" si="81"/>
        <v>#DIV/0!</v>
      </c>
      <c r="AB217" s="438">
        <f t="shared" si="82"/>
        <v>0</v>
      </c>
      <c r="AC217" s="407">
        <f t="shared" si="78"/>
        <v>0</v>
      </c>
      <c r="AD217" s="438">
        <f t="shared" si="67"/>
        <v>0</v>
      </c>
      <c r="AE217" s="396"/>
      <c r="AG217" s="397">
        <f>VLOOKUP(B217,TWN_IS!B:P,15,0)</f>
        <v>0</v>
      </c>
      <c r="AH217" s="397">
        <f t="shared" si="75"/>
        <v>0</v>
      </c>
    </row>
    <row r="218" spans="1:34" outlineLevel="1">
      <c r="A218" s="432"/>
      <c r="B218" s="432" t="s">
        <v>1566</v>
      </c>
      <c r="D218" s="438">
        <v>0</v>
      </c>
      <c r="E218" s="435">
        <f t="shared" si="76"/>
        <v>0</v>
      </c>
      <c r="F218" s="438">
        <v>0</v>
      </c>
      <c r="G218" s="407">
        <f t="shared" si="77"/>
        <v>0</v>
      </c>
      <c r="H218" s="438">
        <v>0</v>
      </c>
      <c r="I218" s="407">
        <f t="shared" si="72"/>
        <v>0</v>
      </c>
      <c r="J218" s="438">
        <v>0</v>
      </c>
      <c r="K218" s="436">
        <f t="shared" si="83"/>
        <v>0</v>
      </c>
      <c r="L218" s="438">
        <v>0</v>
      </c>
      <c r="M218" s="435">
        <f t="shared" si="65"/>
        <v>0</v>
      </c>
      <c r="N218" s="438">
        <v>0</v>
      </c>
      <c r="O218" s="437">
        <f t="shared" si="73"/>
        <v>0</v>
      </c>
      <c r="P218" s="438">
        <v>0</v>
      </c>
      <c r="Q218" s="437">
        <f t="shared" si="74"/>
        <v>0</v>
      </c>
      <c r="R218" s="438">
        <v>0</v>
      </c>
      <c r="S218" s="437">
        <f t="shared" si="84"/>
        <v>0</v>
      </c>
      <c r="T218" s="438">
        <v>0</v>
      </c>
      <c r="U218" s="407" t="e">
        <f t="shared" si="66"/>
        <v>#DIV/0!</v>
      </c>
      <c r="V218" s="438">
        <v>0</v>
      </c>
      <c r="W218" s="410" t="e">
        <f t="shared" si="79"/>
        <v>#DIV/0!</v>
      </c>
      <c r="X218" s="438">
        <v>0</v>
      </c>
      <c r="Y218" s="407" t="e">
        <f t="shared" si="80"/>
        <v>#DIV/0!</v>
      </c>
      <c r="Z218" s="438">
        <v>0</v>
      </c>
      <c r="AA218" s="411" t="e">
        <f t="shared" si="81"/>
        <v>#DIV/0!</v>
      </c>
      <c r="AB218" s="438">
        <f t="shared" si="82"/>
        <v>0</v>
      </c>
      <c r="AC218" s="407">
        <f t="shared" si="78"/>
        <v>0</v>
      </c>
      <c r="AD218" s="438">
        <f t="shared" si="67"/>
        <v>0</v>
      </c>
      <c r="AE218" s="396"/>
      <c r="AG218" s="397">
        <f>VLOOKUP(B218,TWN_IS!B:P,15,0)</f>
        <v>0</v>
      </c>
      <c r="AH218" s="397">
        <f t="shared" si="75"/>
        <v>0</v>
      </c>
    </row>
    <row r="219" spans="1:34" outlineLevel="1">
      <c r="A219" s="432"/>
      <c r="B219" s="432" t="s">
        <v>1567</v>
      </c>
      <c r="D219" s="438">
        <v>0</v>
      </c>
      <c r="E219" s="435">
        <f t="shared" si="76"/>
        <v>0</v>
      </c>
      <c r="F219" s="438">
        <v>0</v>
      </c>
      <c r="G219" s="407">
        <f t="shared" si="77"/>
        <v>0</v>
      </c>
      <c r="H219" s="438">
        <v>0</v>
      </c>
      <c r="I219" s="407">
        <f t="shared" si="72"/>
        <v>0</v>
      </c>
      <c r="J219" s="438">
        <v>0</v>
      </c>
      <c r="K219" s="436">
        <f t="shared" si="83"/>
        <v>0</v>
      </c>
      <c r="L219" s="438">
        <v>0</v>
      </c>
      <c r="M219" s="435">
        <f t="shared" si="65"/>
        <v>0</v>
      </c>
      <c r="N219" s="438">
        <v>0</v>
      </c>
      <c r="O219" s="437">
        <f t="shared" si="73"/>
        <v>0</v>
      </c>
      <c r="P219" s="438">
        <v>0</v>
      </c>
      <c r="Q219" s="437">
        <f t="shared" si="74"/>
        <v>0</v>
      </c>
      <c r="R219" s="438">
        <v>0</v>
      </c>
      <c r="S219" s="437">
        <f t="shared" si="84"/>
        <v>0</v>
      </c>
      <c r="T219" s="438">
        <v>0</v>
      </c>
      <c r="U219" s="407" t="e">
        <f t="shared" si="66"/>
        <v>#DIV/0!</v>
      </c>
      <c r="V219" s="438">
        <v>0</v>
      </c>
      <c r="W219" s="410" t="e">
        <f t="shared" si="79"/>
        <v>#DIV/0!</v>
      </c>
      <c r="X219" s="438">
        <v>0</v>
      </c>
      <c r="Y219" s="407" t="e">
        <f t="shared" si="80"/>
        <v>#DIV/0!</v>
      </c>
      <c r="Z219" s="438">
        <v>0</v>
      </c>
      <c r="AA219" s="411" t="e">
        <f t="shared" si="81"/>
        <v>#DIV/0!</v>
      </c>
      <c r="AB219" s="438">
        <f t="shared" si="82"/>
        <v>0</v>
      </c>
      <c r="AC219" s="407">
        <f t="shared" si="78"/>
        <v>0</v>
      </c>
      <c r="AD219" s="438">
        <f t="shared" si="67"/>
        <v>0</v>
      </c>
      <c r="AE219" s="396"/>
      <c r="AG219" s="397">
        <f>VLOOKUP(B219,TWN_IS!B:P,15,0)</f>
        <v>0</v>
      </c>
      <c r="AH219" s="397">
        <f t="shared" si="75"/>
        <v>0</v>
      </c>
    </row>
    <row r="220" spans="1:34" outlineLevel="1">
      <c r="A220" s="432"/>
      <c r="B220" s="432" t="s">
        <v>1568</v>
      </c>
      <c r="D220" s="438">
        <v>0</v>
      </c>
      <c r="E220" s="435">
        <f t="shared" si="76"/>
        <v>0</v>
      </c>
      <c r="F220" s="438">
        <v>0</v>
      </c>
      <c r="G220" s="407">
        <f t="shared" si="77"/>
        <v>0</v>
      </c>
      <c r="H220" s="438">
        <v>0</v>
      </c>
      <c r="I220" s="407">
        <f t="shared" si="72"/>
        <v>0</v>
      </c>
      <c r="J220" s="438">
        <v>0</v>
      </c>
      <c r="K220" s="436">
        <f t="shared" si="83"/>
        <v>0</v>
      </c>
      <c r="L220" s="438">
        <v>0</v>
      </c>
      <c r="M220" s="435">
        <f t="shared" si="65"/>
        <v>0</v>
      </c>
      <c r="N220" s="438">
        <v>0</v>
      </c>
      <c r="O220" s="437">
        <f t="shared" si="73"/>
        <v>0</v>
      </c>
      <c r="P220" s="438">
        <v>0</v>
      </c>
      <c r="Q220" s="437">
        <f t="shared" si="74"/>
        <v>0</v>
      </c>
      <c r="R220" s="438">
        <v>0</v>
      </c>
      <c r="S220" s="437">
        <f t="shared" si="84"/>
        <v>0</v>
      </c>
      <c r="T220" s="438">
        <v>0</v>
      </c>
      <c r="U220" s="407" t="e">
        <f t="shared" si="66"/>
        <v>#DIV/0!</v>
      </c>
      <c r="V220" s="438">
        <v>0</v>
      </c>
      <c r="W220" s="410" t="e">
        <f t="shared" si="79"/>
        <v>#DIV/0!</v>
      </c>
      <c r="X220" s="438">
        <v>0</v>
      </c>
      <c r="Y220" s="407" t="e">
        <f t="shared" si="80"/>
        <v>#DIV/0!</v>
      </c>
      <c r="Z220" s="438">
        <v>0</v>
      </c>
      <c r="AA220" s="411" t="e">
        <f t="shared" si="81"/>
        <v>#DIV/0!</v>
      </c>
      <c r="AB220" s="438">
        <f t="shared" si="82"/>
        <v>0</v>
      </c>
      <c r="AC220" s="407">
        <f t="shared" si="78"/>
        <v>0</v>
      </c>
      <c r="AD220" s="438">
        <f t="shared" si="67"/>
        <v>0</v>
      </c>
      <c r="AE220" s="396"/>
      <c r="AG220" s="397">
        <f>VLOOKUP(B220,TWN_IS!B:P,15,0)</f>
        <v>0</v>
      </c>
      <c r="AH220" s="397">
        <f t="shared" si="75"/>
        <v>0</v>
      </c>
    </row>
    <row r="221" spans="1:34" outlineLevel="1">
      <c r="A221" s="432"/>
      <c r="B221" s="432" t="s">
        <v>1569</v>
      </c>
      <c r="D221" s="438">
        <v>0</v>
      </c>
      <c r="E221" s="435">
        <f t="shared" si="76"/>
        <v>0</v>
      </c>
      <c r="F221" s="438">
        <v>0</v>
      </c>
      <c r="G221" s="407">
        <f t="shared" si="77"/>
        <v>0</v>
      </c>
      <c r="H221" s="438">
        <v>0</v>
      </c>
      <c r="I221" s="407">
        <f t="shared" si="72"/>
        <v>0</v>
      </c>
      <c r="J221" s="438">
        <v>0</v>
      </c>
      <c r="K221" s="436">
        <f t="shared" si="83"/>
        <v>0</v>
      </c>
      <c r="L221" s="438">
        <v>0</v>
      </c>
      <c r="M221" s="435">
        <f t="shared" si="65"/>
        <v>0</v>
      </c>
      <c r="N221" s="438">
        <v>0</v>
      </c>
      <c r="O221" s="437">
        <f t="shared" si="73"/>
        <v>0</v>
      </c>
      <c r="P221" s="438">
        <v>0</v>
      </c>
      <c r="Q221" s="437">
        <f t="shared" si="74"/>
        <v>0</v>
      </c>
      <c r="R221" s="438">
        <v>0</v>
      </c>
      <c r="S221" s="437">
        <f t="shared" si="84"/>
        <v>0</v>
      </c>
      <c r="T221" s="438">
        <v>0</v>
      </c>
      <c r="U221" s="407" t="e">
        <f t="shared" si="66"/>
        <v>#DIV/0!</v>
      </c>
      <c r="V221" s="438">
        <v>0</v>
      </c>
      <c r="W221" s="410" t="e">
        <f t="shared" si="79"/>
        <v>#DIV/0!</v>
      </c>
      <c r="X221" s="438">
        <v>0</v>
      </c>
      <c r="Y221" s="407" t="e">
        <f t="shared" si="80"/>
        <v>#DIV/0!</v>
      </c>
      <c r="Z221" s="438">
        <v>0</v>
      </c>
      <c r="AA221" s="411" t="e">
        <f t="shared" si="81"/>
        <v>#DIV/0!</v>
      </c>
      <c r="AB221" s="438">
        <f t="shared" si="82"/>
        <v>0</v>
      </c>
      <c r="AC221" s="407">
        <f t="shared" si="78"/>
        <v>0</v>
      </c>
      <c r="AD221" s="438">
        <f t="shared" si="67"/>
        <v>0</v>
      </c>
      <c r="AE221" s="396"/>
      <c r="AG221" s="397">
        <f>VLOOKUP(B221,TWN_IS!B:P,15,0)</f>
        <v>0</v>
      </c>
      <c r="AH221" s="397">
        <f t="shared" si="75"/>
        <v>0</v>
      </c>
    </row>
    <row r="222" spans="1:34" outlineLevel="1">
      <c r="A222" s="432"/>
      <c r="B222" s="432" t="s">
        <v>1570</v>
      </c>
      <c r="D222" s="438">
        <v>0</v>
      </c>
      <c r="E222" s="435">
        <f t="shared" si="76"/>
        <v>0</v>
      </c>
      <c r="F222" s="438">
        <v>0</v>
      </c>
      <c r="G222" s="407">
        <f t="shared" si="77"/>
        <v>0</v>
      </c>
      <c r="H222" s="438">
        <v>0</v>
      </c>
      <c r="I222" s="407">
        <f t="shared" si="72"/>
        <v>0</v>
      </c>
      <c r="J222" s="438">
        <v>0</v>
      </c>
      <c r="K222" s="436">
        <f t="shared" si="83"/>
        <v>0</v>
      </c>
      <c r="L222" s="438">
        <v>0</v>
      </c>
      <c r="M222" s="435">
        <f t="shared" si="65"/>
        <v>0</v>
      </c>
      <c r="N222" s="438">
        <v>0</v>
      </c>
      <c r="O222" s="437">
        <f t="shared" si="73"/>
        <v>0</v>
      </c>
      <c r="P222" s="438">
        <v>0</v>
      </c>
      <c r="Q222" s="437">
        <f t="shared" si="74"/>
        <v>0</v>
      </c>
      <c r="R222" s="438">
        <v>0</v>
      </c>
      <c r="S222" s="437">
        <f t="shared" si="84"/>
        <v>0</v>
      </c>
      <c r="T222" s="438">
        <v>0</v>
      </c>
      <c r="U222" s="407" t="e">
        <f t="shared" si="66"/>
        <v>#DIV/0!</v>
      </c>
      <c r="V222" s="438">
        <v>0</v>
      </c>
      <c r="W222" s="410" t="e">
        <f t="shared" si="79"/>
        <v>#DIV/0!</v>
      </c>
      <c r="X222" s="438">
        <v>0</v>
      </c>
      <c r="Y222" s="407" t="e">
        <f t="shared" si="80"/>
        <v>#DIV/0!</v>
      </c>
      <c r="Z222" s="438">
        <v>0</v>
      </c>
      <c r="AA222" s="411" t="e">
        <f t="shared" si="81"/>
        <v>#DIV/0!</v>
      </c>
      <c r="AB222" s="438">
        <f t="shared" si="82"/>
        <v>0</v>
      </c>
      <c r="AC222" s="407">
        <f t="shared" si="78"/>
        <v>0</v>
      </c>
      <c r="AD222" s="438">
        <f t="shared" si="67"/>
        <v>0</v>
      </c>
      <c r="AE222" s="396"/>
      <c r="AG222" s="397">
        <f>VLOOKUP(B222,TWN_IS!B:P,15,0)</f>
        <v>0</v>
      </c>
      <c r="AH222" s="397">
        <f t="shared" si="75"/>
        <v>0</v>
      </c>
    </row>
    <row r="223" spans="1:34" outlineLevel="1">
      <c r="A223" s="432"/>
      <c r="B223" s="432" t="s">
        <v>1571</v>
      </c>
      <c r="D223" s="438">
        <v>0</v>
      </c>
      <c r="E223" s="435">
        <f t="shared" si="76"/>
        <v>0</v>
      </c>
      <c r="F223" s="438">
        <v>0</v>
      </c>
      <c r="G223" s="407">
        <f t="shared" si="77"/>
        <v>0</v>
      </c>
      <c r="H223" s="438">
        <v>0</v>
      </c>
      <c r="I223" s="407">
        <f t="shared" si="72"/>
        <v>0</v>
      </c>
      <c r="J223" s="438">
        <v>0</v>
      </c>
      <c r="K223" s="436">
        <f t="shared" si="83"/>
        <v>0</v>
      </c>
      <c r="L223" s="438">
        <v>0</v>
      </c>
      <c r="M223" s="435">
        <f t="shared" si="65"/>
        <v>0</v>
      </c>
      <c r="N223" s="438">
        <v>0</v>
      </c>
      <c r="O223" s="437">
        <f t="shared" si="73"/>
        <v>0</v>
      </c>
      <c r="P223" s="438">
        <v>0</v>
      </c>
      <c r="Q223" s="437">
        <f t="shared" si="74"/>
        <v>0</v>
      </c>
      <c r="R223" s="438">
        <v>0</v>
      </c>
      <c r="S223" s="437">
        <f t="shared" si="84"/>
        <v>0</v>
      </c>
      <c r="T223" s="438">
        <v>0</v>
      </c>
      <c r="U223" s="407" t="e">
        <f t="shared" si="66"/>
        <v>#DIV/0!</v>
      </c>
      <c r="V223" s="438">
        <v>0</v>
      </c>
      <c r="W223" s="410" t="e">
        <f t="shared" si="79"/>
        <v>#DIV/0!</v>
      </c>
      <c r="X223" s="438">
        <v>0</v>
      </c>
      <c r="Y223" s="407" t="e">
        <f t="shared" si="80"/>
        <v>#DIV/0!</v>
      </c>
      <c r="Z223" s="438">
        <v>0</v>
      </c>
      <c r="AA223" s="411" t="e">
        <f t="shared" si="81"/>
        <v>#DIV/0!</v>
      </c>
      <c r="AB223" s="438">
        <f t="shared" si="82"/>
        <v>0</v>
      </c>
      <c r="AC223" s="407">
        <f t="shared" si="78"/>
        <v>0</v>
      </c>
      <c r="AD223" s="438">
        <f t="shared" si="67"/>
        <v>0</v>
      </c>
      <c r="AE223" s="396"/>
      <c r="AG223" s="397">
        <f>VLOOKUP(B223,TWN_IS!B:P,15,0)</f>
        <v>0</v>
      </c>
      <c r="AH223" s="397">
        <f t="shared" si="75"/>
        <v>0</v>
      </c>
    </row>
    <row r="224" spans="1:34" outlineLevel="1">
      <c r="A224" s="432"/>
      <c r="B224" s="432" t="s">
        <v>1572</v>
      </c>
      <c r="D224" s="438">
        <v>0</v>
      </c>
      <c r="E224" s="435">
        <f t="shared" si="76"/>
        <v>0</v>
      </c>
      <c r="F224" s="438">
        <v>0</v>
      </c>
      <c r="G224" s="407">
        <f t="shared" si="77"/>
        <v>0</v>
      </c>
      <c r="H224" s="438">
        <v>0</v>
      </c>
      <c r="I224" s="407">
        <f t="shared" si="72"/>
        <v>0</v>
      </c>
      <c r="J224" s="438">
        <v>0</v>
      </c>
      <c r="K224" s="436">
        <f t="shared" si="83"/>
        <v>0</v>
      </c>
      <c r="L224" s="438">
        <v>0</v>
      </c>
      <c r="M224" s="435">
        <f t="shared" ref="M224:M272" si="85">L224/$L$21</f>
        <v>0</v>
      </c>
      <c r="N224" s="438">
        <v>0</v>
      </c>
      <c r="O224" s="437">
        <f t="shared" si="73"/>
        <v>0</v>
      </c>
      <c r="P224" s="438">
        <v>0</v>
      </c>
      <c r="Q224" s="437">
        <f t="shared" si="74"/>
        <v>0</v>
      </c>
      <c r="R224" s="438">
        <v>0</v>
      </c>
      <c r="S224" s="437">
        <f t="shared" si="84"/>
        <v>0</v>
      </c>
      <c r="T224" s="438">
        <v>0</v>
      </c>
      <c r="U224" s="407" t="e">
        <f t="shared" ref="U224:U273" si="86">T224/$T$21</f>
        <v>#DIV/0!</v>
      </c>
      <c r="V224" s="438">
        <v>0</v>
      </c>
      <c r="W224" s="410" t="e">
        <f t="shared" si="79"/>
        <v>#DIV/0!</v>
      </c>
      <c r="X224" s="438">
        <v>0</v>
      </c>
      <c r="Y224" s="407" t="e">
        <f t="shared" si="80"/>
        <v>#DIV/0!</v>
      </c>
      <c r="Z224" s="438">
        <v>0</v>
      </c>
      <c r="AA224" s="411" t="e">
        <f t="shared" si="81"/>
        <v>#DIV/0!</v>
      </c>
      <c r="AB224" s="438">
        <f t="shared" si="82"/>
        <v>0</v>
      </c>
      <c r="AC224" s="407">
        <f t="shared" si="78"/>
        <v>0</v>
      </c>
      <c r="AD224" s="438">
        <f t="shared" si="67"/>
        <v>0</v>
      </c>
      <c r="AE224" s="396"/>
      <c r="AG224" s="397">
        <f>VLOOKUP(B224,TWN_IS!B:P,15,0)</f>
        <v>0</v>
      </c>
      <c r="AH224" s="397">
        <f t="shared" si="75"/>
        <v>0</v>
      </c>
    </row>
    <row r="225" spans="1:34" outlineLevel="1">
      <c r="A225" s="432"/>
      <c r="B225" s="432" t="s">
        <v>1573</v>
      </c>
      <c r="D225" s="438">
        <v>0</v>
      </c>
      <c r="E225" s="435">
        <f t="shared" si="76"/>
        <v>0</v>
      </c>
      <c r="F225" s="438">
        <v>0</v>
      </c>
      <c r="G225" s="407">
        <f t="shared" si="77"/>
        <v>0</v>
      </c>
      <c r="H225" s="438">
        <v>0</v>
      </c>
      <c r="I225" s="407">
        <f t="shared" si="72"/>
        <v>0</v>
      </c>
      <c r="J225" s="438">
        <v>0</v>
      </c>
      <c r="K225" s="436">
        <f t="shared" si="83"/>
        <v>0</v>
      </c>
      <c r="L225" s="438">
        <v>0</v>
      </c>
      <c r="M225" s="435">
        <f t="shared" si="85"/>
        <v>0</v>
      </c>
      <c r="N225" s="438">
        <v>0</v>
      </c>
      <c r="O225" s="437">
        <f t="shared" si="73"/>
        <v>0</v>
      </c>
      <c r="P225" s="438">
        <v>0</v>
      </c>
      <c r="Q225" s="437">
        <f t="shared" si="74"/>
        <v>0</v>
      </c>
      <c r="R225" s="438">
        <v>0</v>
      </c>
      <c r="S225" s="437">
        <f t="shared" si="84"/>
        <v>0</v>
      </c>
      <c r="T225" s="438">
        <v>0</v>
      </c>
      <c r="U225" s="407" t="e">
        <f t="shared" si="86"/>
        <v>#DIV/0!</v>
      </c>
      <c r="V225" s="438">
        <v>0</v>
      </c>
      <c r="W225" s="410" t="e">
        <f t="shared" si="79"/>
        <v>#DIV/0!</v>
      </c>
      <c r="X225" s="438">
        <v>0</v>
      </c>
      <c r="Y225" s="407" t="e">
        <f t="shared" si="80"/>
        <v>#DIV/0!</v>
      </c>
      <c r="Z225" s="438">
        <v>0</v>
      </c>
      <c r="AA225" s="411" t="e">
        <f t="shared" si="81"/>
        <v>#DIV/0!</v>
      </c>
      <c r="AB225" s="438">
        <f t="shared" si="82"/>
        <v>0</v>
      </c>
      <c r="AC225" s="407">
        <f t="shared" si="78"/>
        <v>0</v>
      </c>
      <c r="AD225" s="438">
        <f t="shared" si="67"/>
        <v>0</v>
      </c>
      <c r="AE225" s="396"/>
      <c r="AG225" s="397">
        <f>VLOOKUP(B225,TWN_IS!B:P,15,0)</f>
        <v>0</v>
      </c>
      <c r="AH225" s="397">
        <f t="shared" si="75"/>
        <v>0</v>
      </c>
    </row>
    <row r="226" spans="1:34" outlineLevel="1">
      <c r="A226" s="432"/>
      <c r="B226" s="432" t="s">
        <v>1574</v>
      </c>
      <c r="D226" s="438">
        <v>0</v>
      </c>
      <c r="E226" s="435">
        <f t="shared" si="76"/>
        <v>0</v>
      </c>
      <c r="F226" s="438">
        <v>0</v>
      </c>
      <c r="G226" s="407">
        <f t="shared" si="77"/>
        <v>0</v>
      </c>
      <c r="H226" s="438">
        <v>0</v>
      </c>
      <c r="I226" s="407">
        <f t="shared" si="72"/>
        <v>0</v>
      </c>
      <c r="J226" s="438">
        <v>0</v>
      </c>
      <c r="K226" s="436">
        <f t="shared" si="83"/>
        <v>0</v>
      </c>
      <c r="L226" s="438">
        <v>0</v>
      </c>
      <c r="M226" s="435">
        <f t="shared" si="85"/>
        <v>0</v>
      </c>
      <c r="N226" s="438">
        <v>0</v>
      </c>
      <c r="O226" s="437">
        <f t="shared" si="73"/>
        <v>0</v>
      </c>
      <c r="P226" s="438">
        <v>0</v>
      </c>
      <c r="Q226" s="437">
        <f t="shared" si="74"/>
        <v>0</v>
      </c>
      <c r="R226" s="438">
        <v>0</v>
      </c>
      <c r="S226" s="437">
        <f t="shared" si="84"/>
        <v>0</v>
      </c>
      <c r="T226" s="438">
        <v>0</v>
      </c>
      <c r="U226" s="407" t="e">
        <f t="shared" si="86"/>
        <v>#DIV/0!</v>
      </c>
      <c r="V226" s="438">
        <v>0</v>
      </c>
      <c r="W226" s="410" t="e">
        <f t="shared" si="79"/>
        <v>#DIV/0!</v>
      </c>
      <c r="X226" s="438">
        <v>0</v>
      </c>
      <c r="Y226" s="407" t="e">
        <f t="shared" si="80"/>
        <v>#DIV/0!</v>
      </c>
      <c r="Z226" s="438">
        <v>0</v>
      </c>
      <c r="AA226" s="411" t="e">
        <f t="shared" si="81"/>
        <v>#DIV/0!</v>
      </c>
      <c r="AB226" s="438">
        <f t="shared" si="82"/>
        <v>0</v>
      </c>
      <c r="AC226" s="407">
        <f t="shared" si="78"/>
        <v>0</v>
      </c>
      <c r="AD226" s="438">
        <f t="shared" si="67"/>
        <v>0</v>
      </c>
      <c r="AE226" s="396"/>
      <c r="AG226" s="397">
        <f>VLOOKUP(B226,TWN_IS!B:P,15,0)</f>
        <v>0</v>
      </c>
      <c r="AH226" s="397">
        <f t="shared" si="75"/>
        <v>0</v>
      </c>
    </row>
    <row r="227" spans="1:34" outlineLevel="1">
      <c r="A227" s="432"/>
      <c r="B227" s="432" t="s">
        <v>1575</v>
      </c>
      <c r="D227" s="438">
        <v>0</v>
      </c>
      <c r="E227" s="435">
        <f t="shared" si="76"/>
        <v>0</v>
      </c>
      <c r="F227" s="438">
        <v>0</v>
      </c>
      <c r="G227" s="407">
        <f t="shared" si="77"/>
        <v>0</v>
      </c>
      <c r="H227" s="438">
        <v>0</v>
      </c>
      <c r="I227" s="407">
        <f t="shared" si="72"/>
        <v>0</v>
      </c>
      <c r="J227" s="438">
        <v>0</v>
      </c>
      <c r="K227" s="436">
        <f t="shared" si="83"/>
        <v>0</v>
      </c>
      <c r="L227" s="438">
        <v>0</v>
      </c>
      <c r="M227" s="435">
        <f t="shared" si="85"/>
        <v>0</v>
      </c>
      <c r="N227" s="438">
        <v>0</v>
      </c>
      <c r="O227" s="437">
        <f t="shared" si="73"/>
        <v>0</v>
      </c>
      <c r="P227" s="438">
        <v>0</v>
      </c>
      <c r="Q227" s="437">
        <f t="shared" si="74"/>
        <v>0</v>
      </c>
      <c r="R227" s="438">
        <v>0</v>
      </c>
      <c r="S227" s="437">
        <f t="shared" si="84"/>
        <v>0</v>
      </c>
      <c r="T227" s="438">
        <v>0</v>
      </c>
      <c r="U227" s="407" t="e">
        <f t="shared" si="86"/>
        <v>#DIV/0!</v>
      </c>
      <c r="V227" s="438">
        <v>0</v>
      </c>
      <c r="W227" s="410" t="e">
        <f t="shared" si="79"/>
        <v>#DIV/0!</v>
      </c>
      <c r="X227" s="438">
        <v>0</v>
      </c>
      <c r="Y227" s="407" t="e">
        <f t="shared" si="80"/>
        <v>#DIV/0!</v>
      </c>
      <c r="Z227" s="438">
        <v>0</v>
      </c>
      <c r="AA227" s="411" t="e">
        <f t="shared" si="81"/>
        <v>#DIV/0!</v>
      </c>
      <c r="AB227" s="438">
        <f t="shared" si="82"/>
        <v>0</v>
      </c>
      <c r="AC227" s="407">
        <f t="shared" si="78"/>
        <v>0</v>
      </c>
      <c r="AD227" s="438">
        <f t="shared" si="67"/>
        <v>0</v>
      </c>
      <c r="AE227" s="396"/>
      <c r="AG227" s="397">
        <f>VLOOKUP(B227,TWN_IS!B:P,15,0)</f>
        <v>0</v>
      </c>
      <c r="AH227" s="397">
        <f t="shared" si="75"/>
        <v>0</v>
      </c>
    </row>
    <row r="228" spans="1:34" outlineLevel="1">
      <c r="A228" s="432"/>
      <c r="B228" s="432" t="s">
        <v>1576</v>
      </c>
      <c r="D228" s="438">
        <v>0</v>
      </c>
      <c r="E228" s="435">
        <f t="shared" si="76"/>
        <v>0</v>
      </c>
      <c r="F228" s="438">
        <v>0</v>
      </c>
      <c r="G228" s="407">
        <f t="shared" si="77"/>
        <v>0</v>
      </c>
      <c r="H228" s="438">
        <v>0</v>
      </c>
      <c r="I228" s="407">
        <f t="shared" si="72"/>
        <v>0</v>
      </c>
      <c r="J228" s="438">
        <v>0</v>
      </c>
      <c r="K228" s="436">
        <f t="shared" si="83"/>
        <v>0</v>
      </c>
      <c r="L228" s="438">
        <v>0</v>
      </c>
      <c r="M228" s="435">
        <f t="shared" si="85"/>
        <v>0</v>
      </c>
      <c r="N228" s="438">
        <v>0</v>
      </c>
      <c r="O228" s="437">
        <f t="shared" si="73"/>
        <v>0</v>
      </c>
      <c r="P228" s="438">
        <v>0</v>
      </c>
      <c r="Q228" s="437">
        <f t="shared" si="74"/>
        <v>0</v>
      </c>
      <c r="R228" s="438">
        <v>0</v>
      </c>
      <c r="S228" s="437">
        <f t="shared" si="84"/>
        <v>0</v>
      </c>
      <c r="T228" s="438">
        <v>0</v>
      </c>
      <c r="U228" s="407" t="e">
        <f t="shared" si="86"/>
        <v>#DIV/0!</v>
      </c>
      <c r="V228" s="438">
        <v>0</v>
      </c>
      <c r="W228" s="410" t="e">
        <f t="shared" si="79"/>
        <v>#DIV/0!</v>
      </c>
      <c r="X228" s="438">
        <v>0</v>
      </c>
      <c r="Y228" s="407" t="e">
        <f t="shared" si="80"/>
        <v>#DIV/0!</v>
      </c>
      <c r="Z228" s="438">
        <v>0</v>
      </c>
      <c r="AA228" s="411" t="e">
        <f t="shared" si="81"/>
        <v>#DIV/0!</v>
      </c>
      <c r="AB228" s="438">
        <f t="shared" si="82"/>
        <v>0</v>
      </c>
      <c r="AC228" s="407">
        <f t="shared" si="78"/>
        <v>0</v>
      </c>
      <c r="AD228" s="438">
        <f t="shared" si="67"/>
        <v>0</v>
      </c>
      <c r="AE228" s="396"/>
      <c r="AG228" s="397">
        <f>VLOOKUP(B228,TWN_IS!B:P,15,0)</f>
        <v>0</v>
      </c>
      <c r="AH228" s="397">
        <f t="shared" si="75"/>
        <v>0</v>
      </c>
    </row>
    <row r="229" spans="1:34" outlineLevel="1">
      <c r="A229" s="463"/>
      <c r="B229" s="463" t="s">
        <v>1577</v>
      </c>
      <c r="C229" s="464"/>
      <c r="D229" s="465">
        <v>860624</v>
      </c>
      <c r="E229" s="466">
        <f t="shared" si="76"/>
        <v>1.4284938668514527E-2</v>
      </c>
      <c r="F229" s="465">
        <v>930103</v>
      </c>
      <c r="G229" s="467">
        <f t="shared" si="77"/>
        <v>1.7525470356029131E-2</v>
      </c>
      <c r="H229" s="465">
        <v>2946964</v>
      </c>
      <c r="I229" s="467">
        <f t="shared" si="72"/>
        <v>4.6239964024335042E-2</v>
      </c>
      <c r="J229" s="465">
        <v>3612795</v>
      </c>
      <c r="K229" s="468">
        <f t="shared" si="83"/>
        <v>5.3629607835918823E-2</v>
      </c>
      <c r="L229" s="465">
        <v>1971131</v>
      </c>
      <c r="M229" s="466">
        <f t="shared" si="85"/>
        <v>3.6994769444906823E-2</v>
      </c>
      <c r="N229" s="465">
        <v>3773237</v>
      </c>
      <c r="O229" s="469">
        <f t="shared" si="73"/>
        <v>4.312864011491592E-2</v>
      </c>
      <c r="P229" s="465">
        <v>1126662</v>
      </c>
      <c r="Q229" s="469">
        <f t="shared" si="74"/>
        <v>1.146832886735078E-2</v>
      </c>
      <c r="R229" s="465">
        <v>739833</v>
      </c>
      <c r="S229" s="469">
        <f t="shared" si="84"/>
        <v>9.0075335196974395E-3</v>
      </c>
      <c r="T229" s="465">
        <v>0</v>
      </c>
      <c r="U229" s="467" t="e">
        <f t="shared" si="86"/>
        <v>#DIV/0!</v>
      </c>
      <c r="V229" s="465">
        <v>0</v>
      </c>
      <c r="W229" s="470" t="e">
        <f t="shared" si="79"/>
        <v>#DIV/0!</v>
      </c>
      <c r="X229" s="465">
        <v>0</v>
      </c>
      <c r="Y229" s="467" t="e">
        <f t="shared" si="80"/>
        <v>#DIV/0!</v>
      </c>
      <c r="Z229" s="465">
        <v>0</v>
      </c>
      <c r="AA229" s="471" t="e">
        <f t="shared" si="81"/>
        <v>#DIV/0!</v>
      </c>
      <c r="AB229" s="465">
        <f t="shared" si="82"/>
        <v>15961349</v>
      </c>
      <c r="AC229" s="467">
        <f t="shared" si="78"/>
        <v>2.8222128369769079E-2</v>
      </c>
      <c r="AD229" s="465">
        <f>AVERAGE(D229,F229,H229,J229,L229,N229,P229,R229,T229,V229,X229,Z229)</f>
        <v>1330112.4166666667</v>
      </c>
      <c r="AE229" s="487"/>
      <c r="AF229" s="401"/>
      <c r="AG229" s="397">
        <f>VLOOKUP(B229,TWN_IS!B:P,15,0)</f>
        <v>15961349</v>
      </c>
      <c r="AH229" s="397">
        <f t="shared" si="75"/>
        <v>0</v>
      </c>
    </row>
    <row r="230" spans="1:34" outlineLevel="1">
      <c r="A230" s="432"/>
      <c r="B230" s="432" t="s">
        <v>1578</v>
      </c>
      <c r="D230" s="438">
        <v>860624</v>
      </c>
      <c r="E230" s="435">
        <f t="shared" si="76"/>
        <v>1.4284938668514527E-2</v>
      </c>
      <c r="F230" s="438">
        <v>930103</v>
      </c>
      <c r="G230" s="407">
        <f t="shared" si="77"/>
        <v>1.7525470356029131E-2</v>
      </c>
      <c r="H230" s="438">
        <v>2946964</v>
      </c>
      <c r="I230" s="407">
        <f t="shared" si="72"/>
        <v>4.6239964024335042E-2</v>
      </c>
      <c r="J230" s="438">
        <v>87861</v>
      </c>
      <c r="K230" s="436">
        <f t="shared" si="83"/>
        <v>1.3042397850062525E-3</v>
      </c>
      <c r="L230" s="438">
        <v>1971131</v>
      </c>
      <c r="M230" s="435">
        <f t="shared" si="85"/>
        <v>3.6994769444906823E-2</v>
      </c>
      <c r="N230" s="438">
        <v>141142</v>
      </c>
      <c r="O230" s="437">
        <f t="shared" si="73"/>
        <v>1.6132733043536524E-3</v>
      </c>
      <c r="P230" s="438">
        <v>1126662</v>
      </c>
      <c r="Q230" s="437">
        <f t="shared" si="74"/>
        <v>1.146832886735078E-2</v>
      </c>
      <c r="R230" s="438">
        <v>739833</v>
      </c>
      <c r="S230" s="437">
        <f t="shared" si="84"/>
        <v>9.0075335196974395E-3</v>
      </c>
      <c r="T230" s="438">
        <v>0</v>
      </c>
      <c r="U230" s="407" t="e">
        <f t="shared" si="86"/>
        <v>#DIV/0!</v>
      </c>
      <c r="V230" s="438">
        <v>0</v>
      </c>
      <c r="W230" s="410" t="e">
        <f t="shared" si="79"/>
        <v>#DIV/0!</v>
      </c>
      <c r="X230" s="438">
        <v>0</v>
      </c>
      <c r="Y230" s="407" t="e">
        <f t="shared" si="80"/>
        <v>#DIV/0!</v>
      </c>
      <c r="Z230" s="438">
        <v>0</v>
      </c>
      <c r="AA230" s="411" t="e">
        <f t="shared" si="81"/>
        <v>#DIV/0!</v>
      </c>
      <c r="AB230" s="438">
        <f t="shared" si="82"/>
        <v>8804320</v>
      </c>
      <c r="AC230" s="407">
        <f t="shared" si="78"/>
        <v>1.5567396543269952E-2</v>
      </c>
      <c r="AD230" s="438">
        <f t="shared" si="67"/>
        <v>733693.33333333337</v>
      </c>
      <c r="AE230" s="396"/>
      <c r="AG230" s="397">
        <f>VLOOKUP(B230,TWN_IS!B:P,15,0)</f>
        <v>8804320</v>
      </c>
      <c r="AH230" s="397">
        <f t="shared" si="75"/>
        <v>0</v>
      </c>
    </row>
    <row r="231" spans="1:34" outlineLevel="1">
      <c r="A231" s="432"/>
      <c r="B231" s="432" t="s">
        <v>1579</v>
      </c>
      <c r="D231" s="438">
        <v>0</v>
      </c>
      <c r="E231" s="435">
        <f t="shared" si="76"/>
        <v>0</v>
      </c>
      <c r="F231" s="438">
        <v>0</v>
      </c>
      <c r="G231" s="407">
        <f t="shared" si="77"/>
        <v>0</v>
      </c>
      <c r="H231" s="438">
        <v>0</v>
      </c>
      <c r="I231" s="407">
        <f t="shared" si="72"/>
        <v>0</v>
      </c>
      <c r="J231" s="438">
        <v>3524934</v>
      </c>
      <c r="K231" s="436">
        <f t="shared" si="83"/>
        <v>5.232536805091257E-2</v>
      </c>
      <c r="L231" s="438">
        <v>0</v>
      </c>
      <c r="M231" s="435">
        <f t="shared" si="85"/>
        <v>0</v>
      </c>
      <c r="N231" s="438">
        <v>3632095</v>
      </c>
      <c r="O231" s="437">
        <f t="shared" si="73"/>
        <v>4.1515366810562268E-2</v>
      </c>
      <c r="P231" s="438">
        <v>0</v>
      </c>
      <c r="Q231" s="437">
        <f t="shared" si="74"/>
        <v>0</v>
      </c>
      <c r="R231" s="438">
        <v>0</v>
      </c>
      <c r="S231" s="437">
        <f t="shared" si="84"/>
        <v>0</v>
      </c>
      <c r="T231" s="438">
        <v>0</v>
      </c>
      <c r="U231" s="407" t="e">
        <f t="shared" si="86"/>
        <v>#DIV/0!</v>
      </c>
      <c r="V231" s="438">
        <v>0</v>
      </c>
      <c r="W231" s="410" t="e">
        <f t="shared" si="79"/>
        <v>#DIV/0!</v>
      </c>
      <c r="X231" s="438">
        <v>0</v>
      </c>
      <c r="Y231" s="407" t="e">
        <f t="shared" si="80"/>
        <v>#DIV/0!</v>
      </c>
      <c r="Z231" s="438">
        <v>0</v>
      </c>
      <c r="AA231" s="411" t="e">
        <f t="shared" si="81"/>
        <v>#DIV/0!</v>
      </c>
      <c r="AB231" s="438">
        <f t="shared" si="82"/>
        <v>7157029</v>
      </c>
      <c r="AC231" s="407">
        <f t="shared" si="78"/>
        <v>1.2654731826499128E-2</v>
      </c>
      <c r="AD231" s="438">
        <f t="shared" ref="AD231:AD272" si="87">AVERAGE(D231,F231,H231,J231,L231,N231,P231,R231,T231,V231,X231,Z231)</f>
        <v>596419.08333333337</v>
      </c>
      <c r="AE231" s="396"/>
      <c r="AG231" s="397">
        <f>VLOOKUP(B231,TWN_IS!B:P,15,0)</f>
        <v>7157029</v>
      </c>
      <c r="AH231" s="397">
        <f t="shared" si="75"/>
        <v>0</v>
      </c>
    </row>
    <row r="232" spans="1:34" outlineLevel="1">
      <c r="A232" s="432"/>
      <c r="B232" s="432" t="s">
        <v>1580</v>
      </c>
      <c r="D232" s="438">
        <v>0</v>
      </c>
      <c r="E232" s="435">
        <f t="shared" si="76"/>
        <v>0</v>
      </c>
      <c r="F232" s="438">
        <v>0</v>
      </c>
      <c r="G232" s="407">
        <f t="shared" si="77"/>
        <v>0</v>
      </c>
      <c r="H232" s="438">
        <v>0</v>
      </c>
      <c r="I232" s="407">
        <f t="shared" si="72"/>
        <v>0</v>
      </c>
      <c r="J232" s="438">
        <v>0</v>
      </c>
      <c r="K232" s="436">
        <f t="shared" si="83"/>
        <v>0</v>
      </c>
      <c r="L232" s="438">
        <v>0</v>
      </c>
      <c r="M232" s="435">
        <f t="shared" si="85"/>
        <v>0</v>
      </c>
      <c r="N232" s="438">
        <v>0</v>
      </c>
      <c r="O232" s="437">
        <f t="shared" si="73"/>
        <v>0</v>
      </c>
      <c r="P232" s="438">
        <v>0</v>
      </c>
      <c r="Q232" s="437">
        <f t="shared" si="74"/>
        <v>0</v>
      </c>
      <c r="R232" s="438">
        <v>0</v>
      </c>
      <c r="S232" s="437">
        <f t="shared" si="84"/>
        <v>0</v>
      </c>
      <c r="T232" s="438">
        <v>0</v>
      </c>
      <c r="U232" s="407" t="e">
        <f t="shared" si="86"/>
        <v>#DIV/0!</v>
      </c>
      <c r="V232" s="438">
        <v>0</v>
      </c>
      <c r="W232" s="410" t="e">
        <f t="shared" si="79"/>
        <v>#DIV/0!</v>
      </c>
      <c r="X232" s="438">
        <v>0</v>
      </c>
      <c r="Y232" s="407" t="e">
        <f t="shared" si="80"/>
        <v>#DIV/0!</v>
      </c>
      <c r="Z232" s="438">
        <v>0</v>
      </c>
      <c r="AA232" s="411" t="e">
        <f t="shared" si="81"/>
        <v>#DIV/0!</v>
      </c>
      <c r="AB232" s="438">
        <f t="shared" si="82"/>
        <v>0</v>
      </c>
      <c r="AC232" s="407">
        <f t="shared" si="78"/>
        <v>0</v>
      </c>
      <c r="AD232" s="438">
        <f t="shared" si="87"/>
        <v>0</v>
      </c>
      <c r="AE232" s="396"/>
      <c r="AG232" s="397">
        <f>VLOOKUP(B232,TWN_IS!B:P,15,0)</f>
        <v>0</v>
      </c>
      <c r="AH232" s="397">
        <f t="shared" si="75"/>
        <v>0</v>
      </c>
    </row>
    <row r="233" spans="1:34" outlineLevel="1">
      <c r="A233" s="432"/>
      <c r="B233" s="432" t="s">
        <v>1581</v>
      </c>
      <c r="D233" s="438">
        <v>0</v>
      </c>
      <c r="E233" s="435">
        <f t="shared" si="76"/>
        <v>0</v>
      </c>
      <c r="F233" s="438">
        <v>0</v>
      </c>
      <c r="G233" s="407">
        <f t="shared" si="77"/>
        <v>0</v>
      </c>
      <c r="H233" s="438">
        <v>0</v>
      </c>
      <c r="I233" s="407">
        <f t="shared" si="72"/>
        <v>0</v>
      </c>
      <c r="J233" s="438">
        <v>0</v>
      </c>
      <c r="K233" s="436">
        <f t="shared" si="83"/>
        <v>0</v>
      </c>
      <c r="L233" s="438">
        <v>0</v>
      </c>
      <c r="M233" s="435">
        <f t="shared" si="85"/>
        <v>0</v>
      </c>
      <c r="N233" s="438">
        <v>0</v>
      </c>
      <c r="O233" s="437">
        <f t="shared" si="73"/>
        <v>0</v>
      </c>
      <c r="P233" s="438">
        <v>0</v>
      </c>
      <c r="Q233" s="437">
        <f t="shared" si="74"/>
        <v>0</v>
      </c>
      <c r="R233" s="438">
        <v>0</v>
      </c>
      <c r="S233" s="437">
        <f t="shared" si="84"/>
        <v>0</v>
      </c>
      <c r="T233" s="438">
        <v>0</v>
      </c>
      <c r="U233" s="407" t="e">
        <f t="shared" si="86"/>
        <v>#DIV/0!</v>
      </c>
      <c r="V233" s="438">
        <v>0</v>
      </c>
      <c r="W233" s="410" t="e">
        <f t="shared" si="79"/>
        <v>#DIV/0!</v>
      </c>
      <c r="X233" s="438">
        <v>0</v>
      </c>
      <c r="Y233" s="407" t="e">
        <f t="shared" si="80"/>
        <v>#DIV/0!</v>
      </c>
      <c r="Z233" s="438">
        <v>0</v>
      </c>
      <c r="AA233" s="411" t="e">
        <f t="shared" si="81"/>
        <v>#DIV/0!</v>
      </c>
      <c r="AB233" s="438">
        <f t="shared" si="82"/>
        <v>0</v>
      </c>
      <c r="AC233" s="407">
        <f t="shared" si="78"/>
        <v>0</v>
      </c>
      <c r="AD233" s="438">
        <f t="shared" si="87"/>
        <v>0</v>
      </c>
      <c r="AE233" s="397"/>
      <c r="AG233" s="397">
        <f>VLOOKUP(B233,TWN_IS!B:P,15,0)</f>
        <v>0</v>
      </c>
      <c r="AH233" s="397">
        <f t="shared" si="75"/>
        <v>0</v>
      </c>
    </row>
    <row r="234" spans="1:34" outlineLevel="1">
      <c r="A234" s="432"/>
      <c r="B234" s="432" t="s">
        <v>1582</v>
      </c>
      <c r="D234" s="438">
        <v>0</v>
      </c>
      <c r="E234" s="435">
        <f t="shared" si="76"/>
        <v>0</v>
      </c>
      <c r="F234" s="438">
        <v>0</v>
      </c>
      <c r="G234" s="407">
        <f t="shared" si="77"/>
        <v>0</v>
      </c>
      <c r="H234" s="438">
        <v>0</v>
      </c>
      <c r="I234" s="407">
        <f t="shared" si="72"/>
        <v>0</v>
      </c>
      <c r="J234" s="438">
        <v>0</v>
      </c>
      <c r="K234" s="436">
        <f t="shared" si="83"/>
        <v>0</v>
      </c>
      <c r="L234" s="438">
        <v>0</v>
      </c>
      <c r="M234" s="435">
        <f t="shared" si="85"/>
        <v>0</v>
      </c>
      <c r="N234" s="438">
        <v>0</v>
      </c>
      <c r="O234" s="437">
        <f t="shared" si="73"/>
        <v>0</v>
      </c>
      <c r="P234" s="438">
        <v>0</v>
      </c>
      <c r="Q234" s="437">
        <f t="shared" si="74"/>
        <v>0</v>
      </c>
      <c r="R234" s="438">
        <v>0</v>
      </c>
      <c r="S234" s="437">
        <f t="shared" si="84"/>
        <v>0</v>
      </c>
      <c r="T234" s="438">
        <v>0</v>
      </c>
      <c r="U234" s="407" t="e">
        <f t="shared" si="86"/>
        <v>#DIV/0!</v>
      </c>
      <c r="V234" s="438">
        <v>0</v>
      </c>
      <c r="W234" s="410" t="e">
        <f t="shared" si="79"/>
        <v>#DIV/0!</v>
      </c>
      <c r="X234" s="438">
        <v>0</v>
      </c>
      <c r="Y234" s="407" t="e">
        <f t="shared" si="80"/>
        <v>#DIV/0!</v>
      </c>
      <c r="Z234" s="438">
        <v>0</v>
      </c>
      <c r="AA234" s="411" t="e">
        <f t="shared" si="81"/>
        <v>#DIV/0!</v>
      </c>
      <c r="AB234" s="438">
        <f t="shared" si="82"/>
        <v>0</v>
      </c>
      <c r="AC234" s="407">
        <f t="shared" si="78"/>
        <v>0</v>
      </c>
      <c r="AD234" s="438">
        <f t="shared" si="87"/>
        <v>0</v>
      </c>
      <c r="AE234" s="396"/>
      <c r="AG234" s="397">
        <f>VLOOKUP(B234,TWN_IS!B:P,15,0)</f>
        <v>0</v>
      </c>
      <c r="AH234" s="397">
        <f t="shared" si="75"/>
        <v>0</v>
      </c>
    </row>
    <row r="235" spans="1:34" outlineLevel="1">
      <c r="A235" s="432"/>
      <c r="B235" s="432" t="s">
        <v>1583</v>
      </c>
      <c r="D235" s="438">
        <v>0</v>
      </c>
      <c r="E235" s="435">
        <f t="shared" si="76"/>
        <v>0</v>
      </c>
      <c r="F235" s="438">
        <v>0</v>
      </c>
      <c r="G235" s="407">
        <f t="shared" si="77"/>
        <v>0</v>
      </c>
      <c r="H235" s="438">
        <v>0</v>
      </c>
      <c r="I235" s="407">
        <f t="shared" si="72"/>
        <v>0</v>
      </c>
      <c r="J235" s="438">
        <v>0</v>
      </c>
      <c r="K235" s="436">
        <f t="shared" si="83"/>
        <v>0</v>
      </c>
      <c r="L235" s="438">
        <v>0</v>
      </c>
      <c r="M235" s="435">
        <f t="shared" si="85"/>
        <v>0</v>
      </c>
      <c r="N235" s="438">
        <v>0</v>
      </c>
      <c r="O235" s="437">
        <f t="shared" si="73"/>
        <v>0</v>
      </c>
      <c r="P235" s="438">
        <v>0</v>
      </c>
      <c r="Q235" s="437">
        <f t="shared" si="74"/>
        <v>0</v>
      </c>
      <c r="R235" s="438">
        <v>0</v>
      </c>
      <c r="S235" s="437">
        <f t="shared" si="84"/>
        <v>0</v>
      </c>
      <c r="T235" s="438">
        <v>0</v>
      </c>
      <c r="U235" s="407" t="e">
        <f t="shared" si="86"/>
        <v>#DIV/0!</v>
      </c>
      <c r="V235" s="438">
        <v>0</v>
      </c>
      <c r="W235" s="410" t="e">
        <f t="shared" si="79"/>
        <v>#DIV/0!</v>
      </c>
      <c r="X235" s="438">
        <v>0</v>
      </c>
      <c r="Y235" s="407" t="e">
        <f t="shared" si="80"/>
        <v>#DIV/0!</v>
      </c>
      <c r="Z235" s="438">
        <v>0</v>
      </c>
      <c r="AA235" s="411" t="e">
        <f t="shared" si="81"/>
        <v>#DIV/0!</v>
      </c>
      <c r="AB235" s="438">
        <f t="shared" si="82"/>
        <v>0</v>
      </c>
      <c r="AC235" s="407">
        <f t="shared" si="78"/>
        <v>0</v>
      </c>
      <c r="AD235" s="438">
        <f t="shared" si="87"/>
        <v>0</v>
      </c>
      <c r="AE235" s="396"/>
      <c r="AG235" s="397">
        <f>VLOOKUP(B235,TWN_IS!B:P,15,0)</f>
        <v>0</v>
      </c>
      <c r="AH235" s="397">
        <f t="shared" si="75"/>
        <v>0</v>
      </c>
    </row>
    <row r="236" spans="1:34" outlineLevel="1">
      <c r="A236" s="432"/>
      <c r="B236" s="432" t="s">
        <v>1584</v>
      </c>
      <c r="D236" s="438">
        <v>0</v>
      </c>
      <c r="E236" s="435">
        <f t="shared" si="76"/>
        <v>0</v>
      </c>
      <c r="F236" s="438">
        <v>0</v>
      </c>
      <c r="G236" s="407">
        <f t="shared" si="77"/>
        <v>0</v>
      </c>
      <c r="H236" s="438">
        <v>0</v>
      </c>
      <c r="I236" s="407">
        <f t="shared" si="72"/>
        <v>0</v>
      </c>
      <c r="J236" s="438">
        <v>0</v>
      </c>
      <c r="K236" s="436">
        <f t="shared" si="83"/>
        <v>0</v>
      </c>
      <c r="L236" s="438">
        <v>0</v>
      </c>
      <c r="M236" s="435">
        <f t="shared" si="85"/>
        <v>0</v>
      </c>
      <c r="N236" s="438">
        <v>0</v>
      </c>
      <c r="O236" s="437">
        <f t="shared" si="73"/>
        <v>0</v>
      </c>
      <c r="P236" s="438">
        <v>0</v>
      </c>
      <c r="Q236" s="437">
        <f t="shared" si="74"/>
        <v>0</v>
      </c>
      <c r="R236" s="438">
        <v>0</v>
      </c>
      <c r="S236" s="437">
        <f t="shared" si="84"/>
        <v>0</v>
      </c>
      <c r="T236" s="438">
        <v>0</v>
      </c>
      <c r="U236" s="407" t="e">
        <f t="shared" si="86"/>
        <v>#DIV/0!</v>
      </c>
      <c r="V236" s="438">
        <v>0</v>
      </c>
      <c r="W236" s="410" t="e">
        <f t="shared" si="79"/>
        <v>#DIV/0!</v>
      </c>
      <c r="X236" s="438">
        <v>0</v>
      </c>
      <c r="Y236" s="407" t="e">
        <f t="shared" si="80"/>
        <v>#DIV/0!</v>
      </c>
      <c r="Z236" s="438">
        <v>0</v>
      </c>
      <c r="AA236" s="411" t="e">
        <f t="shared" si="81"/>
        <v>#DIV/0!</v>
      </c>
      <c r="AB236" s="438">
        <f t="shared" si="82"/>
        <v>0</v>
      </c>
      <c r="AC236" s="407">
        <f t="shared" si="78"/>
        <v>0</v>
      </c>
      <c r="AD236" s="438">
        <f t="shared" si="87"/>
        <v>0</v>
      </c>
      <c r="AE236" s="396"/>
      <c r="AG236" s="397">
        <f>VLOOKUP(B236,TWN_IS!B:P,15,0)</f>
        <v>0</v>
      </c>
      <c r="AH236" s="397">
        <f t="shared" si="75"/>
        <v>0</v>
      </c>
    </row>
    <row r="237" spans="1:34" outlineLevel="1">
      <c r="A237" s="432"/>
      <c r="B237" s="432" t="s">
        <v>1585</v>
      </c>
      <c r="D237" s="438">
        <v>0</v>
      </c>
      <c r="E237" s="435">
        <f t="shared" si="76"/>
        <v>0</v>
      </c>
      <c r="F237" s="438">
        <v>0</v>
      </c>
      <c r="G237" s="407">
        <f t="shared" si="77"/>
        <v>0</v>
      </c>
      <c r="H237" s="438">
        <v>0</v>
      </c>
      <c r="I237" s="407">
        <f t="shared" si="72"/>
        <v>0</v>
      </c>
      <c r="J237" s="438">
        <v>0</v>
      </c>
      <c r="K237" s="436">
        <f t="shared" si="83"/>
        <v>0</v>
      </c>
      <c r="L237" s="438">
        <v>0</v>
      </c>
      <c r="M237" s="435">
        <f t="shared" si="85"/>
        <v>0</v>
      </c>
      <c r="N237" s="438">
        <v>0</v>
      </c>
      <c r="O237" s="437">
        <f t="shared" si="73"/>
        <v>0</v>
      </c>
      <c r="P237" s="438">
        <v>0</v>
      </c>
      <c r="Q237" s="437">
        <f t="shared" si="74"/>
        <v>0</v>
      </c>
      <c r="R237" s="438">
        <v>0</v>
      </c>
      <c r="S237" s="437">
        <f t="shared" si="84"/>
        <v>0</v>
      </c>
      <c r="T237" s="438">
        <v>0</v>
      </c>
      <c r="U237" s="407" t="e">
        <f t="shared" si="86"/>
        <v>#DIV/0!</v>
      </c>
      <c r="V237" s="438">
        <v>0</v>
      </c>
      <c r="W237" s="410" t="e">
        <f t="shared" si="79"/>
        <v>#DIV/0!</v>
      </c>
      <c r="X237" s="438">
        <v>0</v>
      </c>
      <c r="Y237" s="407" t="e">
        <f t="shared" si="80"/>
        <v>#DIV/0!</v>
      </c>
      <c r="Z237" s="438">
        <v>0</v>
      </c>
      <c r="AA237" s="411" t="e">
        <f t="shared" si="81"/>
        <v>#DIV/0!</v>
      </c>
      <c r="AB237" s="438">
        <f t="shared" si="82"/>
        <v>0</v>
      </c>
      <c r="AC237" s="407">
        <f t="shared" si="78"/>
        <v>0</v>
      </c>
      <c r="AD237" s="438">
        <f t="shared" si="87"/>
        <v>0</v>
      </c>
      <c r="AE237" s="396"/>
      <c r="AG237" s="397">
        <f>VLOOKUP(B237,TWN_IS!B:P,15,0)</f>
        <v>0</v>
      </c>
      <c r="AH237" s="397">
        <f t="shared" si="75"/>
        <v>0</v>
      </c>
    </row>
    <row r="238" spans="1:34" outlineLevel="1">
      <c r="A238" s="432"/>
      <c r="B238" s="432" t="s">
        <v>1586</v>
      </c>
      <c r="D238" s="438">
        <v>151618</v>
      </c>
      <c r="E238" s="435">
        <f t="shared" si="76"/>
        <v>2.5166086828194842E-3</v>
      </c>
      <c r="F238" s="438">
        <v>59477</v>
      </c>
      <c r="G238" s="407">
        <f t="shared" si="77"/>
        <v>1.1206956652817426E-3</v>
      </c>
      <c r="H238" s="438">
        <v>53695</v>
      </c>
      <c r="I238" s="407">
        <f t="shared" si="72"/>
        <v>8.4251279224539896E-4</v>
      </c>
      <c r="J238" s="438">
        <v>277576</v>
      </c>
      <c r="K238" s="436">
        <f t="shared" si="83"/>
        <v>4.1204364002560357E-3</v>
      </c>
      <c r="L238" s="438">
        <v>239006</v>
      </c>
      <c r="M238" s="435">
        <f t="shared" si="85"/>
        <v>4.4857352788573663E-3</v>
      </c>
      <c r="N238" s="438">
        <v>88951</v>
      </c>
      <c r="O238" s="437">
        <f t="shared" si="73"/>
        <v>1.0167226884666629E-3</v>
      </c>
      <c r="P238" s="438">
        <v>70176</v>
      </c>
      <c r="Q238" s="437">
        <f t="shared" si="74"/>
        <v>7.1432376932496918E-4</v>
      </c>
      <c r="R238" s="438">
        <v>264338</v>
      </c>
      <c r="S238" s="437">
        <f t="shared" si="84"/>
        <v>3.2183389974896792E-3</v>
      </c>
      <c r="T238" s="438">
        <v>0</v>
      </c>
      <c r="U238" s="407" t="e">
        <f t="shared" si="86"/>
        <v>#DIV/0!</v>
      </c>
      <c r="V238" s="438">
        <v>0</v>
      </c>
      <c r="W238" s="410" t="e">
        <f t="shared" si="79"/>
        <v>#DIV/0!</v>
      </c>
      <c r="X238" s="438">
        <v>0</v>
      </c>
      <c r="Y238" s="407" t="e">
        <f t="shared" si="80"/>
        <v>#DIV/0!</v>
      </c>
      <c r="Z238" s="438">
        <v>0</v>
      </c>
      <c r="AA238" s="411" t="e">
        <f t="shared" si="81"/>
        <v>#DIV/0!</v>
      </c>
      <c r="AB238" s="438">
        <f t="shared" si="82"/>
        <v>1204837</v>
      </c>
      <c r="AC238" s="407">
        <f t="shared" si="78"/>
        <v>2.130337760213593E-3</v>
      </c>
      <c r="AD238" s="438">
        <f t="shared" si="87"/>
        <v>100403.08333333333</v>
      </c>
      <c r="AE238" s="396"/>
      <c r="AG238" s="397">
        <f>VLOOKUP(B238,TWN_IS!B:P,15,0)</f>
        <v>1204837</v>
      </c>
      <c r="AH238" s="397">
        <f t="shared" si="75"/>
        <v>0</v>
      </c>
    </row>
    <row r="239" spans="1:34">
      <c r="A239" s="432"/>
      <c r="B239" s="431" t="s">
        <v>1587</v>
      </c>
      <c r="D239" s="438">
        <v>1013492</v>
      </c>
      <c r="E239" s="435">
        <f t="shared" si="76"/>
        <v>1.6822295289267004E-2</v>
      </c>
      <c r="F239" s="438">
        <v>990830</v>
      </c>
      <c r="G239" s="407">
        <f t="shared" si="77"/>
        <v>1.8669719152464129E-2</v>
      </c>
      <c r="H239" s="438">
        <v>3001909</v>
      </c>
      <c r="I239" s="407">
        <f t="shared" si="72"/>
        <v>4.7102090206845949E-2</v>
      </c>
      <c r="J239" s="438">
        <v>3891621</v>
      </c>
      <c r="K239" s="436">
        <f t="shared" si="83"/>
        <v>5.7768599678649425E-2</v>
      </c>
      <c r="L239" s="438">
        <v>2211387</v>
      </c>
      <c r="M239" s="435">
        <f t="shared" si="85"/>
        <v>4.1503965093372362E-2</v>
      </c>
      <c r="N239" s="438">
        <v>3924023</v>
      </c>
      <c r="O239" s="437">
        <f t="shared" si="73"/>
        <v>4.4852145722532856E-2</v>
      </c>
      <c r="P239" s="438">
        <v>1198088</v>
      </c>
      <c r="Q239" s="437">
        <f t="shared" si="74"/>
        <v>1.2195376427026528E-2</v>
      </c>
      <c r="R239" s="438">
        <v>1005421</v>
      </c>
      <c r="S239" s="437">
        <f t="shared" si="84"/>
        <v>1.2241091379956989E-2</v>
      </c>
      <c r="T239" s="438">
        <v>0</v>
      </c>
      <c r="U239" s="407" t="e">
        <f t="shared" si="86"/>
        <v>#DIV/0!</v>
      </c>
      <c r="V239" s="438">
        <v>0</v>
      </c>
      <c r="W239" s="410" t="e">
        <f t="shared" si="79"/>
        <v>#DIV/0!</v>
      </c>
      <c r="X239" s="438">
        <v>0</v>
      </c>
      <c r="Y239" s="407" t="e">
        <f t="shared" si="80"/>
        <v>#DIV/0!</v>
      </c>
      <c r="Z239" s="438">
        <v>0</v>
      </c>
      <c r="AA239" s="411" t="e">
        <f t="shared" si="81"/>
        <v>#DIV/0!</v>
      </c>
      <c r="AB239" s="438">
        <f t="shared" si="82"/>
        <v>17236771</v>
      </c>
      <c r="AC239" s="407">
        <f t="shared" si="78"/>
        <v>3.0477271303466454E-2</v>
      </c>
      <c r="AD239" s="438">
        <f t="shared" si="87"/>
        <v>1436397.5833333333</v>
      </c>
      <c r="AE239" s="396"/>
      <c r="AG239" s="397">
        <f>VLOOKUP(B239,TWN_IS!B:P,15,0)</f>
        <v>17236771</v>
      </c>
      <c r="AH239" s="397">
        <f t="shared" si="75"/>
        <v>0</v>
      </c>
    </row>
    <row r="240" spans="1:34" outlineLevel="1">
      <c r="A240" s="432"/>
      <c r="B240" s="431" t="s">
        <v>1588</v>
      </c>
      <c r="D240" s="438"/>
      <c r="E240" s="435"/>
      <c r="F240" s="438"/>
      <c r="H240" s="438"/>
      <c r="J240" s="438"/>
      <c r="K240" s="436"/>
      <c r="L240" s="438"/>
      <c r="M240" s="435"/>
      <c r="N240" s="438"/>
      <c r="O240" s="437"/>
      <c r="P240" s="438"/>
      <c r="Q240" s="437"/>
      <c r="R240" s="438"/>
      <c r="T240" s="438"/>
      <c r="V240" s="438"/>
      <c r="X240" s="438"/>
      <c r="Z240" s="438"/>
      <c r="AB240" s="438"/>
      <c r="AC240" s="407"/>
      <c r="AD240" s="438"/>
      <c r="AE240" s="396"/>
      <c r="AG240" s="397">
        <f>VLOOKUP(B240,TWN_IS!B:P,15,0)</f>
        <v>0</v>
      </c>
      <c r="AH240" s="397">
        <f t="shared" si="75"/>
        <v>0</v>
      </c>
    </row>
    <row r="241" spans="1:34" outlineLevel="1">
      <c r="A241" s="432"/>
      <c r="B241" s="432" t="s">
        <v>1589</v>
      </c>
      <c r="D241" s="438">
        <v>26301</v>
      </c>
      <c r="E241" s="435">
        <f t="shared" si="76"/>
        <v>4.3655321246049446E-4</v>
      </c>
      <c r="F241" s="438">
        <v>74827</v>
      </c>
      <c r="G241" s="407">
        <f t="shared" si="77"/>
        <v>1.4099281158437202E-3</v>
      </c>
      <c r="H241" s="438">
        <v>69962</v>
      </c>
      <c r="I241" s="407">
        <f t="shared" si="72"/>
        <v>1.0977536078046858E-3</v>
      </c>
      <c r="J241" s="438">
        <v>93988</v>
      </c>
      <c r="K241" s="436">
        <f t="shared" si="83"/>
        <v>1.3951911418395835E-3</v>
      </c>
      <c r="L241" s="438">
        <v>91944</v>
      </c>
      <c r="M241" s="435">
        <f t="shared" si="85"/>
        <v>1.7256321786033059E-3</v>
      </c>
      <c r="N241" s="438">
        <v>112861</v>
      </c>
      <c r="O241" s="437">
        <f t="shared" si="73"/>
        <v>1.2900174179383711E-3</v>
      </c>
      <c r="P241" s="438">
        <v>96752</v>
      </c>
      <c r="Q241" s="437">
        <f t="shared" si="74"/>
        <v>9.8484173121479441E-4</v>
      </c>
      <c r="R241" s="438">
        <v>117626</v>
      </c>
      <c r="S241" s="437">
        <f t="shared" si="84"/>
        <v>1.432107161735055E-3</v>
      </c>
      <c r="T241" s="438">
        <v>0</v>
      </c>
      <c r="U241" s="407" t="e">
        <f t="shared" si="86"/>
        <v>#DIV/0!</v>
      </c>
      <c r="V241" s="438">
        <v>0</v>
      </c>
      <c r="W241" s="410" t="e">
        <f t="shared" ref="W241:W266" si="88">V241/$V$21</f>
        <v>#DIV/0!</v>
      </c>
      <c r="X241" s="438">
        <v>0</v>
      </c>
      <c r="Y241" s="407" t="e">
        <f t="shared" ref="Y241:Y266" si="89">X241/$X$21</f>
        <v>#DIV/0!</v>
      </c>
      <c r="Z241" s="438">
        <v>0</v>
      </c>
      <c r="AA241" s="411" t="e">
        <f t="shared" ref="AA241:AA266" si="90">Z241/$Z$21</f>
        <v>#DIV/0!</v>
      </c>
      <c r="AB241" s="438">
        <f t="shared" ref="AB241:AB264" si="91">SUM(D241,F241,H241,J241,L241,N241,P241,R241,T241,V241,X241,Z241)</f>
        <v>684261</v>
      </c>
      <c r="AC241" s="407">
        <f t="shared" si="78"/>
        <v>1.209879050976616E-3</v>
      </c>
      <c r="AD241" s="438">
        <f t="shared" si="87"/>
        <v>57021.75</v>
      </c>
      <c r="AE241" s="396"/>
      <c r="AG241" s="397">
        <f>VLOOKUP(B241,TWN_IS!B:P,15,0)</f>
        <v>684261</v>
      </c>
      <c r="AH241" s="397">
        <f t="shared" si="75"/>
        <v>0</v>
      </c>
    </row>
    <row r="242" spans="1:34" outlineLevel="1">
      <c r="A242" s="432"/>
      <c r="B242" s="432" t="s">
        <v>1590</v>
      </c>
      <c r="D242" s="438">
        <v>26301</v>
      </c>
      <c r="E242" s="435">
        <f t="shared" si="76"/>
        <v>4.3655321246049446E-4</v>
      </c>
      <c r="F242" s="438">
        <v>74827</v>
      </c>
      <c r="G242" s="407">
        <f t="shared" si="77"/>
        <v>1.4099281158437202E-3</v>
      </c>
      <c r="H242" s="438">
        <v>69962</v>
      </c>
      <c r="I242" s="407">
        <f t="shared" si="72"/>
        <v>1.0977536078046858E-3</v>
      </c>
      <c r="J242" s="438">
        <v>93988</v>
      </c>
      <c r="K242" s="436">
        <f t="shared" si="83"/>
        <v>1.3951911418395835E-3</v>
      </c>
      <c r="L242" s="438">
        <v>91944</v>
      </c>
      <c r="M242" s="435">
        <f t="shared" si="85"/>
        <v>1.7256321786033059E-3</v>
      </c>
      <c r="N242" s="438">
        <v>112861</v>
      </c>
      <c r="O242" s="437">
        <f t="shared" si="73"/>
        <v>1.2900174179383711E-3</v>
      </c>
      <c r="P242" s="438">
        <v>96752</v>
      </c>
      <c r="Q242" s="437">
        <f t="shared" si="74"/>
        <v>9.8484173121479441E-4</v>
      </c>
      <c r="R242" s="438">
        <v>117626</v>
      </c>
      <c r="S242" s="437">
        <f t="shared" si="84"/>
        <v>1.432107161735055E-3</v>
      </c>
      <c r="T242" s="438">
        <v>0</v>
      </c>
      <c r="U242" s="407" t="e">
        <f t="shared" si="86"/>
        <v>#DIV/0!</v>
      </c>
      <c r="V242" s="438">
        <v>0</v>
      </c>
      <c r="W242" s="410" t="e">
        <f t="shared" si="88"/>
        <v>#DIV/0!</v>
      </c>
      <c r="X242" s="438">
        <v>0</v>
      </c>
      <c r="Y242" s="407" t="e">
        <f t="shared" si="89"/>
        <v>#DIV/0!</v>
      </c>
      <c r="Z242" s="438">
        <v>0</v>
      </c>
      <c r="AA242" s="411" t="e">
        <f t="shared" si="90"/>
        <v>#DIV/0!</v>
      </c>
      <c r="AB242" s="438">
        <f t="shared" si="91"/>
        <v>684261</v>
      </c>
      <c r="AC242" s="407">
        <f t="shared" si="78"/>
        <v>1.209879050976616E-3</v>
      </c>
      <c r="AD242" s="438">
        <f t="shared" si="87"/>
        <v>57021.75</v>
      </c>
      <c r="AE242" s="396"/>
      <c r="AG242" s="397">
        <f>VLOOKUP(B242,TWN_IS!B:P,15,0)</f>
        <v>684261</v>
      </c>
      <c r="AH242" s="397">
        <f t="shared" si="75"/>
        <v>0</v>
      </c>
    </row>
    <row r="243" spans="1:34" outlineLevel="1">
      <c r="A243" s="432"/>
      <c r="B243" s="432" t="s">
        <v>1591</v>
      </c>
      <c r="D243" s="438">
        <v>0</v>
      </c>
      <c r="E243" s="435">
        <f t="shared" si="76"/>
        <v>0</v>
      </c>
      <c r="F243" s="438">
        <v>0</v>
      </c>
      <c r="G243" s="407">
        <f t="shared" si="77"/>
        <v>0</v>
      </c>
      <c r="H243" s="438">
        <v>0</v>
      </c>
      <c r="I243" s="407">
        <f t="shared" si="72"/>
        <v>0</v>
      </c>
      <c r="J243" s="438">
        <v>0</v>
      </c>
      <c r="K243" s="436">
        <f t="shared" si="83"/>
        <v>0</v>
      </c>
      <c r="L243" s="438">
        <v>0</v>
      </c>
      <c r="M243" s="435">
        <f t="shared" si="85"/>
        <v>0</v>
      </c>
      <c r="N243" s="438">
        <v>0</v>
      </c>
      <c r="O243" s="437">
        <f t="shared" si="73"/>
        <v>0</v>
      </c>
      <c r="P243" s="438">
        <v>0</v>
      </c>
      <c r="Q243" s="437">
        <f t="shared" si="74"/>
        <v>0</v>
      </c>
      <c r="R243" s="438">
        <v>0</v>
      </c>
      <c r="S243" s="437">
        <f t="shared" si="84"/>
        <v>0</v>
      </c>
      <c r="T243" s="438">
        <v>0</v>
      </c>
      <c r="U243" s="407" t="e">
        <f t="shared" si="86"/>
        <v>#DIV/0!</v>
      </c>
      <c r="V243" s="438">
        <v>0</v>
      </c>
      <c r="W243" s="410" t="e">
        <f t="shared" si="88"/>
        <v>#DIV/0!</v>
      </c>
      <c r="X243" s="438">
        <v>0</v>
      </c>
      <c r="Y243" s="407" t="e">
        <f t="shared" si="89"/>
        <v>#DIV/0!</v>
      </c>
      <c r="Z243" s="438">
        <v>0</v>
      </c>
      <c r="AA243" s="411" t="e">
        <f t="shared" si="90"/>
        <v>#DIV/0!</v>
      </c>
      <c r="AB243" s="438">
        <f t="shared" si="91"/>
        <v>0</v>
      </c>
      <c r="AC243" s="407">
        <f t="shared" si="78"/>
        <v>0</v>
      </c>
      <c r="AD243" s="438">
        <f t="shared" si="87"/>
        <v>0</v>
      </c>
      <c r="AE243" s="396"/>
      <c r="AG243" s="397">
        <f>VLOOKUP(B243,TWN_IS!B:P,15,0)</f>
        <v>0</v>
      </c>
      <c r="AH243" s="397">
        <f t="shared" si="75"/>
        <v>0</v>
      </c>
    </row>
    <row r="244" spans="1:34" outlineLevel="1">
      <c r="A244" s="432"/>
      <c r="B244" s="432" t="s">
        <v>1592</v>
      </c>
      <c r="D244" s="438">
        <v>0</v>
      </c>
      <c r="E244" s="435">
        <f t="shared" si="76"/>
        <v>0</v>
      </c>
      <c r="F244" s="438">
        <v>0</v>
      </c>
      <c r="G244" s="407">
        <f t="shared" si="77"/>
        <v>0</v>
      </c>
      <c r="H244" s="438">
        <v>0</v>
      </c>
      <c r="I244" s="407">
        <f t="shared" si="72"/>
        <v>0</v>
      </c>
      <c r="J244" s="438">
        <v>0</v>
      </c>
      <c r="K244" s="436">
        <f t="shared" si="83"/>
        <v>0</v>
      </c>
      <c r="L244" s="438">
        <v>0</v>
      </c>
      <c r="M244" s="435">
        <f t="shared" si="85"/>
        <v>0</v>
      </c>
      <c r="N244" s="438">
        <v>0</v>
      </c>
      <c r="O244" s="437">
        <f t="shared" si="73"/>
        <v>0</v>
      </c>
      <c r="P244" s="438">
        <v>0</v>
      </c>
      <c r="Q244" s="437">
        <f t="shared" si="74"/>
        <v>0</v>
      </c>
      <c r="R244" s="438">
        <v>0</v>
      </c>
      <c r="S244" s="437">
        <f t="shared" si="84"/>
        <v>0</v>
      </c>
      <c r="T244" s="438">
        <v>0</v>
      </c>
      <c r="U244" s="407" t="e">
        <f t="shared" si="86"/>
        <v>#DIV/0!</v>
      </c>
      <c r="V244" s="438">
        <v>0</v>
      </c>
      <c r="W244" s="410" t="e">
        <f t="shared" si="88"/>
        <v>#DIV/0!</v>
      </c>
      <c r="X244" s="438">
        <v>0</v>
      </c>
      <c r="Y244" s="407" t="e">
        <f t="shared" si="89"/>
        <v>#DIV/0!</v>
      </c>
      <c r="Z244" s="438">
        <v>0</v>
      </c>
      <c r="AA244" s="411" t="e">
        <f t="shared" si="90"/>
        <v>#DIV/0!</v>
      </c>
      <c r="AB244" s="438">
        <f t="shared" si="91"/>
        <v>0</v>
      </c>
      <c r="AC244" s="407">
        <f t="shared" si="78"/>
        <v>0</v>
      </c>
      <c r="AD244" s="438">
        <f t="shared" si="87"/>
        <v>0</v>
      </c>
      <c r="AE244" s="396"/>
      <c r="AG244" s="397">
        <f>VLOOKUP(B244,TWN_IS!B:P,15,0)</f>
        <v>0</v>
      </c>
      <c r="AH244" s="397">
        <f t="shared" si="75"/>
        <v>0</v>
      </c>
    </row>
    <row r="245" spans="1:34" outlineLevel="1">
      <c r="A245" s="432"/>
      <c r="B245" s="432" t="s">
        <v>1593</v>
      </c>
      <c r="D245" s="438">
        <v>0</v>
      </c>
      <c r="E245" s="435">
        <f t="shared" si="76"/>
        <v>0</v>
      </c>
      <c r="F245" s="438">
        <v>0</v>
      </c>
      <c r="G245" s="407">
        <f t="shared" si="77"/>
        <v>0</v>
      </c>
      <c r="H245" s="438">
        <v>0</v>
      </c>
      <c r="I245" s="407">
        <f t="shared" si="72"/>
        <v>0</v>
      </c>
      <c r="J245" s="438">
        <v>0</v>
      </c>
      <c r="K245" s="436">
        <f t="shared" si="83"/>
        <v>0</v>
      </c>
      <c r="L245" s="438">
        <v>0</v>
      </c>
      <c r="M245" s="435">
        <f t="shared" si="85"/>
        <v>0</v>
      </c>
      <c r="N245" s="438">
        <v>0</v>
      </c>
      <c r="O245" s="437">
        <f t="shared" si="73"/>
        <v>0</v>
      </c>
      <c r="P245" s="438">
        <v>0</v>
      </c>
      <c r="Q245" s="437">
        <f t="shared" si="74"/>
        <v>0</v>
      </c>
      <c r="R245" s="438">
        <v>0</v>
      </c>
      <c r="S245" s="437">
        <f t="shared" si="84"/>
        <v>0</v>
      </c>
      <c r="T245" s="438">
        <v>0</v>
      </c>
      <c r="U245" s="407" t="e">
        <f t="shared" si="86"/>
        <v>#DIV/0!</v>
      </c>
      <c r="V245" s="438">
        <v>0</v>
      </c>
      <c r="W245" s="410" t="e">
        <f t="shared" si="88"/>
        <v>#DIV/0!</v>
      </c>
      <c r="X245" s="438">
        <v>0</v>
      </c>
      <c r="Y245" s="407" t="e">
        <f t="shared" si="89"/>
        <v>#DIV/0!</v>
      </c>
      <c r="Z245" s="438">
        <v>0</v>
      </c>
      <c r="AA245" s="411" t="e">
        <f t="shared" si="90"/>
        <v>#DIV/0!</v>
      </c>
      <c r="AB245" s="438">
        <f t="shared" si="91"/>
        <v>0</v>
      </c>
      <c r="AC245" s="407">
        <f t="shared" si="78"/>
        <v>0</v>
      </c>
      <c r="AD245" s="438">
        <f t="shared" si="87"/>
        <v>0</v>
      </c>
      <c r="AE245" s="396"/>
      <c r="AG245" s="397">
        <f>VLOOKUP(B245,TWN_IS!B:P,15,0)</f>
        <v>0</v>
      </c>
      <c r="AH245" s="397">
        <f t="shared" si="75"/>
        <v>0</v>
      </c>
    </row>
    <row r="246" spans="1:34" outlineLevel="1">
      <c r="A246" s="432"/>
      <c r="B246" s="432" t="s">
        <v>1594</v>
      </c>
      <c r="D246" s="438">
        <v>0</v>
      </c>
      <c r="E246" s="435">
        <f t="shared" si="76"/>
        <v>0</v>
      </c>
      <c r="F246" s="438">
        <v>0</v>
      </c>
      <c r="G246" s="407">
        <f t="shared" si="77"/>
        <v>0</v>
      </c>
      <c r="H246" s="438">
        <v>0</v>
      </c>
      <c r="I246" s="407">
        <f t="shared" si="72"/>
        <v>0</v>
      </c>
      <c r="J246" s="438">
        <v>0</v>
      </c>
      <c r="K246" s="436">
        <f t="shared" si="83"/>
        <v>0</v>
      </c>
      <c r="L246" s="438">
        <v>0</v>
      </c>
      <c r="M246" s="435">
        <f t="shared" si="85"/>
        <v>0</v>
      </c>
      <c r="N246" s="438">
        <v>0</v>
      </c>
      <c r="O246" s="437">
        <f t="shared" si="73"/>
        <v>0</v>
      </c>
      <c r="P246" s="438">
        <v>0</v>
      </c>
      <c r="Q246" s="437">
        <f t="shared" si="74"/>
        <v>0</v>
      </c>
      <c r="R246" s="438">
        <v>0</v>
      </c>
      <c r="S246" s="437">
        <f t="shared" si="84"/>
        <v>0</v>
      </c>
      <c r="T246" s="438">
        <v>0</v>
      </c>
      <c r="U246" s="407" t="e">
        <f t="shared" si="86"/>
        <v>#DIV/0!</v>
      </c>
      <c r="V246" s="438">
        <v>0</v>
      </c>
      <c r="W246" s="410" t="e">
        <f t="shared" si="88"/>
        <v>#DIV/0!</v>
      </c>
      <c r="X246" s="438">
        <v>0</v>
      </c>
      <c r="Y246" s="407" t="e">
        <f t="shared" si="89"/>
        <v>#DIV/0!</v>
      </c>
      <c r="Z246" s="438">
        <v>0</v>
      </c>
      <c r="AA246" s="411" t="e">
        <f t="shared" si="90"/>
        <v>#DIV/0!</v>
      </c>
      <c r="AB246" s="438">
        <f t="shared" si="91"/>
        <v>0</v>
      </c>
      <c r="AC246" s="407">
        <f t="shared" si="78"/>
        <v>0</v>
      </c>
      <c r="AD246" s="438">
        <f t="shared" si="87"/>
        <v>0</v>
      </c>
      <c r="AE246" s="396"/>
      <c r="AG246" s="397">
        <f>VLOOKUP(B246,TWN_IS!B:P,15,0)</f>
        <v>0</v>
      </c>
      <c r="AH246" s="397">
        <f t="shared" si="75"/>
        <v>0</v>
      </c>
    </row>
    <row r="247" spans="1:34" outlineLevel="1">
      <c r="A247" s="432"/>
      <c r="B247" s="432" t="s">
        <v>1595</v>
      </c>
      <c r="D247" s="438">
        <v>0</v>
      </c>
      <c r="E247" s="435">
        <f t="shared" si="76"/>
        <v>0</v>
      </c>
      <c r="F247" s="438">
        <v>0</v>
      </c>
      <c r="G247" s="407">
        <f t="shared" si="77"/>
        <v>0</v>
      </c>
      <c r="H247" s="438">
        <v>0</v>
      </c>
      <c r="I247" s="407">
        <f t="shared" si="72"/>
        <v>0</v>
      </c>
      <c r="J247" s="438">
        <v>0</v>
      </c>
      <c r="K247" s="436">
        <f t="shared" si="83"/>
        <v>0</v>
      </c>
      <c r="L247" s="438">
        <v>0</v>
      </c>
      <c r="M247" s="435">
        <f t="shared" si="85"/>
        <v>0</v>
      </c>
      <c r="N247" s="438">
        <v>0</v>
      </c>
      <c r="O247" s="437">
        <f t="shared" si="73"/>
        <v>0</v>
      </c>
      <c r="P247" s="438">
        <v>0</v>
      </c>
      <c r="Q247" s="437">
        <f t="shared" si="74"/>
        <v>0</v>
      </c>
      <c r="R247" s="438">
        <v>0</v>
      </c>
      <c r="S247" s="437">
        <f t="shared" si="84"/>
        <v>0</v>
      </c>
      <c r="T247" s="438">
        <v>0</v>
      </c>
      <c r="U247" s="407" t="e">
        <f t="shared" si="86"/>
        <v>#DIV/0!</v>
      </c>
      <c r="V247" s="438">
        <v>0</v>
      </c>
      <c r="W247" s="410" t="e">
        <f t="shared" si="88"/>
        <v>#DIV/0!</v>
      </c>
      <c r="X247" s="438">
        <v>0</v>
      </c>
      <c r="Y247" s="407" t="e">
        <f t="shared" si="89"/>
        <v>#DIV/0!</v>
      </c>
      <c r="Z247" s="438">
        <v>0</v>
      </c>
      <c r="AA247" s="411" t="e">
        <f t="shared" si="90"/>
        <v>#DIV/0!</v>
      </c>
      <c r="AB247" s="438">
        <f t="shared" si="91"/>
        <v>0</v>
      </c>
      <c r="AC247" s="407">
        <f t="shared" si="78"/>
        <v>0</v>
      </c>
      <c r="AD247" s="438">
        <f t="shared" si="87"/>
        <v>0</v>
      </c>
      <c r="AE247" s="396"/>
      <c r="AG247" s="397">
        <f>VLOOKUP(B247,TWN_IS!B:P,15,0)</f>
        <v>0</v>
      </c>
      <c r="AH247" s="397">
        <f t="shared" si="75"/>
        <v>0</v>
      </c>
    </row>
    <row r="248" spans="1:34" outlineLevel="1">
      <c r="A248" s="432"/>
      <c r="B248" s="432" t="s">
        <v>1596</v>
      </c>
      <c r="D248" s="438">
        <v>0</v>
      </c>
      <c r="E248" s="435">
        <f t="shared" si="76"/>
        <v>0</v>
      </c>
      <c r="F248" s="438">
        <v>0</v>
      </c>
      <c r="G248" s="407">
        <f t="shared" si="77"/>
        <v>0</v>
      </c>
      <c r="H248" s="438">
        <v>0</v>
      </c>
      <c r="I248" s="407">
        <f t="shared" si="72"/>
        <v>0</v>
      </c>
      <c r="J248" s="438">
        <v>0</v>
      </c>
      <c r="K248" s="436">
        <f t="shared" si="83"/>
        <v>0</v>
      </c>
      <c r="L248" s="438">
        <v>0</v>
      </c>
      <c r="M248" s="435">
        <f t="shared" si="85"/>
        <v>0</v>
      </c>
      <c r="N248" s="438">
        <v>0</v>
      </c>
      <c r="O248" s="437">
        <f t="shared" si="73"/>
        <v>0</v>
      </c>
      <c r="P248" s="438">
        <v>0</v>
      </c>
      <c r="Q248" s="437">
        <f t="shared" si="74"/>
        <v>0</v>
      </c>
      <c r="R248" s="438">
        <v>0</v>
      </c>
      <c r="S248" s="437">
        <f t="shared" si="84"/>
        <v>0</v>
      </c>
      <c r="T248" s="438">
        <v>0</v>
      </c>
      <c r="U248" s="407" t="e">
        <f t="shared" si="86"/>
        <v>#DIV/0!</v>
      </c>
      <c r="V248" s="438">
        <v>0</v>
      </c>
      <c r="W248" s="410" t="e">
        <f t="shared" si="88"/>
        <v>#DIV/0!</v>
      </c>
      <c r="X248" s="438">
        <v>0</v>
      </c>
      <c r="Y248" s="407" t="e">
        <f t="shared" si="89"/>
        <v>#DIV/0!</v>
      </c>
      <c r="Z248" s="438">
        <v>0</v>
      </c>
      <c r="AA248" s="411" t="e">
        <f t="shared" si="90"/>
        <v>#DIV/0!</v>
      </c>
      <c r="AB248" s="438">
        <f t="shared" si="91"/>
        <v>0</v>
      </c>
      <c r="AC248" s="407">
        <f t="shared" si="78"/>
        <v>0</v>
      </c>
      <c r="AD248" s="438">
        <f t="shared" si="87"/>
        <v>0</v>
      </c>
      <c r="AE248" s="396"/>
      <c r="AG248" s="397">
        <f>VLOOKUP(B248,TWN_IS!B:P,15,0)</f>
        <v>0</v>
      </c>
      <c r="AH248" s="397">
        <f t="shared" si="75"/>
        <v>0</v>
      </c>
    </row>
    <row r="249" spans="1:34" outlineLevel="1">
      <c r="A249" s="432"/>
      <c r="B249" s="432" t="s">
        <v>1597</v>
      </c>
      <c r="D249" s="438">
        <v>0</v>
      </c>
      <c r="E249" s="435">
        <f t="shared" si="76"/>
        <v>0</v>
      </c>
      <c r="F249" s="438">
        <v>0</v>
      </c>
      <c r="G249" s="407">
        <f t="shared" si="77"/>
        <v>0</v>
      </c>
      <c r="H249" s="438">
        <v>0</v>
      </c>
      <c r="I249" s="407">
        <f t="shared" si="72"/>
        <v>0</v>
      </c>
      <c r="J249" s="438">
        <v>0</v>
      </c>
      <c r="K249" s="436">
        <f t="shared" si="83"/>
        <v>0</v>
      </c>
      <c r="L249" s="438">
        <v>0</v>
      </c>
      <c r="M249" s="435">
        <f t="shared" si="85"/>
        <v>0</v>
      </c>
      <c r="N249" s="438">
        <v>0</v>
      </c>
      <c r="O249" s="437">
        <f t="shared" si="73"/>
        <v>0</v>
      </c>
      <c r="P249" s="438">
        <v>0</v>
      </c>
      <c r="Q249" s="437">
        <f t="shared" si="74"/>
        <v>0</v>
      </c>
      <c r="R249" s="438">
        <v>0</v>
      </c>
      <c r="S249" s="437">
        <f t="shared" si="84"/>
        <v>0</v>
      </c>
      <c r="T249" s="438">
        <v>0</v>
      </c>
      <c r="U249" s="407" t="e">
        <f t="shared" si="86"/>
        <v>#DIV/0!</v>
      </c>
      <c r="V249" s="438">
        <v>0</v>
      </c>
      <c r="W249" s="410" t="e">
        <f t="shared" si="88"/>
        <v>#DIV/0!</v>
      </c>
      <c r="X249" s="438">
        <v>0</v>
      </c>
      <c r="Y249" s="407" t="e">
        <f t="shared" si="89"/>
        <v>#DIV/0!</v>
      </c>
      <c r="Z249" s="438">
        <v>0</v>
      </c>
      <c r="AA249" s="411" t="e">
        <f t="shared" si="90"/>
        <v>#DIV/0!</v>
      </c>
      <c r="AB249" s="438">
        <f t="shared" si="91"/>
        <v>0</v>
      </c>
      <c r="AC249" s="407">
        <f t="shared" si="78"/>
        <v>0</v>
      </c>
      <c r="AD249" s="438">
        <f t="shared" si="87"/>
        <v>0</v>
      </c>
      <c r="AE249" s="396"/>
      <c r="AG249" s="397">
        <f>VLOOKUP(B249,TWN_IS!B:P,15,0)</f>
        <v>0</v>
      </c>
      <c r="AH249" s="397">
        <f t="shared" si="75"/>
        <v>0</v>
      </c>
    </row>
    <row r="250" spans="1:34" outlineLevel="1">
      <c r="A250" s="432"/>
      <c r="B250" s="432" t="s">
        <v>1598</v>
      </c>
      <c r="D250" s="438">
        <v>0</v>
      </c>
      <c r="E250" s="435">
        <f t="shared" si="76"/>
        <v>0</v>
      </c>
      <c r="F250" s="438">
        <v>0</v>
      </c>
      <c r="G250" s="407">
        <f t="shared" si="77"/>
        <v>0</v>
      </c>
      <c r="H250" s="438">
        <v>0</v>
      </c>
      <c r="I250" s="407">
        <f t="shared" si="72"/>
        <v>0</v>
      </c>
      <c r="J250" s="438">
        <v>0</v>
      </c>
      <c r="K250" s="436">
        <f t="shared" si="83"/>
        <v>0</v>
      </c>
      <c r="L250" s="438">
        <v>0</v>
      </c>
      <c r="M250" s="435">
        <f t="shared" si="85"/>
        <v>0</v>
      </c>
      <c r="N250" s="438">
        <v>0</v>
      </c>
      <c r="O250" s="437">
        <f t="shared" si="73"/>
        <v>0</v>
      </c>
      <c r="P250" s="438">
        <v>0</v>
      </c>
      <c r="Q250" s="437">
        <f t="shared" si="74"/>
        <v>0</v>
      </c>
      <c r="R250" s="438">
        <v>0</v>
      </c>
      <c r="S250" s="437">
        <f t="shared" si="84"/>
        <v>0</v>
      </c>
      <c r="T250" s="438">
        <v>0</v>
      </c>
      <c r="U250" s="407" t="e">
        <f t="shared" si="86"/>
        <v>#DIV/0!</v>
      </c>
      <c r="V250" s="438">
        <v>0</v>
      </c>
      <c r="W250" s="410" t="e">
        <f t="shared" si="88"/>
        <v>#DIV/0!</v>
      </c>
      <c r="X250" s="438">
        <v>0</v>
      </c>
      <c r="Y250" s="407" t="e">
        <f t="shared" si="89"/>
        <v>#DIV/0!</v>
      </c>
      <c r="Z250" s="438">
        <v>0</v>
      </c>
      <c r="AA250" s="411" t="e">
        <f t="shared" si="90"/>
        <v>#DIV/0!</v>
      </c>
      <c r="AB250" s="438">
        <f t="shared" si="91"/>
        <v>0</v>
      </c>
      <c r="AC250" s="407">
        <f t="shared" si="78"/>
        <v>0</v>
      </c>
      <c r="AD250" s="438">
        <f t="shared" si="87"/>
        <v>0</v>
      </c>
      <c r="AE250" s="396"/>
      <c r="AG250" s="397">
        <f>VLOOKUP(B250,TWN_IS!B:P,15,0)</f>
        <v>0</v>
      </c>
      <c r="AH250" s="397">
        <f t="shared" si="75"/>
        <v>0</v>
      </c>
    </row>
    <row r="251" spans="1:34" outlineLevel="1">
      <c r="A251" s="432"/>
      <c r="B251" s="432" t="s">
        <v>1599</v>
      </c>
      <c r="D251" s="438">
        <v>0</v>
      </c>
      <c r="E251" s="435">
        <f t="shared" si="76"/>
        <v>0</v>
      </c>
      <c r="F251" s="438">
        <v>0</v>
      </c>
      <c r="G251" s="407">
        <f t="shared" si="77"/>
        <v>0</v>
      </c>
      <c r="H251" s="438">
        <v>0</v>
      </c>
      <c r="I251" s="407">
        <f t="shared" si="72"/>
        <v>0</v>
      </c>
      <c r="J251" s="438">
        <v>0</v>
      </c>
      <c r="K251" s="436">
        <f t="shared" si="83"/>
        <v>0</v>
      </c>
      <c r="L251" s="438">
        <v>0</v>
      </c>
      <c r="M251" s="435">
        <f t="shared" si="85"/>
        <v>0</v>
      </c>
      <c r="N251" s="438">
        <v>0</v>
      </c>
      <c r="O251" s="437">
        <f t="shared" si="73"/>
        <v>0</v>
      </c>
      <c r="P251" s="438">
        <v>0</v>
      </c>
      <c r="Q251" s="437">
        <f t="shared" si="74"/>
        <v>0</v>
      </c>
      <c r="R251" s="438">
        <v>0</v>
      </c>
      <c r="S251" s="437">
        <f t="shared" si="84"/>
        <v>0</v>
      </c>
      <c r="T251" s="438">
        <v>0</v>
      </c>
      <c r="U251" s="407" t="e">
        <f t="shared" si="86"/>
        <v>#DIV/0!</v>
      </c>
      <c r="V251" s="438">
        <v>0</v>
      </c>
      <c r="W251" s="410" t="e">
        <f t="shared" si="88"/>
        <v>#DIV/0!</v>
      </c>
      <c r="X251" s="438">
        <v>0</v>
      </c>
      <c r="Y251" s="407" t="e">
        <f t="shared" si="89"/>
        <v>#DIV/0!</v>
      </c>
      <c r="Z251" s="438">
        <v>0</v>
      </c>
      <c r="AA251" s="411" t="e">
        <f t="shared" si="90"/>
        <v>#DIV/0!</v>
      </c>
      <c r="AB251" s="438">
        <f t="shared" si="91"/>
        <v>0</v>
      </c>
      <c r="AC251" s="407">
        <f t="shared" si="78"/>
        <v>0</v>
      </c>
      <c r="AD251" s="438">
        <f t="shared" si="87"/>
        <v>0</v>
      </c>
      <c r="AE251" s="396"/>
      <c r="AG251" s="397">
        <f>VLOOKUP(B251,TWN_IS!B:P,15,0)</f>
        <v>0</v>
      </c>
      <c r="AH251" s="397">
        <f t="shared" si="75"/>
        <v>0</v>
      </c>
    </row>
    <row r="252" spans="1:34" outlineLevel="1">
      <c r="A252" s="432"/>
      <c r="B252" s="432" t="s">
        <v>1600</v>
      </c>
      <c r="D252" s="438">
        <v>0</v>
      </c>
      <c r="E252" s="435">
        <f t="shared" si="76"/>
        <v>0</v>
      </c>
      <c r="F252" s="438">
        <v>0</v>
      </c>
      <c r="G252" s="407">
        <f t="shared" si="77"/>
        <v>0</v>
      </c>
      <c r="H252" s="438">
        <v>0</v>
      </c>
      <c r="I252" s="407">
        <f t="shared" si="72"/>
        <v>0</v>
      </c>
      <c r="J252" s="438">
        <v>0</v>
      </c>
      <c r="K252" s="436">
        <f t="shared" si="83"/>
        <v>0</v>
      </c>
      <c r="L252" s="438">
        <v>0</v>
      </c>
      <c r="M252" s="435">
        <f t="shared" si="85"/>
        <v>0</v>
      </c>
      <c r="N252" s="438">
        <v>0</v>
      </c>
      <c r="O252" s="437">
        <f t="shared" si="73"/>
        <v>0</v>
      </c>
      <c r="P252" s="438">
        <v>0</v>
      </c>
      <c r="Q252" s="437">
        <f t="shared" si="74"/>
        <v>0</v>
      </c>
      <c r="R252" s="438">
        <v>0</v>
      </c>
      <c r="S252" s="437">
        <f t="shared" si="84"/>
        <v>0</v>
      </c>
      <c r="T252" s="438">
        <v>0</v>
      </c>
      <c r="U252" s="407" t="e">
        <f t="shared" si="86"/>
        <v>#DIV/0!</v>
      </c>
      <c r="V252" s="438">
        <v>0</v>
      </c>
      <c r="W252" s="410" t="e">
        <f t="shared" si="88"/>
        <v>#DIV/0!</v>
      </c>
      <c r="X252" s="438">
        <v>0</v>
      </c>
      <c r="Y252" s="407" t="e">
        <f t="shared" si="89"/>
        <v>#DIV/0!</v>
      </c>
      <c r="Z252" s="438">
        <v>0</v>
      </c>
      <c r="AA252" s="411" t="e">
        <f t="shared" si="90"/>
        <v>#DIV/0!</v>
      </c>
      <c r="AB252" s="438">
        <f t="shared" si="91"/>
        <v>0</v>
      </c>
      <c r="AC252" s="407">
        <f t="shared" si="78"/>
        <v>0</v>
      </c>
      <c r="AD252" s="438">
        <f t="shared" si="87"/>
        <v>0</v>
      </c>
      <c r="AE252" s="396"/>
      <c r="AG252" s="397">
        <f>VLOOKUP(B252,TWN_IS!B:P,15,0)</f>
        <v>0</v>
      </c>
      <c r="AH252" s="397">
        <f t="shared" si="75"/>
        <v>0</v>
      </c>
    </row>
    <row r="253" spans="1:34" outlineLevel="1">
      <c r="A253" s="432"/>
      <c r="B253" s="432" t="s">
        <v>1601</v>
      </c>
      <c r="D253" s="438">
        <v>0</v>
      </c>
      <c r="E253" s="435">
        <f t="shared" si="76"/>
        <v>0</v>
      </c>
      <c r="F253" s="438">
        <v>0</v>
      </c>
      <c r="G253" s="407">
        <f t="shared" si="77"/>
        <v>0</v>
      </c>
      <c r="H253" s="438">
        <v>0</v>
      </c>
      <c r="I253" s="407">
        <f t="shared" si="72"/>
        <v>0</v>
      </c>
      <c r="J253" s="438">
        <v>0</v>
      </c>
      <c r="K253" s="436">
        <f t="shared" si="83"/>
        <v>0</v>
      </c>
      <c r="L253" s="438">
        <v>0</v>
      </c>
      <c r="M253" s="435">
        <f t="shared" si="85"/>
        <v>0</v>
      </c>
      <c r="N253" s="438">
        <v>0</v>
      </c>
      <c r="O253" s="437">
        <f t="shared" si="73"/>
        <v>0</v>
      </c>
      <c r="P253" s="438">
        <v>0</v>
      </c>
      <c r="Q253" s="437">
        <f t="shared" si="74"/>
        <v>0</v>
      </c>
      <c r="R253" s="438">
        <v>0</v>
      </c>
      <c r="S253" s="437">
        <f t="shared" si="84"/>
        <v>0</v>
      </c>
      <c r="T253" s="438">
        <v>0</v>
      </c>
      <c r="U253" s="407" t="e">
        <f t="shared" si="86"/>
        <v>#DIV/0!</v>
      </c>
      <c r="V253" s="438">
        <v>0</v>
      </c>
      <c r="W253" s="410" t="e">
        <f t="shared" si="88"/>
        <v>#DIV/0!</v>
      </c>
      <c r="X253" s="438">
        <v>0</v>
      </c>
      <c r="Y253" s="407" t="e">
        <f t="shared" si="89"/>
        <v>#DIV/0!</v>
      </c>
      <c r="Z253" s="438">
        <v>0</v>
      </c>
      <c r="AA253" s="411" t="e">
        <f t="shared" si="90"/>
        <v>#DIV/0!</v>
      </c>
      <c r="AB253" s="438">
        <f t="shared" si="91"/>
        <v>0</v>
      </c>
      <c r="AC253" s="407">
        <f t="shared" si="78"/>
        <v>0</v>
      </c>
      <c r="AD253" s="438">
        <f t="shared" si="87"/>
        <v>0</v>
      </c>
      <c r="AE253" s="396"/>
      <c r="AG253" s="397">
        <f>VLOOKUP(B253,TWN_IS!B:P,15,0)</f>
        <v>0</v>
      </c>
      <c r="AH253" s="397">
        <f t="shared" si="75"/>
        <v>0</v>
      </c>
    </row>
    <row r="254" spans="1:34" outlineLevel="1">
      <c r="A254" s="432"/>
      <c r="B254" s="432" t="s">
        <v>1602</v>
      </c>
      <c r="D254" s="438">
        <v>0</v>
      </c>
      <c r="E254" s="435">
        <f t="shared" si="76"/>
        <v>0</v>
      </c>
      <c r="F254" s="438">
        <v>0</v>
      </c>
      <c r="G254" s="407">
        <f t="shared" si="77"/>
        <v>0</v>
      </c>
      <c r="H254" s="438">
        <v>0</v>
      </c>
      <c r="I254" s="407">
        <f t="shared" si="72"/>
        <v>0</v>
      </c>
      <c r="J254" s="438">
        <v>0</v>
      </c>
      <c r="K254" s="436">
        <f t="shared" si="83"/>
        <v>0</v>
      </c>
      <c r="L254" s="438">
        <v>0</v>
      </c>
      <c r="M254" s="435">
        <f t="shared" si="85"/>
        <v>0</v>
      </c>
      <c r="N254" s="438">
        <v>0</v>
      </c>
      <c r="O254" s="437">
        <f t="shared" si="73"/>
        <v>0</v>
      </c>
      <c r="P254" s="438">
        <v>0</v>
      </c>
      <c r="Q254" s="437">
        <f t="shared" si="74"/>
        <v>0</v>
      </c>
      <c r="R254" s="438">
        <v>0</v>
      </c>
      <c r="S254" s="437">
        <f t="shared" si="84"/>
        <v>0</v>
      </c>
      <c r="T254" s="438">
        <v>0</v>
      </c>
      <c r="U254" s="407" t="e">
        <f t="shared" si="86"/>
        <v>#DIV/0!</v>
      </c>
      <c r="V254" s="438">
        <v>0</v>
      </c>
      <c r="W254" s="410" t="e">
        <f t="shared" si="88"/>
        <v>#DIV/0!</v>
      </c>
      <c r="X254" s="438">
        <v>0</v>
      </c>
      <c r="Y254" s="407" t="e">
        <f t="shared" si="89"/>
        <v>#DIV/0!</v>
      </c>
      <c r="Z254" s="438">
        <v>0</v>
      </c>
      <c r="AA254" s="411" t="e">
        <f t="shared" si="90"/>
        <v>#DIV/0!</v>
      </c>
      <c r="AB254" s="438">
        <f t="shared" si="91"/>
        <v>0</v>
      </c>
      <c r="AC254" s="407">
        <f t="shared" si="78"/>
        <v>0</v>
      </c>
      <c r="AD254" s="438">
        <f t="shared" si="87"/>
        <v>0</v>
      </c>
      <c r="AE254" s="396"/>
      <c r="AG254" s="397">
        <f>VLOOKUP(B254,TWN_IS!B:P,15,0)</f>
        <v>0</v>
      </c>
      <c r="AH254" s="397">
        <f t="shared" si="75"/>
        <v>0</v>
      </c>
    </row>
    <row r="255" spans="1:34" outlineLevel="1">
      <c r="A255" s="432"/>
      <c r="B255" s="432" t="s">
        <v>1603</v>
      </c>
      <c r="D255" s="438">
        <v>0</v>
      </c>
      <c r="E255" s="435">
        <f t="shared" si="76"/>
        <v>0</v>
      </c>
      <c r="F255" s="438">
        <v>0</v>
      </c>
      <c r="G255" s="407">
        <f t="shared" si="77"/>
        <v>0</v>
      </c>
      <c r="H255" s="438">
        <v>0</v>
      </c>
      <c r="I255" s="407">
        <f t="shared" si="72"/>
        <v>0</v>
      </c>
      <c r="J255" s="438">
        <v>0</v>
      </c>
      <c r="K255" s="436">
        <f t="shared" si="83"/>
        <v>0</v>
      </c>
      <c r="L255" s="438">
        <v>0</v>
      </c>
      <c r="M255" s="435">
        <f t="shared" si="85"/>
        <v>0</v>
      </c>
      <c r="N255" s="438">
        <v>0</v>
      </c>
      <c r="O255" s="437">
        <f t="shared" si="73"/>
        <v>0</v>
      </c>
      <c r="P255" s="438">
        <v>0</v>
      </c>
      <c r="Q255" s="437">
        <f t="shared" si="74"/>
        <v>0</v>
      </c>
      <c r="R255" s="438">
        <v>0</v>
      </c>
      <c r="S255" s="437">
        <f t="shared" si="84"/>
        <v>0</v>
      </c>
      <c r="T255" s="438">
        <v>0</v>
      </c>
      <c r="U255" s="407" t="e">
        <f t="shared" si="86"/>
        <v>#DIV/0!</v>
      </c>
      <c r="V255" s="438">
        <v>0</v>
      </c>
      <c r="W255" s="410" t="e">
        <f t="shared" si="88"/>
        <v>#DIV/0!</v>
      </c>
      <c r="X255" s="438">
        <v>0</v>
      </c>
      <c r="Y255" s="407" t="e">
        <f t="shared" si="89"/>
        <v>#DIV/0!</v>
      </c>
      <c r="Z255" s="438">
        <v>0</v>
      </c>
      <c r="AA255" s="411" t="e">
        <f t="shared" si="90"/>
        <v>#DIV/0!</v>
      </c>
      <c r="AB255" s="438">
        <f t="shared" si="91"/>
        <v>0</v>
      </c>
      <c r="AC255" s="407">
        <f t="shared" si="78"/>
        <v>0</v>
      </c>
      <c r="AD255" s="438">
        <f t="shared" si="87"/>
        <v>0</v>
      </c>
      <c r="AE255" s="396"/>
      <c r="AG255" s="397">
        <f>VLOOKUP(B255,TWN_IS!B:P,15,0)</f>
        <v>0</v>
      </c>
      <c r="AH255" s="397">
        <f t="shared" si="75"/>
        <v>0</v>
      </c>
    </row>
    <row r="256" spans="1:34" outlineLevel="1">
      <c r="A256" s="463"/>
      <c r="B256" s="463" t="s">
        <v>1604</v>
      </c>
      <c r="C256" s="464"/>
      <c r="D256" s="465">
        <v>5599361</v>
      </c>
      <c r="E256" s="466">
        <f t="shared" si="76"/>
        <v>9.2940155593932053E-2</v>
      </c>
      <c r="F256" s="465">
        <v>4644987</v>
      </c>
      <c r="G256" s="467">
        <f t="shared" si="77"/>
        <v>8.7523190412933494E-2</v>
      </c>
      <c r="H256" s="465">
        <v>3836889</v>
      </c>
      <c r="I256" s="467">
        <f t="shared" si="72"/>
        <v>6.020352108996474E-2</v>
      </c>
      <c r="J256" s="465">
        <v>3895955</v>
      </c>
      <c r="K256" s="468">
        <f t="shared" si="83"/>
        <v>5.7832935108797237E-2</v>
      </c>
      <c r="L256" s="465">
        <v>2165183</v>
      </c>
      <c r="M256" s="466">
        <f t="shared" si="85"/>
        <v>4.0636794759471434E-2</v>
      </c>
      <c r="N256" s="465">
        <v>1755192</v>
      </c>
      <c r="O256" s="469">
        <f t="shared" si="73"/>
        <v>2.0062096311623017E-2</v>
      </c>
      <c r="P256" s="465">
        <v>2260251</v>
      </c>
      <c r="Q256" s="469">
        <f t="shared" si="74"/>
        <v>2.3007167891309434E-2</v>
      </c>
      <c r="R256" s="465">
        <v>704027</v>
      </c>
      <c r="S256" s="469">
        <f t="shared" si="84"/>
        <v>8.5715922394270453E-3</v>
      </c>
      <c r="T256" s="465">
        <v>0</v>
      </c>
      <c r="U256" s="467" t="e">
        <f t="shared" si="86"/>
        <v>#DIV/0!</v>
      </c>
      <c r="V256" s="465">
        <v>0</v>
      </c>
      <c r="W256" s="470" t="e">
        <f t="shared" si="88"/>
        <v>#DIV/0!</v>
      </c>
      <c r="X256" s="465">
        <v>0</v>
      </c>
      <c r="Y256" s="467" t="e">
        <f t="shared" si="89"/>
        <v>#DIV/0!</v>
      </c>
      <c r="Z256" s="465">
        <v>0</v>
      </c>
      <c r="AA256" s="471" t="e">
        <f t="shared" si="90"/>
        <v>#DIV/0!</v>
      </c>
      <c r="AB256" s="465">
        <f t="shared" si="91"/>
        <v>24861845</v>
      </c>
      <c r="AC256" s="467">
        <f t="shared" si="78"/>
        <v>4.3959578924018361E-2</v>
      </c>
      <c r="AD256" s="465">
        <f t="shared" si="87"/>
        <v>2071820.4166666667</v>
      </c>
      <c r="AE256" s="401"/>
      <c r="AG256" s="397">
        <f>VLOOKUP(B256,TWN_IS!B:P,15,0)</f>
        <v>24861845</v>
      </c>
      <c r="AH256" s="397">
        <f t="shared" si="75"/>
        <v>0</v>
      </c>
    </row>
    <row r="257" spans="1:34" outlineLevel="1">
      <c r="A257" s="432"/>
      <c r="B257" s="432" t="s">
        <v>1605</v>
      </c>
      <c r="D257" s="438">
        <v>76888</v>
      </c>
      <c r="E257" s="435">
        <f t="shared" si="76"/>
        <v>1.2762139614335005E-3</v>
      </c>
      <c r="F257" s="438">
        <v>3801528</v>
      </c>
      <c r="G257" s="407">
        <f t="shared" si="77"/>
        <v>7.1630310053418508E-2</v>
      </c>
      <c r="H257" s="438">
        <v>2842966</v>
      </c>
      <c r="I257" s="407">
        <f t="shared" si="72"/>
        <v>4.4608161335668736E-2</v>
      </c>
      <c r="J257" s="438">
        <v>3895955</v>
      </c>
      <c r="K257" s="436">
        <f t="shared" si="83"/>
        <v>5.7832935108797237E-2</v>
      </c>
      <c r="L257" s="438">
        <v>1410102</v>
      </c>
      <c r="M257" s="435">
        <f t="shared" si="85"/>
        <v>2.6465211284182534E-2</v>
      </c>
      <c r="N257" s="438">
        <v>1755192</v>
      </c>
      <c r="O257" s="437">
        <f t="shared" si="73"/>
        <v>2.0062096311623017E-2</v>
      </c>
      <c r="P257" s="438">
        <v>145899</v>
      </c>
      <c r="Q257" s="437">
        <f t="shared" si="74"/>
        <v>1.4851106307105517E-3</v>
      </c>
      <c r="R257" s="438">
        <v>433355</v>
      </c>
      <c r="S257" s="437">
        <f t="shared" si="84"/>
        <v>5.2761362205098767E-3</v>
      </c>
      <c r="T257" s="438">
        <v>0</v>
      </c>
      <c r="U257" s="407" t="e">
        <f t="shared" si="86"/>
        <v>#DIV/0!</v>
      </c>
      <c r="V257" s="438">
        <v>0</v>
      </c>
      <c r="W257" s="410" t="e">
        <f t="shared" si="88"/>
        <v>#DIV/0!</v>
      </c>
      <c r="X257" s="438">
        <v>0</v>
      </c>
      <c r="Y257" s="407" t="e">
        <f t="shared" si="89"/>
        <v>#DIV/0!</v>
      </c>
      <c r="Z257" s="438">
        <v>0</v>
      </c>
      <c r="AA257" s="411" t="e">
        <f t="shared" si="90"/>
        <v>#DIV/0!</v>
      </c>
      <c r="AB257" s="438">
        <f t="shared" si="91"/>
        <v>14361885</v>
      </c>
      <c r="AC257" s="407">
        <f t="shared" si="78"/>
        <v>2.5394029170207416E-2</v>
      </c>
      <c r="AD257" s="438">
        <f t="shared" si="87"/>
        <v>1196823.75</v>
      </c>
      <c r="AE257" s="396"/>
      <c r="AG257" s="397">
        <f>VLOOKUP(B257,TWN_IS!B:P,15,0)</f>
        <v>14361885</v>
      </c>
      <c r="AH257" s="397">
        <f t="shared" si="75"/>
        <v>0</v>
      </c>
    </row>
    <row r="258" spans="1:34" outlineLevel="1">
      <c r="A258" s="432"/>
      <c r="B258" s="432" t="s">
        <v>1606</v>
      </c>
      <c r="D258" s="438">
        <v>5522473</v>
      </c>
      <c r="E258" s="435">
        <f t="shared" si="76"/>
        <v>9.1663941632498552E-2</v>
      </c>
      <c r="F258" s="438">
        <v>843459</v>
      </c>
      <c r="G258" s="407">
        <f t="shared" si="77"/>
        <v>1.5892880359514992E-2</v>
      </c>
      <c r="H258" s="438">
        <v>993923</v>
      </c>
      <c r="I258" s="407">
        <f t="shared" si="72"/>
        <v>1.5595359754295999E-2</v>
      </c>
      <c r="J258" s="438">
        <v>0</v>
      </c>
      <c r="K258" s="436">
        <f t="shared" si="83"/>
        <v>0</v>
      </c>
      <c r="L258" s="438">
        <v>755081</v>
      </c>
      <c r="M258" s="435">
        <f t="shared" si="85"/>
        <v>1.4171583475288902E-2</v>
      </c>
      <c r="N258" s="438">
        <v>0</v>
      </c>
      <c r="O258" s="437">
        <f t="shared" si="73"/>
        <v>0</v>
      </c>
      <c r="P258" s="438">
        <v>2114352</v>
      </c>
      <c r="Q258" s="437">
        <f t="shared" si="74"/>
        <v>2.1522057260598883E-2</v>
      </c>
      <c r="R258" s="438">
        <v>270672</v>
      </c>
      <c r="S258" s="437">
        <f t="shared" si="84"/>
        <v>3.2954560189171682E-3</v>
      </c>
      <c r="T258" s="438">
        <v>0</v>
      </c>
      <c r="U258" s="407" t="e">
        <f t="shared" si="86"/>
        <v>#DIV/0!</v>
      </c>
      <c r="V258" s="438">
        <v>0</v>
      </c>
      <c r="W258" s="410" t="e">
        <f t="shared" si="88"/>
        <v>#DIV/0!</v>
      </c>
      <c r="X258" s="438">
        <v>0</v>
      </c>
      <c r="Y258" s="407" t="e">
        <f t="shared" si="89"/>
        <v>#DIV/0!</v>
      </c>
      <c r="Z258" s="438">
        <v>0</v>
      </c>
      <c r="AA258" s="411" t="e">
        <f t="shared" si="90"/>
        <v>#DIV/0!</v>
      </c>
      <c r="AB258" s="438">
        <f t="shared" si="91"/>
        <v>10499960</v>
      </c>
      <c r="AC258" s="407">
        <f t="shared" si="78"/>
        <v>1.8565549753810945E-2</v>
      </c>
      <c r="AD258" s="438">
        <f t="shared" si="87"/>
        <v>874996.66666666663</v>
      </c>
      <c r="AE258" s="396"/>
      <c r="AG258" s="397">
        <f>VLOOKUP(B258,TWN_IS!B:P,15,0)</f>
        <v>10499960</v>
      </c>
      <c r="AH258" s="397">
        <f t="shared" si="75"/>
        <v>0</v>
      </c>
    </row>
    <row r="259" spans="1:34" outlineLevel="1">
      <c r="A259" s="432"/>
      <c r="B259" s="432" t="s">
        <v>1607</v>
      </c>
      <c r="D259" s="438">
        <v>0</v>
      </c>
      <c r="E259" s="435">
        <f t="shared" si="76"/>
        <v>0</v>
      </c>
      <c r="F259" s="438">
        <v>0</v>
      </c>
      <c r="G259" s="407">
        <f t="shared" si="77"/>
        <v>0</v>
      </c>
      <c r="H259" s="438">
        <v>0</v>
      </c>
      <c r="I259" s="407">
        <f t="shared" si="72"/>
        <v>0</v>
      </c>
      <c r="J259" s="438">
        <v>0</v>
      </c>
      <c r="K259" s="436">
        <f t="shared" si="83"/>
        <v>0</v>
      </c>
      <c r="L259" s="438">
        <v>0</v>
      </c>
      <c r="M259" s="435">
        <f t="shared" si="85"/>
        <v>0</v>
      </c>
      <c r="N259" s="438">
        <v>0</v>
      </c>
      <c r="O259" s="437">
        <f t="shared" si="73"/>
        <v>0</v>
      </c>
      <c r="P259" s="438">
        <v>0</v>
      </c>
      <c r="Q259" s="437">
        <f t="shared" si="74"/>
        <v>0</v>
      </c>
      <c r="R259" s="438">
        <v>0</v>
      </c>
      <c r="S259" s="437">
        <f t="shared" si="84"/>
        <v>0</v>
      </c>
      <c r="T259" s="438">
        <v>0</v>
      </c>
      <c r="U259" s="407" t="e">
        <f t="shared" si="86"/>
        <v>#DIV/0!</v>
      </c>
      <c r="V259" s="438">
        <v>0</v>
      </c>
      <c r="W259" s="410" t="e">
        <f t="shared" si="88"/>
        <v>#DIV/0!</v>
      </c>
      <c r="X259" s="438">
        <v>0</v>
      </c>
      <c r="Y259" s="407" t="e">
        <f t="shared" si="89"/>
        <v>#DIV/0!</v>
      </c>
      <c r="Z259" s="438">
        <v>0</v>
      </c>
      <c r="AA259" s="411" t="e">
        <f t="shared" si="90"/>
        <v>#DIV/0!</v>
      </c>
      <c r="AB259" s="438">
        <f t="shared" si="91"/>
        <v>0</v>
      </c>
      <c r="AC259" s="407">
        <f t="shared" si="78"/>
        <v>0</v>
      </c>
      <c r="AD259" s="438">
        <f t="shared" si="87"/>
        <v>0</v>
      </c>
      <c r="AE259" s="396"/>
      <c r="AG259" s="397">
        <f>VLOOKUP(B259,TWN_IS!B:P,15,0)</f>
        <v>0</v>
      </c>
      <c r="AH259" s="397">
        <f t="shared" si="75"/>
        <v>0</v>
      </c>
    </row>
    <row r="260" spans="1:34" outlineLevel="1">
      <c r="A260" s="432"/>
      <c r="B260" s="432" t="s">
        <v>1608</v>
      </c>
      <c r="D260" s="438">
        <v>368283</v>
      </c>
      <c r="E260" s="435">
        <f t="shared" si="76"/>
        <v>6.1128902606208237E-3</v>
      </c>
      <c r="F260" s="438">
        <v>252106</v>
      </c>
      <c r="G260" s="407">
        <f t="shared" si="77"/>
        <v>4.7503085460181074E-3</v>
      </c>
      <c r="H260" s="438">
        <v>140305</v>
      </c>
      <c r="I260" s="407">
        <f t="shared" si="72"/>
        <v>2.2014853769622999E-3</v>
      </c>
      <c r="J260" s="438">
        <v>118770</v>
      </c>
      <c r="K260" s="436">
        <f t="shared" si="83"/>
        <v>1.7630639221633329E-3</v>
      </c>
      <c r="L260" s="438">
        <v>230411</v>
      </c>
      <c r="M260" s="435">
        <f t="shared" si="85"/>
        <v>4.324421777431549E-3</v>
      </c>
      <c r="N260" s="438">
        <v>277435</v>
      </c>
      <c r="O260" s="437">
        <f t="shared" si="73"/>
        <v>3.1711218432029843E-3</v>
      </c>
      <c r="P260" s="438">
        <v>178264</v>
      </c>
      <c r="Q260" s="437">
        <f t="shared" si="74"/>
        <v>1.814555010472901E-3</v>
      </c>
      <c r="R260" s="438">
        <v>416667</v>
      </c>
      <c r="S260" s="437">
        <f t="shared" si="84"/>
        <v>5.0729583149869946E-3</v>
      </c>
      <c r="T260" s="438">
        <v>0</v>
      </c>
      <c r="U260" s="407" t="e">
        <f t="shared" si="86"/>
        <v>#DIV/0!</v>
      </c>
      <c r="V260" s="438">
        <v>0</v>
      </c>
      <c r="W260" s="410" t="e">
        <f t="shared" si="88"/>
        <v>#DIV/0!</v>
      </c>
      <c r="X260" s="438">
        <v>0</v>
      </c>
      <c r="Y260" s="407" t="e">
        <f t="shared" si="89"/>
        <v>#DIV/0!</v>
      </c>
      <c r="Z260" s="438">
        <v>0</v>
      </c>
      <c r="AA260" s="411" t="e">
        <f t="shared" si="90"/>
        <v>#DIV/0!</v>
      </c>
      <c r="AB260" s="438">
        <f t="shared" si="91"/>
        <v>1982241</v>
      </c>
      <c r="AC260" s="407">
        <f t="shared" si="78"/>
        <v>3.5049080100823201E-3</v>
      </c>
      <c r="AD260" s="438">
        <f t="shared" si="87"/>
        <v>165186.75</v>
      </c>
      <c r="AE260" s="396"/>
      <c r="AG260" s="397">
        <f>VLOOKUP(B260,TWN_IS!B:P,15,0)</f>
        <v>1982241</v>
      </c>
      <c r="AH260" s="397">
        <f t="shared" si="75"/>
        <v>0</v>
      </c>
    </row>
    <row r="261" spans="1:34" outlineLevel="1">
      <c r="A261" s="432"/>
      <c r="B261" s="432" t="s">
        <v>1609</v>
      </c>
      <c r="D261" s="438">
        <v>0</v>
      </c>
      <c r="E261" s="435">
        <f t="shared" si="76"/>
        <v>0</v>
      </c>
      <c r="F261" s="438">
        <v>0</v>
      </c>
      <c r="G261" s="407">
        <f t="shared" si="77"/>
        <v>0</v>
      </c>
      <c r="H261" s="438">
        <v>0</v>
      </c>
      <c r="I261" s="407">
        <f t="shared" si="72"/>
        <v>0</v>
      </c>
      <c r="J261" s="438">
        <v>0</v>
      </c>
      <c r="K261" s="436">
        <f t="shared" si="83"/>
        <v>0</v>
      </c>
      <c r="L261" s="438">
        <v>0</v>
      </c>
      <c r="M261" s="435">
        <f t="shared" si="85"/>
        <v>0</v>
      </c>
      <c r="N261" s="438">
        <v>0</v>
      </c>
      <c r="O261" s="437">
        <f t="shared" si="73"/>
        <v>0</v>
      </c>
      <c r="P261" s="438">
        <v>0</v>
      </c>
      <c r="Q261" s="437">
        <f t="shared" si="74"/>
        <v>0</v>
      </c>
      <c r="R261" s="438">
        <v>0</v>
      </c>
      <c r="S261" s="437">
        <f t="shared" si="84"/>
        <v>0</v>
      </c>
      <c r="T261" s="438">
        <v>0</v>
      </c>
      <c r="U261" s="407" t="e">
        <f t="shared" si="86"/>
        <v>#DIV/0!</v>
      </c>
      <c r="V261" s="438">
        <v>0</v>
      </c>
      <c r="W261" s="410" t="e">
        <f t="shared" si="88"/>
        <v>#DIV/0!</v>
      </c>
      <c r="X261" s="438">
        <v>0</v>
      </c>
      <c r="Y261" s="407" t="e">
        <f t="shared" si="89"/>
        <v>#DIV/0!</v>
      </c>
      <c r="Z261" s="438">
        <v>0</v>
      </c>
      <c r="AA261" s="411" t="e">
        <f t="shared" si="90"/>
        <v>#DIV/0!</v>
      </c>
      <c r="AB261" s="438">
        <f t="shared" si="91"/>
        <v>0</v>
      </c>
      <c r="AC261" s="407">
        <f t="shared" si="78"/>
        <v>0</v>
      </c>
      <c r="AD261" s="438">
        <f t="shared" si="87"/>
        <v>0</v>
      </c>
      <c r="AE261" s="396"/>
      <c r="AG261" s="397">
        <f>VLOOKUP(B261,TWN_IS!B:P,15,0)</f>
        <v>0</v>
      </c>
      <c r="AH261" s="397">
        <f t="shared" si="75"/>
        <v>0</v>
      </c>
    </row>
    <row r="262" spans="1:34" outlineLevel="1">
      <c r="A262" s="432"/>
      <c r="B262" s="432" t="s">
        <v>1610</v>
      </c>
      <c r="D262" s="438">
        <v>0</v>
      </c>
      <c r="E262" s="435">
        <f t="shared" si="76"/>
        <v>0</v>
      </c>
      <c r="F262" s="438">
        <v>0</v>
      </c>
      <c r="G262" s="407">
        <f t="shared" si="77"/>
        <v>0</v>
      </c>
      <c r="H262" s="438">
        <v>0</v>
      </c>
      <c r="I262" s="407">
        <f t="shared" si="72"/>
        <v>0</v>
      </c>
      <c r="J262" s="438">
        <v>0</v>
      </c>
      <c r="K262" s="436">
        <f t="shared" si="83"/>
        <v>0</v>
      </c>
      <c r="L262" s="438">
        <v>0</v>
      </c>
      <c r="M262" s="435">
        <f t="shared" si="85"/>
        <v>0</v>
      </c>
      <c r="N262" s="438">
        <v>0</v>
      </c>
      <c r="O262" s="437">
        <f t="shared" si="73"/>
        <v>0</v>
      </c>
      <c r="P262" s="438">
        <v>0</v>
      </c>
      <c r="Q262" s="437">
        <f t="shared" si="74"/>
        <v>0</v>
      </c>
      <c r="R262" s="438">
        <v>0</v>
      </c>
      <c r="S262" s="437">
        <f t="shared" si="84"/>
        <v>0</v>
      </c>
      <c r="T262" s="438">
        <v>0</v>
      </c>
      <c r="U262" s="407" t="e">
        <f t="shared" si="86"/>
        <v>#DIV/0!</v>
      </c>
      <c r="V262" s="438">
        <v>0</v>
      </c>
      <c r="W262" s="410" t="e">
        <f t="shared" si="88"/>
        <v>#DIV/0!</v>
      </c>
      <c r="X262" s="438">
        <v>0</v>
      </c>
      <c r="Y262" s="407" t="e">
        <f t="shared" si="89"/>
        <v>#DIV/0!</v>
      </c>
      <c r="Z262" s="438">
        <v>0</v>
      </c>
      <c r="AA262" s="411" t="e">
        <f t="shared" si="90"/>
        <v>#DIV/0!</v>
      </c>
      <c r="AB262" s="438">
        <f t="shared" si="91"/>
        <v>0</v>
      </c>
      <c r="AC262" s="407">
        <f t="shared" si="78"/>
        <v>0</v>
      </c>
      <c r="AD262" s="438">
        <f t="shared" si="87"/>
        <v>0</v>
      </c>
      <c r="AE262" s="396"/>
      <c r="AG262" s="397">
        <f>VLOOKUP(B262,TWN_IS!B:P,15,0)</f>
        <v>0</v>
      </c>
      <c r="AH262" s="397">
        <f t="shared" si="75"/>
        <v>0</v>
      </c>
    </row>
    <row r="263" spans="1:34" outlineLevel="1">
      <c r="A263" s="432"/>
      <c r="B263" s="432" t="s">
        <v>1611</v>
      </c>
      <c r="D263" s="438">
        <v>0</v>
      </c>
      <c r="E263" s="435">
        <f t="shared" si="76"/>
        <v>0</v>
      </c>
      <c r="F263" s="438">
        <v>0</v>
      </c>
      <c r="G263" s="407">
        <f t="shared" si="77"/>
        <v>0</v>
      </c>
      <c r="H263" s="438">
        <v>0</v>
      </c>
      <c r="I263" s="407">
        <f t="shared" si="72"/>
        <v>0</v>
      </c>
      <c r="J263" s="438">
        <v>133996</v>
      </c>
      <c r="K263" s="436">
        <f t="shared" si="83"/>
        <v>1.9890840558575225E-3</v>
      </c>
      <c r="L263" s="438">
        <v>0</v>
      </c>
      <c r="M263" s="435">
        <f t="shared" si="85"/>
        <v>0</v>
      </c>
      <c r="N263" s="438">
        <v>0</v>
      </c>
      <c r="O263" s="437">
        <f t="shared" si="73"/>
        <v>0</v>
      </c>
      <c r="P263" s="438">
        <v>0</v>
      </c>
      <c r="Q263" s="437">
        <f t="shared" si="74"/>
        <v>0</v>
      </c>
      <c r="R263" s="438">
        <v>0</v>
      </c>
      <c r="S263" s="437">
        <f t="shared" si="84"/>
        <v>0</v>
      </c>
      <c r="T263" s="438">
        <v>0</v>
      </c>
      <c r="U263" s="407" t="e">
        <f t="shared" si="86"/>
        <v>#DIV/0!</v>
      </c>
      <c r="V263" s="438">
        <v>0</v>
      </c>
      <c r="W263" s="410" t="e">
        <f t="shared" si="88"/>
        <v>#DIV/0!</v>
      </c>
      <c r="X263" s="438">
        <v>0</v>
      </c>
      <c r="Y263" s="407" t="e">
        <f t="shared" si="89"/>
        <v>#DIV/0!</v>
      </c>
      <c r="Z263" s="438">
        <v>0</v>
      </c>
      <c r="AA263" s="411" t="e">
        <f t="shared" si="90"/>
        <v>#DIV/0!</v>
      </c>
      <c r="AB263" s="438">
        <f t="shared" si="91"/>
        <v>133996</v>
      </c>
      <c r="AC263" s="407">
        <f t="shared" si="78"/>
        <v>2.3692560779390123E-4</v>
      </c>
      <c r="AD263" s="438">
        <f t="shared" si="87"/>
        <v>11166.333333333334</v>
      </c>
      <c r="AE263" s="396"/>
      <c r="AG263" s="397">
        <f>VLOOKUP(B263,TWN_IS!B:P,15,0)</f>
        <v>133996</v>
      </c>
      <c r="AH263" s="397">
        <f t="shared" si="75"/>
        <v>0</v>
      </c>
    </row>
    <row r="264" spans="1:34">
      <c r="A264" s="432"/>
      <c r="B264" s="431" t="s">
        <v>1612</v>
      </c>
      <c r="D264" s="438">
        <v>5993945</v>
      </c>
      <c r="E264" s="435">
        <f t="shared" si="76"/>
        <v>9.9489599067013365E-2</v>
      </c>
      <c r="F264" s="438">
        <v>4971920</v>
      </c>
      <c r="G264" s="407">
        <f t="shared" si="77"/>
        <v>9.3683427074795322E-2</v>
      </c>
      <c r="H264" s="438">
        <v>4047156</v>
      </c>
      <c r="I264" s="407">
        <f t="shared" si="72"/>
        <v>6.3502760074731726E-2</v>
      </c>
      <c r="J264" s="438">
        <v>4242709</v>
      </c>
      <c r="K264" s="436">
        <f t="shared" si="83"/>
        <v>6.2980274228657679E-2</v>
      </c>
      <c r="L264" s="438">
        <v>2487538</v>
      </c>
      <c r="M264" s="435">
        <f t="shared" si="85"/>
        <v>4.6686848715506289E-2</v>
      </c>
      <c r="N264" s="438">
        <v>2145488</v>
      </c>
      <c r="O264" s="437">
        <f t="shared" si="73"/>
        <v>2.4523235572764372E-2</v>
      </c>
      <c r="P264" s="438">
        <v>2535267</v>
      </c>
      <c r="Q264" s="437">
        <f t="shared" si="74"/>
        <v>2.5806564632997128E-2</v>
      </c>
      <c r="R264" s="438">
        <v>1238320</v>
      </c>
      <c r="S264" s="437">
        <f t="shared" si="84"/>
        <v>1.5076657716149095E-2</v>
      </c>
      <c r="T264" s="438">
        <v>0</v>
      </c>
      <c r="U264" s="407" t="e">
        <f t="shared" si="86"/>
        <v>#DIV/0!</v>
      </c>
      <c r="V264" s="438">
        <v>0</v>
      </c>
      <c r="W264" s="410" t="e">
        <f t="shared" si="88"/>
        <v>#DIV/0!</v>
      </c>
      <c r="X264" s="438">
        <v>0</v>
      </c>
      <c r="Y264" s="407" t="e">
        <f t="shared" si="89"/>
        <v>#DIV/0!</v>
      </c>
      <c r="Z264" s="438">
        <v>0</v>
      </c>
      <c r="AA264" s="411" t="e">
        <f t="shared" si="90"/>
        <v>#DIV/0!</v>
      </c>
      <c r="AB264" s="438">
        <f t="shared" si="91"/>
        <v>27662343</v>
      </c>
      <c r="AC264" s="407">
        <f t="shared" si="78"/>
        <v>4.8911291592871199E-2</v>
      </c>
      <c r="AD264" s="438">
        <f t="shared" si="87"/>
        <v>2305195.25</v>
      </c>
      <c r="AE264" s="396"/>
      <c r="AG264" s="397">
        <f>VLOOKUP(B264,TWN_IS!B:P,15,0)</f>
        <v>27662343</v>
      </c>
      <c r="AH264" s="397">
        <f t="shared" si="75"/>
        <v>0</v>
      </c>
    </row>
    <row r="265" spans="1:34">
      <c r="A265" s="431" t="s">
        <v>1613</v>
      </c>
      <c r="B265" s="432"/>
      <c r="D265" s="438">
        <v>-4980453</v>
      </c>
      <c r="E265" s="435">
        <f t="shared" si="76"/>
        <v>-8.2667303777746365E-2</v>
      </c>
      <c r="F265" s="438">
        <v>-3981090</v>
      </c>
      <c r="G265" s="407">
        <f t="shared" si="77"/>
        <v>-7.5013707922331196E-2</v>
      </c>
      <c r="H265" s="438">
        <v>-1045247</v>
      </c>
      <c r="I265" s="407">
        <f t="shared" ref="I265:I273" si="92">H265/$H$21</f>
        <v>-1.6400669867885773E-2</v>
      </c>
      <c r="J265" s="438">
        <v>-351088</v>
      </c>
      <c r="K265" s="436">
        <f t="shared" si="83"/>
        <v>-5.2116745500082537E-3</v>
      </c>
      <c r="L265" s="438">
        <v>-276151</v>
      </c>
      <c r="M265" s="435">
        <f t="shared" si="85"/>
        <v>-5.1828836221339243E-3</v>
      </c>
      <c r="N265" s="438">
        <v>1778535</v>
      </c>
      <c r="O265" s="437">
        <f t="shared" ref="O265:O273" si="93">N265/$N$21</f>
        <v>2.0328910149768484E-2</v>
      </c>
      <c r="P265" s="438">
        <v>-1337179</v>
      </c>
      <c r="Q265" s="437">
        <f t="shared" ref="Q265:Q273" si="94">P265/$P$21</f>
        <v>-1.3611188205970601E-2</v>
      </c>
      <c r="R265" s="438">
        <v>-232899</v>
      </c>
      <c r="S265" s="437">
        <f t="shared" si="84"/>
        <v>-2.8355663361921053E-3</v>
      </c>
      <c r="T265" s="438">
        <v>0</v>
      </c>
      <c r="U265" s="407" t="e">
        <f t="shared" si="86"/>
        <v>#DIV/0!</v>
      </c>
      <c r="V265" s="438">
        <v>0</v>
      </c>
      <c r="W265" s="410" t="e">
        <f t="shared" si="88"/>
        <v>#DIV/0!</v>
      </c>
      <c r="X265" s="438">
        <v>0</v>
      </c>
      <c r="Y265" s="407" t="e">
        <f t="shared" si="89"/>
        <v>#DIV/0!</v>
      </c>
      <c r="Z265" s="438">
        <v>0</v>
      </c>
      <c r="AA265" s="411" t="e">
        <f t="shared" si="90"/>
        <v>#DIV/0!</v>
      </c>
      <c r="AB265" s="438">
        <f>SUM(D265,F265,H265,J265,L265,N265,P265,R265,T265,V265,X265,Z265)</f>
        <v>-10425572</v>
      </c>
      <c r="AC265" s="407">
        <f t="shared" si="78"/>
        <v>-1.8434020289404746E-2</v>
      </c>
      <c r="AD265" s="438">
        <f t="shared" si="87"/>
        <v>-868797.66666666663</v>
      </c>
      <c r="AE265" s="396"/>
      <c r="AG265" s="397">
        <f>VLOOKUP(A265,TWN_IS!A:P,16,0)</f>
        <v>-10425572</v>
      </c>
      <c r="AH265" s="397">
        <f t="shared" ref="AH265:AH273" si="95">AB265-AG265</f>
        <v>0</v>
      </c>
    </row>
    <row r="266" spans="1:34" s="490" customFormat="1">
      <c r="A266" s="488" t="s">
        <v>1614</v>
      </c>
      <c r="B266" s="489"/>
      <c r="D266" s="491">
        <v>-7756173</v>
      </c>
      <c r="E266" s="492">
        <f t="shared" si="76"/>
        <v>-0.12873967680123763</v>
      </c>
      <c r="F266" s="491">
        <v>-10972456</v>
      </c>
      <c r="G266" s="493">
        <f t="shared" si="77"/>
        <v>-0.20674855619306032</v>
      </c>
      <c r="H266" s="491">
        <v>2058472</v>
      </c>
      <c r="I266" s="493">
        <f t="shared" si="92"/>
        <v>3.2298891749305725E-2</v>
      </c>
      <c r="J266" s="491">
        <v>-900330</v>
      </c>
      <c r="K266" s="494">
        <f t="shared" si="83"/>
        <v>-1.3364817218500578E-2</v>
      </c>
      <c r="L266" s="491">
        <v>-1699644</v>
      </c>
      <c r="M266" s="492">
        <f t="shared" si="85"/>
        <v>-3.1899421153854926E-2</v>
      </c>
      <c r="N266" s="491">
        <v>4012267</v>
      </c>
      <c r="O266" s="495">
        <f t="shared" si="93"/>
        <v>4.5860787299592726E-2</v>
      </c>
      <c r="P266" s="491">
        <v>-645828</v>
      </c>
      <c r="Q266" s="496">
        <f t="shared" si="94"/>
        <v>-6.5739040597299096E-3</v>
      </c>
      <c r="R266" s="491">
        <v>2289840</v>
      </c>
      <c r="S266" s="495">
        <f t="shared" si="84"/>
        <v>2.7879008579968702E-2</v>
      </c>
      <c r="T266" s="491">
        <v>0</v>
      </c>
      <c r="U266" s="493" t="e">
        <f t="shared" si="86"/>
        <v>#DIV/0!</v>
      </c>
      <c r="V266" s="491">
        <v>0</v>
      </c>
      <c r="W266" s="497" t="e">
        <f t="shared" si="88"/>
        <v>#DIV/0!</v>
      </c>
      <c r="X266" s="491">
        <v>0</v>
      </c>
      <c r="Y266" s="493" t="e">
        <f t="shared" si="89"/>
        <v>#DIV/0!</v>
      </c>
      <c r="Z266" s="491">
        <v>0</v>
      </c>
      <c r="AA266" s="498" t="e">
        <f t="shared" si="90"/>
        <v>#DIV/0!</v>
      </c>
      <c r="AB266" s="491">
        <f>SUM(D266,F266,H266,J266,L266,N266,P266,R266,T266,V266,X266,Z266)</f>
        <v>-13613852</v>
      </c>
      <c r="AC266" s="493">
        <f t="shared" si="78"/>
        <v>-2.4071391381207036E-2</v>
      </c>
      <c r="AD266" s="491">
        <f t="shared" si="87"/>
        <v>-1134487.6666666667</v>
      </c>
      <c r="AG266" s="397">
        <f>VLOOKUP(A266,TWN_IS!A:P,16,0)</f>
        <v>-13613852</v>
      </c>
      <c r="AH266" s="397">
        <f t="shared" si="95"/>
        <v>0</v>
      </c>
    </row>
    <row r="267" spans="1:34" outlineLevel="1">
      <c r="A267" s="431" t="s">
        <v>1615</v>
      </c>
      <c r="B267" s="432"/>
      <c r="D267" s="438"/>
      <c r="E267" s="435"/>
      <c r="F267" s="438"/>
      <c r="H267" s="438"/>
      <c r="J267" s="438"/>
      <c r="K267" s="436"/>
      <c r="L267" s="438"/>
      <c r="M267" s="435"/>
      <c r="N267" s="438"/>
      <c r="O267" s="437"/>
      <c r="P267" s="438"/>
      <c r="Q267" s="437"/>
      <c r="R267" s="438"/>
      <c r="T267" s="438"/>
      <c r="V267" s="438"/>
      <c r="X267" s="438"/>
      <c r="Z267" s="438"/>
      <c r="AB267" s="438"/>
      <c r="AC267" s="407"/>
      <c r="AD267" s="438"/>
      <c r="AE267" s="396"/>
      <c r="AG267" s="499">
        <f>VLOOKUP(A267,TWN_IS!A:P,16,0)</f>
        <v>0</v>
      </c>
      <c r="AH267" s="499">
        <f t="shared" si="95"/>
        <v>0</v>
      </c>
    </row>
    <row r="268" spans="1:34" outlineLevel="1">
      <c r="A268" s="432"/>
      <c r="B268" s="431" t="s">
        <v>1616</v>
      </c>
      <c r="D268" s="438"/>
      <c r="E268" s="435"/>
      <c r="F268" s="438"/>
      <c r="H268" s="438"/>
      <c r="J268" s="438"/>
      <c r="K268" s="436"/>
      <c r="L268" s="438"/>
      <c r="M268" s="435"/>
      <c r="N268" s="438"/>
      <c r="O268" s="437"/>
      <c r="P268" s="438"/>
      <c r="Q268" s="437"/>
      <c r="R268" s="438"/>
      <c r="T268" s="438"/>
      <c r="V268" s="438"/>
      <c r="X268" s="438"/>
      <c r="Z268" s="438"/>
      <c r="AB268" s="438"/>
      <c r="AC268" s="407"/>
      <c r="AD268" s="438"/>
      <c r="AE268" s="396"/>
      <c r="AG268" s="397">
        <f>VLOOKUP(B268,TWN_IS!B:P,15,0)</f>
        <v>0</v>
      </c>
      <c r="AH268" s="397">
        <f t="shared" si="95"/>
        <v>0</v>
      </c>
    </row>
    <row r="269" spans="1:34" outlineLevel="1">
      <c r="A269" s="432"/>
      <c r="B269" s="432" t="s">
        <v>1617</v>
      </c>
      <c r="D269" s="438">
        <v>0</v>
      </c>
      <c r="E269" s="435">
        <f t="shared" si="76"/>
        <v>0</v>
      </c>
      <c r="F269" s="438">
        <v>0</v>
      </c>
      <c r="G269" s="407">
        <f t="shared" si="77"/>
        <v>0</v>
      </c>
      <c r="H269" s="438">
        <v>0</v>
      </c>
      <c r="I269" s="407">
        <f t="shared" si="92"/>
        <v>0</v>
      </c>
      <c r="J269" s="438">
        <v>0</v>
      </c>
      <c r="K269" s="436">
        <f t="shared" si="83"/>
        <v>0</v>
      </c>
      <c r="L269" s="438">
        <v>0</v>
      </c>
      <c r="M269" s="435">
        <f t="shared" si="85"/>
        <v>0</v>
      </c>
      <c r="N269" s="438">
        <v>0</v>
      </c>
      <c r="O269" s="437">
        <f t="shared" si="93"/>
        <v>0</v>
      </c>
      <c r="P269" s="438">
        <v>0</v>
      </c>
      <c r="Q269" s="437">
        <f t="shared" si="94"/>
        <v>0</v>
      </c>
      <c r="R269" s="438">
        <v>0</v>
      </c>
      <c r="S269" s="437">
        <f t="shared" si="84"/>
        <v>0</v>
      </c>
      <c r="T269" s="438">
        <v>0</v>
      </c>
      <c r="U269" s="407" t="e">
        <f t="shared" si="86"/>
        <v>#DIV/0!</v>
      </c>
      <c r="V269" s="438">
        <v>0</v>
      </c>
      <c r="W269" s="410" t="e">
        <f>V269/$V$21</f>
        <v>#DIV/0!</v>
      </c>
      <c r="X269" s="438">
        <v>0</v>
      </c>
      <c r="Y269" s="407" t="e">
        <f>X269/$X$21</f>
        <v>#DIV/0!</v>
      </c>
      <c r="Z269" s="438">
        <v>0</v>
      </c>
      <c r="AA269" s="411" t="e">
        <f>Z269/$Z$21</f>
        <v>#DIV/0!</v>
      </c>
      <c r="AB269" s="438">
        <f>SUM(D269,F269,H269,J269,L269,N269,P269,R269,T269,V269,X269,Z269)</f>
        <v>0</v>
      </c>
      <c r="AC269" s="407">
        <f t="shared" si="78"/>
        <v>0</v>
      </c>
      <c r="AD269" s="438">
        <f t="shared" si="87"/>
        <v>0</v>
      </c>
      <c r="AE269" s="396"/>
      <c r="AG269" s="397">
        <f>VLOOKUP(B269,TWN_IS!B:P,15,0)</f>
        <v>0</v>
      </c>
      <c r="AH269" s="397">
        <f t="shared" si="95"/>
        <v>0</v>
      </c>
    </row>
    <row r="270" spans="1:34" outlineLevel="1">
      <c r="A270" s="432"/>
      <c r="B270" s="432" t="s">
        <v>1618</v>
      </c>
      <c r="D270" s="438">
        <v>0</v>
      </c>
      <c r="E270" s="435">
        <f t="shared" si="76"/>
        <v>0</v>
      </c>
      <c r="F270" s="438">
        <v>0</v>
      </c>
      <c r="G270" s="407">
        <f t="shared" si="77"/>
        <v>0</v>
      </c>
      <c r="H270" s="438">
        <v>0</v>
      </c>
      <c r="I270" s="407">
        <f t="shared" si="92"/>
        <v>0</v>
      </c>
      <c r="J270" s="438">
        <v>0</v>
      </c>
      <c r="K270" s="436">
        <f t="shared" si="83"/>
        <v>0</v>
      </c>
      <c r="L270" s="438">
        <v>0</v>
      </c>
      <c r="M270" s="435">
        <f t="shared" si="85"/>
        <v>0</v>
      </c>
      <c r="N270" s="438">
        <v>0</v>
      </c>
      <c r="O270" s="437">
        <f t="shared" si="93"/>
        <v>0</v>
      </c>
      <c r="P270" s="438">
        <v>0</v>
      </c>
      <c r="Q270" s="437">
        <f t="shared" si="94"/>
        <v>0</v>
      </c>
      <c r="R270" s="438">
        <v>0</v>
      </c>
      <c r="S270" s="437">
        <f t="shared" si="84"/>
        <v>0</v>
      </c>
      <c r="T270" s="438">
        <v>0</v>
      </c>
      <c r="U270" s="407" t="e">
        <f t="shared" si="86"/>
        <v>#DIV/0!</v>
      </c>
      <c r="V270" s="438">
        <v>0</v>
      </c>
      <c r="W270" s="410" t="e">
        <f>V270/$V$21</f>
        <v>#DIV/0!</v>
      </c>
      <c r="X270" s="438">
        <v>0</v>
      </c>
      <c r="Y270" s="407" t="e">
        <f>X270/$X$21</f>
        <v>#DIV/0!</v>
      </c>
      <c r="Z270" s="438">
        <v>0</v>
      </c>
      <c r="AA270" s="411" t="e">
        <f>Z270/$Z$21</f>
        <v>#DIV/0!</v>
      </c>
      <c r="AB270" s="438">
        <f>SUM(D270,F270,H270,J270,L270,N270,P270,R270,T270,V270,X270,Z270)</f>
        <v>0</v>
      </c>
      <c r="AC270" s="407">
        <f t="shared" si="78"/>
        <v>0</v>
      </c>
      <c r="AD270" s="438">
        <f t="shared" si="87"/>
        <v>0</v>
      </c>
      <c r="AE270" s="396"/>
      <c r="AG270" s="397">
        <f>VLOOKUP(B270,TWN_IS!B:P,15,0)</f>
        <v>0</v>
      </c>
      <c r="AH270" s="397">
        <f t="shared" si="95"/>
        <v>0</v>
      </c>
    </row>
    <row r="271" spans="1:34" s="397" customFormat="1" outlineLevel="1">
      <c r="A271" s="432"/>
      <c r="B271" s="431" t="s">
        <v>1619</v>
      </c>
      <c r="D271" s="438">
        <v>0</v>
      </c>
      <c r="E271" s="435">
        <f>D271/$D$21</f>
        <v>0</v>
      </c>
      <c r="F271" s="438">
        <v>0</v>
      </c>
      <c r="G271" s="407">
        <f>F271/$F$21</f>
        <v>0</v>
      </c>
      <c r="H271" s="438">
        <v>0</v>
      </c>
      <c r="I271" s="407">
        <f t="shared" si="92"/>
        <v>0</v>
      </c>
      <c r="J271" s="438">
        <v>0</v>
      </c>
      <c r="K271" s="436">
        <f t="shared" si="83"/>
        <v>0</v>
      </c>
      <c r="L271" s="438">
        <v>0</v>
      </c>
      <c r="M271" s="435">
        <f t="shared" si="85"/>
        <v>0</v>
      </c>
      <c r="N271" s="438">
        <v>0</v>
      </c>
      <c r="O271" s="437">
        <f t="shared" si="93"/>
        <v>0</v>
      </c>
      <c r="P271" s="438">
        <v>0</v>
      </c>
      <c r="Q271" s="437">
        <f t="shared" si="94"/>
        <v>0</v>
      </c>
      <c r="R271" s="438">
        <v>0</v>
      </c>
      <c r="S271" s="437">
        <f t="shared" si="84"/>
        <v>0</v>
      </c>
      <c r="T271" s="438">
        <v>0</v>
      </c>
      <c r="U271" s="407" t="e">
        <f t="shared" si="86"/>
        <v>#DIV/0!</v>
      </c>
      <c r="V271" s="438">
        <v>0</v>
      </c>
      <c r="W271" s="410" t="e">
        <f>V271/$V$21</f>
        <v>#DIV/0!</v>
      </c>
      <c r="X271" s="438">
        <v>0</v>
      </c>
      <c r="Y271" s="407" t="e">
        <f>X271/$X$21</f>
        <v>#DIV/0!</v>
      </c>
      <c r="Z271" s="438">
        <v>0</v>
      </c>
      <c r="AA271" s="411" t="e">
        <f>Z271/$Z$21</f>
        <v>#DIV/0!</v>
      </c>
      <c r="AB271" s="438">
        <f>SUM(D271,F271,H271,J271,L271,N271,P271,R271,T271,V271,X271,Z271)</f>
        <v>0</v>
      </c>
      <c r="AC271" s="407">
        <f>AB271/$AB$21</f>
        <v>0</v>
      </c>
      <c r="AD271" s="438">
        <f t="shared" si="87"/>
        <v>0</v>
      </c>
      <c r="AG271" s="397">
        <f>VLOOKUP(B271,TWN_IS!B:P,15,0)</f>
        <v>0</v>
      </c>
      <c r="AH271" s="397">
        <f t="shared" si="95"/>
        <v>0</v>
      </c>
    </row>
    <row r="272" spans="1:34" outlineLevel="1">
      <c r="A272" s="431" t="s">
        <v>1620</v>
      </c>
      <c r="B272" s="432"/>
      <c r="D272" s="438">
        <v>0</v>
      </c>
      <c r="E272" s="435">
        <f>D272/$D$21</f>
        <v>0</v>
      </c>
      <c r="F272" s="438">
        <v>0</v>
      </c>
      <c r="G272" s="407">
        <f>F272/$F$21</f>
        <v>0</v>
      </c>
      <c r="H272" s="438">
        <v>0</v>
      </c>
      <c r="I272" s="407">
        <f t="shared" si="92"/>
        <v>0</v>
      </c>
      <c r="J272" s="438">
        <v>0</v>
      </c>
      <c r="K272" s="436">
        <f t="shared" si="83"/>
        <v>0</v>
      </c>
      <c r="L272" s="438">
        <v>0</v>
      </c>
      <c r="M272" s="435">
        <f t="shared" si="85"/>
        <v>0</v>
      </c>
      <c r="N272" s="438">
        <v>0</v>
      </c>
      <c r="O272" s="437">
        <f t="shared" si="93"/>
        <v>0</v>
      </c>
      <c r="P272" s="438">
        <v>0</v>
      </c>
      <c r="Q272" s="437">
        <f t="shared" si="94"/>
        <v>0</v>
      </c>
      <c r="R272" s="438">
        <v>0</v>
      </c>
      <c r="S272" s="437">
        <f t="shared" si="84"/>
        <v>0</v>
      </c>
      <c r="T272" s="438">
        <v>0</v>
      </c>
      <c r="U272" s="407" t="e">
        <f t="shared" si="86"/>
        <v>#DIV/0!</v>
      </c>
      <c r="V272" s="438">
        <v>0</v>
      </c>
      <c r="W272" s="410" t="e">
        <f>V272/$V$21</f>
        <v>#DIV/0!</v>
      </c>
      <c r="X272" s="438">
        <v>0</v>
      </c>
      <c r="Y272" s="407" t="e">
        <f>X272/$X$21</f>
        <v>#DIV/0!</v>
      </c>
      <c r="Z272" s="438">
        <v>0</v>
      </c>
      <c r="AA272" s="411" t="e">
        <f>Z272/$Z$21</f>
        <v>#DIV/0!</v>
      </c>
      <c r="AB272" s="438">
        <f>SUM(D272,F272,H272,J272,L272,N272,P272,R272,T272,V272,X272,Z272)</f>
        <v>0</v>
      </c>
      <c r="AC272" s="407">
        <f>AB272/$AB$21</f>
        <v>0</v>
      </c>
      <c r="AD272" s="438">
        <f t="shared" si="87"/>
        <v>0</v>
      </c>
      <c r="AE272" s="396"/>
      <c r="AG272" s="397">
        <f>VLOOKUP(A272,TWN_IS!A:P,16,0)</f>
        <v>0</v>
      </c>
      <c r="AH272" s="397">
        <f t="shared" si="95"/>
        <v>0</v>
      </c>
    </row>
    <row r="273" spans="1:34" s="502" customFormat="1" ht="18" outlineLevel="1" thickBot="1">
      <c r="A273" s="500" t="s">
        <v>1621</v>
      </c>
      <c r="B273" s="501"/>
      <c r="D273" s="503">
        <v>-7756173</v>
      </c>
      <c r="E273" s="504">
        <f>D273/$D$21</f>
        <v>-0.12873967680123763</v>
      </c>
      <c r="F273" s="503">
        <v>-10972456</v>
      </c>
      <c r="G273" s="505">
        <f>F273/$F$21</f>
        <v>-0.20674855619306032</v>
      </c>
      <c r="H273" s="503">
        <v>2058472</v>
      </c>
      <c r="I273" s="505">
        <f t="shared" si="92"/>
        <v>3.2298891749305725E-2</v>
      </c>
      <c r="J273" s="503">
        <v>-900330</v>
      </c>
      <c r="K273" s="506">
        <f t="shared" si="83"/>
        <v>-1.3364817218500578E-2</v>
      </c>
      <c r="L273" s="503">
        <v>-1699644</v>
      </c>
      <c r="M273" s="504">
        <f>L273/$L$21</f>
        <v>-3.1899421153854926E-2</v>
      </c>
      <c r="N273" s="503">
        <v>4012267</v>
      </c>
      <c r="O273" s="507">
        <f t="shared" si="93"/>
        <v>4.5860787299592726E-2</v>
      </c>
      <c r="P273" s="503">
        <v>-645828</v>
      </c>
      <c r="Q273" s="507">
        <f t="shared" si="94"/>
        <v>-6.5739040597299096E-3</v>
      </c>
      <c r="R273" s="503">
        <v>2289840</v>
      </c>
      <c r="S273" s="507">
        <f t="shared" si="84"/>
        <v>2.7879008579968702E-2</v>
      </c>
      <c r="T273" s="503">
        <v>0</v>
      </c>
      <c r="U273" s="505" t="e">
        <f t="shared" si="86"/>
        <v>#DIV/0!</v>
      </c>
      <c r="V273" s="503">
        <v>0</v>
      </c>
      <c r="W273" s="508" t="e">
        <f>V273/$V$21</f>
        <v>#DIV/0!</v>
      </c>
      <c r="X273" s="503">
        <v>0</v>
      </c>
      <c r="Y273" s="505" t="e">
        <f>X273/$X$21</f>
        <v>#DIV/0!</v>
      </c>
      <c r="Z273" s="503">
        <v>0</v>
      </c>
      <c r="AA273" s="509" t="e">
        <f>Z273/$Z$21</f>
        <v>#DIV/0!</v>
      </c>
      <c r="AB273" s="503">
        <f>SUM(D273,F273,H273,J273,L273,N273,P273,R273,T273,V273,X273,Z273)</f>
        <v>-13613852</v>
      </c>
      <c r="AC273" s="505">
        <f>AB273/$AB$21</f>
        <v>-2.4071391381207036E-2</v>
      </c>
      <c r="AD273" s="503">
        <f>AVERAGE(D273,F273,H273,J273,L273,N273,P273,R273,T273,V273,X273,Z273)</f>
        <v>-1134487.6666666667</v>
      </c>
      <c r="AG273" s="510">
        <f>VLOOKUP(A273,TWN_IS!A:P,16,0)</f>
        <v>-13613852</v>
      </c>
      <c r="AH273" s="510">
        <f t="shared" si="95"/>
        <v>0</v>
      </c>
    </row>
    <row r="274" spans="1:34" ht="18" thickTop="1">
      <c r="K274" s="436"/>
      <c r="Q274" s="437"/>
      <c r="AE274" s="396"/>
      <c r="AH274" s="397">
        <f>SUM(AH8:AH273)</f>
        <v>0</v>
      </c>
    </row>
    <row r="275" spans="1:34" s="511" customFormat="1">
      <c r="D275" s="512"/>
      <c r="E275" s="513"/>
      <c r="F275" s="512"/>
      <c r="G275" s="513"/>
      <c r="H275" s="512"/>
      <c r="I275" s="513"/>
      <c r="J275" s="512"/>
      <c r="K275" s="514"/>
      <c r="L275" s="512"/>
      <c r="M275" s="513"/>
      <c r="N275" s="515"/>
      <c r="O275" s="516"/>
      <c r="P275" s="512"/>
      <c r="Q275" s="437"/>
      <c r="R275" s="512"/>
      <c r="S275" s="512"/>
      <c r="T275" s="512"/>
      <c r="U275" s="513"/>
      <c r="V275" s="512"/>
      <c r="W275" s="410"/>
      <c r="X275" s="512"/>
      <c r="Y275" s="513"/>
      <c r="Z275" s="512"/>
      <c r="AA275" s="411"/>
      <c r="AB275" s="512"/>
      <c r="AC275" s="512"/>
      <c r="AD275" s="512"/>
    </row>
    <row r="276" spans="1:34" s="511" customFormat="1">
      <c r="D276" s="512"/>
      <c r="E276" s="513"/>
      <c r="F276" s="512"/>
      <c r="G276" s="513"/>
      <c r="H276" s="512"/>
      <c r="I276" s="513"/>
      <c r="J276" s="512"/>
      <c r="K276" s="514"/>
      <c r="L276" s="512"/>
      <c r="M276" s="513"/>
      <c r="N276" s="515"/>
      <c r="O276" s="516"/>
      <c r="P276" s="512"/>
      <c r="Q276" s="437"/>
      <c r="R276" s="512"/>
      <c r="S276" s="512"/>
      <c r="T276" s="512"/>
      <c r="U276" s="513"/>
      <c r="V276" s="512"/>
      <c r="W276" s="410"/>
      <c r="X276" s="512"/>
      <c r="Y276" s="513"/>
      <c r="Z276" s="512"/>
      <c r="AA276" s="411"/>
      <c r="AB276" s="512"/>
      <c r="AC276" s="512"/>
      <c r="AD276" s="512"/>
    </row>
    <row r="277" spans="1:34" s="511" customFormat="1">
      <c r="D277" s="512"/>
      <c r="E277" s="513"/>
      <c r="F277" s="512"/>
      <c r="G277" s="513"/>
      <c r="H277" s="512"/>
      <c r="I277" s="513"/>
      <c r="J277" s="512"/>
      <c r="K277" s="514"/>
      <c r="L277" s="512"/>
      <c r="M277" s="513"/>
      <c r="N277" s="515"/>
      <c r="O277" s="516"/>
      <c r="P277" s="512"/>
      <c r="Q277" s="437"/>
      <c r="R277" s="512"/>
      <c r="S277" s="512"/>
      <c r="T277" s="512"/>
      <c r="U277" s="513"/>
      <c r="V277" s="512"/>
      <c r="W277" s="410"/>
      <c r="X277" s="512"/>
      <c r="Y277" s="513"/>
      <c r="Z277" s="512"/>
      <c r="AA277" s="411"/>
      <c r="AB277" s="512"/>
      <c r="AC277" s="512"/>
      <c r="AD277" s="512"/>
    </row>
  </sheetData>
  <phoneticPr fontId="39" type="noConversion"/>
  <hyperlinks>
    <hyperlink ref="AE77" location="'Inventory+AR Aging'!A1" display="inv movement" xr:uid="{00000000-0004-0000-1700-000000000000}"/>
  </hyperlinks>
  <printOptions gridLines="1"/>
  <pageMargins left="0" right="0" top="7.874015748031496E-2" bottom="0.15748031496062992" header="0" footer="0"/>
  <pageSetup paperSize="9" scale="65" fitToHeight="4" orientation="landscape" blackAndWhite="1" errors="NA" r:id="rId1"/>
  <headerFooter alignWithMargins="0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indexed="15"/>
  </sheetPr>
  <dimension ref="A1:V52"/>
  <sheetViews>
    <sheetView workbookViewId="0">
      <pane xSplit="4" ySplit="11" topLeftCell="L12" activePane="bottomRight" state="frozen"/>
      <selection activeCell="B1" sqref="B1"/>
      <selection pane="topRight" activeCell="E1" sqref="E1"/>
      <selection pane="bottomLeft" activeCell="B12" sqref="B12"/>
      <selection pane="bottomRight" activeCell="R19" sqref="R19"/>
    </sheetView>
  </sheetViews>
  <sheetFormatPr baseColWidth="10" defaultColWidth="9.19921875" defaultRowHeight="16" outlineLevelCol="1"/>
  <cols>
    <col min="1" max="1" width="33" style="404" hidden="1" customWidth="1"/>
    <col min="2" max="2" width="11.59765625" style="404" customWidth="1"/>
    <col min="3" max="3" width="25.59765625" style="404" bestFit="1" customWidth="1"/>
    <col min="4" max="4" width="9" style="404" hidden="1" customWidth="1"/>
    <col min="5" max="5" width="14.19921875" style="603" customWidth="1"/>
    <col min="6" max="9" width="11.3984375" style="404" customWidth="1"/>
    <col min="10" max="10" width="11.3984375" style="600" customWidth="1"/>
    <col min="11" max="12" width="11.3984375" style="404" customWidth="1"/>
    <col min="13" max="13" width="11.3984375" style="404" hidden="1" customWidth="1" outlineLevel="1"/>
    <col min="14" max="14" width="12.19921875" style="404" hidden="1" customWidth="1" outlineLevel="1"/>
    <col min="15" max="15" width="13.796875" style="404" hidden="1" customWidth="1" outlineLevel="1"/>
    <col min="16" max="16" width="12.3984375" style="404" hidden="1" customWidth="1" outlineLevel="1"/>
    <col min="17" max="17" width="12.796875" style="404" bestFit="1" customWidth="1" collapsed="1"/>
    <col min="18" max="18" width="12.796875" style="404" bestFit="1" customWidth="1"/>
    <col min="19" max="19" width="48.59765625" style="568" customWidth="1"/>
    <col min="20" max="20" width="11.796875" style="405" bestFit="1" customWidth="1"/>
    <col min="21" max="16384" width="9.19921875" style="404"/>
  </cols>
  <sheetData>
    <row r="1" spans="1:20" s="524" customFormat="1" ht="18" thickBot="1">
      <c r="B1" s="1081" t="s">
        <v>1945</v>
      </c>
      <c r="E1" s="1082" t="s">
        <v>1767</v>
      </c>
      <c r="F1" s="1082" t="s">
        <v>1768</v>
      </c>
      <c r="G1" s="1082" t="s">
        <v>1769</v>
      </c>
      <c r="H1" s="1082" t="s">
        <v>1770</v>
      </c>
      <c r="I1" s="1082" t="s">
        <v>1771</v>
      </c>
      <c r="J1" s="1082" t="s">
        <v>1772</v>
      </c>
      <c r="K1" s="1082" t="s">
        <v>1773</v>
      </c>
      <c r="L1" s="1082" t="s">
        <v>1774</v>
      </c>
      <c r="M1" s="1082" t="s">
        <v>1775</v>
      </c>
      <c r="N1" s="1082" t="s">
        <v>1776</v>
      </c>
      <c r="O1" s="1082" t="s">
        <v>1777</v>
      </c>
      <c r="P1" s="1082" t="s">
        <v>1778</v>
      </c>
      <c r="Q1" s="1047" t="s">
        <v>1903</v>
      </c>
      <c r="R1" s="1048" t="s">
        <v>1282</v>
      </c>
      <c r="S1" s="1083" t="s">
        <v>1946</v>
      </c>
      <c r="T1" s="1084"/>
    </row>
    <row r="2" spans="1:20" s="524" customFormat="1" ht="18" thickTop="1" thickBot="1">
      <c r="B2" s="542"/>
      <c r="C2" s="711" t="s">
        <v>1143</v>
      </c>
      <c r="D2" s="524" t="s">
        <v>1143</v>
      </c>
      <c r="E2" s="1085">
        <f>15+1</f>
        <v>16</v>
      </c>
      <c r="F2" s="1086">
        <f>15+1</f>
        <v>16</v>
      </c>
      <c r="G2" s="1086">
        <f>15+1</f>
        <v>16</v>
      </c>
      <c r="H2" s="1086">
        <f>15+1</f>
        <v>16</v>
      </c>
      <c r="I2" s="1086">
        <f>16+1</f>
        <v>17</v>
      </c>
      <c r="J2" s="1086">
        <f>16+1</f>
        <v>17</v>
      </c>
      <c r="K2" s="1086">
        <f>16+1</f>
        <v>17</v>
      </c>
      <c r="L2" s="1086">
        <f>16+1</f>
        <v>17</v>
      </c>
      <c r="M2" s="1086">
        <v>0</v>
      </c>
      <c r="N2" s="1086">
        <v>0</v>
      </c>
      <c r="O2" s="1086">
        <v>0</v>
      </c>
      <c r="P2" s="1086">
        <v>0</v>
      </c>
      <c r="Q2" s="1087"/>
      <c r="R2" s="1048">
        <v>8</v>
      </c>
      <c r="S2" s="400"/>
      <c r="T2" s="1084"/>
    </row>
    <row r="3" spans="1:20" s="524" customFormat="1" ht="17" hidden="1" thickTop="1">
      <c r="A3" s="542" t="s">
        <v>1437</v>
      </c>
      <c r="B3" s="1054" t="s">
        <v>1947</v>
      </c>
      <c r="C3" s="404" t="s">
        <v>1948</v>
      </c>
      <c r="D3" s="404"/>
      <c r="E3" s="1088">
        <f>IF(ISNA(VLOOKUP($A3,IS明細!$B:D,3,0)),0,VLOOKUP($A3,IS明細!$B:D,3,0))</f>
        <v>0</v>
      </c>
      <c r="F3" s="1088">
        <f>IF(ISNA(VLOOKUP($A3,IS明細!$B:F,5,0)),0,VLOOKUP($A3,IS明細!$B:F,5,0))</f>
        <v>0</v>
      </c>
      <c r="G3" s="1088">
        <f>IF(ISNA(VLOOKUP($A3,IS明細!$B:H,7,0)),0,VLOOKUP($A3,IS明細!$B:H,7,0))</f>
        <v>0</v>
      </c>
      <c r="H3" s="1088">
        <f>IF(ISNA(VLOOKUP($A3,IS明細!$B:J,9,0)),0,VLOOKUP($A3,IS明細!$B:J,9,0))</f>
        <v>0</v>
      </c>
      <c r="I3" s="1088">
        <f>IF(ISNA(VLOOKUP($A3,IS明細!$B:L,11,0)),0,VLOOKUP($A3,IS明細!$B:L,11,0))</f>
        <v>0</v>
      </c>
      <c r="J3" s="1088">
        <f>IF(ISNA(VLOOKUP($A3,IS明細!$B:N,13,0)),0,VLOOKUP($A3,IS明細!$B:N,13,0))</f>
        <v>0</v>
      </c>
      <c r="K3" s="1088">
        <f>IF(ISNA(VLOOKUP($A3,IS明細!$B:P,15,0)),0,VLOOKUP($A3,IS明細!$B:P,15,0))</f>
        <v>0</v>
      </c>
      <c r="L3" s="1088">
        <f>IF(ISNA(VLOOKUP($A3,IS明細!$B:R,17,0)),0,VLOOKUP($A3,IS明細!$B:R,17,0))</f>
        <v>0</v>
      </c>
      <c r="M3" s="1088">
        <f>IF(ISNA(VLOOKUP($A3,IS明細!$B:T,19,0)),0,VLOOKUP($A3,IS明細!$B:T,19,0))</f>
        <v>0</v>
      </c>
      <c r="N3" s="1088">
        <f>IF(ISNA(VLOOKUP($A3,IS明細!$B:V,21,0)),0,VLOOKUP($A3,IS明細!$B:V,21,0))</f>
        <v>0</v>
      </c>
      <c r="O3" s="1088">
        <f>IF(ISNA(VLOOKUP($A3,IS明細!$B:X,23,0)),0,VLOOKUP($A3,IS明細!$B:X,23,0))</f>
        <v>0</v>
      </c>
      <c r="P3" s="1088">
        <f>IF(ISNA(VLOOKUP($A3,IS明細!$B:Z,25,0)),0,VLOOKUP($A3,IS明細!$B:Z,25,0))</f>
        <v>0</v>
      </c>
      <c r="Q3" s="720">
        <f>SUM(E3:P3)</f>
        <v>0</v>
      </c>
      <c r="R3" s="543">
        <f>AVERAGE(E3:P3)</f>
        <v>0</v>
      </c>
      <c r="S3" s="400"/>
      <c r="T3" s="1084"/>
    </row>
    <row r="4" spans="1:20" ht="17" hidden="1" thickTop="1">
      <c r="A4" s="404" t="s">
        <v>1438</v>
      </c>
      <c r="B4" s="1054" t="s">
        <v>1949</v>
      </c>
      <c r="C4" s="404" t="s">
        <v>1439</v>
      </c>
      <c r="E4" s="1088">
        <f>IF(ISNA(VLOOKUP($A4,IS明細!B:D,3,0)),0,VLOOKUP($A4,IS明細!B:D,3,0))</f>
        <v>0</v>
      </c>
      <c r="F4" s="1088">
        <f>IF(ISNA(VLOOKUP($A4,IS明細!$B:F,5,0)),0,VLOOKUP($A4,IS明細!$B:F,5,0))</f>
        <v>0</v>
      </c>
      <c r="G4" s="1088">
        <f>IF(ISNA(VLOOKUP($A4,IS明細!$B:H,7,0)),0,VLOOKUP($A4,IS明細!$B:H,7,0))</f>
        <v>0</v>
      </c>
      <c r="H4" s="1088">
        <f>IF(ISNA(VLOOKUP($A4,IS明細!$B:J,9,0)),0,VLOOKUP($A4,IS明細!$B:J,9,0))</f>
        <v>0</v>
      </c>
      <c r="I4" s="1088">
        <f>IF(ISNA(VLOOKUP($A4,IS明細!$B:L,11,0)),0,VLOOKUP($A4,IS明細!$B:L,11,0))</f>
        <v>0</v>
      </c>
      <c r="J4" s="1088">
        <f>IF(ISNA(VLOOKUP($A4,IS明細!$B:N,13,0)),0,VLOOKUP($A4,IS明細!$B:N,13,0))</f>
        <v>0</v>
      </c>
      <c r="K4" s="1088">
        <f>IF(ISNA(VLOOKUP($A4,IS明細!$B:P,15,0)),0,VLOOKUP($A4,IS明細!$B:P,15,0))</f>
        <v>0</v>
      </c>
      <c r="L4" s="1088">
        <f>IF(ISNA(VLOOKUP($A4,IS明細!$B:R,17,0)),0,VLOOKUP($A4,IS明細!$B:R,17,0))</f>
        <v>0</v>
      </c>
      <c r="M4" s="1088">
        <f>IF(ISNA(VLOOKUP($A4,IS明細!$B:T,19,0)),0,VLOOKUP($A4,IS明細!$B:T,19,0))</f>
        <v>0</v>
      </c>
      <c r="N4" s="1088">
        <f>IF(ISNA(VLOOKUP($A4,IS明細!$B:V,21,0)),0,VLOOKUP($A4,IS明細!$B:V,21,0))</f>
        <v>0</v>
      </c>
      <c r="O4" s="1088">
        <f>IF(ISNA(VLOOKUP($A4,IS明細!$B:X,23,0)),0,VLOOKUP($A4,IS明細!$B:X,23,0))</f>
        <v>0</v>
      </c>
      <c r="P4" s="1088">
        <f>IF(ISNA(VLOOKUP($A4,IS明細!$B:Z,25,0)),0,VLOOKUP($A4,IS明細!$B:Z,25,0))</f>
        <v>0</v>
      </c>
      <c r="Q4" s="720">
        <f t="shared" ref="Q4:R45" si="0">SUM(E4:P4)</f>
        <v>0</v>
      </c>
      <c r="R4" s="543">
        <f t="shared" ref="R4:R11" si="1">AVERAGE(E4:P4)</f>
        <v>0</v>
      </c>
      <c r="S4" s="1058"/>
      <c r="T4" s="1084"/>
    </row>
    <row r="5" spans="1:20" ht="17" hidden="1" thickTop="1">
      <c r="A5" s="404" t="s">
        <v>1440</v>
      </c>
      <c r="B5" s="1054" t="s">
        <v>1950</v>
      </c>
      <c r="C5" s="404" t="s">
        <v>1441</v>
      </c>
      <c r="E5" s="1088">
        <f>IF(ISNA(VLOOKUP($A5,IS明細!B:D,3,0)),0,VLOOKUP($A5,IS明細!B:D,3,0))</f>
        <v>0</v>
      </c>
      <c r="F5" s="1088">
        <f>IF(ISNA(VLOOKUP($A5,IS明細!$B:F,5,0)),0,VLOOKUP($A5,IS明細!$B:F,5,0))</f>
        <v>0</v>
      </c>
      <c r="G5" s="1088">
        <f>IF(ISNA(VLOOKUP($A5,IS明細!$B:H,7,0)),0,VLOOKUP($A5,IS明細!$B:H,7,0))</f>
        <v>0</v>
      </c>
      <c r="H5" s="1088">
        <f>IF(ISNA(VLOOKUP($A5,IS明細!$B:J,9,0)),0,VLOOKUP($A5,IS明細!$B:J,9,0))</f>
        <v>0</v>
      </c>
      <c r="I5" s="1088">
        <f>IF(ISNA(VLOOKUP($A5,IS明細!$B:L,11,0)),0,VLOOKUP($A5,IS明細!$B:L,11,0))</f>
        <v>0</v>
      </c>
      <c r="J5" s="1088">
        <f>IF(ISNA(VLOOKUP($A5,IS明細!$B:N,13,0)),0,VLOOKUP($A5,IS明細!$B:N,13,0))</f>
        <v>0</v>
      </c>
      <c r="K5" s="1088">
        <f>IF(ISNA(VLOOKUP($A5,IS明細!$B:P,15,0)),0,VLOOKUP($A5,IS明細!$B:P,15,0))</f>
        <v>0</v>
      </c>
      <c r="L5" s="1088">
        <f>IF(ISNA(VLOOKUP($A5,IS明細!$B:R,17,0)),0,VLOOKUP($A5,IS明細!$B:R,17,0))</f>
        <v>0</v>
      </c>
      <c r="M5" s="1088">
        <f>IF(ISNA(VLOOKUP($A5,IS明細!$B:T,19,0)),0,VLOOKUP($A5,IS明細!$B:T,19,0))</f>
        <v>0</v>
      </c>
      <c r="N5" s="1088">
        <f>IF(ISNA(VLOOKUP($A5,IS明細!$B:V,21,0)),0,VLOOKUP($A5,IS明細!$B:V,21,0))</f>
        <v>0</v>
      </c>
      <c r="O5" s="1088">
        <f>IF(ISNA(VLOOKUP($A5,IS明細!$B:X,23,0)),0,VLOOKUP($A5,IS明細!$B:X,23,0))</f>
        <v>0</v>
      </c>
      <c r="P5" s="1088">
        <f>IF(ISNA(VLOOKUP($A5,IS明細!$B:Z,25,0)),0,VLOOKUP($A5,IS明細!$B:Z,25,0))</f>
        <v>0</v>
      </c>
      <c r="Q5" s="720">
        <f t="shared" si="0"/>
        <v>0</v>
      </c>
      <c r="R5" s="543">
        <f t="shared" si="1"/>
        <v>0</v>
      </c>
      <c r="S5" s="400"/>
      <c r="T5" s="1084"/>
    </row>
    <row r="6" spans="1:20" ht="17" hidden="1" thickTop="1">
      <c r="A6" s="404" t="s">
        <v>1442</v>
      </c>
      <c r="B6" s="1054" t="s">
        <v>1951</v>
      </c>
      <c r="C6" s="404" t="s">
        <v>1443</v>
      </c>
      <c r="E6" s="1088">
        <f>IF(ISNA(VLOOKUP($A6,IS明細!B:D,3,0)),0,VLOOKUP($A6,IS明細!B:D,3,0))</f>
        <v>0</v>
      </c>
      <c r="F6" s="1088">
        <f>IF(ISNA(VLOOKUP($A6,IS明細!$B:F,5,0)),0,VLOOKUP($A6,IS明細!$B:F,5,0))</f>
        <v>0</v>
      </c>
      <c r="G6" s="1088">
        <f>IF(ISNA(VLOOKUP($A6,IS明細!$B:H,7,0)),0,VLOOKUP($A6,IS明細!$B:H,7,0))</f>
        <v>0</v>
      </c>
      <c r="H6" s="1088">
        <f>IF(ISNA(VLOOKUP($A6,IS明細!$B:J,9,0)),0,VLOOKUP($A6,IS明細!$B:J,9,0))</f>
        <v>0</v>
      </c>
      <c r="I6" s="1088">
        <f>IF(ISNA(VLOOKUP($A6,IS明細!$B:L,11,0)),0,VLOOKUP($A6,IS明細!$B:L,11,0))</f>
        <v>0</v>
      </c>
      <c r="J6" s="1088">
        <f>IF(ISNA(VLOOKUP($A6,IS明細!$B:N,13,0)),0,VLOOKUP($A6,IS明細!$B:N,13,0))</f>
        <v>0</v>
      </c>
      <c r="K6" s="1088">
        <f>IF(ISNA(VLOOKUP($A6,IS明細!$B:P,15,0)),0,VLOOKUP($A6,IS明細!$B:P,15,0))</f>
        <v>0</v>
      </c>
      <c r="L6" s="1088">
        <f>IF(ISNA(VLOOKUP($A6,IS明細!$B:R,17,0)),0,VLOOKUP($A6,IS明細!$B:R,17,0))</f>
        <v>0</v>
      </c>
      <c r="M6" s="1088">
        <f>IF(ISNA(VLOOKUP($A6,IS明細!$B:T,19,0)),0,VLOOKUP($A6,IS明細!$B:T,19,0))</f>
        <v>0</v>
      </c>
      <c r="N6" s="1088">
        <f>IF(ISNA(VLOOKUP($A6,IS明細!$B:V,21,0)),0,VLOOKUP($A6,IS明細!$B:V,21,0))</f>
        <v>0</v>
      </c>
      <c r="O6" s="1088">
        <f>IF(ISNA(VLOOKUP($A6,IS明細!$B:X,23,0)),0,VLOOKUP($A6,IS明細!$B:X,23,0))</f>
        <v>0</v>
      </c>
      <c r="P6" s="1088">
        <f>IF(ISNA(VLOOKUP($A6,IS明細!$B:Z,25,0)),0,VLOOKUP($A6,IS明細!$B:Z,25,0))</f>
        <v>0</v>
      </c>
      <c r="Q6" s="720">
        <f t="shared" si="0"/>
        <v>0</v>
      </c>
      <c r="R6" s="543">
        <f t="shared" si="1"/>
        <v>0</v>
      </c>
      <c r="S6" s="400"/>
      <c r="T6" s="1084"/>
    </row>
    <row r="7" spans="1:20" ht="17" hidden="1" thickTop="1">
      <c r="A7" s="404" t="s">
        <v>1444</v>
      </c>
      <c r="B7" s="1054" t="s">
        <v>1952</v>
      </c>
      <c r="C7" s="404" t="s">
        <v>1445</v>
      </c>
      <c r="E7" s="1088">
        <f>IF(ISNA(VLOOKUP($A7,IS明細!B:D,3,0)),0,VLOOKUP($A7,IS明細!B:D,3,0))</f>
        <v>0</v>
      </c>
      <c r="F7" s="1088">
        <f>IF(ISNA(VLOOKUP($A7,IS明細!$B:F,5,0)),0,VLOOKUP($A7,IS明細!$B:F,5,0))</f>
        <v>0</v>
      </c>
      <c r="G7" s="1088">
        <f>IF(ISNA(VLOOKUP($A7,IS明細!$B:H,7,0)),0,VLOOKUP($A7,IS明細!$B:H,7,0))</f>
        <v>0</v>
      </c>
      <c r="H7" s="1088">
        <f>IF(ISNA(VLOOKUP($A7,IS明細!$B:J,9,0)),0,VLOOKUP($A7,IS明細!$B:J,9,0))</f>
        <v>0</v>
      </c>
      <c r="I7" s="1088">
        <f>IF(ISNA(VLOOKUP($A7,IS明細!$B:L,11,0)),0,VLOOKUP($A7,IS明細!$B:L,11,0))</f>
        <v>0</v>
      </c>
      <c r="J7" s="1088">
        <f>IF(ISNA(VLOOKUP($A7,IS明細!$B:N,13,0)),0,VLOOKUP($A7,IS明細!$B:N,13,0))</f>
        <v>0</v>
      </c>
      <c r="K7" s="1088">
        <f>IF(ISNA(VLOOKUP($A7,IS明細!$B:P,15,0)),0,VLOOKUP($A7,IS明細!$B:P,15,0))</f>
        <v>0</v>
      </c>
      <c r="L7" s="1088">
        <f>IF(ISNA(VLOOKUP($A7,IS明細!$B:R,17,0)),0,VLOOKUP($A7,IS明細!$B:R,17,0))</f>
        <v>0</v>
      </c>
      <c r="M7" s="1088">
        <f>IF(ISNA(VLOOKUP($A7,IS明細!$B:T,19,0)),0,VLOOKUP($A7,IS明細!$B:T,19,0))</f>
        <v>0</v>
      </c>
      <c r="N7" s="1088">
        <f>IF(ISNA(VLOOKUP($A7,IS明細!$B:V,21,0)),0,VLOOKUP($A7,IS明細!$B:V,21,0))</f>
        <v>0</v>
      </c>
      <c r="O7" s="1088">
        <f>IF(ISNA(VLOOKUP($A7,IS明細!$B:X,23,0)),0,VLOOKUP($A7,IS明細!$B:X,23,0))</f>
        <v>0</v>
      </c>
      <c r="P7" s="1088">
        <f>IF(ISNA(VLOOKUP($A7,IS明細!$B:Z,25,0)),0,VLOOKUP($A7,IS明細!$B:Z,25,0))</f>
        <v>0</v>
      </c>
      <c r="Q7" s="720">
        <f t="shared" si="0"/>
        <v>0</v>
      </c>
      <c r="R7" s="543">
        <f t="shared" si="1"/>
        <v>0</v>
      </c>
      <c r="S7" s="400"/>
      <c r="T7" s="1084"/>
    </row>
    <row r="8" spans="1:20" ht="17" hidden="1" thickTop="1">
      <c r="A8" s="404" t="s">
        <v>1446</v>
      </c>
      <c r="B8" s="1054" t="s">
        <v>1232</v>
      </c>
      <c r="C8" s="404" t="s">
        <v>1447</v>
      </c>
      <c r="E8" s="1088">
        <f>IF(ISNA(VLOOKUP($A8,IS明細!B:D,3,0)),0,VLOOKUP($A8,IS明細!B:D,3,0))</f>
        <v>0</v>
      </c>
      <c r="F8" s="1088">
        <f>IF(ISNA(VLOOKUP($A8,IS明細!$B:F,5,0)),0,VLOOKUP($A8,IS明細!$B:F,5,0))</f>
        <v>0</v>
      </c>
      <c r="G8" s="1088">
        <f>IF(ISNA(VLOOKUP($A8,IS明細!$B:H,7,0)),0,VLOOKUP($A8,IS明細!$B:H,7,0))</f>
        <v>0</v>
      </c>
      <c r="H8" s="1088">
        <f>IF(ISNA(VLOOKUP($A8,IS明細!$B:J,9,0)),0,VLOOKUP($A8,IS明細!$B:J,9,0))</f>
        <v>0</v>
      </c>
      <c r="I8" s="1088">
        <f>IF(ISNA(VLOOKUP($A8,IS明細!$B:L,11,0)),0,VLOOKUP($A8,IS明細!$B:L,11,0))</f>
        <v>0</v>
      </c>
      <c r="J8" s="1088">
        <f>IF(ISNA(VLOOKUP($A8,IS明細!$B:N,13,0)),0,VLOOKUP($A8,IS明細!$B:N,13,0))</f>
        <v>0</v>
      </c>
      <c r="K8" s="1088">
        <f>IF(ISNA(VLOOKUP($A8,IS明細!$B:P,15,0)),0,VLOOKUP($A8,IS明細!$B:P,15,0))</f>
        <v>0</v>
      </c>
      <c r="L8" s="1088">
        <f>IF(ISNA(VLOOKUP($A8,IS明細!$B:R,17,0)),0,VLOOKUP($A8,IS明細!$B:R,17,0))</f>
        <v>0</v>
      </c>
      <c r="M8" s="1088">
        <f>IF(ISNA(VLOOKUP($A8,IS明細!$B:T,19,0)),0,VLOOKUP($A8,IS明細!$B:T,19,0))</f>
        <v>0</v>
      </c>
      <c r="N8" s="1088">
        <f>IF(ISNA(VLOOKUP($A8,IS明細!$B:V,21,0)),0,VLOOKUP($A8,IS明細!$B:V,21,0))</f>
        <v>0</v>
      </c>
      <c r="O8" s="1088">
        <f>IF(ISNA(VLOOKUP($A8,IS明細!$B:X,23,0)),0,VLOOKUP($A8,IS明細!$B:X,23,0))</f>
        <v>0</v>
      </c>
      <c r="P8" s="1088">
        <f>IF(ISNA(VLOOKUP($A8,IS明細!$B:Z,25,0)),0,VLOOKUP($A8,IS明細!$B:Z,25,0))</f>
        <v>0</v>
      </c>
      <c r="Q8" s="720">
        <f t="shared" si="0"/>
        <v>0</v>
      </c>
      <c r="R8" s="543">
        <f t="shared" si="1"/>
        <v>0</v>
      </c>
      <c r="S8" s="1058"/>
      <c r="T8" s="1084"/>
    </row>
    <row r="9" spans="1:20" ht="17" hidden="1" thickTop="1">
      <c r="A9" s="404" t="s">
        <v>1448</v>
      </c>
      <c r="B9" s="1054" t="s">
        <v>1953</v>
      </c>
      <c r="C9" s="404" t="s">
        <v>1449</v>
      </c>
      <c r="E9" s="1088">
        <f>IF(ISNA(VLOOKUP($A9,IS明細!B:D,3,0)),0,VLOOKUP($A9,IS明細!B:D,3,0))</f>
        <v>0</v>
      </c>
      <c r="F9" s="1088">
        <f>IF(ISNA(VLOOKUP($A9,IS明細!$B:F,5,0)),0,VLOOKUP($A9,IS明細!$B:F,5,0))</f>
        <v>0</v>
      </c>
      <c r="G9" s="1088">
        <f>IF(ISNA(VLOOKUP($A9,IS明細!$B:H,7,0)),0,VLOOKUP($A9,IS明細!$B:H,7,0))</f>
        <v>0</v>
      </c>
      <c r="H9" s="1088">
        <f>IF(ISNA(VLOOKUP($A9,IS明細!$B:J,9,0)),0,VLOOKUP($A9,IS明細!$B:J,9,0))</f>
        <v>0</v>
      </c>
      <c r="I9" s="1088">
        <f>IF(ISNA(VLOOKUP($A9,IS明細!$B:L,11,0)),0,VLOOKUP($A9,IS明細!$B:L,11,0))</f>
        <v>0</v>
      </c>
      <c r="J9" s="1088">
        <f>IF(ISNA(VLOOKUP($A9,IS明細!$B:N,13,0)),0,VLOOKUP($A9,IS明細!$B:N,13,0))</f>
        <v>0</v>
      </c>
      <c r="K9" s="1088">
        <f>IF(ISNA(VLOOKUP($A9,IS明細!$B:P,15,0)),0,VLOOKUP($A9,IS明細!$B:P,15,0))</f>
        <v>0</v>
      </c>
      <c r="L9" s="1088">
        <f>IF(ISNA(VLOOKUP($A9,IS明細!$B:R,17,0)),0,VLOOKUP($A9,IS明細!$B:R,17,0))</f>
        <v>0</v>
      </c>
      <c r="M9" s="1088">
        <f>IF(ISNA(VLOOKUP($A9,IS明細!$B:T,19,0)),0,VLOOKUP($A9,IS明細!$B:T,19,0))</f>
        <v>0</v>
      </c>
      <c r="N9" s="1088">
        <f>IF(ISNA(VLOOKUP($A9,IS明細!$B:V,21,0)),0,VLOOKUP($A9,IS明細!$B:V,21,0))</f>
        <v>0</v>
      </c>
      <c r="O9" s="1088">
        <f>IF(ISNA(VLOOKUP($A9,IS明細!$B:X,23,0)),0,VLOOKUP($A9,IS明細!$B:X,23,0))</f>
        <v>0</v>
      </c>
      <c r="P9" s="1088">
        <f>IF(ISNA(VLOOKUP($A9,IS明細!$B:Z,25,0)),0,VLOOKUP($A9,IS明細!$B:Z,25,0))</f>
        <v>0</v>
      </c>
      <c r="Q9" s="720">
        <f t="shared" si="0"/>
        <v>0</v>
      </c>
      <c r="R9" s="543">
        <f t="shared" si="1"/>
        <v>0</v>
      </c>
      <c r="T9" s="1084"/>
    </row>
    <row r="10" spans="1:20" ht="17" hidden="1" thickTop="1">
      <c r="A10" s="404" t="s">
        <v>1450</v>
      </c>
      <c r="B10" s="1054" t="s">
        <v>1233</v>
      </c>
      <c r="C10" s="404" t="s">
        <v>1451</v>
      </c>
      <c r="E10" s="1088">
        <f>IF(ISNA(VLOOKUP($A10,IS明細!B:D,3,0)),0,VLOOKUP($A10,IS明細!B:D,3,0))</f>
        <v>0</v>
      </c>
      <c r="F10" s="1088">
        <f>IF(ISNA(VLOOKUP($A10,IS明細!$B:F,5,0)),0,VLOOKUP($A10,IS明細!$B:F,5,0))</f>
        <v>0</v>
      </c>
      <c r="G10" s="1088">
        <f>IF(ISNA(VLOOKUP($A10,IS明細!$B:H,7,0)),0,VLOOKUP($A10,IS明細!$B:H,7,0))</f>
        <v>0</v>
      </c>
      <c r="H10" s="1088">
        <f>IF(ISNA(VLOOKUP($A10,IS明細!$B:J,9,0)),0,VLOOKUP($A10,IS明細!$B:J,9,0))</f>
        <v>0</v>
      </c>
      <c r="I10" s="1088">
        <f>IF(ISNA(VLOOKUP($A10,IS明細!$B:L,11,0)),0,VLOOKUP($A10,IS明細!$B:L,11,0))</f>
        <v>0</v>
      </c>
      <c r="J10" s="1088">
        <f>IF(ISNA(VLOOKUP($A10,IS明細!$B:N,13,0)),0,VLOOKUP($A10,IS明細!$B:N,13,0))</f>
        <v>0</v>
      </c>
      <c r="K10" s="1088">
        <f>IF(ISNA(VLOOKUP($A10,IS明細!$B:P,15,0)),0,VLOOKUP($A10,IS明細!$B:P,15,0))</f>
        <v>0</v>
      </c>
      <c r="L10" s="1088">
        <f>IF(ISNA(VLOOKUP($A10,IS明細!$B:R,17,0)),0,VLOOKUP($A10,IS明細!$B:R,17,0))</f>
        <v>0</v>
      </c>
      <c r="M10" s="1088">
        <f>IF(ISNA(VLOOKUP($A10,IS明細!$B:T,19,0)),0,VLOOKUP($A10,IS明細!$B:T,19,0))</f>
        <v>0</v>
      </c>
      <c r="N10" s="1088">
        <f>IF(ISNA(VLOOKUP($A10,IS明細!$B:V,21,0)),0,VLOOKUP($A10,IS明細!$B:V,21,0))</f>
        <v>0</v>
      </c>
      <c r="O10" s="1088">
        <f>IF(ISNA(VLOOKUP($A10,IS明細!$B:X,23,0)),0,VLOOKUP($A10,IS明細!$B:X,23,0))</f>
        <v>0</v>
      </c>
      <c r="P10" s="1088">
        <f>IF(ISNA(VLOOKUP($A10,IS明細!$B:Z,25,0)),0,VLOOKUP($A10,IS明細!$B:Z,25,0))</f>
        <v>0</v>
      </c>
      <c r="Q10" s="720">
        <f t="shared" si="0"/>
        <v>0</v>
      </c>
      <c r="R10" s="543">
        <f>AVERAGE(E10:P10)</f>
        <v>0</v>
      </c>
      <c r="S10" s="1058"/>
      <c r="T10" s="1084"/>
    </row>
    <row r="11" spans="1:20" ht="17" hidden="1" thickTop="1">
      <c r="A11" s="404" t="s">
        <v>1452</v>
      </c>
      <c r="B11" s="1054" t="s">
        <v>1954</v>
      </c>
      <c r="C11" s="404" t="s">
        <v>1453</v>
      </c>
      <c r="E11" s="1088">
        <f>IF(ISNA(VLOOKUP($A11,IS明細!B:D,3,0)),0,VLOOKUP($A11,IS明細!B:D,3,0))</f>
        <v>0</v>
      </c>
      <c r="F11" s="1088">
        <f>IF(ISNA(VLOOKUP($A11,IS明細!$B:F,5,0)),0,VLOOKUP($A11,IS明細!$B:F,5,0))</f>
        <v>0</v>
      </c>
      <c r="G11" s="1088">
        <f>IF(ISNA(VLOOKUP($A11,IS明細!$B:H,7,0)),0,VLOOKUP($A11,IS明細!$B:H,7,0))</f>
        <v>0</v>
      </c>
      <c r="H11" s="1088">
        <f>IF(ISNA(VLOOKUP($A11,IS明細!$B:J,9,0)),0,VLOOKUP($A11,IS明細!$B:J,9,0))</f>
        <v>0</v>
      </c>
      <c r="I11" s="1088">
        <f>IF(ISNA(VLOOKUP($A11,IS明細!$B:L,11,0)),0,VLOOKUP($A11,IS明細!$B:L,11,0))</f>
        <v>0</v>
      </c>
      <c r="J11" s="1088">
        <f>IF(ISNA(VLOOKUP($A11,IS明細!$B:N,13,0)),0,VLOOKUP($A11,IS明細!$B:N,13,0))</f>
        <v>0</v>
      </c>
      <c r="K11" s="1088">
        <f>IF(ISNA(VLOOKUP($A11,IS明細!$B:P,15,0)),0,VLOOKUP($A11,IS明細!$B:P,15,0))</f>
        <v>0</v>
      </c>
      <c r="L11" s="1088">
        <f>IF(ISNA(VLOOKUP($A11,IS明細!$B:R,17,0)),0,VLOOKUP($A11,IS明細!$B:R,17,0))</f>
        <v>0</v>
      </c>
      <c r="M11" s="1088">
        <f>IF(ISNA(VLOOKUP($A11,IS明細!$B:T,19,0)),0,VLOOKUP($A11,IS明細!$B:T,19,0))</f>
        <v>0</v>
      </c>
      <c r="N11" s="1088">
        <f>IF(ISNA(VLOOKUP($A11,IS明細!$B:V,21,0)),0,VLOOKUP($A11,IS明細!$B:V,21,0))</f>
        <v>0</v>
      </c>
      <c r="O11" s="1088">
        <f>IF(ISNA(VLOOKUP($A11,IS明細!$B:X,23,0)),0,VLOOKUP($A11,IS明細!$B:X,23,0))</f>
        <v>0</v>
      </c>
      <c r="P11" s="1088">
        <f>IF(ISNA(VLOOKUP($A11,IS明細!$B:Z,25,0)),0,VLOOKUP($A11,IS明細!$B:Z,25,0))</f>
        <v>0</v>
      </c>
      <c r="Q11" s="720">
        <f t="shared" si="0"/>
        <v>0</v>
      </c>
      <c r="R11" s="543">
        <f t="shared" si="1"/>
        <v>0</v>
      </c>
      <c r="S11" s="1058"/>
      <c r="T11" s="1084"/>
    </row>
    <row r="12" spans="1:20" ht="17" thickTop="1">
      <c r="A12" s="404" t="s">
        <v>1454</v>
      </c>
      <c r="B12" s="1054" t="s">
        <v>1955</v>
      </c>
      <c r="C12" s="404" t="s">
        <v>1455</v>
      </c>
      <c r="E12" s="1055">
        <f>IF(ISNA(VLOOKUP($A12,IS明細!B:D,3,0)),0,VLOOKUP($A12,IS明細!B:D,3,0))</f>
        <v>1023451</v>
      </c>
      <c r="F12" s="1055">
        <f>IF(ISNA(VLOOKUP($A12,IS明細!$B:F,5,0)),0,VLOOKUP($A12,IS明細!$B:F,5,0))</f>
        <v>1006220</v>
      </c>
      <c r="G12" s="1055">
        <f>IF(ISNA(VLOOKUP($A12,IS明細!$B:H,7,0)),0,VLOOKUP($A12,IS明細!$B:H,7,0))</f>
        <v>1020731</v>
      </c>
      <c r="H12" s="1055">
        <f>IF(ISNA(VLOOKUP($A12,IS明細!$B:J,9,0)),0,VLOOKUP($A12,IS明細!$B:J,9,0))</f>
        <v>1062155</v>
      </c>
      <c r="I12" s="1055">
        <f>IF(ISNA(VLOOKUP($A12,IS明細!$B:L,11,0)),0,VLOOKUP($A12,IS明細!$B:L,11,0))</f>
        <v>1055778</v>
      </c>
      <c r="J12" s="1055">
        <f>IF(ISNA(VLOOKUP($A12,IS明細!$B:N,13,0)),0,VLOOKUP($A12,IS明細!$B:N,13,0))</f>
        <v>1051561</v>
      </c>
      <c r="K12" s="1055">
        <f>IF(ISNA(VLOOKUP($A12,IS明細!$B:P,15,0)),0,VLOOKUP($A12,IS明細!$B:P,15,0))</f>
        <v>1065149</v>
      </c>
      <c r="L12" s="1055">
        <f>IF(ISNA(VLOOKUP($A12,IS明細!$B:R,17,0)),0,VLOOKUP($A12,IS明細!$B:R,17,0))</f>
        <v>1088082</v>
      </c>
      <c r="M12" s="1055">
        <f>IF(ISNA(VLOOKUP($A12,IS明細!$B:T,19,0)),0,VLOOKUP($A12,IS明細!$B:T,19,0))</f>
        <v>0</v>
      </c>
      <c r="N12" s="1055">
        <f>IF(ISNA(VLOOKUP($A12,IS明細!$B:V,21,0)),0,VLOOKUP($A12,IS明細!$B:V,21,0))</f>
        <v>0</v>
      </c>
      <c r="O12" s="1055">
        <f>IF(ISNA(VLOOKUP($A12,IS明細!$B:X,23,0)),0,VLOOKUP($A12,IS明細!$B:X,23,0))</f>
        <v>0</v>
      </c>
      <c r="P12" s="1055">
        <f>IF(ISNA(VLOOKUP($A12,IS明細!$B:Z,25,0)),0,VLOOKUP($A12,IS明細!$B:Z,25,0))</f>
        <v>0</v>
      </c>
      <c r="Q12" s="543">
        <f>SUM(E12:P12)</f>
        <v>8373127</v>
      </c>
      <c r="R12" s="543">
        <f t="shared" ref="R12:R42" si="2">ROUND(Q12/$R$2,0)</f>
        <v>1046641</v>
      </c>
      <c r="S12" s="1058"/>
      <c r="T12" s="600">
        <f>L12-K12</f>
        <v>22933</v>
      </c>
    </row>
    <row r="13" spans="1:20">
      <c r="A13" s="404" t="s">
        <v>1456</v>
      </c>
      <c r="B13" s="1054" t="s">
        <v>1956</v>
      </c>
      <c r="C13" s="404" t="s">
        <v>1457</v>
      </c>
      <c r="E13" s="1055">
        <f>IF(ISNA(VLOOKUP($A13,IS明細!B:D,3,0)),0,VLOOKUP($A13,IS明細!B:D,3,0))</f>
        <v>726247</v>
      </c>
      <c r="F13" s="1055">
        <f>IF(ISNA(VLOOKUP($A13,IS明細!$B:F,5,0)),0,VLOOKUP($A13,IS明細!$B:F,5,0))</f>
        <v>741039</v>
      </c>
      <c r="G13" s="1055">
        <f>IF(ISNA(VLOOKUP($A13,IS明細!$B:H,7,0)),0,VLOOKUP($A13,IS明細!$B:H,7,0))</f>
        <v>734100</v>
      </c>
      <c r="H13" s="1055">
        <f>IF(ISNA(VLOOKUP($A13,IS明細!$B:J,9,0)),0,VLOOKUP($A13,IS明細!$B:J,9,0))</f>
        <v>771882</v>
      </c>
      <c r="I13" s="1055">
        <f>IF(ISNA(VLOOKUP($A13,IS明細!$B:L,11,0)),0,VLOOKUP($A13,IS明細!$B:L,11,0))</f>
        <v>771217</v>
      </c>
      <c r="J13" s="1055">
        <f>IF(ISNA(VLOOKUP($A13,IS明細!$B:N,13,0)),0,VLOOKUP($A13,IS明細!$B:N,13,0))</f>
        <v>770641</v>
      </c>
      <c r="K13" s="1055">
        <f>IF(ISNA(VLOOKUP($A13,IS明細!$B:P,15,0)),0,VLOOKUP($A13,IS明細!$B:P,15,0))</f>
        <v>792332</v>
      </c>
      <c r="L13" s="1055">
        <f>IF(ISNA(VLOOKUP($A13,IS明細!$B:R,17,0)),0,VLOOKUP($A13,IS明細!$B:R,17,0))</f>
        <v>796776</v>
      </c>
      <c r="M13" s="1055">
        <f>IF(ISNA(VLOOKUP($A13,IS明細!$B:T,19,0)),0,VLOOKUP($A13,IS明細!$B:T,19,0))</f>
        <v>0</v>
      </c>
      <c r="N13" s="1055">
        <f>IF(ISNA(VLOOKUP($A13,IS明細!$B:V,21,0)),0,VLOOKUP($A13,IS明細!$B:V,21,0))</f>
        <v>0</v>
      </c>
      <c r="O13" s="1055">
        <f>IF(ISNA(VLOOKUP($A13,IS明細!$B:X,23,0)),0,VLOOKUP($A13,IS明細!$B:X,23,0))</f>
        <v>0</v>
      </c>
      <c r="P13" s="1055">
        <f>IF(ISNA(VLOOKUP($A13,IS明細!$B:Z,25,0)),0,VLOOKUP($A13,IS明細!$B:Z,25,0))</f>
        <v>0</v>
      </c>
      <c r="Q13" s="543">
        <f t="shared" si="0"/>
        <v>6104234</v>
      </c>
      <c r="R13" s="543">
        <f t="shared" si="2"/>
        <v>763029</v>
      </c>
      <c r="S13" s="1058"/>
      <c r="T13" s="600">
        <f t="shared" ref="T13:T44" si="3">L13-K13</f>
        <v>4444</v>
      </c>
    </row>
    <row r="14" spans="1:20">
      <c r="A14" s="404" t="s">
        <v>1458</v>
      </c>
      <c r="B14" s="1054" t="s">
        <v>1957</v>
      </c>
      <c r="C14" s="404" t="s">
        <v>1958</v>
      </c>
      <c r="E14" s="1055">
        <f>IF(ISNA(VLOOKUP($A14,IS明細!B:D,3,0)),0,VLOOKUP($A14,IS明細!B:D,3,0))</f>
        <v>0</v>
      </c>
      <c r="F14" s="1055">
        <f>IF(ISNA(VLOOKUP($A14,IS明細!$B:F,5,0)),0,VLOOKUP($A14,IS明細!$B:F,5,0))</f>
        <v>14913</v>
      </c>
      <c r="G14" s="1055">
        <f>IF(ISNA(VLOOKUP($A14,IS明細!$B:H,7,0)),0,VLOOKUP($A14,IS明細!$B:H,7,0))</f>
        <v>19383</v>
      </c>
      <c r="H14" s="1055">
        <f>IF(ISNA(VLOOKUP($A14,IS明細!$B:J,9,0)),0,VLOOKUP($A14,IS明細!$B:J,9,0))</f>
        <v>21000</v>
      </c>
      <c r="I14" s="1055">
        <f>IF(ISNA(VLOOKUP($A14,IS明細!$B:L,11,0)),0,VLOOKUP($A14,IS明細!$B:L,11,0))</f>
        <v>12994</v>
      </c>
      <c r="J14" s="1055">
        <f>IF(ISNA(VLOOKUP($A14,IS明細!$B:N,13,0)),0,VLOOKUP($A14,IS明細!$B:N,13,0))</f>
        <v>8283</v>
      </c>
      <c r="K14" s="1055">
        <f>IF(ISNA(VLOOKUP($A14,IS明細!$B:P,15,0)),0,VLOOKUP($A14,IS明細!$B:P,15,0))</f>
        <v>0</v>
      </c>
      <c r="L14" s="1055">
        <f>IF(ISNA(VLOOKUP($A14,IS明細!$B:R,17,0)),0,VLOOKUP($A14,IS明細!$B:R,17,0))</f>
        <v>17567</v>
      </c>
      <c r="M14" s="1055">
        <f>IF(ISNA(VLOOKUP($A14,IS明細!$B:T,19,0)),0,VLOOKUP($A14,IS明細!$B:T,19,0))</f>
        <v>0</v>
      </c>
      <c r="N14" s="1055">
        <f>IF(ISNA(VLOOKUP($A14,IS明細!$B:V,21,0)),0,VLOOKUP($A14,IS明細!$B:V,21,0))</f>
        <v>0</v>
      </c>
      <c r="O14" s="1055">
        <f>IF(ISNA(VLOOKUP($A14,IS明細!$B:X,23,0)),0,VLOOKUP($A14,IS明細!$B:X,23,0))</f>
        <v>0</v>
      </c>
      <c r="P14" s="1055">
        <f>IF(ISNA(VLOOKUP($A14,IS明細!$B:Z,25,0)),0,VLOOKUP($A14,IS明細!$B:Z,25,0))</f>
        <v>0</v>
      </c>
      <c r="Q14" s="543">
        <f t="shared" si="0"/>
        <v>94140</v>
      </c>
      <c r="R14" s="543">
        <f t="shared" si="2"/>
        <v>11768</v>
      </c>
      <c r="S14" s="1058"/>
      <c r="T14" s="600">
        <f t="shared" si="3"/>
        <v>17567</v>
      </c>
    </row>
    <row r="15" spans="1:20">
      <c r="A15" s="404" t="s">
        <v>1459</v>
      </c>
      <c r="B15" s="1054" t="s">
        <v>1959</v>
      </c>
      <c r="C15" s="404" t="s">
        <v>1960</v>
      </c>
      <c r="E15" s="1055">
        <f>IF(ISNA(VLOOKUP($A15,IS明細!B:D,3,0)),0,VLOOKUP($A15,IS明細!B:D,3,0))</f>
        <v>0</v>
      </c>
      <c r="F15" s="1055">
        <f>IF(ISNA(VLOOKUP($A15,IS明細!$B:F,5,0)),0,VLOOKUP($A15,IS明細!$B:F,5,0))</f>
        <v>0</v>
      </c>
      <c r="G15" s="1055">
        <f>IF(ISNA(VLOOKUP($A15,IS明細!$B:H,7,0)),0,VLOOKUP($A15,IS明細!$B:H,7,0))</f>
        <v>0</v>
      </c>
      <c r="H15" s="1055">
        <f>IF(ISNA(VLOOKUP($A15,IS明細!$B:J,9,0)),0,VLOOKUP($A15,IS明細!$B:J,9,0))</f>
        <v>0</v>
      </c>
      <c r="I15" s="1055">
        <f>IF(ISNA(VLOOKUP($A15,IS明細!$B:L,11,0)),0,VLOOKUP($A15,IS明細!$B:L,11,0))</f>
        <v>0</v>
      </c>
      <c r="J15" s="1055">
        <f>IF(ISNA(VLOOKUP($A15,IS明細!$B:N,13,0)),0,VLOOKUP($A15,IS明細!$B:N,13,0))</f>
        <v>0</v>
      </c>
      <c r="K15" s="1055">
        <f>IF(ISNA(VLOOKUP($A15,IS明細!$B:P,15,0)),0,VLOOKUP($A15,IS明細!$B:P,15,0))</f>
        <v>0</v>
      </c>
      <c r="L15" s="1055">
        <f>IF(ISNA(VLOOKUP($A15,IS明細!$B:R,17,0)),0,VLOOKUP($A15,IS明細!$B:R,17,0))</f>
        <v>0</v>
      </c>
      <c r="M15" s="1055">
        <f>IF(ISNA(VLOOKUP($A15,IS明細!$B:T,19,0)),0,VLOOKUP($A15,IS明細!$B:T,19,0))</f>
        <v>0</v>
      </c>
      <c r="N15" s="1055">
        <f>IF(ISNA(VLOOKUP($A15,IS明細!$B:V,21,0)),0,VLOOKUP($A15,IS明細!$B:V,21,0))</f>
        <v>0</v>
      </c>
      <c r="O15" s="1055">
        <f>IF(ISNA(VLOOKUP($A15,IS明細!$B:X,23,0)),0,VLOOKUP($A15,IS明細!$B:X,23,0))</f>
        <v>0</v>
      </c>
      <c r="P15" s="1055">
        <f>IF(ISNA(VLOOKUP($A15,IS明細!$B:Z,25,0)),0,VLOOKUP($A15,IS明細!$B:Z,25,0))</f>
        <v>0</v>
      </c>
      <c r="Q15" s="543">
        <f t="shared" si="0"/>
        <v>0</v>
      </c>
      <c r="R15" s="543">
        <f t="shared" si="2"/>
        <v>0</v>
      </c>
      <c r="S15" s="1058"/>
      <c r="T15" s="600">
        <f t="shared" si="3"/>
        <v>0</v>
      </c>
    </row>
    <row r="16" spans="1:20">
      <c r="A16" s="404" t="s">
        <v>1460</v>
      </c>
      <c r="B16" s="1054" t="s">
        <v>1961</v>
      </c>
      <c r="C16" s="404" t="s">
        <v>1461</v>
      </c>
      <c r="E16" s="1055">
        <f>IF(ISNA(VLOOKUP($A16,IS明細!B:D,3,0)),0,VLOOKUP($A16,IS明細!B:D,3,0))</f>
        <v>46704</v>
      </c>
      <c r="F16" s="1055">
        <f>IF(ISNA(VLOOKUP($A16,IS明細!$B:F,5,0)),0,VLOOKUP($A16,IS明細!$B:F,5,0))</f>
        <v>47368</v>
      </c>
      <c r="G16" s="1055">
        <f>IF(ISNA(VLOOKUP($A16,IS明細!$B:H,7,0)),0,VLOOKUP($A16,IS明細!$B:H,7,0))</f>
        <v>47328</v>
      </c>
      <c r="H16" s="1055">
        <f>IF(ISNA(VLOOKUP($A16,IS明細!$B:J,9,0)),0,VLOOKUP($A16,IS明細!$B:J,9,0))</f>
        <v>49573</v>
      </c>
      <c r="I16" s="1055">
        <f>IF(ISNA(VLOOKUP($A16,IS明細!$B:L,11,0)),0,VLOOKUP($A16,IS明細!$B:L,11,0))</f>
        <v>49867</v>
      </c>
      <c r="J16" s="1055">
        <f>IF(ISNA(VLOOKUP($A16,IS明細!$B:N,13,0)),0,VLOOKUP($A16,IS明細!$B:N,13,0))</f>
        <v>50137</v>
      </c>
      <c r="K16" s="1055">
        <f>IF(ISNA(VLOOKUP($A16,IS明細!$B:P,15,0)),0,VLOOKUP($A16,IS明細!$B:P,15,0))</f>
        <v>50317</v>
      </c>
      <c r="L16" s="1055">
        <f>IF(ISNA(VLOOKUP($A16,IS明細!$B:R,17,0)),0,VLOOKUP($A16,IS明細!$B:R,17,0))</f>
        <v>50539</v>
      </c>
      <c r="M16" s="1055">
        <f>IF(ISNA(VLOOKUP($A16,IS明細!$B:T,19,0)),0,VLOOKUP($A16,IS明細!$B:T,19,0))</f>
        <v>0</v>
      </c>
      <c r="N16" s="1055">
        <f>IF(ISNA(VLOOKUP($A16,IS明細!$B:V,21,0)),0,VLOOKUP($A16,IS明細!$B:V,21,0))</f>
        <v>0</v>
      </c>
      <c r="O16" s="1055">
        <f>IF(ISNA(VLOOKUP($A16,IS明細!$B:X,23,0)),0,VLOOKUP($A16,IS明細!$B:X,23,0))</f>
        <v>0</v>
      </c>
      <c r="P16" s="1055">
        <f>IF(ISNA(VLOOKUP($A16,IS明細!$B:Z,25,0)),0,VLOOKUP($A16,IS明細!$B:Z,25,0))</f>
        <v>0</v>
      </c>
      <c r="Q16" s="543">
        <f t="shared" si="0"/>
        <v>391833</v>
      </c>
      <c r="R16" s="543">
        <f t="shared" si="2"/>
        <v>48979</v>
      </c>
      <c r="S16" s="400"/>
      <c r="T16" s="600">
        <f t="shared" si="3"/>
        <v>222</v>
      </c>
    </row>
    <row r="17" spans="1:20">
      <c r="A17" s="404" t="s">
        <v>1462</v>
      </c>
      <c r="B17" s="1054" t="s">
        <v>1962</v>
      </c>
      <c r="C17" s="404" t="s">
        <v>1463</v>
      </c>
      <c r="E17" s="1055">
        <f>IF(ISNA(VLOOKUP($A17,IS明細!B:D,3,0)),0,VLOOKUP($A17,IS明細!B:D,3,0))</f>
        <v>250500</v>
      </c>
      <c r="F17" s="1055">
        <f>IF(ISNA(VLOOKUP($A17,IS明細!$B:F,5,0)),0,VLOOKUP($A17,IS明細!$B:F,5,0))</f>
        <v>202900</v>
      </c>
      <c r="G17" s="1055">
        <f>IF(ISNA(VLOOKUP($A17,IS明細!$B:H,7,0)),0,VLOOKUP($A17,IS明細!$B:H,7,0))</f>
        <v>219920</v>
      </c>
      <c r="H17" s="1055">
        <f>IF(ISNA(VLOOKUP($A17,IS明細!$B:J,9,0)),0,VLOOKUP($A17,IS明細!$B:J,9,0))</f>
        <v>219700</v>
      </c>
      <c r="I17" s="1055">
        <f>IF(ISNA(VLOOKUP($A17,IS明細!$B:L,11,0)),0,VLOOKUP($A17,IS明細!$B:L,11,0))</f>
        <v>221700</v>
      </c>
      <c r="J17" s="1055">
        <f>IF(ISNA(VLOOKUP($A17,IS明細!$B:N,13,0)),0,VLOOKUP($A17,IS明細!$B:N,13,0))</f>
        <v>222500</v>
      </c>
      <c r="K17" s="1055">
        <f>IF(ISNA(VLOOKUP($A17,IS明細!$B:P,15,0)),0,VLOOKUP($A17,IS明細!$B:P,15,0))</f>
        <v>222500</v>
      </c>
      <c r="L17" s="1055">
        <f>IF(ISNA(VLOOKUP($A17,IS明細!$B:R,17,0)),0,VLOOKUP($A17,IS明細!$B:R,17,0))</f>
        <v>223200</v>
      </c>
      <c r="M17" s="1055">
        <f>IF(ISNA(VLOOKUP($A17,IS明細!$B:T,19,0)),0,VLOOKUP($A17,IS明細!$B:T,19,0))</f>
        <v>0</v>
      </c>
      <c r="N17" s="1055">
        <f>IF(ISNA(VLOOKUP($A17,IS明細!$B:V,21,0)),0,VLOOKUP($A17,IS明細!$B:V,21,0))</f>
        <v>0</v>
      </c>
      <c r="O17" s="1055">
        <f>IF(ISNA(VLOOKUP($A17,IS明細!$B:X,23,0)),0,VLOOKUP($A17,IS明細!$B:X,23,0))</f>
        <v>0</v>
      </c>
      <c r="P17" s="1055">
        <f>IF(ISNA(VLOOKUP($A17,IS明細!$B:Z,25,0)),0,VLOOKUP($A17,IS明細!$B:Z,25,0))</f>
        <v>0</v>
      </c>
      <c r="Q17" s="543">
        <f t="shared" si="0"/>
        <v>1782920</v>
      </c>
      <c r="R17" s="543">
        <f t="shared" si="2"/>
        <v>222865</v>
      </c>
      <c r="S17" s="1058"/>
      <c r="T17" s="600">
        <f t="shared" si="3"/>
        <v>700</v>
      </c>
    </row>
    <row r="18" spans="1:20">
      <c r="A18" s="404" t="s">
        <v>1464</v>
      </c>
      <c r="B18" s="1054" t="s">
        <v>1963</v>
      </c>
      <c r="C18" s="404" t="s">
        <v>1465</v>
      </c>
      <c r="E18" s="1055">
        <f>IF(ISNA(VLOOKUP($A18,IS明細!B:D,3,0)),0,VLOOKUP($A18,IS明細!B:D,3,0))</f>
        <v>0</v>
      </c>
      <c r="F18" s="1055">
        <f>IF(ISNA(VLOOKUP($A18,IS明細!$B:F,5,0)),0,VLOOKUP($A18,IS明細!$B:F,5,0))</f>
        <v>0</v>
      </c>
      <c r="G18" s="1055">
        <f>IF(ISNA(VLOOKUP($A18,IS明細!$B:H,7,0)),0,VLOOKUP($A18,IS明細!$B:H,7,0))</f>
        <v>0</v>
      </c>
      <c r="H18" s="1055">
        <f>IF(ISNA(VLOOKUP($A18,IS明細!$B:J,9,0)),0,VLOOKUP($A18,IS明細!$B:J,9,0))</f>
        <v>0</v>
      </c>
      <c r="I18" s="1055">
        <f>IF(ISNA(VLOOKUP($A18,IS明細!$B:L,11,0)),0,VLOOKUP($A18,IS明細!$B:L,11,0))</f>
        <v>0</v>
      </c>
      <c r="J18" s="1055">
        <f>IF(ISNA(VLOOKUP($A18,IS明細!$B:N,13,0)),0,VLOOKUP($A18,IS明細!$B:N,13,0))</f>
        <v>0</v>
      </c>
      <c r="K18" s="1055">
        <f>IF(ISNA(VLOOKUP($A18,IS明細!$B:P,15,0)),0,VLOOKUP($A18,IS明細!$B:P,15,0))</f>
        <v>0</v>
      </c>
      <c r="L18" s="1055">
        <f>IF(ISNA(VLOOKUP($A18,IS明細!$B:R,17,0)),0,VLOOKUP($A18,IS明細!$B:R,17,0))</f>
        <v>0</v>
      </c>
      <c r="M18" s="1055">
        <f>IF(ISNA(VLOOKUP($A18,IS明細!$B:T,19,0)),0,VLOOKUP($A18,IS明細!$B:T,19,0))</f>
        <v>0</v>
      </c>
      <c r="N18" s="1055">
        <f>IF(ISNA(VLOOKUP($A18,IS明細!$B:V,21,0)),0,VLOOKUP($A18,IS明細!$B:V,21,0))</f>
        <v>0</v>
      </c>
      <c r="O18" s="1055">
        <f>IF(ISNA(VLOOKUP($A18,IS明細!$B:X,23,0)),0,VLOOKUP($A18,IS明細!$B:X,23,0))</f>
        <v>0</v>
      </c>
      <c r="P18" s="1055">
        <f>IF(ISNA(VLOOKUP($A18,IS明細!$B:Z,25,0)),0,VLOOKUP($A18,IS明細!$B:Z,25,0))</f>
        <v>0</v>
      </c>
      <c r="Q18" s="543">
        <f t="shared" si="0"/>
        <v>0</v>
      </c>
      <c r="R18" s="543">
        <f t="shared" si="2"/>
        <v>0</v>
      </c>
      <c r="S18" s="1058"/>
      <c r="T18" s="600">
        <f t="shared" si="3"/>
        <v>0</v>
      </c>
    </row>
    <row r="19" spans="1:20" ht="17">
      <c r="A19" s="404" t="s">
        <v>1466</v>
      </c>
      <c r="B19" s="1054" t="s">
        <v>1964</v>
      </c>
      <c r="C19" s="404" t="s">
        <v>1300</v>
      </c>
      <c r="E19" s="1055">
        <f>IF(ISNA(VLOOKUP($A19,IS明細!B:D,3,0)),0,VLOOKUP($A19,IS明細!B:D,3,0))</f>
        <v>194800</v>
      </c>
      <c r="F19" s="1055">
        <f>IF(ISNA(VLOOKUP($A19,IS明細!$B:F,5,0)),0,VLOOKUP($A19,IS明細!$B:F,5,0))</f>
        <v>194800</v>
      </c>
      <c r="G19" s="1055">
        <f>IF(ISNA(VLOOKUP($A19,IS明細!$B:H,7,0)),0,VLOOKUP($A19,IS明細!$B:H,7,0))</f>
        <v>194800</v>
      </c>
      <c r="H19" s="1055">
        <f>IF(ISNA(VLOOKUP($A19,IS明細!$B:J,9,0)),0,VLOOKUP($A19,IS明細!$B:J,9,0))</f>
        <v>194800</v>
      </c>
      <c r="I19" s="1055">
        <f>IF(ISNA(VLOOKUP($A19,IS明細!$B:L,11,0)),0,VLOOKUP($A19,IS明細!$B:L,11,0))</f>
        <v>194800</v>
      </c>
      <c r="J19" s="1055">
        <f>IF(ISNA(VLOOKUP($A19,IS明細!$B:N,13,0)),0,VLOOKUP($A19,IS明細!$B:N,13,0))</f>
        <v>194800</v>
      </c>
      <c r="K19" s="1055">
        <f>IF(ISNA(VLOOKUP($A19,IS明細!$B:P,15,0)),0,VLOOKUP($A19,IS明細!$B:P,15,0))</f>
        <v>194800</v>
      </c>
      <c r="L19" s="1055">
        <f>IF(ISNA(VLOOKUP($A19,IS明細!$B:R,17,0)),0,VLOOKUP($A19,IS明細!$B:R,17,0))</f>
        <v>194800</v>
      </c>
      <c r="M19" s="1055">
        <f>IF(ISNA(VLOOKUP($A19,IS明細!$B:T,19,0)),0,VLOOKUP($A19,IS明細!$B:T,19,0))</f>
        <v>0</v>
      </c>
      <c r="N19" s="1055">
        <f>IF(ISNA(VLOOKUP($A19,IS明細!$B:V,21,0)),0,VLOOKUP($A19,IS明細!$B:V,21,0))</f>
        <v>0</v>
      </c>
      <c r="O19" s="1055">
        <f>IF(ISNA(VLOOKUP($A19,IS明細!$B:X,23,0)),0,VLOOKUP($A19,IS明細!$B:X,23,0))</f>
        <v>0</v>
      </c>
      <c r="P19" s="1055">
        <f>IF(ISNA(VLOOKUP($A19,IS明細!$B:Z,25,0)),0,VLOOKUP($A19,IS明細!$B:Z,25,0))</f>
        <v>0</v>
      </c>
      <c r="Q19" s="543">
        <f t="shared" si="0"/>
        <v>1558400</v>
      </c>
      <c r="R19" s="543">
        <f t="shared" si="2"/>
        <v>194800</v>
      </c>
      <c r="S19" s="400" t="s">
        <v>1965</v>
      </c>
      <c r="T19" s="600">
        <f t="shared" si="3"/>
        <v>0</v>
      </c>
    </row>
    <row r="20" spans="1:20">
      <c r="A20" s="404" t="s">
        <v>1467</v>
      </c>
      <c r="B20" s="1054" t="s">
        <v>1966</v>
      </c>
      <c r="C20" s="404" t="s">
        <v>1302</v>
      </c>
      <c r="E20" s="1055">
        <f>IF(ISNA(VLOOKUP($A20,IS明細!B:D,3,0)),0,VLOOKUP($A20,IS明細!B:D,3,0))</f>
        <v>0</v>
      </c>
      <c r="F20" s="1055">
        <f>IF(ISNA(VLOOKUP($A20,IS明細!$B:F,5,0)),0,VLOOKUP($A20,IS明細!$B:F,5,0))</f>
        <v>0</v>
      </c>
      <c r="G20" s="1055">
        <f>IF(ISNA(VLOOKUP($A20,IS明細!$B:H,7,0)),0,VLOOKUP($A20,IS明細!$B:H,7,0))</f>
        <v>0</v>
      </c>
      <c r="H20" s="1055">
        <f>IF(ISNA(VLOOKUP($A20,IS明細!$B:J,9,0)),0,VLOOKUP($A20,IS明細!$B:J,9,0))</f>
        <v>2106</v>
      </c>
      <c r="I20" s="1055">
        <f>IF(ISNA(VLOOKUP($A20,IS明細!$B:L,11,0)),0,VLOOKUP($A20,IS明細!$B:L,11,0))</f>
        <v>0</v>
      </c>
      <c r="J20" s="1055">
        <f>IF(ISNA(VLOOKUP($A20,IS明細!$B:N,13,0)),0,VLOOKUP($A20,IS明細!$B:N,13,0))</f>
        <v>300</v>
      </c>
      <c r="K20" s="1055">
        <f>IF(ISNA(VLOOKUP($A20,IS明細!$B:P,15,0)),0,VLOOKUP($A20,IS明細!$B:P,15,0))</f>
        <v>3250</v>
      </c>
      <c r="L20" s="1055">
        <f>IF(ISNA(VLOOKUP($A20,IS明細!$B:R,17,0)),0,VLOOKUP($A20,IS明細!$B:R,17,0))</f>
        <v>0</v>
      </c>
      <c r="M20" s="1055">
        <f>IF(ISNA(VLOOKUP($A20,IS明細!$B:T,19,0)),0,VLOOKUP($A20,IS明細!$B:T,19,0))</f>
        <v>0</v>
      </c>
      <c r="N20" s="1055">
        <f>IF(ISNA(VLOOKUP($A20,IS明細!$B:V,21,0)),0,VLOOKUP($A20,IS明細!$B:V,21,0))</f>
        <v>0</v>
      </c>
      <c r="O20" s="1055">
        <f>IF(ISNA(VLOOKUP($A20,IS明細!$B:X,23,0)),0,VLOOKUP($A20,IS明細!$B:X,23,0))</f>
        <v>0</v>
      </c>
      <c r="P20" s="1055">
        <f>IF(ISNA(VLOOKUP($A20,IS明細!$B:Z,25,0)),0,VLOOKUP($A20,IS明細!$B:Z,25,0))</f>
        <v>0</v>
      </c>
      <c r="Q20" s="543">
        <f t="shared" si="0"/>
        <v>5656</v>
      </c>
      <c r="R20" s="543">
        <f t="shared" si="2"/>
        <v>707</v>
      </c>
      <c r="S20" s="1058"/>
      <c r="T20" s="600">
        <f t="shared" si="3"/>
        <v>-3250</v>
      </c>
    </row>
    <row r="21" spans="1:20" ht="17">
      <c r="A21" s="404" t="s">
        <v>1468</v>
      </c>
      <c r="B21" s="1054" t="s">
        <v>1967</v>
      </c>
      <c r="C21" s="404" t="s">
        <v>1305</v>
      </c>
      <c r="E21" s="1055">
        <f>IF(ISNA(VLOOKUP($A21,IS明細!B:D,3,0)),0,VLOOKUP($A21,IS明細!B:D,3,0))</f>
        <v>1000</v>
      </c>
      <c r="F21" s="1055">
        <f>IF(ISNA(VLOOKUP($A21,IS明細!$B:F,5,0)),0,VLOOKUP($A21,IS明細!$B:F,5,0))</f>
        <v>39000</v>
      </c>
      <c r="G21" s="1055">
        <f>IF(ISNA(VLOOKUP($A21,IS明細!$B:H,7,0)),0,VLOOKUP($A21,IS明細!$B:H,7,0))</f>
        <v>65426</v>
      </c>
      <c r="H21" s="1055">
        <f>IF(ISNA(VLOOKUP($A21,IS明細!$B:J,9,0)),0,VLOOKUP($A21,IS明細!$B:J,9,0))</f>
        <v>36619</v>
      </c>
      <c r="I21" s="1055">
        <f>IF(ISNA(VLOOKUP($A21,IS明細!$B:L,11,0)),0,VLOOKUP($A21,IS明細!$B:L,11,0))</f>
        <v>37680</v>
      </c>
      <c r="J21" s="1055">
        <f>IF(ISNA(VLOOKUP($A21,IS明細!$B:N,13,0)),0,VLOOKUP($A21,IS明細!$B:N,13,0))</f>
        <v>3600</v>
      </c>
      <c r="K21" s="1055">
        <f>IF(ISNA(VLOOKUP($A21,IS明細!$B:P,15,0)),0,VLOOKUP($A21,IS明細!$B:P,15,0))</f>
        <v>14900</v>
      </c>
      <c r="L21" s="1055">
        <f>IF(ISNA(VLOOKUP($A21,IS明細!$B:R,17,0)),0,VLOOKUP($A21,IS明細!$B:R,17,0))</f>
        <v>43302</v>
      </c>
      <c r="M21" s="1055">
        <f>IF(ISNA(VLOOKUP($A21,IS明細!$B:T,19,0)),0,VLOOKUP($A21,IS明細!$B:T,19,0))</f>
        <v>0</v>
      </c>
      <c r="N21" s="1055">
        <f>IF(ISNA(VLOOKUP($A21,IS明細!$B:V,21,0)),0,VLOOKUP($A21,IS明細!$B:V,21,0))</f>
        <v>0</v>
      </c>
      <c r="O21" s="1055">
        <f>IF(ISNA(VLOOKUP($A21,IS明細!$B:X,23,0)),0,VLOOKUP($A21,IS明細!$B:X,23,0))</f>
        <v>0</v>
      </c>
      <c r="P21" s="1055">
        <f>IF(ISNA(VLOOKUP($A21,IS明細!$B:Z,25,0)),0,VLOOKUP($A21,IS明細!$B:Z,25,0))</f>
        <v>0</v>
      </c>
      <c r="Q21" s="543">
        <f t="shared" si="0"/>
        <v>241527</v>
      </c>
      <c r="R21" s="543">
        <f t="shared" si="2"/>
        <v>30191</v>
      </c>
      <c r="S21" s="1058" t="s">
        <v>2079</v>
      </c>
      <c r="T21" s="600">
        <f t="shared" si="3"/>
        <v>28402</v>
      </c>
    </row>
    <row r="22" spans="1:20" ht="17">
      <c r="A22" s="404" t="s">
        <v>1469</v>
      </c>
      <c r="B22" s="1054" t="s">
        <v>1234</v>
      </c>
      <c r="C22" s="404" t="s">
        <v>1307</v>
      </c>
      <c r="E22" s="1055">
        <f>IF(ISNA(VLOOKUP($A22,IS明細!B:D,3,0)),0,VLOOKUP($A22,IS明細!B:D,3,0))</f>
        <v>218647</v>
      </c>
      <c r="F22" s="1055">
        <f>IF(ISNA(VLOOKUP($A22,IS明細!$B:F,5,0)),0,VLOOKUP($A22,IS明細!$B:F,5,0))</f>
        <v>281290</v>
      </c>
      <c r="G22" s="1055">
        <f>IF(ISNA(VLOOKUP($A22,IS明細!$B:H,7,0)),0,VLOOKUP($A22,IS明細!$B:H,7,0))</f>
        <v>85115</v>
      </c>
      <c r="H22" s="1055">
        <f>IF(ISNA(VLOOKUP($A22,IS明細!$B:J,9,0)),0,VLOOKUP($A22,IS明細!$B:J,9,0))</f>
        <v>209308</v>
      </c>
      <c r="I22" s="1055">
        <f>IF(ISNA(VLOOKUP($A22,IS明細!$B:L,11,0)),0,VLOOKUP($A22,IS明細!$B:L,11,0))</f>
        <v>98647</v>
      </c>
      <c r="J22" s="1055">
        <f>IF(ISNA(VLOOKUP($A22,IS明細!$B:N,13,0)),0,VLOOKUP($A22,IS明細!$B:N,13,0))</f>
        <v>154436</v>
      </c>
      <c r="K22" s="1055">
        <f>IF(ISNA(VLOOKUP($A22,IS明細!$B:P,15,0)),0,VLOOKUP($A22,IS明細!$B:P,15,0))</f>
        <v>226398</v>
      </c>
      <c r="L22" s="1055">
        <f>IF(ISNA(VLOOKUP($A22,IS明細!$B:R,17,0)),0,VLOOKUP($A22,IS明細!$B:R,17,0))</f>
        <v>179376</v>
      </c>
      <c r="M22" s="1055">
        <f>IF(ISNA(VLOOKUP($A22,IS明細!$B:T,19,0)),0,VLOOKUP($A22,IS明細!$B:T,19,0))</f>
        <v>0</v>
      </c>
      <c r="N22" s="1055">
        <f>IF(ISNA(VLOOKUP($A22,IS明細!$B:V,21,0)),0,VLOOKUP($A22,IS明細!$B:V,21,0))</f>
        <v>0</v>
      </c>
      <c r="O22" s="1055">
        <f>IF(ISNA(VLOOKUP($A22,IS明細!$B:X,23,0)),0,VLOOKUP($A22,IS明細!$B:X,23,0))</f>
        <v>0</v>
      </c>
      <c r="P22" s="1055">
        <f>IF(ISNA(VLOOKUP($A22,IS明細!$B:Z,25,0)),0,VLOOKUP($A22,IS明細!$B:Z,25,0))</f>
        <v>0</v>
      </c>
      <c r="Q22" s="543">
        <f t="shared" si="0"/>
        <v>1453217</v>
      </c>
      <c r="R22" s="543">
        <f t="shared" si="2"/>
        <v>181652</v>
      </c>
      <c r="S22" s="1089" t="s">
        <v>1968</v>
      </c>
      <c r="T22" s="600">
        <f t="shared" si="3"/>
        <v>-47022</v>
      </c>
    </row>
    <row r="23" spans="1:20">
      <c r="A23" s="404" t="s">
        <v>1470</v>
      </c>
      <c r="B23" s="1054" t="s">
        <v>1969</v>
      </c>
      <c r="C23" s="404" t="s">
        <v>1309</v>
      </c>
      <c r="E23" s="1055">
        <f>IF(ISNA(VLOOKUP($A23,IS明細!B:D,3,0)),0,VLOOKUP($A23,IS明細!B:D,3,0))</f>
        <v>7122</v>
      </c>
      <c r="F23" s="1055">
        <f>IF(ISNA(VLOOKUP($A23,IS明細!$B:F,5,0)),0,VLOOKUP($A23,IS明細!$B:F,5,0))</f>
        <v>0</v>
      </c>
      <c r="G23" s="1055">
        <f>IF(ISNA(VLOOKUP($A23,IS明細!$B:H,7,0)),0,VLOOKUP($A23,IS明細!$B:H,7,0))</f>
        <v>18222</v>
      </c>
      <c r="H23" s="1055">
        <f>IF(ISNA(VLOOKUP($A23,IS明細!$B:J,9,0)),0,VLOOKUP($A23,IS明細!$B:J,9,0))</f>
        <v>8520</v>
      </c>
      <c r="I23" s="1055">
        <f>IF(ISNA(VLOOKUP($A23,IS明細!$B:L,11,0)),0,VLOOKUP($A23,IS明細!$B:L,11,0))</f>
        <v>7759</v>
      </c>
      <c r="J23" s="1055">
        <f>IF(ISNA(VLOOKUP($A23,IS明細!$B:N,13,0)),0,VLOOKUP($A23,IS明細!$B:N,13,0))</f>
        <v>11388</v>
      </c>
      <c r="K23" s="1055">
        <f>IF(ISNA(VLOOKUP($A23,IS明細!$B:P,15,0)),0,VLOOKUP($A23,IS明細!$B:P,15,0))</f>
        <v>7485</v>
      </c>
      <c r="L23" s="1055">
        <f>IF(ISNA(VLOOKUP($A23,IS明細!$B:R,17,0)),0,VLOOKUP($A23,IS明細!$B:R,17,0))</f>
        <v>7021</v>
      </c>
      <c r="M23" s="1055">
        <f>IF(ISNA(VLOOKUP($A23,IS明細!$B:T,19,0)),0,VLOOKUP($A23,IS明細!$B:T,19,0))</f>
        <v>0</v>
      </c>
      <c r="N23" s="1055">
        <f>IF(ISNA(VLOOKUP($A23,IS明細!$B:V,21,0)),0,VLOOKUP($A23,IS明細!$B:V,21,0))</f>
        <v>0</v>
      </c>
      <c r="O23" s="1055">
        <f>IF(ISNA(VLOOKUP($A23,IS明細!$B:X,23,0)),0,VLOOKUP($A23,IS明細!$B:X,23,0))</f>
        <v>0</v>
      </c>
      <c r="P23" s="1055">
        <f>IF(ISNA(VLOOKUP($A23,IS明細!$B:Z,25,0)),0,VLOOKUP($A23,IS明細!$B:Z,25,0))</f>
        <v>0</v>
      </c>
      <c r="Q23" s="543">
        <f t="shared" si="0"/>
        <v>67517</v>
      </c>
      <c r="R23" s="543">
        <f t="shared" si="2"/>
        <v>8440</v>
      </c>
      <c r="S23" s="1058"/>
      <c r="T23" s="600">
        <f t="shared" si="3"/>
        <v>-464</v>
      </c>
    </row>
    <row r="24" spans="1:20">
      <c r="A24" s="404" t="s">
        <v>1471</v>
      </c>
      <c r="B24" s="1054" t="s">
        <v>1970</v>
      </c>
      <c r="C24" s="404" t="s">
        <v>1971</v>
      </c>
      <c r="E24" s="1055">
        <f>IF(ISNA(VLOOKUP($A24,IS明細!B:D,3,0)),0,VLOOKUP($A24,IS明細!B:D,3,0))</f>
        <v>5000</v>
      </c>
      <c r="F24" s="1055">
        <f>IF(ISNA(VLOOKUP($A24,IS明細!$B:F,5,0)),0,VLOOKUP($A24,IS明細!$B:F,5,0))</f>
        <v>1500</v>
      </c>
      <c r="G24" s="1055">
        <f>IF(ISNA(VLOOKUP($A24,IS明細!$B:H,7,0)),0,VLOOKUP($A24,IS明細!$B:H,7,0))</f>
        <v>23000</v>
      </c>
      <c r="H24" s="1055">
        <f>IF(ISNA(VLOOKUP($A24,IS明細!$B:J,9,0)),0,VLOOKUP($A24,IS明細!$B:J,9,0))</f>
        <v>6300</v>
      </c>
      <c r="I24" s="1055">
        <f>IF(ISNA(VLOOKUP($A24,IS明細!$B:L,11,0)),0,VLOOKUP($A24,IS明細!$B:L,11,0))</f>
        <v>1500</v>
      </c>
      <c r="J24" s="1055">
        <f>IF(ISNA(VLOOKUP($A24,IS明細!$B:N,13,0)),0,VLOOKUP($A24,IS明細!$B:N,13,0))</f>
        <v>1500</v>
      </c>
      <c r="K24" s="1055">
        <f>IF(ISNA(VLOOKUP($A24,IS明細!$B:P,15,0)),0,VLOOKUP($A24,IS明細!$B:P,15,0))</f>
        <v>1500</v>
      </c>
      <c r="L24" s="1055">
        <f>IF(ISNA(VLOOKUP($A24,IS明細!$B:R,17,0)),0,VLOOKUP($A24,IS明細!$B:R,17,0))</f>
        <v>49414</v>
      </c>
      <c r="M24" s="1055">
        <f>IF(ISNA(VLOOKUP($A24,IS明細!$B:T,19,0)),0,VLOOKUP($A24,IS明細!$B:T,19,0))</f>
        <v>0</v>
      </c>
      <c r="N24" s="1055">
        <f>IF(ISNA(VLOOKUP($A24,IS明細!$B:V,21,0)),0,VLOOKUP($A24,IS明細!$B:V,21,0))</f>
        <v>0</v>
      </c>
      <c r="O24" s="1055">
        <f>IF(ISNA(VLOOKUP($A24,IS明細!$B:X,23,0)),0,VLOOKUP($A24,IS明細!$B:X,23,0))</f>
        <v>0</v>
      </c>
      <c r="P24" s="1055">
        <f>IF(ISNA(VLOOKUP($A24,IS明細!$B:Z,25,0)),0,VLOOKUP($A24,IS明細!$B:Z,25,0))</f>
        <v>0</v>
      </c>
      <c r="Q24" s="543">
        <f t="shared" si="0"/>
        <v>89714</v>
      </c>
      <c r="R24" s="543">
        <f t="shared" si="2"/>
        <v>11214</v>
      </c>
      <c r="S24" s="1058"/>
      <c r="T24" s="600">
        <f t="shared" si="3"/>
        <v>47914</v>
      </c>
    </row>
    <row r="25" spans="1:20">
      <c r="A25" s="404" t="s">
        <v>1472</v>
      </c>
      <c r="B25" s="1054" t="s">
        <v>1972</v>
      </c>
      <c r="C25" s="404" t="s">
        <v>1473</v>
      </c>
      <c r="E25" s="1055">
        <f>IF(ISNA(VLOOKUP($A25,IS明細!B:D,3,0)),0,VLOOKUP($A25,IS明細!B:D,3,0))</f>
        <v>4880</v>
      </c>
      <c r="F25" s="1055">
        <f>IF(ISNA(VLOOKUP($A25,IS明細!$B:F,5,0)),0,VLOOKUP($A25,IS明細!$B:F,5,0))</f>
        <v>8770</v>
      </c>
      <c r="G25" s="1055">
        <f>IF(ISNA(VLOOKUP($A25,IS明細!$B:H,7,0)),0,VLOOKUP($A25,IS明細!$B:H,7,0))</f>
        <v>47400</v>
      </c>
      <c r="H25" s="1055">
        <f>IF(ISNA(VLOOKUP($A25,IS明細!$B:J,9,0)),0,VLOOKUP($A25,IS明細!$B:J,9,0))</f>
        <v>0</v>
      </c>
      <c r="I25" s="1055">
        <f>IF(ISNA(VLOOKUP($A25,IS明細!$B:L,11,0)),0,VLOOKUP($A25,IS明細!$B:L,11,0))</f>
        <v>8770</v>
      </c>
      <c r="J25" s="1055">
        <f>IF(ISNA(VLOOKUP($A25,IS明細!$B:N,13,0)),0,VLOOKUP($A25,IS明細!$B:N,13,0))</f>
        <v>5800</v>
      </c>
      <c r="K25" s="1055">
        <f>IF(ISNA(VLOOKUP($A25,IS明細!$B:P,15,0)),0,VLOOKUP($A25,IS明細!$B:P,15,0))</f>
        <v>8770</v>
      </c>
      <c r="L25" s="1055">
        <f>IF(ISNA(VLOOKUP($A25,IS明細!$B:R,17,0)),0,VLOOKUP($A25,IS明細!$B:R,17,0))</f>
        <v>11670</v>
      </c>
      <c r="M25" s="1055">
        <f>IF(ISNA(VLOOKUP($A25,IS明細!$B:T,19,0)),0,VLOOKUP($A25,IS明細!$B:T,19,0))</f>
        <v>0</v>
      </c>
      <c r="N25" s="1055">
        <f>IF(ISNA(VLOOKUP($A25,IS明細!$B:V,21,0)),0,VLOOKUP($A25,IS明細!$B:V,21,0))</f>
        <v>0</v>
      </c>
      <c r="O25" s="1055">
        <f>IF(ISNA(VLOOKUP($A25,IS明細!$B:X,23,0)),0,VLOOKUP($A25,IS明細!$B:X,23,0))</f>
        <v>0</v>
      </c>
      <c r="P25" s="1055">
        <f>IF(ISNA(VLOOKUP($A25,IS明細!$B:Z,25,0)),0,VLOOKUP($A25,IS明細!$B:Z,25,0))</f>
        <v>0</v>
      </c>
      <c r="Q25" s="543">
        <f t="shared" si="0"/>
        <v>96060</v>
      </c>
      <c r="R25" s="543">
        <f t="shared" si="2"/>
        <v>12008</v>
      </c>
      <c r="S25" s="400"/>
      <c r="T25" s="600">
        <f t="shared" si="3"/>
        <v>2900</v>
      </c>
    </row>
    <row r="26" spans="1:20" ht="17">
      <c r="A26" s="404" t="s">
        <v>1474</v>
      </c>
      <c r="B26" s="1054" t="s">
        <v>1973</v>
      </c>
      <c r="C26" s="404" t="s">
        <v>1313</v>
      </c>
      <c r="E26" s="1055">
        <f>IF(ISNA(VLOOKUP($A26,IS明細!B:D,3,0)),0,VLOOKUP($A26,IS明細!B:D,3,0))</f>
        <v>62134</v>
      </c>
      <c r="F26" s="1055">
        <f>IF(ISNA(VLOOKUP($A26,IS明細!$B:F,5,0)),0,VLOOKUP($A26,IS明細!$B:F,5,0))</f>
        <v>18389</v>
      </c>
      <c r="G26" s="1055">
        <f>IF(ISNA(VLOOKUP($A26,IS明細!$B:H,7,0)),0,VLOOKUP($A26,IS明細!$B:H,7,0))</f>
        <v>21035</v>
      </c>
      <c r="H26" s="1055">
        <f>IF(ISNA(VLOOKUP($A26,IS明細!$B:J,9,0)),0,VLOOKUP($A26,IS明細!$B:J,9,0))</f>
        <v>33734</v>
      </c>
      <c r="I26" s="1055">
        <f>IF(ISNA(VLOOKUP($A26,IS明細!$B:L,11,0)),0,VLOOKUP($A26,IS明細!$B:L,11,0))</f>
        <v>20689</v>
      </c>
      <c r="J26" s="1055">
        <f>IF(ISNA(VLOOKUP($A26,IS明細!$B:N,13,0)),0,VLOOKUP($A26,IS明細!$B:N,13,0))</f>
        <v>21271</v>
      </c>
      <c r="K26" s="1055">
        <f>IF(ISNA(VLOOKUP($A26,IS明細!$B:P,15,0)),0,VLOOKUP($A26,IS明細!$B:P,15,0))</f>
        <v>6217</v>
      </c>
      <c r="L26" s="1055">
        <f>IF(ISNA(VLOOKUP($A26,IS明細!$B:R,17,0)),0,VLOOKUP($A26,IS明細!$B:R,17,0))</f>
        <v>49570</v>
      </c>
      <c r="M26" s="1055">
        <f>IF(ISNA(VLOOKUP($A26,IS明細!$B:T,19,0)),0,VLOOKUP($A26,IS明細!$B:T,19,0))</f>
        <v>0</v>
      </c>
      <c r="N26" s="1055">
        <f>IF(ISNA(VLOOKUP($A26,IS明細!$B:V,21,0)),0,VLOOKUP($A26,IS明細!$B:V,21,0))</f>
        <v>0</v>
      </c>
      <c r="O26" s="1055">
        <f>IF(ISNA(VLOOKUP($A26,IS明細!$B:X,23,0)),0,VLOOKUP($A26,IS明細!$B:X,23,0))</f>
        <v>0</v>
      </c>
      <c r="P26" s="1055">
        <f>IF(ISNA(VLOOKUP($A26,IS明細!$B:Z,25,0)),0,VLOOKUP($A26,IS明細!$B:Z,25,0))</f>
        <v>0</v>
      </c>
      <c r="Q26" s="543">
        <f t="shared" si="0"/>
        <v>233039</v>
      </c>
      <c r="R26" s="543">
        <f t="shared" si="2"/>
        <v>29130</v>
      </c>
      <c r="S26" s="1058" t="s">
        <v>1278</v>
      </c>
      <c r="T26" s="600">
        <f t="shared" si="3"/>
        <v>43353</v>
      </c>
    </row>
    <row r="27" spans="1:20" ht="17">
      <c r="A27" s="404" t="s">
        <v>1475</v>
      </c>
      <c r="B27" s="1054" t="s">
        <v>1974</v>
      </c>
      <c r="C27" s="404" t="s">
        <v>1315</v>
      </c>
      <c r="E27" s="1055">
        <f>IF(ISNA(VLOOKUP($A27,IS明細!B:D,3,0)),0,VLOOKUP($A27,IS明細!B:D,3,0))</f>
        <v>91284</v>
      </c>
      <c r="F27" s="1055">
        <f>IF(ISNA(VLOOKUP($A27,IS明細!$B:F,5,0)),0,VLOOKUP($A27,IS明細!$B:F,5,0))</f>
        <v>98978</v>
      </c>
      <c r="G27" s="1055">
        <f>IF(ISNA(VLOOKUP($A27,IS明細!$B:H,7,0)),0,VLOOKUP($A27,IS明細!$B:H,7,0))</f>
        <v>97237</v>
      </c>
      <c r="H27" s="1055">
        <f>IF(ISNA(VLOOKUP($A27,IS明細!$B:J,9,0)),0,VLOOKUP($A27,IS明細!$B:J,9,0))</f>
        <v>100077</v>
      </c>
      <c r="I27" s="1055">
        <f>IF(ISNA(VLOOKUP($A27,IS明細!$B:L,11,0)),0,VLOOKUP($A27,IS明細!$B:L,11,0))</f>
        <v>100395</v>
      </c>
      <c r="J27" s="1055">
        <f>IF(ISNA(VLOOKUP($A27,IS明細!$B:N,13,0)),0,VLOOKUP($A27,IS明細!$B:N,13,0))</f>
        <v>104340</v>
      </c>
      <c r="K27" s="1055">
        <f>IF(ISNA(VLOOKUP($A27,IS明細!$B:P,15,0)),0,VLOOKUP($A27,IS明細!$B:P,15,0))</f>
        <v>101292</v>
      </c>
      <c r="L27" s="1055">
        <f>IF(ISNA(VLOOKUP($A27,IS明細!$B:R,17,0)),0,VLOOKUP($A27,IS明細!$B:R,17,0))</f>
        <v>101223</v>
      </c>
      <c r="M27" s="1055">
        <f>IF(ISNA(VLOOKUP($A27,IS明細!$B:T,19,0)),0,VLOOKUP($A27,IS明細!$B:T,19,0))</f>
        <v>0</v>
      </c>
      <c r="N27" s="1055">
        <f>IF(ISNA(VLOOKUP($A27,IS明細!$B:V,21,0)),0,VLOOKUP($A27,IS明細!$B:V,21,0))</f>
        <v>0</v>
      </c>
      <c r="O27" s="1055">
        <f>IF(ISNA(VLOOKUP($A27,IS明細!$B:X,23,0)),0,VLOOKUP($A27,IS明細!$B:X,23,0))</f>
        <v>0</v>
      </c>
      <c r="P27" s="1055">
        <f>IF(ISNA(VLOOKUP($A27,IS明細!$B:Z,25,0)),0,VLOOKUP($A27,IS明細!$B:Z,25,0))</f>
        <v>0</v>
      </c>
      <c r="Q27" s="543">
        <f t="shared" si="0"/>
        <v>794826</v>
      </c>
      <c r="R27" s="543">
        <f t="shared" si="2"/>
        <v>99353</v>
      </c>
      <c r="S27" s="568" t="s">
        <v>1975</v>
      </c>
      <c r="T27" s="600">
        <f t="shared" si="3"/>
        <v>-69</v>
      </c>
    </row>
    <row r="28" spans="1:20">
      <c r="A28" s="404" t="s">
        <v>1476</v>
      </c>
      <c r="B28" s="1054" t="s">
        <v>1976</v>
      </c>
      <c r="C28" s="404" t="s">
        <v>1477</v>
      </c>
      <c r="E28" s="1055">
        <f>IF(ISNA(VLOOKUP($A28,IS明細!B:D,3,0)),0,VLOOKUP($A28,IS明細!B:D,3,0))</f>
        <v>0</v>
      </c>
      <c r="F28" s="1055">
        <f>IF(ISNA(VLOOKUP($A28,IS明細!$B:F,5,0)),0,VLOOKUP($A28,IS明細!$B:F,5,0))</f>
        <v>0</v>
      </c>
      <c r="G28" s="1055">
        <f>IF(ISNA(VLOOKUP($A28,IS明細!$B:H,7,0)),0,VLOOKUP($A28,IS明細!$B:H,7,0))</f>
        <v>0</v>
      </c>
      <c r="H28" s="1055">
        <f>IF(ISNA(VLOOKUP($A28,IS明細!$B:J,9,0)),0,VLOOKUP($A28,IS明細!$B:J,9,0))</f>
        <v>0</v>
      </c>
      <c r="I28" s="1055">
        <f>IF(ISNA(VLOOKUP($A28,IS明細!$B:L,11,0)),0,VLOOKUP($A28,IS明細!$B:L,11,0))</f>
        <v>0</v>
      </c>
      <c r="J28" s="1055">
        <f>IF(ISNA(VLOOKUP($A28,IS明細!$B:N,13,0)),0,VLOOKUP($A28,IS明細!$B:N,13,0))</f>
        <v>0</v>
      </c>
      <c r="K28" s="1055">
        <f>IF(ISNA(VLOOKUP($A28,IS明細!$B:P,15,0)),0,VLOOKUP($A28,IS明細!$B:P,15,0))</f>
        <v>0</v>
      </c>
      <c r="L28" s="1055">
        <f>IF(ISNA(VLOOKUP($A28,IS明細!$B:R,17,0)),0,VLOOKUP($A28,IS明細!$B:R,17,0))</f>
        <v>0</v>
      </c>
      <c r="M28" s="1055">
        <f>IF(ISNA(VLOOKUP($A28,IS明細!$B:T,19,0)),0,VLOOKUP($A28,IS明細!$B:T,19,0))</f>
        <v>0</v>
      </c>
      <c r="N28" s="1055">
        <f>IF(ISNA(VLOOKUP($A28,IS明細!$B:V,21,0)),0,VLOOKUP($A28,IS明細!$B:V,21,0))</f>
        <v>0</v>
      </c>
      <c r="O28" s="1055">
        <f>IF(ISNA(VLOOKUP($A28,IS明細!$B:X,23,0)),0,VLOOKUP($A28,IS明細!$B:X,23,0))</f>
        <v>0</v>
      </c>
      <c r="P28" s="1055">
        <f>IF(ISNA(VLOOKUP($A28,IS明細!$B:Z,25,0)),0,VLOOKUP($A28,IS明細!$B:Z,25,0))</f>
        <v>0</v>
      </c>
      <c r="Q28" s="543">
        <f t="shared" si="0"/>
        <v>0</v>
      </c>
      <c r="R28" s="543">
        <f t="shared" si="2"/>
        <v>0</v>
      </c>
      <c r="S28" s="1058"/>
      <c r="T28" s="600">
        <f t="shared" si="3"/>
        <v>0</v>
      </c>
    </row>
    <row r="29" spans="1:20">
      <c r="A29" s="404" t="s">
        <v>1478</v>
      </c>
      <c r="B29" s="1054" t="s">
        <v>1977</v>
      </c>
      <c r="C29" s="404" t="s">
        <v>1321</v>
      </c>
      <c r="E29" s="1055">
        <f>IF(ISNA(VLOOKUP($A29,IS明細!B:D,3,0)),0,VLOOKUP($A29,IS明細!B:D,3,0))</f>
        <v>0</v>
      </c>
      <c r="F29" s="1055">
        <f>IF(ISNA(VLOOKUP($A29,IS明細!$B:F,5,0)),0,VLOOKUP($A29,IS明細!$B:F,5,0))</f>
        <v>0</v>
      </c>
      <c r="G29" s="1055">
        <f>IF(ISNA(VLOOKUP($A29,IS明細!$B:H,7,0)),0,VLOOKUP($A29,IS明細!$B:H,7,0))</f>
        <v>0</v>
      </c>
      <c r="H29" s="1055">
        <f>IF(ISNA(VLOOKUP($A29,IS明細!$B:J,9,0)),0,VLOOKUP($A29,IS明細!$B:J,9,0))</f>
        <v>0</v>
      </c>
      <c r="I29" s="1055">
        <f>IF(ISNA(VLOOKUP($A29,IS明細!$B:L,11,0)),0,VLOOKUP($A29,IS明細!$B:L,11,0))</f>
        <v>0</v>
      </c>
      <c r="J29" s="1055">
        <f>IF(ISNA(VLOOKUP($A29,IS明細!$B:N,13,0)),0,VLOOKUP($A29,IS明細!$B:N,13,0))</f>
        <v>0</v>
      </c>
      <c r="K29" s="1055">
        <f>IF(ISNA(VLOOKUP($A29,IS明細!$B:P,15,0)),0,VLOOKUP($A29,IS明細!$B:P,15,0))</f>
        <v>0</v>
      </c>
      <c r="L29" s="1055">
        <f>IF(ISNA(VLOOKUP($A29,IS明細!$B:R,17,0)),0,VLOOKUP($A29,IS明細!$B:R,17,0))</f>
        <v>0</v>
      </c>
      <c r="M29" s="1055">
        <f>IF(ISNA(VLOOKUP($A29,IS明細!$B:T,19,0)),0,VLOOKUP($A29,IS明細!$B:T,19,0))</f>
        <v>0</v>
      </c>
      <c r="N29" s="1055">
        <f>IF(ISNA(VLOOKUP($A29,IS明細!$B:V,21,0)),0,VLOOKUP($A29,IS明細!$B:V,21,0))</f>
        <v>0</v>
      </c>
      <c r="O29" s="1055">
        <f>IF(ISNA(VLOOKUP($A29,IS明細!$B:X,23,0)),0,VLOOKUP($A29,IS明細!$B:X,23,0))</f>
        <v>0</v>
      </c>
      <c r="P29" s="1055">
        <f>IF(ISNA(VLOOKUP($A29,IS明細!$B:Z,25,0)),0,VLOOKUP($A29,IS明細!$B:Z,25,0))</f>
        <v>0</v>
      </c>
      <c r="Q29" s="543">
        <f t="shared" si="0"/>
        <v>0</v>
      </c>
      <c r="R29" s="543">
        <f t="shared" si="2"/>
        <v>0</v>
      </c>
      <c r="S29" s="400"/>
      <c r="T29" s="600">
        <f t="shared" si="3"/>
        <v>0</v>
      </c>
    </row>
    <row r="30" spans="1:20" ht="17">
      <c r="A30" s="404" t="s">
        <v>1479</v>
      </c>
      <c r="B30" s="1054" t="s">
        <v>1978</v>
      </c>
      <c r="C30" s="404" t="s">
        <v>1375</v>
      </c>
      <c r="E30" s="1055">
        <f>IF(ISNA(VLOOKUP($A30,IS明細!B:D,3,0)),0,VLOOKUP($A30,IS明細!B:D,3,0))</f>
        <v>1405542</v>
      </c>
      <c r="F30" s="1055">
        <f>IF(ISNA(VLOOKUP($A30,IS明細!$B:F,5,0)),0,VLOOKUP($A30,IS明細!$B:F,5,0))</f>
        <v>1338009</v>
      </c>
      <c r="G30" s="1055">
        <f>IF(ISNA(VLOOKUP($A30,IS明細!$B:H,7,0)),0,VLOOKUP($A30,IS明細!$B:H,7,0))</f>
        <v>1301208</v>
      </c>
      <c r="H30" s="1055">
        <f>IF(ISNA(VLOOKUP($A30,IS明細!$B:J,9,0)),0,VLOOKUP($A30,IS明細!$B:J,9,0))</f>
        <v>1243846</v>
      </c>
      <c r="I30" s="1055">
        <f>IF(ISNA(VLOOKUP($A30,IS明細!$B:L,11,0)),0,VLOOKUP($A30,IS明細!$B:L,11,0))</f>
        <v>1185621</v>
      </c>
      <c r="J30" s="1055">
        <f>IF(ISNA(VLOOKUP($A30,IS明細!$B:N,13,0)),0,VLOOKUP($A30,IS明細!$B:N,13,0))</f>
        <v>1199295</v>
      </c>
      <c r="K30" s="1055">
        <f>IF(ISNA(VLOOKUP($A30,IS明細!$B:P,15,0)),0,VLOOKUP($A30,IS明細!$B:P,15,0))</f>
        <v>1131349</v>
      </c>
      <c r="L30" s="1055">
        <f>IF(ISNA(VLOOKUP($A30,IS明細!$B:R,17,0)),0,VLOOKUP($A30,IS明細!$B:R,17,0))</f>
        <v>992171</v>
      </c>
      <c r="M30" s="1055">
        <f>IF(ISNA(VLOOKUP($A30,IS明細!$B:T,19,0)),0,VLOOKUP($A30,IS明細!$B:T,19,0))</f>
        <v>0</v>
      </c>
      <c r="N30" s="1055">
        <f>IF(ISNA(VLOOKUP($A30,IS明細!$B:V,21,0)),0,VLOOKUP($A30,IS明細!$B:V,21,0))</f>
        <v>0</v>
      </c>
      <c r="O30" s="1055">
        <f>IF(ISNA(VLOOKUP($A30,IS明細!$B:X,23,0)),0,VLOOKUP($A30,IS明細!$B:X,23,0))</f>
        <v>0</v>
      </c>
      <c r="P30" s="1055">
        <f>IF(ISNA(VLOOKUP($A30,IS明細!$B:Z,25,0)),0,VLOOKUP($A30,IS明細!$B:Z,25,0))</f>
        <v>0</v>
      </c>
      <c r="Q30" s="543">
        <f t="shared" si="0"/>
        <v>9797041</v>
      </c>
      <c r="R30" s="543">
        <f t="shared" si="2"/>
        <v>1224630</v>
      </c>
      <c r="S30" s="400" t="s">
        <v>1979</v>
      </c>
      <c r="T30" s="600">
        <f t="shared" si="3"/>
        <v>-139178</v>
      </c>
    </row>
    <row r="31" spans="1:20" ht="34">
      <c r="A31" s="404" t="s">
        <v>1480</v>
      </c>
      <c r="B31" s="1054" t="s">
        <v>1980</v>
      </c>
      <c r="C31" s="404" t="s">
        <v>1481</v>
      </c>
      <c r="E31" s="1055">
        <f>IF(ISNA(VLOOKUP($A31,IS明細!B:D,3,0)),0,VLOOKUP($A31,IS明細!B:D,3,0))</f>
        <v>40560</v>
      </c>
      <c r="F31" s="1055">
        <f>IF(ISNA(VLOOKUP($A31,IS明細!$B:F,5,0)),0,VLOOKUP($A31,IS明細!$B:F,5,0))</f>
        <v>40523</v>
      </c>
      <c r="G31" s="1055">
        <f>IF(ISNA(VLOOKUP($A31,IS明細!$B:H,7,0)),0,VLOOKUP($A31,IS明細!$B:H,7,0))</f>
        <v>31371</v>
      </c>
      <c r="H31" s="1055">
        <f>IF(ISNA(VLOOKUP($A31,IS明細!$B:J,9,0)),0,VLOOKUP($A31,IS明細!$B:J,9,0))</f>
        <v>36042</v>
      </c>
      <c r="I31" s="1055">
        <f>IF(ISNA(VLOOKUP($A31,IS明細!$B:L,11,0)),0,VLOOKUP($A31,IS明細!$B:L,11,0))</f>
        <v>35998</v>
      </c>
      <c r="J31" s="1055">
        <f>IF(ISNA(VLOOKUP($A31,IS明細!$B:N,13,0)),0,VLOOKUP($A31,IS明細!$B:N,13,0))</f>
        <v>30983</v>
      </c>
      <c r="K31" s="1055">
        <f>IF(ISNA(VLOOKUP($A31,IS明細!$B:P,15,0)),0,VLOOKUP($A31,IS明細!$B:P,15,0))</f>
        <v>30998</v>
      </c>
      <c r="L31" s="1055">
        <f>IF(ISNA(VLOOKUP($A31,IS明細!$B:R,17,0)),0,VLOOKUP($A31,IS明細!$B:R,17,0))</f>
        <v>44623</v>
      </c>
      <c r="M31" s="1055">
        <f>IF(ISNA(VLOOKUP($A31,IS明細!$B:T,19,0)),0,VLOOKUP($A31,IS明細!$B:T,19,0))</f>
        <v>0</v>
      </c>
      <c r="N31" s="1055">
        <f>IF(ISNA(VLOOKUP($A31,IS明細!$B:V,21,0)),0,VLOOKUP($A31,IS明細!$B:V,21,0))</f>
        <v>0</v>
      </c>
      <c r="O31" s="1055">
        <f>IF(ISNA(VLOOKUP($A31,IS明細!$B:X,23,0)),0,VLOOKUP($A31,IS明細!$B:X,23,0))</f>
        <v>0</v>
      </c>
      <c r="P31" s="1055">
        <f>IF(ISNA(VLOOKUP($A31,IS明細!$B:Z,25,0)),0,VLOOKUP($A31,IS明細!$B:Z,25,0))</f>
        <v>0</v>
      </c>
      <c r="Q31" s="543">
        <f>SUM(E31:P31)</f>
        <v>291098</v>
      </c>
      <c r="R31" s="543">
        <f t="shared" si="2"/>
        <v>36387</v>
      </c>
      <c r="S31" s="1058" t="s">
        <v>1981</v>
      </c>
      <c r="T31" s="600">
        <f t="shared" si="3"/>
        <v>13625</v>
      </c>
    </row>
    <row r="32" spans="1:20">
      <c r="A32" s="404" t="s">
        <v>1482</v>
      </c>
      <c r="B32" s="1054" t="s">
        <v>1982</v>
      </c>
      <c r="C32" s="404" t="s">
        <v>1327</v>
      </c>
      <c r="E32" s="1055">
        <f>IF(ISNA(VLOOKUP($A32,IS明細!B:D,3,0)),0,VLOOKUP($A32,IS明細!B:D,3,0))</f>
        <v>27000</v>
      </c>
      <c r="F32" s="1055">
        <f>IF(ISNA(VLOOKUP($A32,IS明細!$B:F,5,0)),0,VLOOKUP($A32,IS明細!$B:F,5,0))</f>
        <v>30680</v>
      </c>
      <c r="G32" s="1055">
        <f>IF(ISNA(VLOOKUP($A32,IS明細!$B:H,7,0)),0,VLOOKUP($A32,IS明細!$B:H,7,0))</f>
        <v>28960</v>
      </c>
      <c r="H32" s="1055">
        <f>IF(ISNA(VLOOKUP($A32,IS明細!$B:J,9,0)),0,VLOOKUP($A32,IS明細!$B:J,9,0))</f>
        <v>31080</v>
      </c>
      <c r="I32" s="1055">
        <f>IF(ISNA(VLOOKUP($A32,IS明細!$B:L,11,0)),0,VLOOKUP($A32,IS明細!$B:L,11,0))</f>
        <v>28800</v>
      </c>
      <c r="J32" s="1055">
        <f>IF(ISNA(VLOOKUP($A32,IS明細!$B:N,13,0)),0,VLOOKUP($A32,IS明細!$B:N,13,0))</f>
        <v>29920</v>
      </c>
      <c r="K32" s="1055">
        <f>IF(ISNA(VLOOKUP($A32,IS明細!$B:P,15,0)),0,VLOOKUP($A32,IS明細!$B:P,15,0))</f>
        <v>31520</v>
      </c>
      <c r="L32" s="1055">
        <f>IF(ISNA(VLOOKUP($A32,IS明細!$B:R,17,0)),0,VLOOKUP($A32,IS明細!$B:R,17,0))</f>
        <v>30320</v>
      </c>
      <c r="M32" s="1055">
        <f>IF(ISNA(VLOOKUP($A32,IS明細!$B:T,19,0)),0,VLOOKUP($A32,IS明細!$B:T,19,0))</f>
        <v>0</v>
      </c>
      <c r="N32" s="1055">
        <f>IF(ISNA(VLOOKUP($A32,IS明細!$B:V,21,0)),0,VLOOKUP($A32,IS明細!$B:V,21,0))</f>
        <v>0</v>
      </c>
      <c r="O32" s="1055">
        <f>IF(ISNA(VLOOKUP($A32,IS明細!$B:X,23,0)),0,VLOOKUP($A32,IS明細!$B:X,23,0))</f>
        <v>0</v>
      </c>
      <c r="P32" s="1055">
        <f>IF(ISNA(VLOOKUP($A32,IS明細!$B:Z,25,0)),0,VLOOKUP($A32,IS明細!$B:Z,25,0))</f>
        <v>0</v>
      </c>
      <c r="Q32" s="543">
        <f t="shared" si="0"/>
        <v>238280</v>
      </c>
      <c r="R32" s="543">
        <f t="shared" si="2"/>
        <v>29785</v>
      </c>
      <c r="S32" s="1058"/>
      <c r="T32" s="600">
        <f t="shared" si="3"/>
        <v>-1200</v>
      </c>
    </row>
    <row r="33" spans="1:22" ht="17">
      <c r="A33" s="404" t="s">
        <v>1483</v>
      </c>
      <c r="B33" s="1054" t="s">
        <v>1983</v>
      </c>
      <c r="C33" s="404" t="s">
        <v>1329</v>
      </c>
      <c r="E33" s="1055">
        <f>IF(ISNA(VLOOKUP($A33,IS明細!B:D,3,0)),0,VLOOKUP($A33,IS明細!B:D,3,0))</f>
        <v>20539</v>
      </c>
      <c r="F33" s="1055">
        <f>IF(ISNA(VLOOKUP($A33,IS明細!$B:F,5,0)),0,VLOOKUP($A33,IS明細!$B:F,5,0))</f>
        <v>17560</v>
      </c>
      <c r="G33" s="1055">
        <f>IF(ISNA(VLOOKUP($A33,IS明細!$B:H,7,0)),0,VLOOKUP($A33,IS明細!$B:H,7,0))</f>
        <v>21904</v>
      </c>
      <c r="H33" s="1055">
        <f>IF(ISNA(VLOOKUP($A33,IS明細!$B:J,9,0)),0,VLOOKUP($A33,IS明細!$B:J,9,0))</f>
        <v>23816</v>
      </c>
      <c r="I33" s="1055">
        <f>IF(ISNA(VLOOKUP($A33,IS明細!$B:L,11,0)),0,VLOOKUP($A33,IS明細!$B:L,11,0))</f>
        <v>18532</v>
      </c>
      <c r="J33" s="1055">
        <f>IF(ISNA(VLOOKUP($A33,IS明細!$B:N,13,0)),0,VLOOKUP($A33,IS明細!$B:N,13,0))</f>
        <v>30011</v>
      </c>
      <c r="K33" s="1055">
        <f>IF(ISNA(VLOOKUP($A33,IS明細!$B:P,15,0)),0,VLOOKUP($A33,IS明細!$B:P,15,0))</f>
        <v>34171</v>
      </c>
      <c r="L33" s="1055">
        <f>IF(ISNA(VLOOKUP($A33,IS明細!$B:R,17,0)),0,VLOOKUP($A33,IS明細!$B:R,17,0))</f>
        <v>28569</v>
      </c>
      <c r="M33" s="1055">
        <f>IF(ISNA(VLOOKUP($A33,IS明細!$B:T,19,0)),0,VLOOKUP($A33,IS明細!$B:T,19,0))</f>
        <v>0</v>
      </c>
      <c r="N33" s="1055">
        <f>IF(ISNA(VLOOKUP($A33,IS明細!$B:V,21,0)),0,VLOOKUP($A33,IS明細!$B:V,21,0))</f>
        <v>0</v>
      </c>
      <c r="O33" s="1055">
        <f>IF(ISNA(VLOOKUP($A33,IS明細!$B:X,23,0)),0,VLOOKUP($A33,IS明細!$B:X,23,0))</f>
        <v>0</v>
      </c>
      <c r="P33" s="1055">
        <f>IF(ISNA(VLOOKUP($A33,IS明細!$B:Z,25,0)),0,VLOOKUP($A33,IS明細!$B:Z,25,0))</f>
        <v>0</v>
      </c>
      <c r="Q33" s="543">
        <f t="shared" si="0"/>
        <v>195102</v>
      </c>
      <c r="R33" s="543">
        <f t="shared" si="2"/>
        <v>24388</v>
      </c>
      <c r="S33" s="1058" t="s">
        <v>1910</v>
      </c>
      <c r="T33" s="600">
        <f t="shared" si="3"/>
        <v>-5602</v>
      </c>
    </row>
    <row r="34" spans="1:22" ht="17">
      <c r="A34" s="404" t="s">
        <v>1484</v>
      </c>
      <c r="B34" s="1054" t="s">
        <v>1984</v>
      </c>
      <c r="C34" s="404" t="s">
        <v>1335</v>
      </c>
      <c r="E34" s="1055">
        <f>IF(ISNA(VLOOKUP($A34,IS明細!B:D,3,0)),0,VLOOKUP($A34,IS明細!B:D,3,0))</f>
        <v>183</v>
      </c>
      <c r="F34" s="1055">
        <f>IF(ISNA(VLOOKUP($A34,IS明細!$B:F,5,0)),0,VLOOKUP($A34,IS明細!$B:F,5,0))</f>
        <v>183</v>
      </c>
      <c r="G34" s="1055">
        <f>IF(ISNA(VLOOKUP($A34,IS明細!$B:H,7,0)),0,VLOOKUP($A34,IS明細!$B:H,7,0))</f>
        <v>183</v>
      </c>
      <c r="H34" s="1055">
        <f>IF(ISNA(VLOOKUP($A34,IS明細!$B:J,9,0)),0,VLOOKUP($A34,IS明細!$B:J,9,0))</f>
        <v>183</v>
      </c>
      <c r="I34" s="1055">
        <f>IF(ISNA(VLOOKUP($A34,IS明細!$B:L,11,0)),0,VLOOKUP($A34,IS明細!$B:L,11,0))</f>
        <v>183</v>
      </c>
      <c r="J34" s="1055">
        <f>IF(ISNA(VLOOKUP($A34,IS明細!$B:N,13,0)),0,VLOOKUP($A34,IS明細!$B:N,13,0))</f>
        <v>183</v>
      </c>
      <c r="K34" s="1055">
        <f>IF(ISNA(VLOOKUP($A34,IS明細!$B:P,15,0)),0,VLOOKUP($A34,IS明細!$B:P,15,0))</f>
        <v>183</v>
      </c>
      <c r="L34" s="1055">
        <f>IF(ISNA(VLOOKUP($A34,IS明細!$B:R,17,0)),0,VLOOKUP($A34,IS明細!$B:R,17,0))</f>
        <v>183</v>
      </c>
      <c r="M34" s="1055">
        <f>IF(ISNA(VLOOKUP($A34,IS明細!$B:T,19,0)),0,VLOOKUP($A34,IS明細!$B:T,19,0))</f>
        <v>0</v>
      </c>
      <c r="N34" s="1055">
        <f>IF(ISNA(VLOOKUP($A34,IS明細!$B:V,21,0)),0,VLOOKUP($A34,IS明細!$B:V,21,0))</f>
        <v>0</v>
      </c>
      <c r="O34" s="1055">
        <f>IF(ISNA(VLOOKUP($A34,IS明細!$B:X,23,0)),0,VLOOKUP($A34,IS明細!$B:X,23,0))</f>
        <v>0</v>
      </c>
      <c r="P34" s="1055">
        <f>IF(ISNA(VLOOKUP($A34,IS明細!$B:Z,25,0)),0,VLOOKUP($A34,IS明細!$B:Z,25,0))</f>
        <v>0</v>
      </c>
      <c r="Q34" s="543">
        <f t="shared" si="0"/>
        <v>1464</v>
      </c>
      <c r="R34" s="543">
        <f t="shared" si="2"/>
        <v>183</v>
      </c>
      <c r="S34" s="1058" t="s">
        <v>1985</v>
      </c>
      <c r="T34" s="600">
        <f t="shared" si="3"/>
        <v>0</v>
      </c>
    </row>
    <row r="35" spans="1:22" ht="17">
      <c r="A35" s="404" t="s">
        <v>1485</v>
      </c>
      <c r="B35" s="1054" t="s">
        <v>1986</v>
      </c>
      <c r="C35" s="404" t="s">
        <v>1337</v>
      </c>
      <c r="E35" s="1055">
        <f>IF(ISNA(VLOOKUP($A35,IS明細!B:D,3,0)),0,VLOOKUP($A35,IS明細!B:D,3,0))</f>
        <v>3024</v>
      </c>
      <c r="F35" s="1055">
        <f>IF(ISNA(VLOOKUP($A35,IS明細!$B:F,5,0)),0,VLOOKUP($A35,IS明細!$B:F,5,0))</f>
        <v>3080</v>
      </c>
      <c r="G35" s="1055">
        <f>IF(ISNA(VLOOKUP($A35,IS明細!$B:H,7,0)),0,VLOOKUP($A35,IS明細!$B:H,7,0))</f>
        <v>4938</v>
      </c>
      <c r="H35" s="1055">
        <f>IF(ISNA(VLOOKUP($A35,IS明細!$B:J,9,0)),0,VLOOKUP($A35,IS明細!$B:J,9,0))</f>
        <v>408</v>
      </c>
      <c r="I35" s="1055">
        <f>IF(ISNA(VLOOKUP($A35,IS明細!$B:L,11,0)),0,VLOOKUP($A35,IS明細!$B:L,11,0))</f>
        <v>5583</v>
      </c>
      <c r="J35" s="1055">
        <f>IF(ISNA(VLOOKUP($A35,IS明細!$B:N,13,0)),0,VLOOKUP($A35,IS明細!$B:N,13,0))</f>
        <v>448</v>
      </c>
      <c r="K35" s="1055">
        <f>IF(ISNA(VLOOKUP($A35,IS明細!$B:P,15,0)),0,VLOOKUP($A35,IS明細!$B:P,15,0))</f>
        <v>1020</v>
      </c>
      <c r="L35" s="1055">
        <f>IF(ISNA(VLOOKUP($A35,IS明細!$B:R,17,0)),0,VLOOKUP($A35,IS明細!$B:R,17,0))</f>
        <v>5644</v>
      </c>
      <c r="M35" s="1055">
        <f>IF(ISNA(VLOOKUP($A35,IS明細!$B:T,19,0)),0,VLOOKUP($A35,IS明細!$B:T,19,0))</f>
        <v>0</v>
      </c>
      <c r="N35" s="1055">
        <f>IF(ISNA(VLOOKUP($A35,IS明細!$B:V,21,0)),0,VLOOKUP($A35,IS明細!$B:V,21,0))</f>
        <v>0</v>
      </c>
      <c r="O35" s="1055">
        <f>IF(ISNA(VLOOKUP($A35,IS明細!$B:X,23,0)),0,VLOOKUP($A35,IS明細!$B:X,23,0))</f>
        <v>0</v>
      </c>
      <c r="P35" s="1055">
        <f>IF(ISNA(VLOOKUP($A35,IS明細!$B:Z,25,0)),0,VLOOKUP($A35,IS明細!$B:Z,25,0))</f>
        <v>0</v>
      </c>
      <c r="Q35" s="543">
        <f t="shared" si="0"/>
        <v>24145</v>
      </c>
      <c r="R35" s="543">
        <f t="shared" si="2"/>
        <v>3018</v>
      </c>
      <c r="S35" s="1058" t="s">
        <v>1987</v>
      </c>
      <c r="T35" s="600">
        <f t="shared" si="3"/>
        <v>4624</v>
      </c>
    </row>
    <row r="36" spans="1:22">
      <c r="A36" s="404" t="s">
        <v>1486</v>
      </c>
      <c r="B36" s="1054" t="s">
        <v>1988</v>
      </c>
      <c r="C36" s="404" t="s">
        <v>1989</v>
      </c>
      <c r="E36" s="1055">
        <f>IF(ISNA(VLOOKUP($A36,IS明細!B:D,3,0)),0,VLOOKUP($A36,IS明細!B:D,3,0))</f>
        <v>0</v>
      </c>
      <c r="F36" s="1055">
        <f>IF(ISNA(VLOOKUP($A36,IS明細!$B:F,5,0)),0,VLOOKUP($A36,IS明細!$B:F,5,0))</f>
        <v>0</v>
      </c>
      <c r="G36" s="1055">
        <f>IF(ISNA(VLOOKUP($A36,IS明細!$B:H,7,0)),0,VLOOKUP($A36,IS明細!$B:H,7,0))</f>
        <v>0</v>
      </c>
      <c r="H36" s="1055">
        <f>IF(ISNA(VLOOKUP($A36,IS明細!$B:J,9,0)),0,VLOOKUP($A36,IS明細!$B:J,9,0))</f>
        <v>0</v>
      </c>
      <c r="I36" s="1055">
        <f>IF(ISNA(VLOOKUP($A36,IS明細!$B:L,11,0)),0,VLOOKUP($A36,IS明細!$B:L,11,0))</f>
        <v>0</v>
      </c>
      <c r="J36" s="1055">
        <f>IF(ISNA(VLOOKUP($A36,IS明細!$B:N,13,0)),0,VLOOKUP($A36,IS明細!$B:N,13,0))</f>
        <v>89286</v>
      </c>
      <c r="K36" s="1055">
        <f>IF(ISNA(VLOOKUP($A36,IS明細!$B:P,15,0)),0,VLOOKUP($A36,IS明細!$B:P,15,0))</f>
        <v>0</v>
      </c>
      <c r="L36" s="1055">
        <f>IF(ISNA(VLOOKUP($A36,IS明細!$B:R,17,0)),0,VLOOKUP($A36,IS明細!$B:R,17,0))</f>
        <v>0</v>
      </c>
      <c r="M36" s="1055">
        <f>IF(ISNA(VLOOKUP($A36,IS明細!$B:T,19,0)),0,VLOOKUP($A36,IS明細!$B:T,19,0))</f>
        <v>0</v>
      </c>
      <c r="N36" s="1055">
        <f>IF(ISNA(VLOOKUP($A36,IS明細!$B:V,21,0)),0,VLOOKUP($A36,IS明細!$B:V,21,0))</f>
        <v>0</v>
      </c>
      <c r="O36" s="1055">
        <f>IF(ISNA(VLOOKUP($A36,IS明細!$B:X,23,0)),0,VLOOKUP($A36,IS明細!$B:X,23,0))</f>
        <v>0</v>
      </c>
      <c r="P36" s="1055">
        <f>IF(ISNA(VLOOKUP($A36,IS明細!$B:Z,25,0)),0,VLOOKUP($A36,IS明細!$B:Z,25,0))</f>
        <v>0</v>
      </c>
      <c r="Q36" s="543">
        <f t="shared" si="0"/>
        <v>89286</v>
      </c>
      <c r="R36" s="543">
        <f t="shared" si="2"/>
        <v>11161</v>
      </c>
      <c r="S36" s="1058"/>
      <c r="T36" s="600">
        <f t="shared" si="3"/>
        <v>0</v>
      </c>
    </row>
    <row r="37" spans="1:22">
      <c r="A37" s="404" t="s">
        <v>1487</v>
      </c>
      <c r="B37" s="1054" t="s">
        <v>1990</v>
      </c>
      <c r="C37" s="404" t="s">
        <v>1488</v>
      </c>
      <c r="E37" s="1055">
        <f>IF(ISNA(VLOOKUP($A37,IS明細!B:D,3,0)),0,VLOOKUP($A37,IS明細!B:D,3,0))</f>
        <v>-111022</v>
      </c>
      <c r="F37" s="1055">
        <f>IF(ISNA(VLOOKUP($A37,IS明細!$B:F,5,0)),0,VLOOKUP($A37,IS明細!$B:F,5,0))</f>
        <v>496869</v>
      </c>
      <c r="G37" s="1055">
        <f>IF(ISNA(VLOOKUP($A37,IS明細!$B:H,7,0)),0,VLOOKUP($A37,IS明細!$B:H,7,0))</f>
        <v>226998</v>
      </c>
      <c r="H37" s="1055">
        <f>IF(ISNA(VLOOKUP($A37,IS明細!$B:J,9,0)),0,VLOOKUP($A37,IS明細!$B:J,9,0))</f>
        <v>372479</v>
      </c>
      <c r="I37" s="1055">
        <f>IF(ISNA(VLOOKUP($A37,IS明細!$B:L,11,0)),0,VLOOKUP($A37,IS明細!$B:L,11,0))</f>
        <v>92498</v>
      </c>
      <c r="J37" s="1055">
        <f>IF(ISNA(VLOOKUP($A37,IS明細!$B:N,13,0)),0,VLOOKUP($A37,IS明細!$B:N,13,0))</f>
        <v>158211</v>
      </c>
      <c r="K37" s="1055">
        <f>IF(ISNA(VLOOKUP($A37,IS明細!$B:P,15,0)),0,VLOOKUP($A37,IS明細!$B:P,15,0))</f>
        <v>192934</v>
      </c>
      <c r="L37" s="1055">
        <f>IF(ISNA(VLOOKUP($A37,IS明細!$B:R,17,0)),0,VLOOKUP($A37,IS明細!$B:R,17,0))</f>
        <v>866827</v>
      </c>
      <c r="M37" s="1055">
        <f>IF(ISNA(VLOOKUP($A37,IS明細!$B:T,19,0)),0,VLOOKUP($A37,IS明細!$B:T,19,0))</f>
        <v>0</v>
      </c>
      <c r="N37" s="1055">
        <f>IF(ISNA(VLOOKUP($A37,IS明細!$B:V,21,0)),0,VLOOKUP($A37,IS明細!$B:V,21,0))</f>
        <v>0</v>
      </c>
      <c r="O37" s="1055">
        <f>IF(ISNA(VLOOKUP($A37,IS明細!$B:X,23,0)),0,VLOOKUP($A37,IS明細!$B:X,23,0))</f>
        <v>0</v>
      </c>
      <c r="P37" s="1055">
        <f>IF(ISNA(VLOOKUP($A37,IS明細!$B:Z,25,0)),0,VLOOKUP($A37,IS明細!$B:Z,25,0))</f>
        <v>0</v>
      </c>
      <c r="Q37" s="543">
        <f t="shared" si="0"/>
        <v>2295794</v>
      </c>
      <c r="R37" s="543">
        <f t="shared" si="2"/>
        <v>286974</v>
      </c>
      <c r="S37" s="1058"/>
      <c r="T37" s="600">
        <f t="shared" si="3"/>
        <v>673893</v>
      </c>
    </row>
    <row r="38" spans="1:22" ht="34">
      <c r="A38" s="404" t="s">
        <v>1489</v>
      </c>
      <c r="B38" s="1054" t="s">
        <v>1991</v>
      </c>
      <c r="C38" s="404" t="s">
        <v>1490</v>
      </c>
      <c r="E38" s="1055">
        <f>IF(ISNA(VLOOKUP($A38,IS明細!B:D,3,0)),0,VLOOKUP($A38,IS明細!B:D,3,0))</f>
        <v>0</v>
      </c>
      <c r="F38" s="1055">
        <f>IF(ISNA(VLOOKUP($A38,IS明細!$B:F,5,0)),0,VLOOKUP($A38,IS明細!$B:F,5,0))</f>
        <v>0</v>
      </c>
      <c r="G38" s="1055">
        <f>IF(ISNA(VLOOKUP($A38,IS明細!$B:H,7,0)),0,VLOOKUP($A38,IS明細!$B:H,7,0))</f>
        <v>0</v>
      </c>
      <c r="H38" s="1055">
        <f>IF(ISNA(VLOOKUP($A38,IS明細!$B:J,9,0)),0,VLOOKUP($A38,IS明細!$B:J,9,0))</f>
        <v>35318</v>
      </c>
      <c r="I38" s="1055">
        <f>IF(ISNA(VLOOKUP($A38,IS明細!$B:L,11,0)),0,VLOOKUP($A38,IS明細!$B:L,11,0))</f>
        <v>26000</v>
      </c>
      <c r="J38" s="1055">
        <f>IF(ISNA(VLOOKUP($A38,IS明細!$B:N,13,0)),0,VLOOKUP($A38,IS明細!$B:N,13,0))</f>
        <v>448</v>
      </c>
      <c r="K38" s="1055">
        <f>IF(ISNA(VLOOKUP($A38,IS明細!$B:P,15,0)),0,VLOOKUP($A38,IS明細!$B:P,15,0))</f>
        <v>2420</v>
      </c>
      <c r="L38" s="1055">
        <f>IF(ISNA(VLOOKUP($A38,IS明細!$B:R,17,0)),0,VLOOKUP($A38,IS明細!$B:R,17,0))</f>
        <v>62362</v>
      </c>
      <c r="M38" s="1055">
        <f>IF(ISNA(VLOOKUP($A38,IS明細!$B:T,19,0)),0,VLOOKUP($A38,IS明細!$B:T,19,0))</f>
        <v>0</v>
      </c>
      <c r="N38" s="1055">
        <f>IF(ISNA(VLOOKUP($A38,IS明細!$B:V,21,0)),0,VLOOKUP($A38,IS明細!$B:V,21,0))</f>
        <v>0</v>
      </c>
      <c r="O38" s="1055">
        <f>IF(ISNA(VLOOKUP($A38,IS明細!$B:X,23,0)),0,VLOOKUP($A38,IS明細!$B:X,23,0))</f>
        <v>0</v>
      </c>
      <c r="P38" s="1055">
        <f>IF(ISNA(VLOOKUP($A38,IS明細!$B:Z,25,0)),0,VLOOKUP($A38,IS明細!$B:Z,25,0))</f>
        <v>0</v>
      </c>
      <c r="Q38" s="543">
        <f t="shared" si="0"/>
        <v>126548</v>
      </c>
      <c r="R38" s="543">
        <f t="shared" si="2"/>
        <v>15819</v>
      </c>
      <c r="S38" s="568" t="s">
        <v>1992</v>
      </c>
      <c r="T38" s="600">
        <f t="shared" si="3"/>
        <v>59942</v>
      </c>
    </row>
    <row r="39" spans="1:22">
      <c r="A39" s="404" t="s">
        <v>1491</v>
      </c>
      <c r="B39" s="1054" t="s">
        <v>1993</v>
      </c>
      <c r="C39" s="404" t="s">
        <v>1492</v>
      </c>
      <c r="E39" s="1055">
        <f>IF(ISNA(VLOOKUP($A39,IS明細!B:D,3,0)),0,VLOOKUP($A39,IS明細!B:D,3,0))</f>
        <v>0</v>
      </c>
      <c r="F39" s="1055">
        <f>IF(ISNA(VLOOKUP($A39,IS明細!$B:F,5,0)),0,VLOOKUP($A39,IS明細!$B:F,5,0))</f>
        <v>0</v>
      </c>
      <c r="G39" s="1055">
        <f>IF(ISNA(VLOOKUP($A39,IS明細!$B:H,7,0)),0,VLOOKUP($A39,IS明細!$B:H,7,0))</f>
        <v>0</v>
      </c>
      <c r="H39" s="1055">
        <f>IF(ISNA(VLOOKUP($A39,IS明細!$B:J,9,0)),0,VLOOKUP($A39,IS明細!$B:J,9,0))</f>
        <v>0</v>
      </c>
      <c r="I39" s="1055">
        <f>IF(ISNA(VLOOKUP($A39,IS明細!$B:L,11,0)),0,VLOOKUP($A39,IS明細!$B:L,11,0))</f>
        <v>0</v>
      </c>
      <c r="J39" s="1055">
        <f>IF(ISNA(VLOOKUP($A39,IS明細!$B:N,13,0)),0,VLOOKUP($A39,IS明細!$B:N,13,0))</f>
        <v>0</v>
      </c>
      <c r="K39" s="1055">
        <f>IF(ISNA(VLOOKUP($A39,IS明細!$B:P,15,0)),0,VLOOKUP($A39,IS明細!$B:P,15,0))</f>
        <v>0</v>
      </c>
      <c r="L39" s="1055">
        <f>IF(ISNA(VLOOKUP($A39,IS明細!$B:R,17,0)),0,VLOOKUP($A39,IS明細!$B:R,17,0))</f>
        <v>0</v>
      </c>
      <c r="M39" s="1055">
        <f>IF(ISNA(VLOOKUP($A39,IS明細!$B:T,19,0)),0,VLOOKUP($A39,IS明細!$B:T,19,0))</f>
        <v>0</v>
      </c>
      <c r="N39" s="1055">
        <f>IF(ISNA(VLOOKUP($A39,IS明細!$B:V,21,0)),0,VLOOKUP($A39,IS明細!$B:V,21,0))</f>
        <v>0</v>
      </c>
      <c r="O39" s="1055">
        <f>IF(ISNA(VLOOKUP($A39,IS明細!$B:X,23,0)),0,VLOOKUP($A39,IS明細!$B:X,23,0))</f>
        <v>0</v>
      </c>
      <c r="P39" s="1055">
        <f>IF(ISNA(VLOOKUP($A39,IS明細!$B:Z,25,0)),0,VLOOKUP($A39,IS明細!$B:Z,25,0))</f>
        <v>0</v>
      </c>
      <c r="Q39" s="543">
        <f t="shared" si="0"/>
        <v>0</v>
      </c>
      <c r="R39" s="543">
        <f t="shared" si="2"/>
        <v>0</v>
      </c>
      <c r="S39" s="400"/>
      <c r="T39" s="600">
        <f t="shared" si="3"/>
        <v>0</v>
      </c>
    </row>
    <row r="40" spans="1:22">
      <c r="A40" s="404" t="s">
        <v>1493</v>
      </c>
      <c r="B40" s="1054" t="s">
        <v>517</v>
      </c>
      <c r="C40" s="404" t="s">
        <v>1494</v>
      </c>
      <c r="E40" s="1055">
        <f>IF(ISNA(VLOOKUP($A40,IS明細!B:D,3,0)),0,VLOOKUP($A40,IS明細!B:D,3,0))</f>
        <v>0</v>
      </c>
      <c r="F40" s="1055">
        <f>IF(ISNA(VLOOKUP($A40,IS明細!$B:F,5,0)),0,VLOOKUP($A40,IS明細!$B:F,5,0))</f>
        <v>0</v>
      </c>
      <c r="G40" s="1055">
        <f>IF(ISNA(VLOOKUP($A40,IS明細!$B:H,7,0)),0,VLOOKUP($A40,IS明細!$B:H,7,0))</f>
        <v>0</v>
      </c>
      <c r="H40" s="1055">
        <f>IF(ISNA(VLOOKUP($A40,IS明細!$B:J,9,0)),0,VLOOKUP($A40,IS明細!$B:J,9,0))</f>
        <v>0</v>
      </c>
      <c r="I40" s="1055">
        <f>IF(ISNA(VLOOKUP($A40,IS明細!$B:L,11,0)),0,VLOOKUP($A40,IS明細!$B:L,11,0))</f>
        <v>0</v>
      </c>
      <c r="J40" s="1055">
        <f>IF(ISNA(VLOOKUP($A40,IS明細!$B:N,13,0)),0,VLOOKUP($A40,IS明細!$B:N,13,0))</f>
        <v>0</v>
      </c>
      <c r="K40" s="1055">
        <f>IF(ISNA(VLOOKUP($A40,IS明細!$B:P,15,0)),0,VLOOKUP($A40,IS明細!$B:P,15,0))</f>
        <v>0</v>
      </c>
      <c r="L40" s="1055">
        <f>IF(ISNA(VLOOKUP($A40,IS明細!$B:R,17,0)),0,VLOOKUP($A40,IS明細!$B:R,17,0))</f>
        <v>0</v>
      </c>
      <c r="M40" s="1055">
        <f>IF(ISNA(VLOOKUP($A40,IS明細!$B:T,19,0)),0,VLOOKUP($A40,IS明細!$B:T,19,0))</f>
        <v>0</v>
      </c>
      <c r="N40" s="1055">
        <f>IF(ISNA(VLOOKUP($A40,IS明細!$B:V,21,0)),0,VLOOKUP($A40,IS明細!$B:V,21,0))</f>
        <v>0</v>
      </c>
      <c r="O40" s="1055">
        <f>IF(ISNA(VLOOKUP($A40,IS明細!$B:X,23,0)),0,VLOOKUP($A40,IS明細!$B:X,23,0))</f>
        <v>0</v>
      </c>
      <c r="P40" s="1055">
        <f>IF(ISNA(VLOOKUP($A40,IS明細!$B:Z,25,0)),0,VLOOKUP($A40,IS明細!$B:Z,25,0))</f>
        <v>0</v>
      </c>
      <c r="Q40" s="543">
        <f t="shared" si="0"/>
        <v>0</v>
      </c>
      <c r="R40" s="543">
        <f t="shared" si="2"/>
        <v>0</v>
      </c>
      <c r="S40" s="1058"/>
      <c r="T40" s="600">
        <f t="shared" si="3"/>
        <v>0</v>
      </c>
    </row>
    <row r="41" spans="1:22" ht="17">
      <c r="A41" s="404" t="s">
        <v>1495</v>
      </c>
      <c r="B41" s="1054" t="s">
        <v>518</v>
      </c>
      <c r="C41" s="404" t="s">
        <v>1994</v>
      </c>
      <c r="E41" s="1055">
        <f>IF(ISNA(VLOOKUP($A41,IS明細!B:D,3,0)),0,VLOOKUP($A41,IS明細!B:D,3,0))</f>
        <v>-258335</v>
      </c>
      <c r="F41" s="1055">
        <f>IF(ISNA(VLOOKUP($A41,IS明細!$B:F,5,0)),0,VLOOKUP($A41,IS明細!$B:F,5,0))</f>
        <v>39122</v>
      </c>
      <c r="G41" s="1055">
        <f>IF(ISNA(VLOOKUP($A41,IS明細!$B:H,7,0)),0,VLOOKUP($A41,IS明細!$B:H,7,0))</f>
        <v>114233</v>
      </c>
      <c r="H41" s="1055">
        <f>IF(ISNA(VLOOKUP($A41,IS明細!$B:J,9,0)),0,VLOOKUP($A41,IS明細!$B:J,9,0))</f>
        <v>-45706</v>
      </c>
      <c r="I41" s="1055">
        <f>IF(ISNA(VLOOKUP($A41,IS明細!$B:L,11,0)),0,VLOOKUP($A41,IS明細!$B:L,11,0))</f>
        <v>-117503</v>
      </c>
      <c r="J41" s="1055">
        <f>IF(ISNA(VLOOKUP($A41,IS明細!$B:N,13,0)),0,VLOOKUP($A41,IS明細!$B:N,13,0))</f>
        <v>-58268</v>
      </c>
      <c r="K41" s="1055">
        <f>IF(ISNA(VLOOKUP($A41,IS明細!$B:P,15,0)),0,VLOOKUP($A41,IS明細!$B:P,15,0))</f>
        <v>3112</v>
      </c>
      <c r="L41" s="1055">
        <f>IF(ISNA(VLOOKUP($A41,IS明細!$B:R,17,0)),0,VLOOKUP($A41,IS明細!$B:R,17,0))</f>
        <v>465889</v>
      </c>
      <c r="M41" s="1055">
        <f>IF(ISNA(VLOOKUP($A41,IS明細!$B:T,19,0)),0,VLOOKUP($A41,IS明細!$B:T,19,0))</f>
        <v>0</v>
      </c>
      <c r="N41" s="1055">
        <f>IF(ISNA(VLOOKUP($A41,IS明細!$B:V,21,0)),0,VLOOKUP($A41,IS明細!$B:V,21,0))</f>
        <v>0</v>
      </c>
      <c r="O41" s="1055">
        <f>IF(ISNA(VLOOKUP($A41,IS明細!$B:X,23,0)),0,VLOOKUP($A41,IS明細!$B:X,23,0))</f>
        <v>0</v>
      </c>
      <c r="P41" s="1055">
        <f>IF(ISNA(VLOOKUP($A41,IS明細!$B:Z,25,0)),0,VLOOKUP($A41,IS明細!$B:Z,25,0))</f>
        <v>0</v>
      </c>
      <c r="Q41" s="543">
        <f t="shared" si="0"/>
        <v>142544</v>
      </c>
      <c r="R41" s="543">
        <f t="shared" si="2"/>
        <v>17818</v>
      </c>
      <c r="S41" s="400" t="s">
        <v>2080</v>
      </c>
      <c r="T41" s="600">
        <f t="shared" si="3"/>
        <v>462777</v>
      </c>
    </row>
    <row r="42" spans="1:22">
      <c r="A42" s="404" t="s">
        <v>1496</v>
      </c>
      <c r="B42" s="1054" t="s">
        <v>519</v>
      </c>
      <c r="C42" s="404" t="s">
        <v>1995</v>
      </c>
      <c r="E42" s="1055">
        <f>IF(ISNA(VLOOKUP($A42,IS明細!B:D,3,0)),0,VLOOKUP($A42,IS明細!B:D,3,0))</f>
        <v>0</v>
      </c>
      <c r="F42" s="1055">
        <f>IF(ISNA(VLOOKUP($A42,IS明細!$B:F,5,0)),0,VLOOKUP($A42,IS明細!$B:F,5,0))</f>
        <v>0</v>
      </c>
      <c r="G42" s="1055">
        <f>IF(ISNA(VLOOKUP($A42,IS明細!$B:H,7,0)),0,VLOOKUP($A42,IS明細!$B:H,7,0))</f>
        <v>0</v>
      </c>
      <c r="H42" s="1055">
        <f>IF(ISNA(VLOOKUP($A42,IS明細!$B:J,9,0)),0,VLOOKUP($A42,IS明細!$B:J,9,0))</f>
        <v>0</v>
      </c>
      <c r="I42" s="1055">
        <f>IF(ISNA(VLOOKUP($A42,IS明細!$B:L,11,0)),0,VLOOKUP($A42,IS明細!$B:L,11,0))</f>
        <v>0</v>
      </c>
      <c r="J42" s="1055">
        <f>IF(ISNA(VLOOKUP($A42,IS明細!$B:N,13,0)),0,VLOOKUP($A42,IS明細!$B:N,13,0))</f>
        <v>0</v>
      </c>
      <c r="K42" s="1055">
        <f>IF(ISNA(VLOOKUP($A42,IS明細!$B:P,15,0)),0,VLOOKUP($A42,IS明細!$B:P,15,0))</f>
        <v>0</v>
      </c>
      <c r="L42" s="1055">
        <f>IF(ISNA(VLOOKUP($A42,IS明細!$B:R,17,0)),0,VLOOKUP($A42,IS明細!$B:R,17,0))</f>
        <v>0</v>
      </c>
      <c r="M42" s="1055">
        <f>IF(ISNA(VLOOKUP($A42,IS明細!$B:T,19,0)),0,VLOOKUP($A42,IS明細!$B:T,19,0))</f>
        <v>0</v>
      </c>
      <c r="N42" s="1055">
        <f>IF(ISNA(VLOOKUP($A42,IS明細!$B:V,21,0)),0,VLOOKUP($A42,IS明細!$B:V,21,0))</f>
        <v>0</v>
      </c>
      <c r="O42" s="1055">
        <f>IF(ISNA(VLOOKUP($A42,IS明細!$B:X,23,0)),0,VLOOKUP($A42,IS明細!$B:X,23,0))</f>
        <v>0</v>
      </c>
      <c r="P42" s="1055">
        <f>IF(ISNA(VLOOKUP($A42,IS明細!$B:Z,25,0)),0,VLOOKUP($A42,IS明細!$B:Z,25,0))</f>
        <v>0</v>
      </c>
      <c r="Q42" s="543">
        <f t="shared" si="0"/>
        <v>0</v>
      </c>
      <c r="R42" s="543">
        <f t="shared" si="2"/>
        <v>0</v>
      </c>
      <c r="S42" s="400"/>
      <c r="T42" s="600">
        <f t="shared" si="3"/>
        <v>0</v>
      </c>
    </row>
    <row r="43" spans="1:22" ht="51">
      <c r="A43" s="404" t="s">
        <v>1497</v>
      </c>
      <c r="B43" s="1054" t="s">
        <v>1996</v>
      </c>
      <c r="C43" s="404" t="s">
        <v>1498</v>
      </c>
      <c r="E43" s="1055">
        <f>IF(ISNA(VLOOKUP($A43,IS明細!B:D,3,0)),0,VLOOKUP($A43,IS明細!B:D,3,0))</f>
        <v>147313</v>
      </c>
      <c r="F43" s="1055">
        <f>IF(ISNA(VLOOKUP($A43,IS明細!$B:F,5,0)),0,VLOOKUP($A43,IS明細!$B:F,5,0))</f>
        <v>457747</v>
      </c>
      <c r="G43" s="1055">
        <f>IF(ISNA(VLOOKUP($A43,IS明細!$B:H,7,0)),0,VLOOKUP($A43,IS明細!$B:H,7,0))</f>
        <v>112765</v>
      </c>
      <c r="H43" s="1055">
        <f>IF(ISNA(VLOOKUP($A43,IS明細!$B:J,9,0)),0,VLOOKUP($A43,IS明細!$B:J,9,0))</f>
        <v>382867</v>
      </c>
      <c r="I43" s="1055">
        <f>IF(ISNA(VLOOKUP($A43,IS明細!$B:L,11,0)),0,VLOOKUP($A43,IS明細!$B:L,11,0))</f>
        <v>184001</v>
      </c>
      <c r="J43" s="1055">
        <f>IF(ISNA(VLOOKUP($A43,IS明細!$B:N,13,0)),0,VLOOKUP($A43,IS明細!$B:N,13,0))</f>
        <v>216031</v>
      </c>
      <c r="K43" s="1055">
        <f>IF(ISNA(VLOOKUP($A43,IS明細!$B:P,15,0)),0,VLOOKUP($A43,IS明細!$B:P,15,0))</f>
        <v>187402</v>
      </c>
      <c r="L43" s="1055">
        <f>IF(ISNA(VLOOKUP($A43,IS明細!$B:R,17,0)),0,VLOOKUP($A43,IS明細!$B:R,17,0))</f>
        <v>338576</v>
      </c>
      <c r="M43" s="1055">
        <f>IF(ISNA(VLOOKUP($A43,IS明細!$B:T,19,0)),0,VLOOKUP($A43,IS明細!$B:T,19,0))</f>
        <v>0</v>
      </c>
      <c r="N43" s="1055">
        <f>IF(ISNA(VLOOKUP($A43,IS明細!$B:V,21,0)),0,VLOOKUP($A43,IS明細!$B:V,21,0))</f>
        <v>0</v>
      </c>
      <c r="O43" s="1055">
        <f>IF(ISNA(VLOOKUP($A43,IS明細!$B:X,23,0)),0,VLOOKUP($A43,IS明細!$B:X,23,0))</f>
        <v>0</v>
      </c>
      <c r="P43" s="1055">
        <f>IF(ISNA(VLOOKUP($A43,IS明細!$B:Z,25,0)),0,VLOOKUP($A43,IS明細!$B:Z,25,0))</f>
        <v>0</v>
      </c>
      <c r="Q43" s="543">
        <f>SUM(E43:P43)</f>
        <v>2026702</v>
      </c>
      <c r="R43" s="543">
        <f>ROUND(Q43/$R$2,0)</f>
        <v>253338</v>
      </c>
      <c r="S43" s="1058" t="s">
        <v>2081</v>
      </c>
      <c r="T43" s="600">
        <f t="shared" si="3"/>
        <v>151174</v>
      </c>
      <c r="U43" s="1090"/>
      <c r="V43" s="1090"/>
    </row>
    <row r="44" spans="1:22" ht="17" thickBot="1">
      <c r="B44" s="542" t="s">
        <v>1997</v>
      </c>
      <c r="E44" s="1067">
        <f t="shared" ref="E44:P44" si="4">SUM(E13:E37)</f>
        <v>2994144</v>
      </c>
      <c r="F44" s="1067">
        <f t="shared" si="4"/>
        <v>3575851</v>
      </c>
      <c r="G44" s="1067">
        <f t="shared" si="4"/>
        <v>3188528</v>
      </c>
      <c r="H44" s="1067">
        <f t="shared" si="4"/>
        <v>3361473</v>
      </c>
      <c r="I44" s="1067">
        <f t="shared" si="4"/>
        <v>2893233</v>
      </c>
      <c r="J44" s="1067">
        <f t="shared" si="4"/>
        <v>3087333</v>
      </c>
      <c r="K44" s="1067">
        <f t="shared" si="4"/>
        <v>3051936</v>
      </c>
      <c r="L44" s="1067">
        <f t="shared" si="4"/>
        <v>3692795</v>
      </c>
      <c r="M44" s="1067">
        <f t="shared" si="4"/>
        <v>0</v>
      </c>
      <c r="N44" s="1067">
        <f t="shared" si="4"/>
        <v>0</v>
      </c>
      <c r="O44" s="1067">
        <f t="shared" si="4"/>
        <v>0</v>
      </c>
      <c r="P44" s="1067">
        <f t="shared" si="4"/>
        <v>0</v>
      </c>
      <c r="Q44" s="1067">
        <f t="shared" si="0"/>
        <v>25845293</v>
      </c>
      <c r="R44" s="1067">
        <f t="shared" si="0"/>
        <v>48696442</v>
      </c>
      <c r="T44" s="600">
        <f t="shared" si="3"/>
        <v>640859</v>
      </c>
    </row>
    <row r="45" spans="1:22" ht="17" thickTop="1">
      <c r="B45" s="542"/>
      <c r="E45" s="543">
        <f>SUM(IS明細!D41:D65)</f>
        <v>2994144</v>
      </c>
      <c r="F45" s="543">
        <f>SUM(IS明細!F41:F65)</f>
        <v>3575851</v>
      </c>
      <c r="G45" s="543">
        <f>SUM(IS明細!H41:H65)</f>
        <v>3188528</v>
      </c>
      <c r="H45" s="543">
        <f>SUM(IS明細!J41:J65)</f>
        <v>3361473</v>
      </c>
      <c r="I45" s="543">
        <f>SUM(IS明細!L41:L65)</f>
        <v>2893233</v>
      </c>
      <c r="J45" s="543">
        <f>SUM(IS明細!N41:N65)</f>
        <v>3087333</v>
      </c>
      <c r="K45" s="543">
        <f>SUM(IS明細!P41:P65)</f>
        <v>3051936</v>
      </c>
      <c r="L45" s="543">
        <f>SUM(IS明細!R41:R65)</f>
        <v>3692795</v>
      </c>
      <c r="M45" s="543">
        <f>SUM(IS明細!T41:T65)</f>
        <v>0</v>
      </c>
      <c r="N45" s="543">
        <f>SUM(IS明細!V41:V65)</f>
        <v>0</v>
      </c>
      <c r="O45" s="543">
        <f>SUM(IS明細!X41:X65)</f>
        <v>0</v>
      </c>
      <c r="P45" s="543">
        <f>SUM(IS明細!Z41:Z65)</f>
        <v>0</v>
      </c>
      <c r="Q45" s="543">
        <f t="shared" si="0"/>
        <v>25845293</v>
      </c>
      <c r="R45" s="543"/>
      <c r="T45" s="1084"/>
    </row>
    <row r="46" spans="1:22">
      <c r="F46" s="600">
        <f t="shared" ref="F46:K46" si="5">F44-E44</f>
        <v>581707</v>
      </c>
      <c r="G46" s="600">
        <f t="shared" si="5"/>
        <v>-387323</v>
      </c>
      <c r="H46" s="600">
        <f t="shared" si="5"/>
        <v>172945</v>
      </c>
      <c r="I46" s="600">
        <f t="shared" si="5"/>
        <v>-468240</v>
      </c>
      <c r="J46" s="600">
        <f t="shared" si="5"/>
        <v>194100</v>
      </c>
      <c r="K46" s="600">
        <f t="shared" si="5"/>
        <v>-35397</v>
      </c>
      <c r="L46" s="600">
        <f>L44-K44</f>
        <v>640859</v>
      </c>
      <c r="M46" s="600">
        <f>M44-L44</f>
        <v>-3692795</v>
      </c>
      <c r="N46" s="600">
        <f>N43-M43</f>
        <v>0</v>
      </c>
      <c r="O46" s="1053">
        <f>O43-N43</f>
        <v>0</v>
      </c>
      <c r="P46" s="404">
        <f>P43-O43</f>
        <v>0</v>
      </c>
    </row>
    <row r="47" spans="1:22" s="524" customFormat="1">
      <c r="E47" s="1070"/>
      <c r="F47" s="524" t="s">
        <v>1918</v>
      </c>
      <c r="G47" s="717" t="s">
        <v>1919</v>
      </c>
      <c r="H47" s="717" t="s">
        <v>1939</v>
      </c>
      <c r="I47" s="1091" t="s">
        <v>1920</v>
      </c>
      <c r="J47" s="1070" t="s">
        <v>1921</v>
      </c>
      <c r="K47" s="524" t="s">
        <v>1922</v>
      </c>
      <c r="L47" s="1070" t="s">
        <v>1923</v>
      </c>
      <c r="M47" s="1070" t="s">
        <v>1924</v>
      </c>
      <c r="N47" s="1070" t="s">
        <v>1925</v>
      </c>
      <c r="O47" s="1070" t="s">
        <v>1926</v>
      </c>
      <c r="P47" s="1070" t="s">
        <v>530</v>
      </c>
      <c r="S47" s="1092"/>
      <c r="T47" s="1068"/>
    </row>
    <row r="48" spans="1:22">
      <c r="F48" s="602"/>
      <c r="G48" s="717"/>
      <c r="H48" s="717"/>
      <c r="I48" s="1091"/>
      <c r="J48" s="1070"/>
      <c r="K48" s="524"/>
      <c r="L48" s="1070"/>
      <c r="M48" s="543"/>
      <c r="N48" s="1070"/>
      <c r="O48" s="1070"/>
      <c r="P48" s="1070"/>
      <c r="S48" s="1093"/>
      <c r="T48" s="1094"/>
    </row>
    <row r="49" spans="8:20">
      <c r="H49" s="603"/>
      <c r="K49" s="603"/>
      <c r="L49" s="1095"/>
      <c r="M49" s="603"/>
      <c r="N49" s="603"/>
      <c r="O49" s="600"/>
      <c r="P49" s="603"/>
      <c r="S49" s="1096"/>
      <c r="T49" s="1094"/>
    </row>
    <row r="50" spans="8:20">
      <c r="K50" s="603"/>
      <c r="L50" s="603"/>
      <c r="M50" s="603"/>
      <c r="N50" s="603"/>
      <c r="O50" s="603"/>
      <c r="P50" s="603"/>
      <c r="S50" s="1096"/>
      <c r="T50" s="1094"/>
    </row>
    <row r="51" spans="8:20">
      <c r="S51" s="1096"/>
      <c r="T51" s="1094"/>
    </row>
    <row r="52" spans="8:20">
      <c r="S52" s="1093"/>
      <c r="T52" s="1094"/>
    </row>
  </sheetData>
  <phoneticPr fontId="39" type="noConversion"/>
  <pageMargins left="0.15748031496062992" right="0.14000000000000001" top="0.27559055118110237" bottom="0.19" header="0.15748031496062992" footer="0.14000000000000001"/>
  <pageSetup paperSize="9" scale="90" orientation="landscape" r:id="rId1"/>
  <headerFooter alignWithMargins="0">
    <oddHeader>&amp;R&amp;F--&amp;A</oddHeader>
    <oddFooter>&amp;RP.18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indexed="15"/>
    <pageSetUpPr fitToPage="1"/>
  </sheetPr>
  <dimension ref="A1:AG58"/>
  <sheetViews>
    <sheetView workbookViewId="0">
      <pane xSplit="4" ySplit="2" topLeftCell="K15" activePane="bottomRight" state="frozen"/>
      <selection activeCell="B1" sqref="B1"/>
      <selection pane="topRight" activeCell="E1" sqref="E1"/>
      <selection pane="bottomLeft" activeCell="B3" sqref="B3"/>
      <selection pane="bottomRight" activeCell="C30" sqref="C30"/>
    </sheetView>
  </sheetViews>
  <sheetFormatPr baseColWidth="10" defaultColWidth="9.19921875" defaultRowHeight="16.5" customHeight="1" outlineLevelCol="1"/>
  <cols>
    <col min="1" max="1" width="34.59765625" style="404" hidden="1" customWidth="1"/>
    <col min="2" max="2" width="9.796875" style="542" customWidth="1"/>
    <col min="3" max="3" width="24" style="542" bestFit="1" customWidth="1"/>
    <col min="4" max="4" width="6" style="404" hidden="1" customWidth="1"/>
    <col min="5" max="5" width="14" style="404" customWidth="1"/>
    <col min="6" max="12" width="11.3984375" style="404" customWidth="1"/>
    <col min="13" max="13" width="12.19921875" style="404" hidden="1" customWidth="1" outlineLevel="1"/>
    <col min="14" max="14" width="12.3984375" style="404" hidden="1" customWidth="1" outlineLevel="1"/>
    <col min="15" max="15" width="14.19921875" style="404" hidden="1" customWidth="1" outlineLevel="1"/>
    <col min="16" max="16" width="15" style="404" hidden="1" customWidth="1" outlineLevel="1"/>
    <col min="17" max="17" width="12.796875" style="404" bestFit="1" customWidth="1" collapsed="1"/>
    <col min="18" max="18" width="11.3984375" style="602" bestFit="1" customWidth="1"/>
    <col min="19" max="19" width="43" style="563" customWidth="1"/>
    <col min="20" max="20" width="11.796875" style="405" bestFit="1" customWidth="1"/>
    <col min="21" max="24" width="11.3984375" style="404" customWidth="1"/>
    <col min="25" max="25" width="11.3984375" style="404" hidden="1" customWidth="1"/>
    <col min="26" max="26" width="47.796875" style="404" bestFit="1" customWidth="1"/>
    <col min="27" max="16384" width="9.19921875" style="404"/>
  </cols>
  <sheetData>
    <row r="1" spans="1:21" s="524" customFormat="1" ht="16.5" customHeight="1" thickBot="1">
      <c r="B1" s="1074" t="s">
        <v>1394</v>
      </c>
      <c r="C1" s="542"/>
      <c r="E1" s="1046" t="s">
        <v>1767</v>
      </c>
      <c r="F1" s="1046" t="s">
        <v>1768</v>
      </c>
      <c r="G1" s="1046" t="s">
        <v>1769</v>
      </c>
      <c r="H1" s="1046" t="s">
        <v>1770</v>
      </c>
      <c r="I1" s="1046" t="s">
        <v>1771</v>
      </c>
      <c r="J1" s="1046" t="s">
        <v>1772</v>
      </c>
      <c r="K1" s="1046" t="s">
        <v>1773</v>
      </c>
      <c r="L1" s="1046" t="s">
        <v>1774</v>
      </c>
      <c r="M1" s="1046" t="s">
        <v>1775</v>
      </c>
      <c r="N1" s="1046" t="s">
        <v>1776</v>
      </c>
      <c r="O1" s="1046" t="s">
        <v>1777</v>
      </c>
      <c r="P1" s="1046" t="s">
        <v>1778</v>
      </c>
      <c r="Q1" s="1047" t="s">
        <v>1903</v>
      </c>
      <c r="R1" s="1075" t="s">
        <v>1282</v>
      </c>
      <c r="S1" s="1049" t="str">
        <f>[3]製造費用明細!S1</f>
        <v>說明</v>
      </c>
      <c r="T1" s="1084"/>
    </row>
    <row r="2" spans="1:21" ht="16.5" customHeight="1" thickTop="1" thickBot="1">
      <c r="C2" s="711" t="s">
        <v>1143</v>
      </c>
      <c r="D2" s="524" t="s">
        <v>1143</v>
      </c>
      <c r="E2" s="1051">
        <f>15</f>
        <v>15</v>
      </c>
      <c r="F2" s="1051">
        <f>17</f>
        <v>17</v>
      </c>
      <c r="G2" s="1051">
        <v>17</v>
      </c>
      <c r="H2" s="1051">
        <v>17</v>
      </c>
      <c r="I2" s="1051">
        <v>17</v>
      </c>
      <c r="J2" s="1051">
        <f>16</f>
        <v>16</v>
      </c>
      <c r="K2" s="1051">
        <f>17</f>
        <v>17</v>
      </c>
      <c r="L2" s="1051">
        <f>17</f>
        <v>17</v>
      </c>
      <c r="M2" s="1051">
        <v>0</v>
      </c>
      <c r="N2" s="1051">
        <v>0</v>
      </c>
      <c r="O2" s="1051">
        <v>0</v>
      </c>
      <c r="P2" s="1051">
        <v>0</v>
      </c>
      <c r="Q2" s="1052"/>
      <c r="R2" s="1048">
        <v>7</v>
      </c>
      <c r="T2" s="1084"/>
    </row>
    <row r="3" spans="1:21" ht="16.5" customHeight="1" thickTop="1">
      <c r="A3" s="404" t="s">
        <v>1395</v>
      </c>
      <c r="B3" s="542">
        <v>6110000</v>
      </c>
      <c r="C3" s="542" t="s">
        <v>1284</v>
      </c>
      <c r="E3" s="1055">
        <f>IF(ISNA(VLOOKUP($A3,IS明細!B:D,3,0)),0,VLOOKUP($A3,IS明細!B:D,3,0))</f>
        <v>1400449</v>
      </c>
      <c r="F3" s="1055">
        <f>IF(ISNA(VLOOKUP($A3,IS明細!$B:F,5,0)),0,VLOOKUP($A3,IS明細!$B:F,5,0))</f>
        <v>1731573</v>
      </c>
      <c r="G3" s="1055">
        <f>IF(ISNA(VLOOKUP($A3,IS明細!$B:H,7,0)),0,VLOOKUP($A3,IS明細!$B:H,7,0))</f>
        <v>1617767</v>
      </c>
      <c r="H3" s="1055">
        <f>IF(ISNA(VLOOKUP($A3,IS明細!$B:J,9,0)),0,VLOOKUP($A3,IS明細!$B:J,9,0))</f>
        <v>1595394</v>
      </c>
      <c r="I3" s="1055">
        <f>IF(ISNA(VLOOKUP($A3,IS明細!$B:L,11,0)),0,VLOOKUP($A3,IS明細!$B:L,11,0))</f>
        <v>1548120</v>
      </c>
      <c r="J3" s="1055">
        <f>IF(ISNA(VLOOKUP($A3,IS明細!$B:N,13,0)),0,VLOOKUP($A3,IS明細!$B:N,13,0))</f>
        <v>1519795</v>
      </c>
      <c r="K3" s="1055">
        <f>IF(ISNA(VLOOKUP($A3,IS明細!$B:P,15,0)),0,VLOOKUP($A3,IS明細!$B:P,15,0))</f>
        <v>1616078</v>
      </c>
      <c r="L3" s="1055">
        <f>IF(ISNA(VLOOKUP($A3,IS明細!$B:R,17,0)),0,VLOOKUP($A3,IS明細!$B:R,17,0))</f>
        <v>1718648</v>
      </c>
      <c r="M3" s="1055">
        <f>IF(ISNA(VLOOKUP($A3,IS明細!$B:T,19,0)),0,VLOOKUP($A3,IS明細!$B:T,19,0))</f>
        <v>0</v>
      </c>
      <c r="N3" s="1055">
        <f>IF(ISNA(VLOOKUP($A3,IS明細!$B:V,21,0)),0,VLOOKUP($A3,IS明細!$B:V,21,0))</f>
        <v>0</v>
      </c>
      <c r="O3" s="1055">
        <f>IF(ISNA(VLOOKUP($A3,IS明細!$B:X,23,0)),0,VLOOKUP($A3,IS明細!$B:X,23,0))</f>
        <v>0</v>
      </c>
      <c r="P3" s="1055">
        <f>IF(ISNA(VLOOKUP($A3,IS明細!$B:Z,25,0)),0,VLOOKUP($A3,IS明細!$B:Z,25,0))</f>
        <v>0</v>
      </c>
      <c r="Q3" s="543">
        <f>SUM(E3:P3)</f>
        <v>12747824</v>
      </c>
      <c r="R3" s="543">
        <f t="shared" ref="R3:R40" si="0">ROUND(Q3/$R$2,0)</f>
        <v>1821118</v>
      </c>
      <c r="S3" s="1056"/>
      <c r="T3" s="600">
        <f>L3-K3</f>
        <v>102570</v>
      </c>
      <c r="U3" s="712"/>
    </row>
    <row r="4" spans="1:21" ht="16.5" customHeight="1">
      <c r="A4" s="404" t="s">
        <v>1396</v>
      </c>
      <c r="B4" s="542">
        <v>6110100</v>
      </c>
      <c r="C4" s="542" t="s">
        <v>1286</v>
      </c>
      <c r="E4" s="1055">
        <f>IF(ISNA(VLOOKUP($A4,IS明細!B:D,3,0)),0,VLOOKUP($A4,IS明細!B:D,3,0))</f>
        <v>986000</v>
      </c>
      <c r="F4" s="1055">
        <f>IF(ISNA(VLOOKUP($A4,IS明細!$B:F,5,0)),0,VLOOKUP($A4,IS明細!$B:F,5,0))</f>
        <v>1193611</v>
      </c>
      <c r="G4" s="1055">
        <f>IF(ISNA(VLOOKUP($A4,IS明細!$B:H,7,0)),0,VLOOKUP($A4,IS明細!$B:H,7,0))</f>
        <v>1159419</v>
      </c>
      <c r="H4" s="1055">
        <f>IF(ISNA(VLOOKUP($A4,IS明細!$B:J,9,0)),0,VLOOKUP($A4,IS明細!$B:J,9,0))</f>
        <v>1183297</v>
      </c>
      <c r="I4" s="1055">
        <f>IF(ISNA(VLOOKUP($A4,IS明細!$B:L,11,0)),0,VLOOKUP($A4,IS明細!$B:L,11,0))</f>
        <v>1122853</v>
      </c>
      <c r="J4" s="1055">
        <f>IF(ISNA(VLOOKUP($A4,IS明細!$B:N,13,0)),0,VLOOKUP($A4,IS明細!$B:N,13,0))</f>
        <v>1122449</v>
      </c>
      <c r="K4" s="1055">
        <f>IF(ISNA(VLOOKUP($A4,IS明細!$B:P,15,0)),0,VLOOKUP($A4,IS明細!$B:P,15,0))</f>
        <v>1176565</v>
      </c>
      <c r="L4" s="1055">
        <f>IF(ISNA(VLOOKUP($A4,IS明細!$B:R,17,0)),0,VLOOKUP($A4,IS明細!$B:R,17,0))</f>
        <v>1275463</v>
      </c>
      <c r="M4" s="1055">
        <f>IF(ISNA(VLOOKUP($A4,IS明細!$B:T,19,0)),0,VLOOKUP($A4,IS明細!$B:T,19,0))</f>
        <v>0</v>
      </c>
      <c r="N4" s="1055">
        <f>IF(ISNA(VLOOKUP($A4,IS明細!$B:V,21,0)),0,VLOOKUP($A4,IS明細!$B:V,21,0))</f>
        <v>0</v>
      </c>
      <c r="O4" s="1055">
        <f>IF(ISNA(VLOOKUP($A4,IS明細!$B:X,23,0)),0,VLOOKUP($A4,IS明細!$B:X,23,0))</f>
        <v>0</v>
      </c>
      <c r="P4" s="1055">
        <f>IF(ISNA(VLOOKUP($A4,IS明細!$B:Z,25,0)),0,VLOOKUP($A4,IS明細!$B:Z,25,0))</f>
        <v>0</v>
      </c>
      <c r="Q4" s="543">
        <f t="shared" ref="Q4:Q39" si="1">SUM(E4:P4)</f>
        <v>9219657</v>
      </c>
      <c r="R4" s="543">
        <f t="shared" si="0"/>
        <v>1317094</v>
      </c>
      <c r="T4" s="600">
        <f t="shared" ref="T4:T41" si="2">L4-K4</f>
        <v>98898</v>
      </c>
      <c r="U4" s="712"/>
    </row>
    <row r="5" spans="1:21" ht="16.5" customHeight="1">
      <c r="A5" s="404" t="s">
        <v>1397</v>
      </c>
      <c r="B5" s="542">
        <v>6110200</v>
      </c>
      <c r="C5" s="542" t="s">
        <v>1288</v>
      </c>
      <c r="E5" s="1055">
        <f>IF(ISNA(VLOOKUP($A5,IS明細!B:D,3,0)),0,VLOOKUP($A5,IS明細!B:D,3,0))</f>
        <v>0</v>
      </c>
      <c r="F5" s="1055">
        <f>IF(ISNA(VLOOKUP($A5,IS明細!$B:F,5,0)),0,VLOOKUP($A5,IS明細!$B:F,5,0))</f>
        <v>18700</v>
      </c>
      <c r="G5" s="1055">
        <f>IF(ISNA(VLOOKUP($A5,IS明細!$B:H,7,0)),0,VLOOKUP($A5,IS明細!$B:H,7,0))</f>
        <v>52614</v>
      </c>
      <c r="H5" s="1055">
        <f>IF(ISNA(VLOOKUP($A5,IS明細!$B:J,9,0)),0,VLOOKUP($A5,IS明細!$B:J,9,0))</f>
        <v>0</v>
      </c>
      <c r="I5" s="1055">
        <f>IF(ISNA(VLOOKUP($A5,IS明細!$B:L,11,0)),0,VLOOKUP($A5,IS明細!$B:L,11,0))</f>
        <v>15669</v>
      </c>
      <c r="J5" s="1055">
        <f>IF(ISNA(VLOOKUP($A5,IS明細!$B:N,13,0)),0,VLOOKUP($A5,IS明細!$B:N,13,0))</f>
        <v>0</v>
      </c>
      <c r="K5" s="1055">
        <f>IF(ISNA(VLOOKUP($A5,IS明細!$B:P,15,0)),0,VLOOKUP($A5,IS明細!$B:P,15,0))</f>
        <v>0</v>
      </c>
      <c r="L5" s="1055">
        <f>IF(ISNA(VLOOKUP($A5,IS明細!$B:R,17,0)),0,VLOOKUP($A5,IS明細!$B:R,17,0))</f>
        <v>0</v>
      </c>
      <c r="M5" s="1055">
        <f>IF(ISNA(VLOOKUP($A5,IS明細!$B:T,19,0)),0,VLOOKUP($A5,IS明細!$B:T,19,0))</f>
        <v>0</v>
      </c>
      <c r="N5" s="1055">
        <f>IF(ISNA(VLOOKUP($A5,IS明細!$B:V,21,0)),0,VLOOKUP($A5,IS明細!$B:V,21,0))</f>
        <v>0</v>
      </c>
      <c r="O5" s="1055">
        <f>IF(ISNA(VLOOKUP($A5,IS明細!$B:X,23,0)),0,VLOOKUP($A5,IS明細!$B:X,23,0))</f>
        <v>0</v>
      </c>
      <c r="P5" s="1055">
        <f>IF(ISNA(VLOOKUP($A5,IS明細!$B:Z,25,0)),0,VLOOKUP($A5,IS明細!$B:Z,25,0))</f>
        <v>0</v>
      </c>
      <c r="Q5" s="543">
        <f t="shared" si="1"/>
        <v>86983</v>
      </c>
      <c r="R5" s="543">
        <f t="shared" si="0"/>
        <v>12426</v>
      </c>
      <c r="S5" s="1056"/>
      <c r="T5" s="600">
        <f t="shared" si="2"/>
        <v>0</v>
      </c>
      <c r="U5" s="712"/>
    </row>
    <row r="6" spans="1:21" ht="16.5" customHeight="1">
      <c r="A6" s="404" t="s">
        <v>1398</v>
      </c>
      <c r="B6" s="542">
        <v>6110210</v>
      </c>
      <c r="C6" s="542" t="s">
        <v>1290</v>
      </c>
      <c r="E6" s="1055">
        <f>IF(ISNA(VLOOKUP($A6,IS明細!B:D,3,0)),0,VLOOKUP($A6,IS明細!B:D,3,0))</f>
        <v>0</v>
      </c>
      <c r="F6" s="1055">
        <f>IF(ISNA(VLOOKUP($A6,IS明細!$B:F,5,0)),0,VLOOKUP($A6,IS明細!$B:F,5,0))</f>
        <v>0</v>
      </c>
      <c r="G6" s="1055">
        <f>IF(ISNA(VLOOKUP($A6,IS明細!$B:H,7,0)),0,VLOOKUP($A6,IS明細!$B:H,7,0))</f>
        <v>0</v>
      </c>
      <c r="H6" s="1055">
        <f>IF(ISNA(VLOOKUP($A6,IS明細!$B:J,9,0)),0,VLOOKUP($A6,IS明細!$B:J,9,0))</f>
        <v>0</v>
      </c>
      <c r="I6" s="1055">
        <f>IF(ISNA(VLOOKUP($A6,IS明細!$B:L,11,0)),0,VLOOKUP($A6,IS明細!$B:L,11,0))</f>
        <v>0</v>
      </c>
      <c r="J6" s="1055">
        <f>IF(ISNA(VLOOKUP($A6,IS明細!$B:N,13,0)),0,VLOOKUP($A6,IS明細!$B:N,13,0))</f>
        <v>0</v>
      </c>
      <c r="K6" s="1055">
        <f>IF(ISNA(VLOOKUP($A6,IS明細!$B:P,15,0)),0,VLOOKUP($A6,IS明細!$B:P,15,0))</f>
        <v>0</v>
      </c>
      <c r="L6" s="1055">
        <f>IF(ISNA(VLOOKUP($A6,IS明細!$B:R,17,0)),0,VLOOKUP($A6,IS明細!$B:R,17,0))</f>
        <v>0</v>
      </c>
      <c r="M6" s="1055">
        <f>IF(ISNA(VLOOKUP($A6,IS明細!$B:T,19,0)),0,VLOOKUP($A6,IS明細!$B:T,19,0))</f>
        <v>0</v>
      </c>
      <c r="N6" s="1055">
        <f>IF(ISNA(VLOOKUP($A6,IS明細!$B:V,21,0)),0,VLOOKUP($A6,IS明細!$B:V,21,0))</f>
        <v>0</v>
      </c>
      <c r="O6" s="1055">
        <f>IF(ISNA(VLOOKUP($A6,IS明細!$B:X,23,0)),0,VLOOKUP($A6,IS明細!$B:X,23,0))</f>
        <v>0</v>
      </c>
      <c r="P6" s="1055">
        <f>IF(ISNA(VLOOKUP($A6,IS明細!$B:Z,25,0)),0,VLOOKUP($A6,IS明細!$B:Z,25,0))</f>
        <v>0</v>
      </c>
      <c r="Q6" s="543">
        <f>SUM(E6:P6)</f>
        <v>0</v>
      </c>
      <c r="R6" s="543">
        <f t="shared" si="0"/>
        <v>0</v>
      </c>
      <c r="S6" s="1056"/>
      <c r="T6" s="600">
        <f t="shared" si="2"/>
        <v>0</v>
      </c>
      <c r="U6" s="712"/>
    </row>
    <row r="7" spans="1:21" ht="16.5" customHeight="1">
      <c r="A7" s="404" t="s">
        <v>1399</v>
      </c>
      <c r="B7" s="542">
        <v>6110220</v>
      </c>
      <c r="C7" s="542" t="s">
        <v>1292</v>
      </c>
      <c r="E7" s="1055">
        <f>IF(ISNA(VLOOKUP($A7,IS明細!B:D,3,0)),0,VLOOKUP($A7,IS明細!B:D,3,0))</f>
        <v>0</v>
      </c>
      <c r="F7" s="1055">
        <f>IF(ISNA(VLOOKUP($A7,IS明細!$B:F,5,0)),0,VLOOKUP($A7,IS明細!$B:F,5,0))</f>
        <v>18700</v>
      </c>
      <c r="G7" s="1055">
        <f>IF(ISNA(VLOOKUP($A7,IS明細!$B:H,7,0)),0,VLOOKUP($A7,IS明細!$B:H,7,0))</f>
        <v>52614</v>
      </c>
      <c r="H7" s="1055">
        <f>IF(ISNA(VLOOKUP($A7,IS明細!$B:J,9,0)),0,VLOOKUP($A7,IS明細!$B:J,9,0))</f>
        <v>0</v>
      </c>
      <c r="I7" s="1055">
        <f>IF(ISNA(VLOOKUP($A7,IS明細!$B:L,11,0)),0,VLOOKUP($A7,IS明細!$B:L,11,0))</f>
        <v>15669</v>
      </c>
      <c r="J7" s="1055">
        <f>IF(ISNA(VLOOKUP($A7,IS明細!$B:N,13,0)),0,VLOOKUP($A7,IS明細!$B:N,13,0))</f>
        <v>0</v>
      </c>
      <c r="K7" s="1055">
        <f>IF(ISNA(VLOOKUP($A7,IS明細!$B:P,15,0)),0,VLOOKUP($A7,IS明細!$B:P,15,0))</f>
        <v>0</v>
      </c>
      <c r="L7" s="1055">
        <f>IF(ISNA(VLOOKUP($A7,IS明細!$B:R,17,0)),0,VLOOKUP($A7,IS明細!$B:R,17,0))</f>
        <v>0</v>
      </c>
      <c r="M7" s="1055">
        <f>IF(ISNA(VLOOKUP($A7,IS明細!$B:T,19,0)),0,VLOOKUP($A7,IS明細!$B:T,19,0))</f>
        <v>0</v>
      </c>
      <c r="N7" s="1055">
        <f>IF(ISNA(VLOOKUP($A7,IS明細!$B:V,21,0)),0,VLOOKUP($A7,IS明細!$B:V,21,0))</f>
        <v>0</v>
      </c>
      <c r="O7" s="1055">
        <f>IF(ISNA(VLOOKUP($A7,IS明細!$B:X,23,0)),0,VLOOKUP($A7,IS明細!$B:X,23,0))</f>
        <v>0</v>
      </c>
      <c r="P7" s="1055">
        <f>IF(ISNA(VLOOKUP($A7,IS明細!$B:Z,25,0)),0,VLOOKUP($A7,IS明細!$B:Z,25,0))</f>
        <v>0</v>
      </c>
      <c r="Q7" s="543">
        <f t="shared" si="1"/>
        <v>86983</v>
      </c>
      <c r="R7" s="543">
        <f t="shared" si="0"/>
        <v>12426</v>
      </c>
      <c r="S7" s="1056"/>
      <c r="T7" s="600">
        <f t="shared" si="2"/>
        <v>0</v>
      </c>
      <c r="U7" s="712"/>
    </row>
    <row r="8" spans="1:21" ht="16.5" customHeight="1">
      <c r="A8" s="404" t="s">
        <v>1400</v>
      </c>
      <c r="B8" s="542">
        <v>6110300</v>
      </c>
      <c r="C8" s="542" t="s">
        <v>1294</v>
      </c>
      <c r="E8" s="1055">
        <f>IF(ISNA(VLOOKUP($A8,IS明細!B:D,3,0)),0,VLOOKUP($A8,IS明細!B:D,3,0))</f>
        <v>353500</v>
      </c>
      <c r="F8" s="1055">
        <f>IF(ISNA(VLOOKUP($A8,IS明細!$B:F,5,0)),0,VLOOKUP($A8,IS明細!$B:F,5,0))</f>
        <v>447100</v>
      </c>
      <c r="G8" s="1055">
        <f>IF(ISNA(VLOOKUP($A8,IS明細!$B:H,7,0)),0,VLOOKUP($A8,IS明細!$B:H,7,0))</f>
        <v>335840</v>
      </c>
      <c r="H8" s="1055">
        <f>IF(ISNA(VLOOKUP($A8,IS明細!$B:J,9,0)),0,VLOOKUP($A8,IS明細!$B:J,9,0))</f>
        <v>340900</v>
      </c>
      <c r="I8" s="1055">
        <f>IF(ISNA(VLOOKUP($A8,IS明細!$B:L,11,0)),0,VLOOKUP($A8,IS明細!$B:L,11,0))</f>
        <v>342100</v>
      </c>
      <c r="J8" s="1055">
        <f>IF(ISNA(VLOOKUP($A8,IS明細!$B:N,13,0)),0,VLOOKUP($A8,IS明細!$B:N,13,0))</f>
        <v>324800</v>
      </c>
      <c r="K8" s="1055">
        <f>IF(ISNA(VLOOKUP($A8,IS明細!$B:P,15,0)),0,VLOOKUP($A8,IS明細!$B:P,15,0))</f>
        <v>364300</v>
      </c>
      <c r="L8" s="1055">
        <f>IF(ISNA(VLOOKUP($A8,IS明細!$B:R,17,0)),0,VLOOKUP($A8,IS明細!$B:R,17,0))</f>
        <v>364300</v>
      </c>
      <c r="M8" s="1055">
        <f>IF(ISNA(VLOOKUP($A8,IS明細!$B:T,19,0)),0,VLOOKUP($A8,IS明細!$B:T,19,0))</f>
        <v>0</v>
      </c>
      <c r="N8" s="1055">
        <f>IF(ISNA(VLOOKUP($A8,IS明細!$B:V,21,0)),0,VLOOKUP($A8,IS明細!$B:V,21,0))</f>
        <v>0</v>
      </c>
      <c r="O8" s="1055">
        <f>IF(ISNA(VLOOKUP($A8,IS明細!$B:X,23,0)),0,VLOOKUP($A8,IS明細!$B:X,23,0))</f>
        <v>0</v>
      </c>
      <c r="P8" s="1055">
        <f>IF(ISNA(VLOOKUP($A8,IS明細!$B:Z,25,0)),0,VLOOKUP($A8,IS明細!$B:Z,25,0))</f>
        <v>0</v>
      </c>
      <c r="Q8" s="543">
        <f t="shared" si="1"/>
        <v>2872840</v>
      </c>
      <c r="R8" s="543">
        <f t="shared" si="0"/>
        <v>410406</v>
      </c>
      <c r="S8" s="1058"/>
      <c r="T8" s="600">
        <f t="shared" si="2"/>
        <v>0</v>
      </c>
      <c r="U8" s="712"/>
    </row>
    <row r="9" spans="1:21" ht="16.5" customHeight="1">
      <c r="A9" s="404" t="s">
        <v>1401</v>
      </c>
      <c r="B9" s="542">
        <v>6110400</v>
      </c>
      <c r="C9" s="542" t="s">
        <v>1296</v>
      </c>
      <c r="E9" s="1055">
        <f>IF(ISNA(VLOOKUP($A9,IS明細!B:D,3,0)),0,VLOOKUP($A9,IS明細!B:D,3,0))</f>
        <v>60949</v>
      </c>
      <c r="F9" s="1055">
        <f>IF(ISNA(VLOOKUP($A9,IS明細!$B:F,5,0)),0,VLOOKUP($A9,IS明細!$B:F,5,0))</f>
        <v>72162</v>
      </c>
      <c r="G9" s="1055">
        <f>IF(ISNA(VLOOKUP($A9,IS明細!$B:H,7,0)),0,VLOOKUP($A9,IS明細!$B:H,7,0))</f>
        <v>69894</v>
      </c>
      <c r="H9" s="1055">
        <f>IF(ISNA(VLOOKUP($A9,IS明細!$B:J,9,0)),0,VLOOKUP($A9,IS明細!$B:J,9,0))</f>
        <v>71197</v>
      </c>
      <c r="I9" s="1055">
        <f>IF(ISNA(VLOOKUP($A9,IS明細!$B:L,11,0)),0,VLOOKUP($A9,IS明細!$B:L,11,0))</f>
        <v>67498</v>
      </c>
      <c r="J9" s="1055">
        <f>IF(ISNA(VLOOKUP($A9,IS明細!$B:N,13,0)),0,VLOOKUP($A9,IS明細!$B:N,13,0))</f>
        <v>72546</v>
      </c>
      <c r="K9" s="1055">
        <f>IF(ISNA(VLOOKUP($A9,IS明細!$B:P,15,0)),0,VLOOKUP($A9,IS明細!$B:P,15,0))</f>
        <v>75213</v>
      </c>
      <c r="L9" s="1055">
        <f>IF(ISNA(VLOOKUP($A9,IS明細!$B:R,17,0)),0,VLOOKUP($A9,IS明細!$B:R,17,0))</f>
        <v>78885</v>
      </c>
      <c r="M9" s="1055">
        <f>IF(ISNA(VLOOKUP($A9,IS明細!$B:T,19,0)),0,VLOOKUP($A9,IS明細!$B:T,19,0))</f>
        <v>0</v>
      </c>
      <c r="N9" s="1055">
        <f>IF(ISNA(VLOOKUP($A9,IS明細!$B:V,21,0)),0,VLOOKUP($A9,IS明細!$B:V,21,0))</f>
        <v>0</v>
      </c>
      <c r="O9" s="1055">
        <f>IF(ISNA(VLOOKUP($A9,IS明細!$B:X,23,0)),0,VLOOKUP($A9,IS明細!$B:X,23,0))</f>
        <v>0</v>
      </c>
      <c r="P9" s="1055">
        <f>IF(ISNA(VLOOKUP($A9,IS明細!$B:Z,25,0)),0,VLOOKUP($A9,IS明細!$B:Z,25,0))</f>
        <v>0</v>
      </c>
      <c r="Q9" s="543">
        <f t="shared" si="1"/>
        <v>568344</v>
      </c>
      <c r="R9" s="543">
        <f t="shared" si="0"/>
        <v>81192</v>
      </c>
      <c r="S9" s="1056"/>
      <c r="T9" s="600">
        <f t="shared" si="2"/>
        <v>3672</v>
      </c>
      <c r="U9" s="712"/>
    </row>
    <row r="10" spans="1:21" ht="16.5" customHeight="1">
      <c r="A10" s="404" t="s">
        <v>1402</v>
      </c>
      <c r="B10" s="542">
        <v>6110500</v>
      </c>
      <c r="C10" s="542" t="s">
        <v>1298</v>
      </c>
      <c r="E10" s="1055">
        <f>IF(ISNA(VLOOKUP($A10,IS明細!B:D,3,0)),0,VLOOKUP($A10,IS明細!B:D,3,0))</f>
        <v>0</v>
      </c>
      <c r="F10" s="1055">
        <f>IF(ISNA(VLOOKUP($A10,IS明細!$B:F,5,0)),0,VLOOKUP($A10,IS明細!$B:F,5,0))</f>
        <v>0</v>
      </c>
      <c r="G10" s="1055">
        <f>IF(ISNA(VLOOKUP($A10,IS明細!$B:H,7,0)),0,VLOOKUP($A10,IS明細!$B:H,7,0))</f>
        <v>0</v>
      </c>
      <c r="H10" s="1055">
        <f>IF(ISNA(VLOOKUP($A10,IS明細!$B:J,9,0)),0,VLOOKUP($A10,IS明細!$B:J,9,0))</f>
        <v>0</v>
      </c>
      <c r="I10" s="1055">
        <f>IF(ISNA(VLOOKUP($A10,IS明細!$B:L,11,0)),0,VLOOKUP($A10,IS明細!$B:L,11,0))</f>
        <v>0</v>
      </c>
      <c r="J10" s="1055">
        <f>IF(ISNA(VLOOKUP($A10,IS明細!$B:N,13,0)),0,VLOOKUP($A10,IS明細!$B:N,13,0))</f>
        <v>0</v>
      </c>
      <c r="K10" s="1055">
        <f>IF(ISNA(VLOOKUP($A10,IS明細!$B:P,15,0)),0,VLOOKUP($A10,IS明細!$B:P,15,0))</f>
        <v>0</v>
      </c>
      <c r="L10" s="1055">
        <f>IF(ISNA(VLOOKUP($A10,IS明細!$B:R,17,0)),0,VLOOKUP($A10,IS明細!$B:R,17,0))</f>
        <v>0</v>
      </c>
      <c r="M10" s="1055">
        <f>IF(ISNA(VLOOKUP($A10,IS明細!$B:T,19,0)),0,VLOOKUP($A10,IS明細!$B:T,19,0))</f>
        <v>0</v>
      </c>
      <c r="N10" s="1055">
        <f>IF(ISNA(VLOOKUP($A10,IS明細!$B:V,21,0)),0,VLOOKUP($A10,IS明細!$B:V,21,0))</f>
        <v>0</v>
      </c>
      <c r="O10" s="1055">
        <f>IF(ISNA(VLOOKUP($A10,IS明細!$B:X,23,0)),0,VLOOKUP($A10,IS明細!$B:X,23,0))</f>
        <v>0</v>
      </c>
      <c r="P10" s="1055">
        <f>IF(ISNA(VLOOKUP($A10,IS明細!$B:Z,25,0)),0,VLOOKUP($A10,IS明細!$B:Z,25,0))</f>
        <v>0</v>
      </c>
      <c r="Q10" s="543">
        <f t="shared" si="1"/>
        <v>0</v>
      </c>
      <c r="R10" s="543">
        <f t="shared" si="0"/>
        <v>0</v>
      </c>
      <c r="S10" s="1056"/>
      <c r="T10" s="600">
        <f t="shared" si="2"/>
        <v>0</v>
      </c>
      <c r="U10" s="712"/>
    </row>
    <row r="11" spans="1:21" ht="16.5" customHeight="1">
      <c r="A11" s="404" t="s">
        <v>1403</v>
      </c>
      <c r="B11" s="542">
        <v>6111000</v>
      </c>
      <c r="C11" s="542" t="s">
        <v>1300</v>
      </c>
      <c r="E11" s="1055">
        <f>IF(ISNA(VLOOKUP($A11,IS明細!B:D,3,0)),0,VLOOKUP($A11,IS明細!B:D,3,0))</f>
        <v>0</v>
      </c>
      <c r="F11" s="1055">
        <f>IF(ISNA(VLOOKUP($A11,IS明細!$B:F,5,0)),0,VLOOKUP($A11,IS明細!$B:F,5,0))</f>
        <v>0</v>
      </c>
      <c r="G11" s="1055">
        <f>IF(ISNA(VLOOKUP($A11,IS明細!$B:H,7,0)),0,VLOOKUP($A11,IS明細!$B:H,7,0))</f>
        <v>0</v>
      </c>
      <c r="H11" s="1055">
        <f>IF(ISNA(VLOOKUP($A11,IS明細!$B:J,9,0)),0,VLOOKUP($A11,IS明細!$B:J,9,0))</f>
        <v>0</v>
      </c>
      <c r="I11" s="1055">
        <f>IF(ISNA(VLOOKUP($A11,IS明細!$B:L,11,0)),0,VLOOKUP($A11,IS明細!$B:L,11,0))</f>
        <v>0</v>
      </c>
      <c r="J11" s="1055">
        <f>IF(ISNA(VLOOKUP($A11,IS明細!$B:N,13,0)),0,VLOOKUP($A11,IS明細!$B:N,13,0))</f>
        <v>0</v>
      </c>
      <c r="K11" s="1055">
        <f>IF(ISNA(VLOOKUP($A11,IS明細!$B:P,15,0)),0,VLOOKUP($A11,IS明細!$B:P,15,0))</f>
        <v>0</v>
      </c>
      <c r="L11" s="1055">
        <f>IF(ISNA(VLOOKUP($A11,IS明細!$B:R,17,0)),0,VLOOKUP($A11,IS明細!$B:R,17,0))</f>
        <v>0</v>
      </c>
      <c r="M11" s="1055">
        <f>IF(ISNA(VLOOKUP($A11,IS明細!$B:T,19,0)),0,VLOOKUP($A11,IS明細!$B:T,19,0))</f>
        <v>0</v>
      </c>
      <c r="N11" s="1055">
        <f>IF(ISNA(VLOOKUP($A11,IS明細!$B:V,21,0)),0,VLOOKUP($A11,IS明細!$B:V,21,0))</f>
        <v>0</v>
      </c>
      <c r="O11" s="1055">
        <f>IF(ISNA(VLOOKUP($A11,IS明細!$B:X,23,0)),0,VLOOKUP($A11,IS明細!$B:X,23,0))</f>
        <v>0</v>
      </c>
      <c r="P11" s="1055">
        <f>IF(ISNA(VLOOKUP($A11,IS明細!$B:Z,25,0)),0,VLOOKUP($A11,IS明細!$B:Z,25,0))</f>
        <v>0</v>
      </c>
      <c r="Q11" s="543">
        <f t="shared" si="1"/>
        <v>0</v>
      </c>
      <c r="R11" s="543">
        <f t="shared" si="0"/>
        <v>0</v>
      </c>
      <c r="T11" s="600">
        <f t="shared" si="2"/>
        <v>0</v>
      </c>
      <c r="U11" s="712"/>
    </row>
    <row r="12" spans="1:21" ht="16.5" customHeight="1">
      <c r="A12" s="404" t="s">
        <v>1404</v>
      </c>
      <c r="B12" s="542">
        <v>6112000</v>
      </c>
      <c r="C12" s="542" t="s">
        <v>1302</v>
      </c>
      <c r="E12" s="1055">
        <f>IF(ISNA(VLOOKUP($A12,IS明細!B:D,3,0)),0,VLOOKUP($A12,IS明細!B:D,3,0))</f>
        <v>0</v>
      </c>
      <c r="F12" s="1055">
        <f>IF(ISNA(VLOOKUP($A12,IS明細!$B:F,5,0)),0,VLOOKUP($A12,IS明細!$B:F,5,0))</f>
        <v>0</v>
      </c>
      <c r="G12" s="1055">
        <f>IF(ISNA(VLOOKUP($A12,IS明細!$B:H,7,0)),0,VLOOKUP($A12,IS明細!$B:H,7,0))</f>
        <v>492</v>
      </c>
      <c r="H12" s="1055">
        <f>IF(ISNA(VLOOKUP($A12,IS明細!$B:J,9,0)),0,VLOOKUP($A12,IS明細!$B:J,9,0))</f>
        <v>600</v>
      </c>
      <c r="I12" s="1055">
        <f>IF(ISNA(VLOOKUP($A12,IS明細!$B:L,11,0)),0,VLOOKUP($A12,IS明細!$B:L,11,0))</f>
        <v>0</v>
      </c>
      <c r="J12" s="1055">
        <f>IF(ISNA(VLOOKUP($A12,IS明細!$B:N,13,0)),0,VLOOKUP($A12,IS明細!$B:N,13,0))</f>
        <v>1491</v>
      </c>
      <c r="K12" s="1055">
        <f>IF(ISNA(VLOOKUP($A12,IS明細!$B:P,15,0)),0,VLOOKUP($A12,IS明細!$B:P,15,0))</f>
        <v>2766</v>
      </c>
      <c r="L12" s="1055">
        <f>IF(ISNA(VLOOKUP($A12,IS明細!$B:R,17,0)),0,VLOOKUP($A12,IS明細!$B:R,17,0))</f>
        <v>510</v>
      </c>
      <c r="M12" s="1055">
        <f>IF(ISNA(VLOOKUP($A12,IS明細!$B:T,19,0)),0,VLOOKUP($A12,IS明細!$B:T,19,0))</f>
        <v>0</v>
      </c>
      <c r="N12" s="1055">
        <f>IF(ISNA(VLOOKUP($A12,IS明細!$B:V,21,0)),0,VLOOKUP($A12,IS明細!$B:V,21,0))</f>
        <v>0</v>
      </c>
      <c r="O12" s="1055">
        <f>IF(ISNA(VLOOKUP($A12,IS明細!$B:X,23,0)),0,VLOOKUP($A12,IS明細!$B:X,23,0))</f>
        <v>0</v>
      </c>
      <c r="P12" s="1055">
        <f>IF(ISNA(VLOOKUP($A12,IS明細!$B:Z,25,0)),0,VLOOKUP($A12,IS明細!$B:Z,25,0))</f>
        <v>0</v>
      </c>
      <c r="Q12" s="543">
        <f t="shared" si="1"/>
        <v>5859</v>
      </c>
      <c r="R12" s="543">
        <f t="shared" si="0"/>
        <v>837</v>
      </c>
      <c r="S12" s="1056" t="s">
        <v>1940</v>
      </c>
      <c r="T12" s="600">
        <f t="shared" si="2"/>
        <v>-2256</v>
      </c>
      <c r="U12" s="712"/>
    </row>
    <row r="13" spans="1:21" ht="17">
      <c r="A13" s="404" t="s">
        <v>1405</v>
      </c>
      <c r="B13" s="542">
        <v>6113000</v>
      </c>
      <c r="C13" s="542" t="s">
        <v>1305</v>
      </c>
      <c r="E13" s="1055">
        <f>IF(ISNA(VLOOKUP($A13,IS明細!B:D,3,0)),0,VLOOKUP($A13,IS明細!B:D,3,0))</f>
        <v>14500</v>
      </c>
      <c r="F13" s="1055">
        <f>IF(ISNA(VLOOKUP($A13,IS明細!$B:F,5,0)),0,VLOOKUP($A13,IS明細!$B:F,5,0))</f>
        <v>70700</v>
      </c>
      <c r="G13" s="1055">
        <f>IF(ISNA(VLOOKUP($A13,IS明細!$B:H,7,0)),0,VLOOKUP($A13,IS明細!$B:H,7,0))</f>
        <v>98827</v>
      </c>
      <c r="H13" s="1055">
        <f>IF(ISNA(VLOOKUP($A13,IS明細!$B:J,9,0)),0,VLOOKUP($A13,IS明細!$B:J,9,0))</f>
        <v>36419</v>
      </c>
      <c r="I13" s="1055">
        <f>IF(ISNA(VLOOKUP($A13,IS明細!$B:L,11,0)),0,VLOOKUP($A13,IS明細!$B:L,11,0))</f>
        <v>160433</v>
      </c>
      <c r="J13" s="1055">
        <f>IF(ISNA(VLOOKUP($A13,IS明細!$B:N,13,0)),0,VLOOKUP($A13,IS明細!$B:N,13,0))</f>
        <v>94864</v>
      </c>
      <c r="K13" s="1055">
        <f>IF(ISNA(VLOOKUP($A13,IS明細!$B:P,15,0)),0,VLOOKUP($A13,IS明細!$B:P,15,0))</f>
        <v>83134</v>
      </c>
      <c r="L13" s="1055">
        <f>IF(ISNA(VLOOKUP($A13,IS明細!$B:R,17,0)),0,VLOOKUP($A13,IS明細!$B:R,17,0))</f>
        <v>34846</v>
      </c>
      <c r="M13" s="1055">
        <f>IF(ISNA(VLOOKUP($A13,IS明細!$B:T,19,0)),0,VLOOKUP($A13,IS明細!$B:T,19,0))</f>
        <v>0</v>
      </c>
      <c r="N13" s="1055">
        <f>IF(ISNA(VLOOKUP($A13,IS明細!$B:V,21,0)),0,VLOOKUP($A13,IS明細!$B:V,21,0))</f>
        <v>0</v>
      </c>
      <c r="O13" s="1055">
        <f>IF(ISNA(VLOOKUP($A13,IS明細!$B:X,23,0)),0,VLOOKUP($A13,IS明細!$B:X,23,0))</f>
        <v>0</v>
      </c>
      <c r="P13" s="1055">
        <f>IF(ISNA(VLOOKUP($A13,IS明細!$B:Z,25,0)),0,VLOOKUP($A13,IS明細!$B:Z,25,0))</f>
        <v>0</v>
      </c>
      <c r="Q13" s="543">
        <f t="shared" si="1"/>
        <v>593723</v>
      </c>
      <c r="R13" s="543">
        <f t="shared" si="0"/>
        <v>84818</v>
      </c>
      <c r="S13" s="1076" t="s">
        <v>2357</v>
      </c>
      <c r="T13" s="600">
        <f t="shared" si="2"/>
        <v>-48288</v>
      </c>
      <c r="U13" s="712"/>
    </row>
    <row r="14" spans="1:21" ht="16.5" customHeight="1">
      <c r="A14" s="404" t="s">
        <v>1406</v>
      </c>
      <c r="B14" s="542">
        <v>6114000</v>
      </c>
      <c r="C14" s="542" t="s">
        <v>1307</v>
      </c>
      <c r="E14" s="1055">
        <f>IF(ISNA(VLOOKUP($A14,IS明細!B:D,3,0)),0,VLOOKUP($A14,IS明細!B:D,3,0))</f>
        <v>51044</v>
      </c>
      <c r="F14" s="1055">
        <f>IF(ISNA(VLOOKUP($A14,IS明細!$B:F,5,0)),0,VLOOKUP($A14,IS明細!$B:F,5,0))</f>
        <v>18828</v>
      </c>
      <c r="G14" s="1055">
        <f>IF(ISNA(VLOOKUP($A14,IS明細!$B:H,7,0)),0,VLOOKUP($A14,IS明細!$B:H,7,0))</f>
        <v>191659</v>
      </c>
      <c r="H14" s="1055">
        <f>IF(ISNA(VLOOKUP($A14,IS明細!$B:J,9,0)),0,VLOOKUP($A14,IS明細!$B:J,9,0))</f>
        <v>-175991</v>
      </c>
      <c r="I14" s="1055">
        <f>IF(ISNA(VLOOKUP($A14,IS明細!$B:L,11,0)),0,VLOOKUP($A14,IS明細!$B:L,11,0))</f>
        <v>15619</v>
      </c>
      <c r="J14" s="1055">
        <f>IF(ISNA(VLOOKUP($A14,IS明細!$B:N,13,0)),0,VLOOKUP($A14,IS明細!$B:N,13,0))</f>
        <v>15194</v>
      </c>
      <c r="K14" s="1055">
        <f>IF(ISNA(VLOOKUP($A14,IS明細!$B:P,15,0)),0,VLOOKUP($A14,IS明細!$B:P,15,0))</f>
        <v>10051</v>
      </c>
      <c r="L14" s="1055">
        <f>IF(ISNA(VLOOKUP($A14,IS明細!$B:R,17,0)),0,VLOOKUP($A14,IS明細!$B:R,17,0))</f>
        <v>60530</v>
      </c>
      <c r="M14" s="1055">
        <f>IF(ISNA(VLOOKUP($A14,IS明細!$B:T,19,0)),0,VLOOKUP($A14,IS明細!$B:T,19,0))</f>
        <v>0</v>
      </c>
      <c r="N14" s="1055">
        <f>IF(ISNA(VLOOKUP($A14,IS明細!$B:V,21,0)),0,VLOOKUP($A14,IS明細!$B:V,21,0))</f>
        <v>0</v>
      </c>
      <c r="O14" s="1055">
        <f>IF(ISNA(VLOOKUP($A14,IS明細!$B:X,23,0)),0,VLOOKUP($A14,IS明細!$B:X,23,0))</f>
        <v>0</v>
      </c>
      <c r="P14" s="1055">
        <f>IF(ISNA(VLOOKUP($A14,IS明細!$B:Z,25,0)),0,VLOOKUP($A14,IS明細!$B:Z,25,0))</f>
        <v>0</v>
      </c>
      <c r="Q14" s="543">
        <f t="shared" si="1"/>
        <v>186934</v>
      </c>
      <c r="R14" s="543">
        <f t="shared" si="0"/>
        <v>26705</v>
      </c>
      <c r="S14" s="1056"/>
      <c r="T14" s="600">
        <f t="shared" si="2"/>
        <v>50479</v>
      </c>
      <c r="U14" s="712"/>
    </row>
    <row r="15" spans="1:21" ht="16.5" customHeight="1">
      <c r="A15" s="404" t="s">
        <v>1407</v>
      </c>
      <c r="B15" s="542">
        <v>6115000</v>
      </c>
      <c r="C15" s="542" t="s">
        <v>1309</v>
      </c>
      <c r="E15" s="1055">
        <f>IF(ISNA(VLOOKUP($A15,IS明細!B:D,3,0)),0,VLOOKUP($A15,IS明細!B:D,3,0))</f>
        <v>12943</v>
      </c>
      <c r="F15" s="1055">
        <f>IF(ISNA(VLOOKUP($A15,IS明細!$B:F,5,0)),0,VLOOKUP($A15,IS明細!$B:F,5,0))</f>
        <v>0</v>
      </c>
      <c r="G15" s="1055">
        <f>IF(ISNA(VLOOKUP($A15,IS明細!$B:H,7,0)),0,VLOOKUP($A15,IS明細!$B:H,7,0))</f>
        <v>19883</v>
      </c>
      <c r="H15" s="1055">
        <f>IF(ISNA(VLOOKUP($A15,IS明細!$B:J,9,0)),0,VLOOKUP($A15,IS明細!$B:J,9,0))</f>
        <v>11820</v>
      </c>
      <c r="I15" s="1055">
        <f>IF(ISNA(VLOOKUP($A15,IS明細!$B:L,11,0)),0,VLOOKUP($A15,IS明細!$B:L,11,0))</f>
        <v>12903</v>
      </c>
      <c r="J15" s="1055">
        <f>IF(ISNA(VLOOKUP($A15,IS明細!$B:N,13,0)),0,VLOOKUP($A15,IS明細!$B:N,13,0))</f>
        <v>10150</v>
      </c>
      <c r="K15" s="1055">
        <f>IF(ISNA(VLOOKUP($A15,IS明細!$B:P,15,0)),0,VLOOKUP($A15,IS明細!$B:P,15,0))</f>
        <v>10853</v>
      </c>
      <c r="L15" s="1055">
        <f>IF(ISNA(VLOOKUP($A15,IS明細!$B:R,17,0)),0,VLOOKUP($A15,IS明細!$B:R,17,0))</f>
        <v>12045</v>
      </c>
      <c r="M15" s="1055">
        <f>IF(ISNA(VLOOKUP($A15,IS明細!$B:T,19,0)),0,VLOOKUP($A15,IS明細!$B:T,19,0))</f>
        <v>0</v>
      </c>
      <c r="N15" s="1055">
        <f>IF(ISNA(VLOOKUP($A15,IS明細!$B:V,21,0)),0,VLOOKUP($A15,IS明細!$B:V,21,0))</f>
        <v>0</v>
      </c>
      <c r="O15" s="1055">
        <f>IF(ISNA(VLOOKUP($A15,IS明細!$B:X,23,0)),0,VLOOKUP($A15,IS明細!$B:X,23,0))</f>
        <v>0</v>
      </c>
      <c r="P15" s="1055">
        <f>IF(ISNA(VLOOKUP($A15,IS明細!$B:Z,25,0)),0,VLOOKUP($A15,IS明細!$B:Z,25,0))</f>
        <v>0</v>
      </c>
      <c r="Q15" s="543">
        <f t="shared" si="1"/>
        <v>90597</v>
      </c>
      <c r="R15" s="543">
        <f t="shared" si="0"/>
        <v>12942</v>
      </c>
      <c r="S15" s="1056" t="s">
        <v>1905</v>
      </c>
      <c r="T15" s="600">
        <f t="shared" si="2"/>
        <v>1192</v>
      </c>
      <c r="U15" s="712"/>
    </row>
    <row r="16" spans="1:21" ht="16.5" customHeight="1">
      <c r="A16" s="404" t="s">
        <v>1408</v>
      </c>
      <c r="B16" s="542">
        <v>6116000</v>
      </c>
      <c r="C16" s="542" t="s">
        <v>1311</v>
      </c>
      <c r="E16" s="1055">
        <f>IF(ISNA(VLOOKUP($A16,IS明細!B:D,3,0)),0,VLOOKUP($A16,IS明細!B:D,3,0))</f>
        <v>0</v>
      </c>
      <c r="F16" s="1055">
        <f>IF(ISNA(VLOOKUP($A16,IS明細!$B:F,5,0)),0,VLOOKUP($A16,IS明細!$B:F,5,0))</f>
        <v>0</v>
      </c>
      <c r="G16" s="1055">
        <f>IF(ISNA(VLOOKUP($A16,IS明細!$B:H,7,0)),0,VLOOKUP($A16,IS明細!$B:H,7,0))</f>
        <v>0</v>
      </c>
      <c r="H16" s="1055">
        <f>IF(ISNA(VLOOKUP($A16,IS明細!$B:J,9,0)),0,VLOOKUP($A16,IS明細!$B:J,9,0))</f>
        <v>0</v>
      </c>
      <c r="I16" s="1055">
        <f>IF(ISNA(VLOOKUP($A16,IS明細!$B:L,11,0)),0,VLOOKUP($A16,IS明細!$B:L,11,0))</f>
        <v>0</v>
      </c>
      <c r="J16" s="1055">
        <f>IF(ISNA(VLOOKUP($A16,IS明細!$B:N,13,0)),0,VLOOKUP($A16,IS明細!$B:N,13,0))</f>
        <v>0</v>
      </c>
      <c r="K16" s="1055">
        <f>IF(ISNA(VLOOKUP($A16,IS明細!$B:P,15,0)),0,VLOOKUP($A16,IS明細!$B:P,15,0))</f>
        <v>0</v>
      </c>
      <c r="L16" s="1055">
        <f>IF(ISNA(VLOOKUP($A16,IS明細!$B:R,17,0)),0,VLOOKUP($A16,IS明細!$B:R,17,0))</f>
        <v>0</v>
      </c>
      <c r="M16" s="1055">
        <f>IF(ISNA(VLOOKUP($A16,IS明細!$B:T,19,0)),0,VLOOKUP($A16,IS明細!$B:T,19,0))</f>
        <v>0</v>
      </c>
      <c r="N16" s="1055">
        <f>IF(ISNA(VLOOKUP($A16,IS明細!$B:V,21,0)),0,VLOOKUP($A16,IS明細!$B:V,21,0))</f>
        <v>0</v>
      </c>
      <c r="O16" s="1055">
        <f>IF(ISNA(VLOOKUP($A16,IS明細!$B:X,23,0)),0,VLOOKUP($A16,IS明細!$B:X,23,0))</f>
        <v>0</v>
      </c>
      <c r="P16" s="1055">
        <f>IF(ISNA(VLOOKUP($A16,IS明細!$B:Z,25,0)),0,VLOOKUP($A16,IS明細!$B:Z,25,0))</f>
        <v>0</v>
      </c>
      <c r="Q16" s="543">
        <f t="shared" si="1"/>
        <v>0</v>
      </c>
      <c r="R16" s="543">
        <f t="shared" si="0"/>
        <v>0</v>
      </c>
      <c r="T16" s="600">
        <f t="shared" si="2"/>
        <v>0</v>
      </c>
      <c r="U16" s="712"/>
    </row>
    <row r="17" spans="1:33" ht="16.5" customHeight="1">
      <c r="A17" s="404" t="s">
        <v>1409</v>
      </c>
      <c r="B17" s="542">
        <v>6117000</v>
      </c>
      <c r="C17" s="542" t="s">
        <v>1366</v>
      </c>
      <c r="E17" s="1055">
        <f>IF(ISNA(VLOOKUP($A17,IS明細!B:D,3,0)),0,VLOOKUP($A17,IS明細!B:D,3,0))</f>
        <v>0</v>
      </c>
      <c r="F17" s="1055">
        <f>IF(ISNA(VLOOKUP($A17,IS明細!$B:F,5,0)),0,VLOOKUP($A17,IS明細!$B:F,5,0))</f>
        <v>10000</v>
      </c>
      <c r="G17" s="1055">
        <f>IF(ISNA(VLOOKUP($A17,IS明細!$B:H,7,0)),0,VLOOKUP($A17,IS明細!$B:H,7,0))</f>
        <v>0</v>
      </c>
      <c r="H17" s="1055">
        <f>IF(ISNA(VLOOKUP($A17,IS明細!$B:J,9,0)),0,VLOOKUP($A17,IS明細!$B:J,9,0))</f>
        <v>0</v>
      </c>
      <c r="I17" s="1055">
        <f>IF(ISNA(VLOOKUP($A17,IS明細!$B:L,11,0)),0,VLOOKUP($A17,IS明細!$B:L,11,0))</f>
        <v>0</v>
      </c>
      <c r="J17" s="1055">
        <f>IF(ISNA(VLOOKUP($A17,IS明細!$B:N,13,0)),0,VLOOKUP($A17,IS明細!$B:N,13,0))</f>
        <v>489954</v>
      </c>
      <c r="K17" s="1055">
        <f>IF(ISNA(VLOOKUP($A17,IS明細!$B:P,15,0)),0,VLOOKUP($A17,IS明細!$B:P,15,0))</f>
        <v>0</v>
      </c>
      <c r="L17" s="1055">
        <f>IF(ISNA(VLOOKUP($A17,IS明細!$B:R,17,0)),0,VLOOKUP($A17,IS明細!$B:R,17,0))</f>
        <v>22625</v>
      </c>
      <c r="M17" s="1055">
        <f>IF(ISNA(VLOOKUP($A17,IS明細!$B:T,19,0)),0,VLOOKUP($A17,IS明細!$B:T,19,0))</f>
        <v>0</v>
      </c>
      <c r="N17" s="1055">
        <f>IF(ISNA(VLOOKUP($A17,IS明細!$B:V,21,0)),0,VLOOKUP($A17,IS明細!$B:V,21,0))</f>
        <v>0</v>
      </c>
      <c r="O17" s="1055">
        <f>IF(ISNA(VLOOKUP($A17,IS明細!$B:X,23,0)),0,VLOOKUP($A17,IS明細!$B:X,23,0))</f>
        <v>0</v>
      </c>
      <c r="P17" s="1055">
        <f>IF(ISNA(VLOOKUP($A17,IS明細!$B:Z,25,0)),0,VLOOKUP($A17,IS明細!$B:Z,25,0))</f>
        <v>0</v>
      </c>
      <c r="Q17" s="543">
        <f t="shared" si="1"/>
        <v>522579</v>
      </c>
      <c r="R17" s="543">
        <f t="shared" si="0"/>
        <v>74654</v>
      </c>
      <c r="S17" s="1056"/>
      <c r="T17" s="600">
        <f t="shared" si="2"/>
        <v>22625</v>
      </c>
      <c r="U17" s="712"/>
    </row>
    <row r="18" spans="1:33" ht="16.5" customHeight="1">
      <c r="A18" s="404" t="s">
        <v>1410</v>
      </c>
      <c r="B18" s="542">
        <v>6118000</v>
      </c>
      <c r="C18" s="542" t="s">
        <v>1313</v>
      </c>
      <c r="E18" s="1055">
        <f>IF(ISNA(VLOOKUP($A18,IS明細!B:D,3,0)),0,VLOOKUP($A18,IS明細!B:D,3,0))</f>
        <v>17701</v>
      </c>
      <c r="F18" s="1055">
        <f>IF(ISNA(VLOOKUP($A18,IS明細!$B:F,5,0)),0,VLOOKUP($A18,IS明細!$B:F,5,0))</f>
        <v>10962</v>
      </c>
      <c r="G18" s="1055">
        <f>IF(ISNA(VLOOKUP($A18,IS明細!$B:H,7,0)),0,VLOOKUP($A18,IS明細!$B:H,7,0))</f>
        <v>14270</v>
      </c>
      <c r="H18" s="1055">
        <f>IF(ISNA(VLOOKUP($A18,IS明細!$B:J,9,0)),0,VLOOKUP($A18,IS明細!$B:J,9,0))</f>
        <v>14710</v>
      </c>
      <c r="I18" s="1055">
        <f>IF(ISNA(VLOOKUP($A18,IS明細!$B:L,11,0)),0,VLOOKUP($A18,IS明細!$B:L,11,0))</f>
        <v>17659</v>
      </c>
      <c r="J18" s="1055">
        <f>IF(ISNA(VLOOKUP($A18,IS明細!$B:N,13,0)),0,VLOOKUP($A18,IS明細!$B:N,13,0))</f>
        <v>18979</v>
      </c>
      <c r="K18" s="1055">
        <f>IF(ISNA(VLOOKUP($A18,IS明細!$B:P,15,0)),0,VLOOKUP($A18,IS明細!$B:P,15,0))</f>
        <v>18905</v>
      </c>
      <c r="L18" s="1055">
        <f>IF(ISNA(VLOOKUP($A18,IS明細!$B:R,17,0)),0,VLOOKUP($A18,IS明細!$B:R,17,0))</f>
        <v>26442</v>
      </c>
      <c r="M18" s="1055">
        <f>IF(ISNA(VLOOKUP($A18,IS明細!$B:T,19,0)),0,VLOOKUP($A18,IS明細!$B:T,19,0))</f>
        <v>0</v>
      </c>
      <c r="N18" s="1055">
        <f>IF(ISNA(VLOOKUP($A18,IS明細!$B:V,21,0)),0,VLOOKUP($A18,IS明細!$B:V,21,0))</f>
        <v>0</v>
      </c>
      <c r="O18" s="1055">
        <f>IF(ISNA(VLOOKUP($A18,IS明細!$B:X,23,0)),0,VLOOKUP($A18,IS明細!$B:X,23,0))</f>
        <v>0</v>
      </c>
      <c r="P18" s="1055">
        <f>IF(ISNA(VLOOKUP($A18,IS明細!$B:Z,25,0)),0,VLOOKUP($A18,IS明細!$B:Z,25,0))</f>
        <v>0</v>
      </c>
      <c r="Q18" s="543">
        <f t="shared" si="1"/>
        <v>139628</v>
      </c>
      <c r="R18" s="543">
        <f t="shared" si="0"/>
        <v>19947</v>
      </c>
      <c r="S18" s="1056" t="s">
        <v>1906</v>
      </c>
      <c r="T18" s="600">
        <f t="shared" si="2"/>
        <v>7537</v>
      </c>
      <c r="U18" s="712"/>
    </row>
    <row r="19" spans="1:33" ht="16.5" customHeight="1">
      <c r="A19" s="404" t="s">
        <v>1411</v>
      </c>
      <c r="B19" s="542">
        <v>6119000</v>
      </c>
      <c r="C19" s="542" t="s">
        <v>1315</v>
      </c>
      <c r="E19" s="1055">
        <f>IF(ISNA(VLOOKUP($A19,IS明細!B:D,3,0)),0,VLOOKUP($A19,IS明細!B:D,3,0))</f>
        <v>103517</v>
      </c>
      <c r="F19" s="1055">
        <f>IF(ISNA(VLOOKUP($A19,IS明細!$B:F,5,0)),0,VLOOKUP($A19,IS明細!$B:F,5,0))</f>
        <v>122908</v>
      </c>
      <c r="G19" s="1055">
        <f>IF(ISNA(VLOOKUP($A19,IS明細!$B:H,7,0)),0,VLOOKUP($A19,IS明細!$B:H,7,0))</f>
        <v>122347</v>
      </c>
      <c r="H19" s="1055">
        <f>IF(ISNA(VLOOKUP($A19,IS明細!$B:J,9,0)),0,VLOOKUP($A19,IS明細!$B:J,9,0))</f>
        <v>125238</v>
      </c>
      <c r="I19" s="1055">
        <f>IF(ISNA(VLOOKUP($A19,IS明細!$B:L,11,0)),0,VLOOKUP($A19,IS明細!$B:L,11,0))</f>
        <v>121879</v>
      </c>
      <c r="J19" s="1055">
        <f>IF(ISNA(VLOOKUP($A19,IS明細!$B:N,13,0)),0,VLOOKUP($A19,IS明細!$B:N,13,0))</f>
        <v>125170</v>
      </c>
      <c r="K19" s="1055">
        <f>IF(ISNA(VLOOKUP($A19,IS明細!$B:P,15,0)),0,VLOOKUP($A19,IS明細!$B:P,15,0))</f>
        <v>128998</v>
      </c>
      <c r="L19" s="1055">
        <f>IF(ISNA(VLOOKUP($A19,IS明細!$B:R,17,0)),0,VLOOKUP($A19,IS明細!$B:R,17,0))</f>
        <v>133537</v>
      </c>
      <c r="M19" s="1055">
        <f>IF(ISNA(VLOOKUP($A19,IS明細!$B:T,19,0)),0,VLOOKUP($A19,IS明細!$B:T,19,0))</f>
        <v>0</v>
      </c>
      <c r="N19" s="1055">
        <f>IF(ISNA(VLOOKUP($A19,IS明細!$B:V,21,0)),0,VLOOKUP($A19,IS明細!$B:V,21,0))</f>
        <v>0</v>
      </c>
      <c r="O19" s="1055">
        <f>IF(ISNA(VLOOKUP($A19,IS明細!$B:X,23,0)),0,VLOOKUP($A19,IS明細!$B:X,23,0))</f>
        <v>0</v>
      </c>
      <c r="P19" s="1055">
        <f>IF(ISNA(VLOOKUP($A19,IS明細!$B:Z,25,0)),0,VLOOKUP($A19,IS明細!$B:Z,25,0))</f>
        <v>0</v>
      </c>
      <c r="Q19" s="543">
        <f t="shared" si="1"/>
        <v>983594</v>
      </c>
      <c r="R19" s="543">
        <f t="shared" si="0"/>
        <v>140513</v>
      </c>
      <c r="S19" s="1056" t="s">
        <v>1941</v>
      </c>
      <c r="T19" s="600">
        <f t="shared" si="2"/>
        <v>4539</v>
      </c>
      <c r="U19" s="712"/>
    </row>
    <row r="20" spans="1:33" ht="34">
      <c r="A20" s="404" t="s">
        <v>1412</v>
      </c>
      <c r="B20" s="542">
        <v>6120000</v>
      </c>
      <c r="C20" s="542" t="s">
        <v>1317</v>
      </c>
      <c r="E20" s="1055">
        <f>IF(ISNA(VLOOKUP($A20,IS明細!B:D,3,0)),0,VLOOKUP($A20,IS明細!B:D,3,0))</f>
        <v>1245</v>
      </c>
      <c r="F20" s="1055">
        <f>IF(ISNA(VLOOKUP($A20,IS明細!$B:F,5,0)),0,VLOOKUP($A20,IS明細!$B:F,5,0))</f>
        <v>4745</v>
      </c>
      <c r="G20" s="1055">
        <f>IF(ISNA(VLOOKUP($A20,IS明細!$B:H,7,0)),0,VLOOKUP($A20,IS明細!$B:H,7,0))</f>
        <v>101010</v>
      </c>
      <c r="H20" s="1055">
        <f>IF(ISNA(VLOOKUP($A20,IS明細!$B:J,9,0)),0,VLOOKUP($A20,IS明細!$B:J,9,0))</f>
        <v>84510</v>
      </c>
      <c r="I20" s="1055">
        <f>IF(ISNA(VLOOKUP($A20,IS明細!$B:L,11,0)),0,VLOOKUP($A20,IS明細!$B:L,11,0))</f>
        <v>35922</v>
      </c>
      <c r="J20" s="1055">
        <f>IF(ISNA(VLOOKUP($A20,IS明細!$B:N,13,0)),0,VLOOKUP($A20,IS明細!$B:N,13,0))</f>
        <v>163716</v>
      </c>
      <c r="K20" s="1055">
        <f>IF(ISNA(VLOOKUP($A20,IS明細!$B:P,15,0)),0,VLOOKUP($A20,IS明細!$B:P,15,0))</f>
        <v>46187</v>
      </c>
      <c r="L20" s="1055">
        <f>IF(ISNA(VLOOKUP($A20,IS明細!$B:R,17,0)),0,VLOOKUP($A20,IS明細!$B:R,17,0))</f>
        <v>45967</v>
      </c>
      <c r="M20" s="1055">
        <f>IF(ISNA(VLOOKUP($A20,IS明細!$B:T,19,0)),0,VLOOKUP($A20,IS明細!$B:T,19,0))</f>
        <v>0</v>
      </c>
      <c r="N20" s="1055">
        <f>IF(ISNA(VLOOKUP($A20,IS明細!$B:V,21,0)),0,VLOOKUP($A20,IS明細!$B:V,21,0))</f>
        <v>0</v>
      </c>
      <c r="O20" s="1055">
        <f>IF(ISNA(VLOOKUP($A20,IS明細!$B:X,23,0)),0,VLOOKUP($A20,IS明細!$B:X,23,0))</f>
        <v>0</v>
      </c>
      <c r="P20" s="1055">
        <f>IF(ISNA(VLOOKUP($A20,IS明細!$B:Z,25,0)),0,VLOOKUP($A20,IS明細!$B:Z,25,0))</f>
        <v>0</v>
      </c>
      <c r="Q20" s="543">
        <f t="shared" si="1"/>
        <v>483302</v>
      </c>
      <c r="R20" s="543">
        <f t="shared" si="0"/>
        <v>69043</v>
      </c>
      <c r="S20" s="563" t="s">
        <v>2358</v>
      </c>
      <c r="T20" s="600">
        <f t="shared" si="2"/>
        <v>-220</v>
      </c>
      <c r="U20" s="712"/>
    </row>
    <row r="21" spans="1:33" ht="16.5" customHeight="1">
      <c r="A21" s="404" t="s">
        <v>1413</v>
      </c>
      <c r="B21" s="542">
        <v>6121000</v>
      </c>
      <c r="C21" s="542" t="s">
        <v>1319</v>
      </c>
      <c r="E21" s="1055">
        <f>IF(ISNA(VLOOKUP($A21,IS明細!B:D,3,0)),0,VLOOKUP($A21,IS明細!B:D,3,0))</f>
        <v>0</v>
      </c>
      <c r="F21" s="1055">
        <f>IF(ISNA(VLOOKUP($A21,IS明細!$B:F,5,0)),0,VLOOKUP($A21,IS明細!$B:F,5,0))</f>
        <v>0</v>
      </c>
      <c r="G21" s="1055">
        <f>IF(ISNA(VLOOKUP($A21,IS明細!$B:H,7,0)),0,VLOOKUP($A21,IS明細!$B:H,7,0))</f>
        <v>0</v>
      </c>
      <c r="H21" s="1055">
        <f>IF(ISNA(VLOOKUP($A21,IS明細!$B:J,9,0)),0,VLOOKUP($A21,IS明細!$B:J,9,0))</f>
        <v>0</v>
      </c>
      <c r="I21" s="1055">
        <f>IF(ISNA(VLOOKUP($A21,IS明細!$B:L,11,0)),0,VLOOKUP($A21,IS明細!$B:L,11,0))</f>
        <v>0</v>
      </c>
      <c r="J21" s="1055">
        <f>IF(ISNA(VLOOKUP($A21,IS明細!$B:N,13,0)),0,VLOOKUP($A21,IS明細!$B:N,13,0))</f>
        <v>0</v>
      </c>
      <c r="K21" s="1055">
        <f>IF(ISNA(VLOOKUP($A21,IS明細!$B:P,15,0)),0,VLOOKUP($A21,IS明細!$B:P,15,0))</f>
        <v>0</v>
      </c>
      <c r="L21" s="1055">
        <f>IF(ISNA(VLOOKUP($A21,IS明細!$B:R,17,0)),0,VLOOKUP($A21,IS明細!$B:R,17,0))</f>
        <v>0</v>
      </c>
      <c r="M21" s="1055">
        <f>IF(ISNA(VLOOKUP($A21,IS明細!$B:T,19,0)),0,VLOOKUP($A21,IS明細!$B:T,19,0))</f>
        <v>0</v>
      </c>
      <c r="N21" s="1055">
        <f>IF(ISNA(VLOOKUP($A21,IS明細!$B:V,21,0)),0,VLOOKUP($A21,IS明細!$B:V,21,0))</f>
        <v>0</v>
      </c>
      <c r="O21" s="1055">
        <f>IF(ISNA(VLOOKUP($A21,IS明細!$B:X,23,0)),0,VLOOKUP($A21,IS明細!$B:X,23,0))</f>
        <v>0</v>
      </c>
      <c r="P21" s="1055">
        <f>IF(ISNA(VLOOKUP($A21,IS明細!$B:Z,25,0)),0,VLOOKUP($A21,IS明細!$B:Z,25,0))</f>
        <v>0</v>
      </c>
      <c r="Q21" s="543">
        <f t="shared" si="1"/>
        <v>0</v>
      </c>
      <c r="R21" s="543">
        <f t="shared" si="0"/>
        <v>0</v>
      </c>
      <c r="S21" s="1056"/>
      <c r="T21" s="600">
        <f t="shared" si="2"/>
        <v>0</v>
      </c>
      <c r="U21" s="712"/>
    </row>
    <row r="22" spans="1:33" ht="16.5" customHeight="1">
      <c r="A22" s="404" t="s">
        <v>1414</v>
      </c>
      <c r="B22" s="542">
        <v>6122000</v>
      </c>
      <c r="C22" s="542" t="s">
        <v>1321</v>
      </c>
      <c r="E22" s="1055">
        <f>IF(ISNA(VLOOKUP($A22,IS明細!B:D,3,0)),0,VLOOKUP($A22,IS明細!B:D,3,0))</f>
        <v>0</v>
      </c>
      <c r="F22" s="1055">
        <f>IF(ISNA(VLOOKUP($A22,IS明細!$B:F,5,0)),0,VLOOKUP($A22,IS明細!$B:F,5,0))</f>
        <v>0</v>
      </c>
      <c r="G22" s="1055">
        <f>IF(ISNA(VLOOKUP($A22,IS明細!$B:H,7,0)),0,VLOOKUP($A22,IS明細!$B:H,7,0))</f>
        <v>0</v>
      </c>
      <c r="H22" s="1055">
        <f>IF(ISNA(VLOOKUP($A22,IS明細!$B:J,9,0)),0,VLOOKUP($A22,IS明細!$B:J,9,0))</f>
        <v>0</v>
      </c>
      <c r="I22" s="1055">
        <f>IF(ISNA(VLOOKUP($A22,IS明細!$B:L,11,0)),0,VLOOKUP($A22,IS明細!$B:L,11,0))</f>
        <v>0</v>
      </c>
      <c r="J22" s="1055">
        <f>IF(ISNA(VLOOKUP($A22,IS明細!$B:N,13,0)),0,VLOOKUP($A22,IS明細!$B:N,13,0))</f>
        <v>0</v>
      </c>
      <c r="K22" s="1055">
        <f>IF(ISNA(VLOOKUP($A22,IS明細!$B:P,15,0)),0,VLOOKUP($A22,IS明細!$B:P,15,0))</f>
        <v>0</v>
      </c>
      <c r="L22" s="1055">
        <f>IF(ISNA(VLOOKUP($A22,IS明細!$B:R,17,0)),0,VLOOKUP($A22,IS明細!$B:R,17,0))</f>
        <v>0</v>
      </c>
      <c r="M22" s="1055">
        <f>IF(ISNA(VLOOKUP($A22,IS明細!$B:T,19,0)),0,VLOOKUP($A22,IS明細!$B:T,19,0))</f>
        <v>0</v>
      </c>
      <c r="N22" s="1055">
        <f>IF(ISNA(VLOOKUP($A22,IS明細!$B:V,21,0)),0,VLOOKUP($A22,IS明細!$B:V,21,0))</f>
        <v>0</v>
      </c>
      <c r="O22" s="1055">
        <f>IF(ISNA(VLOOKUP($A22,IS明細!$B:X,23,0)),0,VLOOKUP($A22,IS明細!$B:X,23,0))</f>
        <v>0</v>
      </c>
      <c r="P22" s="1055">
        <f>IF(ISNA(VLOOKUP($A22,IS明細!$B:Z,25,0)),0,VLOOKUP($A22,IS明細!$B:Z,25,0))</f>
        <v>0</v>
      </c>
      <c r="Q22" s="543">
        <f t="shared" si="1"/>
        <v>0</v>
      </c>
      <c r="R22" s="543">
        <f t="shared" si="0"/>
        <v>0</v>
      </c>
      <c r="S22" s="1056"/>
      <c r="T22" s="600">
        <f t="shared" si="2"/>
        <v>0</v>
      </c>
      <c r="U22" s="712"/>
    </row>
    <row r="23" spans="1:33" ht="16.5" customHeight="1">
      <c r="A23" s="404" t="s">
        <v>1415</v>
      </c>
      <c r="B23" s="542">
        <v>6123000</v>
      </c>
      <c r="C23" s="542" t="s">
        <v>1373</v>
      </c>
      <c r="E23" s="1055">
        <f>IF(ISNA(VLOOKUP($A23,IS明細!B:D,3,0)),0,VLOOKUP($A23,IS明細!B:D,3,0))</f>
        <v>0</v>
      </c>
      <c r="F23" s="1055">
        <f>IF(ISNA(VLOOKUP($A23,IS明細!$B:F,5,0)),0,VLOOKUP($A23,IS明細!$B:F,5,0))</f>
        <v>-153329</v>
      </c>
      <c r="G23" s="1055">
        <f>IF(ISNA(VLOOKUP($A23,IS明細!$B:H,7,0)),0,VLOOKUP($A23,IS明細!$B:H,7,0))</f>
        <v>-419419</v>
      </c>
      <c r="H23" s="1055">
        <f>IF(ISNA(VLOOKUP($A23,IS明細!$B:J,9,0)),0,VLOOKUP($A23,IS明細!$B:J,9,0))</f>
        <v>5198</v>
      </c>
      <c r="I23" s="1055">
        <f>IF(ISNA(VLOOKUP($A23,IS明細!$B:L,11,0)),0,VLOOKUP($A23,IS明細!$B:L,11,0))</f>
        <v>-5198</v>
      </c>
      <c r="J23" s="1055">
        <f>IF(ISNA(VLOOKUP($A23,IS明細!$B:N,13,0)),0,VLOOKUP($A23,IS明細!$B:N,13,0))</f>
        <v>0</v>
      </c>
      <c r="K23" s="1055">
        <f>IF(ISNA(VLOOKUP($A23,IS明細!$B:P,15,0)),0,VLOOKUP($A23,IS明細!$B:P,15,0))</f>
        <v>0</v>
      </c>
      <c r="L23" s="1055">
        <f>IF(ISNA(VLOOKUP($A23,IS明細!$B:R,17,0)),0,VLOOKUP($A23,IS明細!$B:R,17,0))</f>
        <v>0</v>
      </c>
      <c r="M23" s="1055">
        <f>IF(ISNA(VLOOKUP($A23,IS明細!$B:T,19,0)),0,VLOOKUP($A23,IS明細!$B:T,19,0))</f>
        <v>0</v>
      </c>
      <c r="N23" s="1055">
        <f>IF(ISNA(VLOOKUP($A23,IS明細!$B:V,21,0)),0,VLOOKUP($A23,IS明細!$B:V,21,0))</f>
        <v>0</v>
      </c>
      <c r="O23" s="1055">
        <f>IF(ISNA(VLOOKUP($A23,IS明細!$B:X,23,0)),0,VLOOKUP($A23,IS明細!$B:X,23,0))</f>
        <v>0</v>
      </c>
      <c r="P23" s="1055">
        <f>IF(ISNA(VLOOKUP($A23,IS明細!$B:Z,25,0)),0,VLOOKUP($A23,IS明細!$B:Z,25,0))</f>
        <v>0</v>
      </c>
      <c r="Q23" s="543">
        <f t="shared" si="1"/>
        <v>-572748</v>
      </c>
      <c r="R23" s="543">
        <f t="shared" si="0"/>
        <v>-81821</v>
      </c>
      <c r="S23" s="1077"/>
      <c r="T23" s="600">
        <f t="shared" si="2"/>
        <v>0</v>
      </c>
      <c r="U23" s="712"/>
      <c r="X23" s="712"/>
      <c r="AG23" s="712"/>
    </row>
    <row r="24" spans="1:33" ht="16.5" customHeight="1">
      <c r="A24" s="404" t="s">
        <v>1416</v>
      </c>
      <c r="B24" s="542">
        <v>6124000</v>
      </c>
      <c r="C24" s="542" t="s">
        <v>1375</v>
      </c>
      <c r="E24" s="1055">
        <f>IF(ISNA(VLOOKUP($A24,IS明細!B:D,3,0)),0,VLOOKUP($A24,IS明細!B:D,3,0))</f>
        <v>391</v>
      </c>
      <c r="F24" s="1055">
        <f>IF(ISNA(VLOOKUP($A24,IS明細!$B:F,5,0)),0,VLOOKUP($A24,IS明細!$B:F,5,0))</f>
        <v>392</v>
      </c>
      <c r="G24" s="1055">
        <f>IF(ISNA(VLOOKUP($A24,IS明細!$B:H,7,0)),0,VLOOKUP($A24,IS明細!$B:H,7,0))</f>
        <v>391</v>
      </c>
      <c r="H24" s="1055">
        <f>IF(ISNA(VLOOKUP($A24,IS明細!$B:J,9,0)),0,VLOOKUP($A24,IS明細!$B:J,9,0))</f>
        <v>392</v>
      </c>
      <c r="I24" s="1055">
        <f>IF(ISNA(VLOOKUP($A24,IS明細!$B:L,11,0)),0,VLOOKUP($A24,IS明細!$B:L,11,0))</f>
        <v>391</v>
      </c>
      <c r="J24" s="1055">
        <f>IF(ISNA(VLOOKUP($A24,IS明細!$B:N,13,0)),0,VLOOKUP($A24,IS明細!$B:N,13,0))</f>
        <v>392</v>
      </c>
      <c r="K24" s="1055">
        <f>IF(ISNA(VLOOKUP($A24,IS明細!$B:P,15,0)),0,VLOOKUP($A24,IS明細!$B:P,15,0))</f>
        <v>391</v>
      </c>
      <c r="L24" s="1055">
        <f>IF(ISNA(VLOOKUP($A24,IS明細!$B:R,17,0)),0,VLOOKUP($A24,IS明細!$B:R,17,0))</f>
        <v>392</v>
      </c>
      <c r="M24" s="1055">
        <f>IF(ISNA(VLOOKUP($A24,IS明細!$B:T,19,0)),0,VLOOKUP($A24,IS明細!$B:T,19,0))</f>
        <v>0</v>
      </c>
      <c r="N24" s="1055">
        <f>IF(ISNA(VLOOKUP($A24,IS明細!$B:V,21,0)),0,VLOOKUP($A24,IS明細!$B:V,21,0))</f>
        <v>0</v>
      </c>
      <c r="O24" s="1055">
        <f>IF(ISNA(VLOOKUP($A24,IS明細!$B:X,23,0)),0,VLOOKUP($A24,IS明細!$B:X,23,0))</f>
        <v>0</v>
      </c>
      <c r="P24" s="1055">
        <f>IF(ISNA(VLOOKUP($A24,IS明細!$B:Z,25,0)),0,VLOOKUP($A24,IS明細!$B:Z,25,0))</f>
        <v>0</v>
      </c>
      <c r="Q24" s="543">
        <f t="shared" si="1"/>
        <v>3132</v>
      </c>
      <c r="R24" s="543">
        <f t="shared" si="0"/>
        <v>447</v>
      </c>
      <c r="S24" s="1056"/>
      <c r="T24" s="600">
        <f t="shared" si="2"/>
        <v>1</v>
      </c>
      <c r="U24" s="712"/>
      <c r="X24" s="712"/>
      <c r="AG24" s="712"/>
    </row>
    <row r="25" spans="1:33" ht="16.5" customHeight="1">
      <c r="A25" s="404" t="s">
        <v>1417</v>
      </c>
      <c r="B25" s="542">
        <v>6125000</v>
      </c>
      <c r="C25" s="542" t="s">
        <v>1325</v>
      </c>
      <c r="E25" s="1055">
        <f>IF(ISNA(VLOOKUP($A25,IS明細!B:D,3,0)),0,VLOOKUP($A25,IS明細!B:D,3,0))</f>
        <v>3288</v>
      </c>
      <c r="F25" s="1055">
        <f>IF(ISNA(VLOOKUP($A25,IS明細!$B:F,5,0)),0,VLOOKUP($A25,IS明細!$B:F,5,0))</f>
        <v>3347</v>
      </c>
      <c r="G25" s="1055">
        <f>IF(ISNA(VLOOKUP($A25,IS明細!$B:H,7,0)),0,VLOOKUP($A25,IS明細!$B:H,7,0))</f>
        <v>3266</v>
      </c>
      <c r="H25" s="1055">
        <f>IF(ISNA(VLOOKUP($A25,IS明細!$B:J,9,0)),0,VLOOKUP($A25,IS明細!$B:J,9,0))</f>
        <v>3348</v>
      </c>
      <c r="I25" s="1055">
        <f>IF(ISNA(VLOOKUP($A25,IS明細!$B:L,11,0)),0,VLOOKUP($A25,IS明細!$B:L,11,0))</f>
        <v>3422</v>
      </c>
      <c r="J25" s="1055">
        <f>IF(ISNA(VLOOKUP($A25,IS明細!$B:N,13,0)),0,VLOOKUP($A25,IS明細!$B:N,13,0))</f>
        <v>3194</v>
      </c>
      <c r="K25" s="1055">
        <f>IF(ISNA(VLOOKUP($A25,IS明細!$B:P,15,0)),0,VLOOKUP($A25,IS明細!$B:P,15,0))</f>
        <v>3421</v>
      </c>
      <c r="L25" s="1055">
        <f>IF(ISNA(VLOOKUP($A25,IS明細!$B:R,17,0)),0,VLOOKUP($A25,IS明細!$B:R,17,0))</f>
        <v>3421</v>
      </c>
      <c r="M25" s="1055">
        <f>IF(ISNA(VLOOKUP($A25,IS明細!$B:T,19,0)),0,VLOOKUP($A25,IS明細!$B:T,19,0))</f>
        <v>0</v>
      </c>
      <c r="N25" s="1055">
        <f>IF(ISNA(VLOOKUP($A25,IS明細!$B:V,21,0)),0,VLOOKUP($A25,IS明細!$B:V,21,0))</f>
        <v>0</v>
      </c>
      <c r="O25" s="1055">
        <f>IF(ISNA(VLOOKUP($A25,IS明細!$B:X,23,0)),0,VLOOKUP($A25,IS明細!$B:X,23,0))</f>
        <v>0</v>
      </c>
      <c r="P25" s="1055">
        <f>IF(ISNA(VLOOKUP($A25,IS明細!$B:Z,25,0)),0,VLOOKUP($A25,IS明細!$B:Z,25,0))</f>
        <v>0</v>
      </c>
      <c r="Q25" s="543">
        <f t="shared" si="1"/>
        <v>26707</v>
      </c>
      <c r="R25" s="543">
        <f t="shared" si="0"/>
        <v>3815</v>
      </c>
      <c r="S25" s="1056" t="s">
        <v>1942</v>
      </c>
      <c r="T25" s="600">
        <f t="shared" si="2"/>
        <v>0</v>
      </c>
      <c r="U25" s="712"/>
      <c r="X25" s="712"/>
      <c r="AG25" s="712"/>
    </row>
    <row r="26" spans="1:33" ht="16.5" customHeight="1">
      <c r="A26" s="404" t="s">
        <v>1418</v>
      </c>
      <c r="B26" s="542">
        <v>6127000</v>
      </c>
      <c r="C26" s="542" t="s">
        <v>1327</v>
      </c>
      <c r="E26" s="1055">
        <f>IF(ISNA(VLOOKUP($A26,IS明細!B:D,3,0)),0,VLOOKUP($A26,IS明細!B:D,3,0))</f>
        <v>27000</v>
      </c>
      <c r="F26" s="1055">
        <f>IF(ISNA(VLOOKUP($A26,IS明細!$B:F,5,0)),0,VLOOKUP($A26,IS明細!$B:F,5,0))</f>
        <v>30580</v>
      </c>
      <c r="G26" s="1055">
        <f>IF(ISNA(VLOOKUP($A26,IS明細!$B:H,7,0)),0,VLOOKUP($A26,IS明細!$B:H,7,0))</f>
        <v>30400</v>
      </c>
      <c r="H26" s="1055">
        <f>IF(ISNA(VLOOKUP($A26,IS明細!$B:J,9,0)),0,VLOOKUP($A26,IS明細!$B:J,9,0))</f>
        <v>31340</v>
      </c>
      <c r="I26" s="1055">
        <f>IF(ISNA(VLOOKUP($A26,IS明細!$B:L,11,0)),0,VLOOKUP($A26,IS明細!$B:L,11,0))</f>
        <v>28080</v>
      </c>
      <c r="J26" s="1055">
        <f>IF(ISNA(VLOOKUP($A26,IS明細!$B:N,13,0)),0,VLOOKUP($A26,IS明細!$B:N,13,0))</f>
        <v>29120</v>
      </c>
      <c r="K26" s="1055">
        <f>IF(ISNA(VLOOKUP($A26,IS明細!$B:P,15,0)),0,VLOOKUP($A26,IS明細!$B:P,15,0))</f>
        <v>30080</v>
      </c>
      <c r="L26" s="1055">
        <f>IF(ISNA(VLOOKUP($A26,IS明細!$B:R,17,0)),0,VLOOKUP($A26,IS明細!$B:R,17,0))</f>
        <v>31880</v>
      </c>
      <c r="M26" s="1055">
        <f>IF(ISNA(VLOOKUP($A26,IS明細!$B:T,19,0)),0,VLOOKUP($A26,IS明細!$B:T,19,0))</f>
        <v>0</v>
      </c>
      <c r="N26" s="1055">
        <f>IF(ISNA(VLOOKUP($A26,IS明細!$B:V,21,0)),0,VLOOKUP($A26,IS明細!$B:V,21,0))</f>
        <v>0</v>
      </c>
      <c r="O26" s="1055">
        <f>IF(ISNA(VLOOKUP($A26,IS明細!$B:X,23,0)),0,VLOOKUP($A26,IS明細!$B:X,23,0))</f>
        <v>0</v>
      </c>
      <c r="P26" s="1055">
        <f>IF(ISNA(VLOOKUP($A26,IS明細!$B:Z,25,0)),0,VLOOKUP($A26,IS明細!$B:Z,25,0))</f>
        <v>0</v>
      </c>
      <c r="Q26" s="543">
        <f t="shared" si="1"/>
        <v>238480</v>
      </c>
      <c r="R26" s="543">
        <f t="shared" si="0"/>
        <v>34069</v>
      </c>
      <c r="S26" s="1056"/>
      <c r="T26" s="600">
        <f t="shared" si="2"/>
        <v>1800</v>
      </c>
      <c r="U26" s="712"/>
      <c r="X26" s="712"/>
      <c r="AG26" s="712"/>
    </row>
    <row r="27" spans="1:33" ht="16.5" customHeight="1">
      <c r="A27" s="404" t="s">
        <v>1419</v>
      </c>
      <c r="B27" s="542">
        <v>6128000</v>
      </c>
      <c r="C27" s="542" t="s">
        <v>1329</v>
      </c>
      <c r="E27" s="1055">
        <f>IF(ISNA(VLOOKUP($A27,IS明細!B:D,3,0)),0,VLOOKUP($A27,IS明細!B:D,3,0))</f>
        <v>21907</v>
      </c>
      <c r="F27" s="1055">
        <f>IF(ISNA(VLOOKUP($A27,IS明細!$B:F,5,0)),0,VLOOKUP($A27,IS明細!$B:F,5,0))</f>
        <v>19903</v>
      </c>
      <c r="G27" s="1055">
        <f>IF(ISNA(VLOOKUP($A27,IS明細!$B:H,7,0)),0,VLOOKUP($A27,IS明細!$B:H,7,0))</f>
        <v>23364</v>
      </c>
      <c r="H27" s="1055">
        <f>IF(ISNA(VLOOKUP($A27,IS明細!$B:J,9,0)),0,VLOOKUP($A27,IS明細!$B:J,9,0))</f>
        <v>25308</v>
      </c>
      <c r="I27" s="1055">
        <f>IF(ISNA(VLOOKUP($A27,IS明細!$B:L,11,0)),0,VLOOKUP($A27,IS明細!$B:L,11,0))</f>
        <v>20848</v>
      </c>
      <c r="J27" s="1055">
        <f>IF(ISNA(VLOOKUP($A27,IS明細!$B:N,13,0)),0,VLOOKUP($A27,IS明細!$B:N,13,0))</f>
        <v>30012</v>
      </c>
      <c r="K27" s="1055">
        <f>IF(ISNA(VLOOKUP($A27,IS明細!$B:P,15,0)),0,VLOOKUP($A27,IS明細!$B:P,15,0))</f>
        <v>38443</v>
      </c>
      <c r="L27" s="1055">
        <f>IF(ISNA(VLOOKUP($A27,IS明細!$B:R,17,0)),0,VLOOKUP($A27,IS明細!$B:R,17,0))</f>
        <v>32141</v>
      </c>
      <c r="M27" s="1055">
        <f>IF(ISNA(VLOOKUP($A27,IS明細!$B:T,19,0)),0,VLOOKUP($A27,IS明細!$B:T,19,0))</f>
        <v>0</v>
      </c>
      <c r="N27" s="1055">
        <f>IF(ISNA(VLOOKUP($A27,IS明細!$B:V,21,0)),0,VLOOKUP($A27,IS明細!$B:V,21,0))</f>
        <v>0</v>
      </c>
      <c r="O27" s="1055">
        <f>IF(ISNA(VLOOKUP($A27,IS明細!$B:X,23,0)),0,VLOOKUP($A27,IS明細!$B:X,23,0))</f>
        <v>0</v>
      </c>
      <c r="P27" s="1055">
        <f>IF(ISNA(VLOOKUP($A27,IS明細!$B:Z,25,0)),0,VLOOKUP($A27,IS明細!$B:Z,25,0))</f>
        <v>0</v>
      </c>
      <c r="Q27" s="543">
        <f t="shared" si="1"/>
        <v>211926</v>
      </c>
      <c r="R27" s="543">
        <f t="shared" si="0"/>
        <v>30275</v>
      </c>
      <c r="S27" s="1056" t="s">
        <v>1910</v>
      </c>
      <c r="T27" s="600">
        <f t="shared" si="2"/>
        <v>-6302</v>
      </c>
      <c r="U27" s="712"/>
      <c r="X27" s="712"/>
      <c r="AG27" s="712"/>
    </row>
    <row r="28" spans="1:33" ht="16.5" customHeight="1">
      <c r="A28" s="404" t="s">
        <v>1420</v>
      </c>
      <c r="B28" s="542">
        <v>6130000</v>
      </c>
      <c r="C28" s="542" t="s">
        <v>1421</v>
      </c>
      <c r="E28" s="1055">
        <f>IF(ISNA(VLOOKUP($A28,IS明細!B:D,3,0)),0,VLOOKUP($A28,IS明細!B:D,3,0))</f>
        <v>0</v>
      </c>
      <c r="F28" s="1055">
        <f>IF(ISNA(VLOOKUP($A28,IS明細!$B:F,5,0)),0,VLOOKUP($A28,IS明細!$B:F,5,0))</f>
        <v>294658</v>
      </c>
      <c r="G28" s="1055">
        <f>IF(ISNA(VLOOKUP($A28,IS明細!$B:H,7,0)),0,VLOOKUP($A28,IS明細!$B:H,7,0))</f>
        <v>0</v>
      </c>
      <c r="H28" s="1055">
        <f>IF(ISNA(VLOOKUP($A28,IS明細!$B:J,9,0)),0,VLOOKUP($A28,IS明細!$B:J,9,0))</f>
        <v>52383</v>
      </c>
      <c r="I28" s="1055">
        <f>IF(ISNA(VLOOKUP($A28,IS明細!$B:L,11,0)),0,VLOOKUP($A28,IS明細!$B:L,11,0))</f>
        <v>231552</v>
      </c>
      <c r="J28" s="1055">
        <f>IF(ISNA(VLOOKUP($A28,IS明細!$B:N,13,0)),0,VLOOKUP($A28,IS明細!$B:N,13,0))</f>
        <v>0</v>
      </c>
      <c r="K28" s="1055">
        <f>IF(ISNA(VLOOKUP($A28,IS明細!$B:P,15,0)),0,VLOOKUP($A28,IS明細!$B:P,15,0))</f>
        <v>293885</v>
      </c>
      <c r="L28" s="1055">
        <f>IF(ISNA(VLOOKUP($A28,IS明細!$B:R,17,0)),0,VLOOKUP($A28,IS明細!$B:R,17,0))</f>
        <v>12080</v>
      </c>
      <c r="M28" s="1055">
        <f>IF(ISNA(VLOOKUP($A28,IS明細!$B:T,19,0)),0,VLOOKUP($A28,IS明細!$B:T,19,0))</f>
        <v>0</v>
      </c>
      <c r="N28" s="1055">
        <f>IF(ISNA(VLOOKUP($A28,IS明細!$B:V,21,0)),0,VLOOKUP($A28,IS明細!$B:V,21,0))</f>
        <v>0</v>
      </c>
      <c r="O28" s="1055">
        <f>IF(ISNA(VLOOKUP($A28,IS明細!$B:X,23,0)),0,VLOOKUP($A28,IS明細!$B:X,23,0))</f>
        <v>0</v>
      </c>
      <c r="P28" s="1055">
        <f>IF(ISNA(VLOOKUP($A28,IS明細!$B:Z,25,0)),0,VLOOKUP($A28,IS明細!$B:Z,25,0))</f>
        <v>0</v>
      </c>
      <c r="Q28" s="543">
        <f t="shared" si="1"/>
        <v>884558</v>
      </c>
      <c r="R28" s="543">
        <f t="shared" si="0"/>
        <v>126365</v>
      </c>
      <c r="S28" s="1056" t="s">
        <v>2359</v>
      </c>
      <c r="T28" s="600">
        <f t="shared" si="2"/>
        <v>-281805</v>
      </c>
      <c r="U28" s="712"/>
      <c r="X28" s="712"/>
      <c r="AG28" s="712"/>
    </row>
    <row r="29" spans="1:33" ht="16.5" customHeight="1">
      <c r="A29" s="404" t="s">
        <v>1422</v>
      </c>
      <c r="B29" s="542">
        <v>6131000</v>
      </c>
      <c r="C29" s="542" t="s">
        <v>1333</v>
      </c>
      <c r="E29" s="1055">
        <f>IF(ISNA(VLOOKUP($A29,IS明細!B:D,3,0)),0,VLOOKUP($A29,IS明細!B:D,3,0))</f>
        <v>0</v>
      </c>
      <c r="F29" s="1055">
        <f>IF(ISNA(VLOOKUP($A29,IS明細!$B:F,5,0)),0,VLOOKUP($A29,IS明細!$B:F,5,0))</f>
        <v>0</v>
      </c>
      <c r="G29" s="1055">
        <f>IF(ISNA(VLOOKUP($A29,IS明細!$B:H,7,0)),0,VLOOKUP($A29,IS明細!$B:H,7,0))</f>
        <v>0</v>
      </c>
      <c r="H29" s="1055">
        <f>IF(ISNA(VLOOKUP($A29,IS明細!$B:J,9,0)),0,VLOOKUP($A29,IS明細!$B:J,9,0))</f>
        <v>0</v>
      </c>
      <c r="I29" s="1055">
        <f>IF(ISNA(VLOOKUP($A29,IS明細!$B:L,11,0)),0,VLOOKUP($A29,IS明細!$B:L,11,0))</f>
        <v>0</v>
      </c>
      <c r="J29" s="1055">
        <f>IF(ISNA(VLOOKUP($A29,IS明細!$B:N,13,0)),0,VLOOKUP($A29,IS明細!$B:N,13,0))</f>
        <v>0</v>
      </c>
      <c r="K29" s="1055">
        <f>IF(ISNA(VLOOKUP($A29,IS明細!$B:P,15,0)),0,VLOOKUP($A29,IS明細!$B:P,15,0))</f>
        <v>0</v>
      </c>
      <c r="L29" s="1055">
        <f>IF(ISNA(VLOOKUP($A29,IS明細!$B:R,17,0)),0,VLOOKUP($A29,IS明細!$B:R,17,0))</f>
        <v>0</v>
      </c>
      <c r="M29" s="1055">
        <f>IF(ISNA(VLOOKUP($A29,IS明細!$B:T,19,0)),0,VLOOKUP($A29,IS明細!$B:T,19,0))</f>
        <v>0</v>
      </c>
      <c r="N29" s="1055">
        <f>IF(ISNA(VLOOKUP($A29,IS明細!$B:V,21,0)),0,VLOOKUP($A29,IS明細!$B:V,21,0))</f>
        <v>0</v>
      </c>
      <c r="O29" s="1055">
        <f>IF(ISNA(VLOOKUP($A29,IS明細!$B:X,23,0)),0,VLOOKUP($A29,IS明細!$B:X,23,0))</f>
        <v>0</v>
      </c>
      <c r="P29" s="1055">
        <f>IF(ISNA(VLOOKUP($A29,IS明細!$B:Z,25,0)),0,VLOOKUP($A29,IS明細!$B:Z,25,0))</f>
        <v>0</v>
      </c>
      <c r="Q29" s="543">
        <f t="shared" si="1"/>
        <v>0</v>
      </c>
      <c r="R29" s="543">
        <f t="shared" si="0"/>
        <v>0</v>
      </c>
      <c r="S29" s="1056"/>
      <c r="T29" s="600">
        <f t="shared" si="2"/>
        <v>0</v>
      </c>
      <c r="U29" s="712"/>
      <c r="X29" s="712"/>
      <c r="AG29" s="712"/>
    </row>
    <row r="30" spans="1:33" ht="16.5" customHeight="1">
      <c r="A30" s="404" t="s">
        <v>1423</v>
      </c>
      <c r="B30" s="542">
        <v>6132000</v>
      </c>
      <c r="C30" s="542" t="s">
        <v>1424</v>
      </c>
      <c r="E30" s="1055">
        <f>IF(ISNA(VLOOKUP($A30,IS明細!B:D,3,0)),0,VLOOKUP($A30,IS明細!B:D,3,0))</f>
        <v>175645</v>
      </c>
      <c r="F30" s="1055">
        <f>IF(ISNA(VLOOKUP($A30,IS明細!$B:F,5,0)),0,VLOOKUP($A30,IS明細!$B:F,5,0))</f>
        <v>302795</v>
      </c>
      <c r="G30" s="1055">
        <f>IF(ISNA(VLOOKUP($A30,IS明細!$B:H,7,0)),0,VLOOKUP($A30,IS明細!$B:H,7,0))</f>
        <v>214478</v>
      </c>
      <c r="H30" s="1055">
        <f>IF(ISNA(VLOOKUP($A30,IS明細!$B:J,9,0)),0,VLOOKUP($A30,IS明細!$B:J,9,0))</f>
        <v>191200</v>
      </c>
      <c r="I30" s="1055">
        <f>IF(ISNA(VLOOKUP($A30,IS明細!$B:L,11,0)),0,VLOOKUP($A30,IS明細!$B:L,11,0))</f>
        <v>273885</v>
      </c>
      <c r="J30" s="1055">
        <f>IF(ISNA(VLOOKUP($A30,IS明細!$B:N,13,0)),0,VLOOKUP($A30,IS明細!$B:N,13,0))</f>
        <v>226367</v>
      </c>
      <c r="K30" s="1055">
        <f>IF(ISNA(VLOOKUP($A30,IS明細!$B:P,15,0)),0,VLOOKUP($A30,IS明細!$B:P,15,0))</f>
        <v>254953</v>
      </c>
      <c r="L30" s="1055">
        <f>IF(ISNA(VLOOKUP($A30,IS明細!$B:R,17,0)),0,VLOOKUP($A30,IS明細!$B:R,17,0))</f>
        <v>402536</v>
      </c>
      <c r="M30" s="1055">
        <f>IF(ISNA(VLOOKUP($A30,IS明細!$B:T,19,0)),0,VLOOKUP($A30,IS明細!$B:T,19,0))</f>
        <v>0</v>
      </c>
      <c r="N30" s="1055">
        <f>IF(ISNA(VLOOKUP($A30,IS明細!$B:V,21,0)),0,VLOOKUP($A30,IS明細!$B:V,21,0))</f>
        <v>0</v>
      </c>
      <c r="O30" s="1055">
        <f>IF(ISNA(VLOOKUP($A30,IS明細!$B:X,23,0)),0,VLOOKUP($A30,IS明細!$B:X,23,0))</f>
        <v>0</v>
      </c>
      <c r="P30" s="1055">
        <f>IF(ISNA(VLOOKUP($A30,IS明細!$B:Z,25,0)),0,VLOOKUP($A30,IS明細!$B:Z,25,0))</f>
        <v>0</v>
      </c>
      <c r="Q30" s="543">
        <f t="shared" si="1"/>
        <v>2041859</v>
      </c>
      <c r="R30" s="543">
        <f t="shared" si="0"/>
        <v>291694</v>
      </c>
      <c r="S30" s="1056"/>
      <c r="T30" s="600">
        <f t="shared" si="2"/>
        <v>147583</v>
      </c>
      <c r="U30" s="712"/>
      <c r="X30" s="712"/>
      <c r="AG30" s="712"/>
    </row>
    <row r="31" spans="1:33" ht="16.5" customHeight="1">
      <c r="A31" s="404" t="s">
        <v>1425</v>
      </c>
      <c r="B31" s="542">
        <v>6133000</v>
      </c>
      <c r="C31" s="542" t="s">
        <v>1335</v>
      </c>
      <c r="E31" s="1055">
        <f>IF(ISNA(VLOOKUP($A31,IS明細!B:D,3,0)),0,VLOOKUP($A31,IS明細!B:D,3,0))</f>
        <v>928</v>
      </c>
      <c r="F31" s="1055">
        <f>IF(ISNA(VLOOKUP($A31,IS明細!$B:F,5,0)),0,VLOOKUP($A31,IS明細!$B:F,5,0))</f>
        <v>928</v>
      </c>
      <c r="G31" s="1055">
        <f>IF(ISNA(VLOOKUP($A31,IS明細!$B:H,7,0)),0,VLOOKUP($A31,IS明細!$B:H,7,0))</f>
        <v>928</v>
      </c>
      <c r="H31" s="1055">
        <f>IF(ISNA(VLOOKUP($A31,IS明細!$B:J,9,0)),0,VLOOKUP($A31,IS明細!$B:J,9,0))</f>
        <v>928</v>
      </c>
      <c r="I31" s="1055">
        <f>IF(ISNA(VLOOKUP($A31,IS明細!$B:L,11,0)),0,VLOOKUP($A31,IS明細!$B:L,11,0))</f>
        <v>928</v>
      </c>
      <c r="J31" s="1055">
        <f>IF(ISNA(VLOOKUP($A31,IS明細!$B:N,13,0)),0,VLOOKUP($A31,IS明細!$B:N,13,0))</f>
        <v>928</v>
      </c>
      <c r="K31" s="1055">
        <f>IF(ISNA(VLOOKUP($A31,IS明細!$B:P,15,0)),0,VLOOKUP($A31,IS明細!$B:P,15,0))</f>
        <v>928</v>
      </c>
      <c r="L31" s="1055">
        <f>IF(ISNA(VLOOKUP($A31,IS明細!$B:R,17,0)),0,VLOOKUP($A31,IS明細!$B:R,17,0))</f>
        <v>928</v>
      </c>
      <c r="M31" s="1055">
        <f>IF(ISNA(VLOOKUP($A31,IS明細!$B:T,19,0)),0,VLOOKUP($A31,IS明細!$B:T,19,0))</f>
        <v>0</v>
      </c>
      <c r="N31" s="1055">
        <f>IF(ISNA(VLOOKUP($A31,IS明細!$B:V,21,0)),0,VLOOKUP($A31,IS明細!$B:V,21,0))</f>
        <v>0</v>
      </c>
      <c r="O31" s="1055">
        <f>IF(ISNA(VLOOKUP($A31,IS明細!$B:X,23,0)),0,VLOOKUP($A31,IS明細!$B:X,23,0))</f>
        <v>0</v>
      </c>
      <c r="P31" s="1055">
        <f>IF(ISNA(VLOOKUP($A31,IS明細!$B:Z,25,0)),0,VLOOKUP($A31,IS明細!$B:Z,25,0))</f>
        <v>0</v>
      </c>
      <c r="Q31" s="543">
        <f t="shared" si="1"/>
        <v>7424</v>
      </c>
      <c r="R31" s="543">
        <f t="shared" si="0"/>
        <v>1061</v>
      </c>
      <c r="S31" s="1056"/>
      <c r="T31" s="600">
        <f t="shared" si="2"/>
        <v>0</v>
      </c>
      <c r="U31" s="712"/>
      <c r="X31" s="712"/>
      <c r="AG31" s="712"/>
    </row>
    <row r="32" spans="1:33" ht="16.5" customHeight="1">
      <c r="A32" s="404" t="s">
        <v>1426</v>
      </c>
      <c r="B32" s="542">
        <v>6134000</v>
      </c>
      <c r="C32" s="542" t="s">
        <v>1337</v>
      </c>
      <c r="E32" s="1055">
        <f>IF(ISNA(VLOOKUP($A32,IS明細!B:D,3,0)),0,VLOOKUP($A32,IS明細!B:D,3,0))</f>
        <v>448</v>
      </c>
      <c r="F32" s="1055">
        <f>IF(ISNA(VLOOKUP($A32,IS明細!$B:F,5,0)),0,VLOOKUP($A32,IS明細!$B:F,5,0))</f>
        <v>8670</v>
      </c>
      <c r="G32" s="1055">
        <f>IF(ISNA(VLOOKUP($A32,IS明細!$B:H,7,0)),0,VLOOKUP($A32,IS明細!$B:H,7,0))</f>
        <v>21047</v>
      </c>
      <c r="H32" s="1055">
        <f>IF(ISNA(VLOOKUP($A32,IS明細!$B:J,9,0)),0,VLOOKUP($A32,IS明細!$B:J,9,0))</f>
        <v>20244</v>
      </c>
      <c r="I32" s="1055">
        <f>IF(ISNA(VLOOKUP($A32,IS明細!$B:L,11,0)),0,VLOOKUP($A32,IS明細!$B:L,11,0))</f>
        <v>1055</v>
      </c>
      <c r="J32" s="1055">
        <f>IF(ISNA(VLOOKUP($A32,IS明細!$B:N,13,0)),0,VLOOKUP($A32,IS明細!$B:N,13,0))</f>
        <v>53618</v>
      </c>
      <c r="K32" s="1055">
        <f>IF(ISNA(VLOOKUP($A32,IS明細!$B:P,15,0)),0,VLOOKUP($A32,IS明細!$B:P,15,0))</f>
        <v>2006</v>
      </c>
      <c r="L32" s="1055">
        <f>IF(ISNA(VLOOKUP($A32,IS明細!$B:R,17,0)),0,VLOOKUP($A32,IS明細!$B:R,17,0))</f>
        <v>30190</v>
      </c>
      <c r="M32" s="1055">
        <f>IF(ISNA(VLOOKUP($A32,IS明細!$B:T,19,0)),0,VLOOKUP($A32,IS明細!$B:T,19,0))</f>
        <v>0</v>
      </c>
      <c r="N32" s="1055">
        <f>IF(ISNA(VLOOKUP($A32,IS明細!$B:V,21,0)),0,VLOOKUP($A32,IS明細!$B:V,21,0))</f>
        <v>0</v>
      </c>
      <c r="O32" s="1055">
        <f>IF(ISNA(VLOOKUP($A32,IS明細!$B:X,23,0)),0,VLOOKUP($A32,IS明細!$B:X,23,0))</f>
        <v>0</v>
      </c>
      <c r="P32" s="1055">
        <f>IF(ISNA(VLOOKUP($A32,IS明細!$B:Z,25,0)),0,VLOOKUP($A32,IS明細!$B:Z,25,0))</f>
        <v>0</v>
      </c>
      <c r="Q32" s="543">
        <f t="shared" si="1"/>
        <v>137278</v>
      </c>
      <c r="R32" s="543">
        <f t="shared" si="0"/>
        <v>19611</v>
      </c>
      <c r="T32" s="600">
        <f t="shared" si="2"/>
        <v>28184</v>
      </c>
      <c r="U32" s="712"/>
      <c r="X32" s="712"/>
      <c r="AG32" s="712"/>
    </row>
    <row r="33" spans="1:33" ht="16.5" customHeight="1">
      <c r="A33" s="404" t="s">
        <v>1427</v>
      </c>
      <c r="B33" s="542">
        <v>6135000</v>
      </c>
      <c r="C33" s="542" t="s">
        <v>1943</v>
      </c>
      <c r="E33" s="1055">
        <f>IF(ISNA(VLOOKUP($A33,IS明細!B:D,3,0)),0,VLOOKUP($A33,IS明細!B:D,3,0))</f>
        <v>602430</v>
      </c>
      <c r="F33" s="1055">
        <f>IF(ISNA(VLOOKUP($A33,IS明細!$B:F,5,0)),0,VLOOKUP($A33,IS明細!$B:F,5,0))</f>
        <v>530277</v>
      </c>
      <c r="G33" s="1055">
        <f>IF(ISNA(VLOOKUP($A33,IS明細!$B:H,7,0)),0,VLOOKUP($A33,IS明細!$B:H,7,0))</f>
        <v>637044</v>
      </c>
      <c r="H33" s="1055">
        <f>IF(ISNA(VLOOKUP($A33,IS明細!$B:J,9,0)),0,VLOOKUP($A33,IS明細!$B:J,9,0))</f>
        <v>673447</v>
      </c>
      <c r="I33" s="1055">
        <f>IF(ISNA(VLOOKUP($A33,IS明細!$B:L,11,0)),0,VLOOKUP($A33,IS明細!$B:L,11,0))</f>
        <v>532382</v>
      </c>
      <c r="J33" s="1055">
        <f>IF(ISNA(VLOOKUP($A33,IS明細!$B:N,13,0)),0,VLOOKUP($A33,IS明細!$B:N,13,0))</f>
        <v>874061</v>
      </c>
      <c r="K33" s="1055">
        <f>IF(ISNA(VLOOKUP($A33,IS明細!$B:P,15,0)),0,VLOOKUP($A33,IS明細!$B:P,15,0))</f>
        <v>982376</v>
      </c>
      <c r="L33" s="1055">
        <f>IF(ISNA(VLOOKUP($A33,IS明細!$B:R,17,0)),0,VLOOKUP($A33,IS明細!$B:R,17,0))</f>
        <v>821314</v>
      </c>
      <c r="M33" s="1055">
        <f>IF(ISNA(VLOOKUP($A33,IS明細!$B:T,19,0)),0,VLOOKUP($A33,IS明細!$B:T,19,0))</f>
        <v>0</v>
      </c>
      <c r="N33" s="1055">
        <f>IF(ISNA(VLOOKUP($A33,IS明細!$B:V,21,0)),0,VLOOKUP($A33,IS明細!$B:V,21,0))</f>
        <v>0</v>
      </c>
      <c r="O33" s="1055">
        <f>IF(ISNA(VLOOKUP($A33,IS明細!$B:X,23,0)),0,VLOOKUP($A33,IS明細!$B:X,23,0))</f>
        <v>0</v>
      </c>
      <c r="P33" s="1055">
        <f>IF(ISNA(VLOOKUP($A33,IS明細!$B:Z,25,0)),0,VLOOKUP($A33,IS明細!$B:Z,25,0))</f>
        <v>0</v>
      </c>
      <c r="Q33" s="543">
        <f t="shared" si="1"/>
        <v>5653331</v>
      </c>
      <c r="R33" s="543">
        <f t="shared" si="0"/>
        <v>807619</v>
      </c>
      <c r="S33" s="1078" t="s">
        <v>1998</v>
      </c>
      <c r="T33" s="600">
        <f t="shared" si="2"/>
        <v>-161062</v>
      </c>
      <c r="U33" s="712"/>
      <c r="X33" s="712"/>
      <c r="AG33" s="712"/>
    </row>
    <row r="34" spans="1:33" ht="16.5" customHeight="1">
      <c r="A34" s="404" t="s">
        <v>1428</v>
      </c>
      <c r="B34" s="542">
        <v>6188000</v>
      </c>
      <c r="C34" s="542" t="s">
        <v>1339</v>
      </c>
      <c r="E34" s="1055">
        <f>IF(ISNA(VLOOKUP($A34,IS明細!B:D,3,0)),0,VLOOKUP($A34,IS明細!B:D,3,0))</f>
        <v>248745</v>
      </c>
      <c r="F34" s="1055">
        <f>IF(ISNA(VLOOKUP($A34,IS明細!$B:F,5,0)),0,VLOOKUP($A34,IS明細!$B:F,5,0))</f>
        <v>26641</v>
      </c>
      <c r="G34" s="1055">
        <f>IF(ISNA(VLOOKUP($A34,IS明細!$B:H,7,0)),0,VLOOKUP($A34,IS明細!$B:H,7,0))</f>
        <v>-612774</v>
      </c>
      <c r="H34" s="1055">
        <f>IF(ISNA(VLOOKUP($A34,IS明細!$B:J,9,0)),0,VLOOKUP($A34,IS明細!$B:J,9,0))</f>
        <v>132228</v>
      </c>
      <c r="I34" s="1055">
        <f>IF(ISNA(VLOOKUP($A34,IS明細!$B:L,11,0)),0,VLOOKUP($A34,IS明細!$B:L,11,0))</f>
        <v>-100773</v>
      </c>
      <c r="J34" s="1055">
        <f>IF(ISNA(VLOOKUP($A34,IS明細!$B:N,13,0)),0,VLOOKUP($A34,IS明細!$B:N,13,0))</f>
        <v>89556</v>
      </c>
      <c r="K34" s="1055">
        <f>IF(ISNA(VLOOKUP($A34,IS明細!$B:P,15,0)),0,VLOOKUP($A34,IS明細!$B:P,15,0))</f>
        <v>171259</v>
      </c>
      <c r="L34" s="1055">
        <f>IF(ISNA(VLOOKUP($A34,IS明細!$B:R,17,0)),0,VLOOKUP($A34,IS明細!$B:R,17,0))</f>
        <v>196785</v>
      </c>
      <c r="M34" s="1055">
        <f>IF(ISNA(VLOOKUP($A34,IS明細!$B:T,19,0)),0,VLOOKUP($A34,IS明細!$B:T,19,0))</f>
        <v>0</v>
      </c>
      <c r="N34" s="1055">
        <f>IF(ISNA(VLOOKUP($A34,IS明細!$B:V,21,0)),0,VLOOKUP($A34,IS明細!$B:V,21,0))</f>
        <v>0</v>
      </c>
      <c r="O34" s="1055">
        <f>IF(ISNA(VLOOKUP($A34,IS明細!$B:X,23,0)),0,VLOOKUP($A34,IS明細!$B:X,23,0))</f>
        <v>0</v>
      </c>
      <c r="P34" s="1055">
        <f>IF(ISNA(VLOOKUP($A34,IS明細!$B:Z,25,0)),0,VLOOKUP($A34,IS明細!$B:Z,25,0))</f>
        <v>0</v>
      </c>
      <c r="Q34" s="543">
        <f t="shared" si="1"/>
        <v>151667</v>
      </c>
      <c r="R34" s="543">
        <f t="shared" si="0"/>
        <v>21667</v>
      </c>
      <c r="S34" s="1056"/>
      <c r="T34" s="600">
        <f t="shared" si="2"/>
        <v>25526</v>
      </c>
      <c r="U34" s="712"/>
      <c r="X34" s="712"/>
      <c r="AG34" s="712"/>
    </row>
    <row r="35" spans="1:33" ht="16.5" customHeight="1">
      <c r="A35" s="404" t="s">
        <v>1429</v>
      </c>
      <c r="B35" s="542">
        <v>6188100</v>
      </c>
      <c r="C35" s="542" t="s">
        <v>1388</v>
      </c>
      <c r="E35" s="1055">
        <f>IF(ISNA(VLOOKUP($A35,IS明細!B:D,3,0)),0,VLOOKUP($A35,IS明細!B:D,3,0))</f>
        <v>0</v>
      </c>
      <c r="F35" s="1055">
        <f>IF(ISNA(VLOOKUP($A35,IS明細!$B:F,5,0)),0,VLOOKUP($A35,IS明細!$B:F,5,0))</f>
        <v>23227</v>
      </c>
      <c r="G35" s="1055">
        <f>IF(ISNA(VLOOKUP($A35,IS明細!$B:H,7,0)),0,VLOOKUP($A35,IS明細!$B:H,7,0))</f>
        <v>0</v>
      </c>
      <c r="H35" s="1055">
        <f>IF(ISNA(VLOOKUP($A35,IS明細!$B:J,9,0)),0,VLOOKUP($A35,IS明細!$B:J,9,0))</f>
        <v>0</v>
      </c>
      <c r="I35" s="1055">
        <f>IF(ISNA(VLOOKUP($A35,IS明細!$B:L,11,0)),0,VLOOKUP($A35,IS明細!$B:L,11,0))</f>
        <v>8486</v>
      </c>
      <c r="J35" s="1055">
        <f>IF(ISNA(VLOOKUP($A35,IS明細!$B:N,13,0)),0,VLOOKUP($A35,IS明細!$B:N,13,0))</f>
        <v>19655</v>
      </c>
      <c r="K35" s="1055">
        <f>IF(ISNA(VLOOKUP($A35,IS明細!$B:P,15,0)),0,VLOOKUP($A35,IS明細!$B:P,15,0))</f>
        <v>0</v>
      </c>
      <c r="L35" s="1055">
        <f>IF(ISNA(VLOOKUP($A35,IS明細!$B:R,17,0)),0,VLOOKUP($A35,IS明細!$B:R,17,0))</f>
        <v>1243</v>
      </c>
      <c r="M35" s="1055">
        <f>IF(ISNA(VLOOKUP($A35,IS明細!$B:T,19,0)),0,VLOOKUP($A35,IS明細!$B:T,19,0))</f>
        <v>0</v>
      </c>
      <c r="N35" s="1055">
        <f>IF(ISNA(VLOOKUP($A35,IS明細!$B:V,21,0)),0,VLOOKUP($A35,IS明細!$B:V,21,0))</f>
        <v>0</v>
      </c>
      <c r="O35" s="1055">
        <f>IF(ISNA(VLOOKUP($A35,IS明細!$B:X,23,0)),0,VLOOKUP($A35,IS明細!$B:X,23,0))</f>
        <v>0</v>
      </c>
      <c r="P35" s="1055">
        <f>IF(ISNA(VLOOKUP($A35,IS明細!$B:Z,25,0)),0,VLOOKUP($A35,IS明細!$B:Z,25,0))</f>
        <v>0</v>
      </c>
      <c r="Q35" s="543">
        <f t="shared" si="1"/>
        <v>52611</v>
      </c>
      <c r="R35" s="543">
        <f t="shared" si="0"/>
        <v>7516</v>
      </c>
      <c r="S35" s="1056"/>
      <c r="T35" s="600">
        <f t="shared" si="2"/>
        <v>1243</v>
      </c>
      <c r="U35" s="712"/>
    </row>
    <row r="36" spans="1:33" ht="16.5" customHeight="1">
      <c r="A36" s="404" t="s">
        <v>1430</v>
      </c>
      <c r="B36" s="542">
        <v>6188200</v>
      </c>
      <c r="C36" s="542" t="s">
        <v>1342</v>
      </c>
      <c r="E36" s="1055">
        <f>IF(ISNA(VLOOKUP($A36,IS明細!B:D,3,0)),0,VLOOKUP($A36,IS明細!B:D,3,0))</f>
        <v>0</v>
      </c>
      <c r="F36" s="1055">
        <f>IF(ISNA(VLOOKUP($A36,IS明細!$B:F,5,0)),0,VLOOKUP($A36,IS明細!$B:F,5,0))</f>
        <v>0</v>
      </c>
      <c r="G36" s="1055">
        <f>IF(ISNA(VLOOKUP($A36,IS明細!$B:H,7,0)),0,VLOOKUP($A36,IS明細!$B:H,7,0))</f>
        <v>0</v>
      </c>
      <c r="H36" s="1055">
        <f>IF(ISNA(VLOOKUP($A36,IS明細!$B:J,9,0)),0,VLOOKUP($A36,IS明細!$B:J,9,0))</f>
        <v>0</v>
      </c>
      <c r="I36" s="1055">
        <f>IF(ISNA(VLOOKUP($A36,IS明細!$B:L,11,0)),0,VLOOKUP($A36,IS明細!$B:L,11,0))</f>
        <v>0</v>
      </c>
      <c r="J36" s="1055">
        <f>IF(ISNA(VLOOKUP($A36,IS明細!$B:N,13,0)),0,VLOOKUP($A36,IS明細!$B:N,13,0))</f>
        <v>0</v>
      </c>
      <c r="K36" s="1055">
        <f>IF(ISNA(VLOOKUP($A36,IS明細!$B:P,15,0)),0,VLOOKUP($A36,IS明細!$B:P,15,0))</f>
        <v>0</v>
      </c>
      <c r="L36" s="1055">
        <f>IF(ISNA(VLOOKUP($A36,IS明細!$B:R,17,0)),0,VLOOKUP($A36,IS明細!$B:R,17,0))</f>
        <v>0</v>
      </c>
      <c r="M36" s="1055">
        <f>IF(ISNA(VLOOKUP($A36,IS明細!$B:T,19,0)),0,VLOOKUP($A36,IS明細!$B:T,19,0))</f>
        <v>0</v>
      </c>
      <c r="N36" s="1055">
        <f>IF(ISNA(VLOOKUP($A36,IS明細!$B:V,21,0)),0,VLOOKUP($A36,IS明細!$B:V,21,0))</f>
        <v>0</v>
      </c>
      <c r="O36" s="1055">
        <f>IF(ISNA(VLOOKUP($A36,IS明細!$B:X,23,0)),0,VLOOKUP($A36,IS明細!$B:X,23,0))</f>
        <v>0</v>
      </c>
      <c r="P36" s="1055">
        <f>IF(ISNA(VLOOKUP($A36,IS明細!$B:Z,25,0)),0,VLOOKUP($A36,IS明細!$B:Z,25,0))</f>
        <v>0</v>
      </c>
      <c r="Q36" s="543">
        <f t="shared" si="1"/>
        <v>0</v>
      </c>
      <c r="R36" s="543">
        <f t="shared" si="0"/>
        <v>0</v>
      </c>
      <c r="S36" s="1056"/>
      <c r="T36" s="600">
        <f t="shared" si="2"/>
        <v>0</v>
      </c>
      <c r="U36" s="712"/>
      <c r="X36" s="712"/>
      <c r="AG36" s="712"/>
    </row>
    <row r="37" spans="1:33" ht="16.5" customHeight="1">
      <c r="A37" s="404" t="s">
        <v>1431</v>
      </c>
      <c r="B37" s="542">
        <v>6188300</v>
      </c>
      <c r="C37" s="542" t="s">
        <v>1344</v>
      </c>
      <c r="E37" s="1055">
        <f>IF(ISNA(VLOOKUP($A37,IS明細!B:D,3,0)),0,VLOOKUP($A37,IS明細!B:D,3,0))</f>
        <v>0</v>
      </c>
      <c r="F37" s="1055">
        <f>IF(ISNA(VLOOKUP($A37,IS明細!$B:F,5,0)),0,VLOOKUP($A37,IS明細!$B:F,5,0))</f>
        <v>0</v>
      </c>
      <c r="G37" s="1055">
        <f>IF(ISNA(VLOOKUP($A37,IS明細!$B:H,7,0)),0,VLOOKUP($A37,IS明細!$B:H,7,0))</f>
        <v>0</v>
      </c>
      <c r="H37" s="1055">
        <f>IF(ISNA(VLOOKUP($A37,IS明細!$B:J,9,0)),0,VLOOKUP($A37,IS明細!$B:J,9,0))</f>
        <v>0</v>
      </c>
      <c r="I37" s="1055">
        <f>IF(ISNA(VLOOKUP($A37,IS明細!$B:L,11,0)),0,VLOOKUP($A37,IS明細!$B:L,11,0))</f>
        <v>0</v>
      </c>
      <c r="J37" s="1055">
        <f>IF(ISNA(VLOOKUP($A37,IS明細!$B:N,13,0)),0,VLOOKUP($A37,IS明細!$B:N,13,0))</f>
        <v>0</v>
      </c>
      <c r="K37" s="1055">
        <f>IF(ISNA(VLOOKUP($A37,IS明細!$B:P,15,0)),0,VLOOKUP($A37,IS明細!$B:P,15,0))</f>
        <v>0</v>
      </c>
      <c r="L37" s="1055">
        <f>IF(ISNA(VLOOKUP($A37,IS明細!$B:R,17,0)),0,VLOOKUP($A37,IS明細!$B:R,17,0))</f>
        <v>0</v>
      </c>
      <c r="M37" s="1055">
        <f>IF(ISNA(VLOOKUP($A37,IS明細!$B:T,19,0)),0,VLOOKUP($A37,IS明細!$B:T,19,0))</f>
        <v>0</v>
      </c>
      <c r="N37" s="1055">
        <f>IF(ISNA(VLOOKUP($A37,IS明細!$B:V,21,0)),0,VLOOKUP($A37,IS明細!$B:V,21,0))</f>
        <v>0</v>
      </c>
      <c r="O37" s="1055">
        <f>IF(ISNA(VLOOKUP($A37,IS明細!$B:X,23,0)),0,VLOOKUP($A37,IS明細!$B:X,23,0))</f>
        <v>0</v>
      </c>
      <c r="P37" s="1055">
        <f>IF(ISNA(VLOOKUP($A37,IS明細!$B:Z,25,0)),0,VLOOKUP($A37,IS明細!$B:Z,25,0))</f>
        <v>0</v>
      </c>
      <c r="Q37" s="543">
        <f t="shared" si="1"/>
        <v>0</v>
      </c>
      <c r="R37" s="543">
        <f t="shared" si="0"/>
        <v>0</v>
      </c>
      <c r="S37" s="391"/>
      <c r="T37" s="600">
        <f t="shared" si="2"/>
        <v>0</v>
      </c>
      <c r="U37" s="712"/>
    </row>
    <row r="38" spans="1:33" ht="16.5" customHeight="1">
      <c r="A38" s="404" t="s">
        <v>1432</v>
      </c>
      <c r="B38" s="542">
        <v>6188400</v>
      </c>
      <c r="C38" s="542" t="s">
        <v>1392</v>
      </c>
      <c r="E38" s="1055">
        <f>IF(ISNA(VLOOKUP($A38,IS明細!B:D,3,0)),0,VLOOKUP($A38,IS明細!B:D,3,0))</f>
        <v>0</v>
      </c>
      <c r="F38" s="1055">
        <f>IF(ISNA(VLOOKUP($A38,IS明細!$B:F,5,0)),0,VLOOKUP($A38,IS明細!$B:F,5,0))</f>
        <v>0</v>
      </c>
      <c r="G38" s="1055">
        <f>IF(ISNA(VLOOKUP($A38,IS明細!$B:H,7,0)),0,VLOOKUP($A38,IS明細!$B:H,7,0))</f>
        <v>0</v>
      </c>
      <c r="H38" s="1055">
        <f>IF(ISNA(VLOOKUP($A38,IS明細!$B:J,9,0)),0,VLOOKUP($A38,IS明細!$B:J,9,0))</f>
        <v>0</v>
      </c>
      <c r="I38" s="1055">
        <f>IF(ISNA(VLOOKUP($A38,IS明細!$B:L,11,0)),0,VLOOKUP($A38,IS明細!$B:L,11,0))</f>
        <v>0</v>
      </c>
      <c r="J38" s="1055">
        <f>IF(ISNA(VLOOKUP($A38,IS明細!$B:N,13,0)),0,VLOOKUP($A38,IS明細!$B:N,13,0))</f>
        <v>0</v>
      </c>
      <c r="K38" s="1055">
        <f>IF(ISNA(VLOOKUP($A38,IS明細!$B:P,15,0)),0,VLOOKUP($A38,IS明細!$B:P,15,0))</f>
        <v>0</v>
      </c>
      <c r="L38" s="1055">
        <f>IF(ISNA(VLOOKUP($A38,IS明細!$B:R,17,0)),0,VLOOKUP($A38,IS明細!$B:R,17,0))</f>
        <v>0</v>
      </c>
      <c r="M38" s="1055">
        <f>IF(ISNA(VLOOKUP($A38,IS明細!$B:T,19,0)),0,VLOOKUP($A38,IS明細!$B:T,19,0))</f>
        <v>0</v>
      </c>
      <c r="N38" s="1055">
        <f>IF(ISNA(VLOOKUP($A38,IS明細!$B:V,21,0)),0,VLOOKUP($A38,IS明細!$B:V,21,0))</f>
        <v>0</v>
      </c>
      <c r="O38" s="1055">
        <f>IF(ISNA(VLOOKUP($A38,IS明細!$B:X,23,0)),0,VLOOKUP($A38,IS明細!$B:X,23,0))</f>
        <v>0</v>
      </c>
      <c r="P38" s="1055">
        <f>IF(ISNA(VLOOKUP($A38,IS明細!$B:Z,25,0)),0,VLOOKUP($A38,IS明細!$B:Z,25,0))</f>
        <v>0</v>
      </c>
      <c r="Q38" s="543">
        <f t="shared" si="1"/>
        <v>0</v>
      </c>
      <c r="R38" s="543">
        <f t="shared" si="0"/>
        <v>0</v>
      </c>
      <c r="S38" s="1056"/>
      <c r="T38" s="600">
        <f t="shared" si="2"/>
        <v>0</v>
      </c>
      <c r="U38" s="712"/>
    </row>
    <row r="39" spans="1:33" ht="68">
      <c r="A39" s="404" t="s">
        <v>1433</v>
      </c>
      <c r="B39" s="542">
        <v>6188500</v>
      </c>
      <c r="C39" s="542" t="s">
        <v>1434</v>
      </c>
      <c r="E39" s="1055">
        <f>IF(ISNA(VLOOKUP($A39,IS明細!B:D,3,0)),0,VLOOKUP($A39,IS明細!B:D,3,0))</f>
        <v>237798</v>
      </c>
      <c r="F39" s="1055">
        <f>IF(ISNA(VLOOKUP($A39,IS明細!$B:F,5,0)),0,VLOOKUP($A39,IS明細!$B:F,5,0))</f>
        <v>-7596</v>
      </c>
      <c r="G39" s="1055">
        <f>IF(ISNA(VLOOKUP($A39,IS明細!$B:H,7,0)),0,VLOOKUP($A39,IS明細!$B:H,7,0))</f>
        <v>-642916</v>
      </c>
      <c r="H39" s="1055">
        <f>IF(ISNA(VLOOKUP($A39,IS明細!$B:J,9,0)),0,VLOOKUP($A39,IS明細!$B:J,9,0))</f>
        <v>105729</v>
      </c>
      <c r="I39" s="1055">
        <f>IF(ISNA(VLOOKUP($A39,IS明細!$B:L,11,0)),0,VLOOKUP($A39,IS明細!$B:L,11,0))</f>
        <v>-129796</v>
      </c>
      <c r="J39" s="1055">
        <f>IF(ISNA(VLOOKUP($A39,IS明細!$B:N,13,0)),0,VLOOKUP($A39,IS明細!$B:N,13,0))</f>
        <v>48013</v>
      </c>
      <c r="K39" s="1055">
        <f>IF(ISNA(VLOOKUP($A39,IS明細!$B:P,15,0)),0,VLOOKUP($A39,IS明細!$B:P,15,0))</f>
        <v>160693</v>
      </c>
      <c r="L39" s="1055">
        <f>IF(ISNA(VLOOKUP($A39,IS明細!$B:R,17,0)),0,VLOOKUP($A39,IS明細!$B:R,17,0))</f>
        <v>180620</v>
      </c>
      <c r="M39" s="1055">
        <f>IF(ISNA(VLOOKUP($A39,IS明細!$B:T,19,0)),0,VLOOKUP($A39,IS明細!$B:T,19,0))</f>
        <v>0</v>
      </c>
      <c r="N39" s="1055">
        <f>IF(ISNA(VLOOKUP($A39,IS明細!$B:V,21,0)),0,VLOOKUP($A39,IS明細!$B:V,21,0))</f>
        <v>0</v>
      </c>
      <c r="O39" s="1055">
        <f>IF(ISNA(VLOOKUP($A39,IS明細!$B:X,23,0)),0,VLOOKUP($A39,IS明細!$B:X,23,0))</f>
        <v>0</v>
      </c>
      <c r="P39" s="1055">
        <f>IF(ISNA(VLOOKUP($A39,IS明細!$B:Z,25,0)),0,VLOOKUP($A39,IS明細!$B:Z,25,0))</f>
        <v>0</v>
      </c>
      <c r="Q39" s="543">
        <f t="shared" si="1"/>
        <v>-47455</v>
      </c>
      <c r="R39" s="543">
        <f t="shared" si="0"/>
        <v>-6779</v>
      </c>
      <c r="S39" s="400" t="s">
        <v>2082</v>
      </c>
      <c r="T39" s="600">
        <f t="shared" si="2"/>
        <v>19927</v>
      </c>
      <c r="U39" s="712"/>
      <c r="X39" s="712"/>
      <c r="AG39" s="712"/>
    </row>
    <row r="40" spans="1:33" ht="16.5" customHeight="1">
      <c r="A40" s="404" t="s">
        <v>1435</v>
      </c>
      <c r="B40" s="542">
        <v>6188900</v>
      </c>
      <c r="C40" s="542" t="s">
        <v>1350</v>
      </c>
      <c r="E40" s="1055">
        <f>IF(ISNA(VLOOKUP($A40,IS明細!B:D,3,0)),0,VLOOKUP($A40,IS明細!B:D,3,0))</f>
        <v>10947</v>
      </c>
      <c r="F40" s="1055">
        <f>IF(ISNA(VLOOKUP($A40,IS明細!$B:F,5,0)),0,VLOOKUP($A40,IS明細!$B:F,5,0))</f>
        <v>11010</v>
      </c>
      <c r="G40" s="1055">
        <f>IF(ISNA(VLOOKUP($A40,IS明細!$B:H,7,0)),0,VLOOKUP($A40,IS明細!$B:H,7,0))</f>
        <v>30142</v>
      </c>
      <c r="H40" s="1055">
        <f>IF(ISNA(VLOOKUP($A40,IS明細!$B:J,9,0)),0,VLOOKUP($A40,IS明細!$B:J,9,0))</f>
        <v>26499</v>
      </c>
      <c r="I40" s="1055">
        <f>IF(ISNA(VLOOKUP($A40,IS明細!$B:L,11,0)),0,VLOOKUP($A40,IS明細!$B:L,11,0))</f>
        <v>20537</v>
      </c>
      <c r="J40" s="1055">
        <f>IF(ISNA(VLOOKUP($A40,IS明細!$B:N,13,0)),0,VLOOKUP($A40,IS明細!$B:N,13,0))</f>
        <v>21888</v>
      </c>
      <c r="K40" s="1055">
        <f>IF(ISNA(VLOOKUP($A40,IS明細!$B:P,15,0)),0,VLOOKUP($A40,IS明細!$B:P,15,0))</f>
        <v>10566</v>
      </c>
      <c r="L40" s="1055">
        <f>IF(ISNA(VLOOKUP($A40,IS明細!$B:R,17,0)),0,VLOOKUP($A40,IS明細!$B:R,17,0))</f>
        <v>14922</v>
      </c>
      <c r="M40" s="1055">
        <f>IF(ISNA(VLOOKUP($A40,IS明細!$B:T,19,0)),0,VLOOKUP($A40,IS明細!$B:T,19,0))</f>
        <v>0</v>
      </c>
      <c r="N40" s="1055">
        <f>IF(ISNA(VLOOKUP($A40,IS明細!$B:V,21,0)),0,VLOOKUP($A40,IS明細!$B:V,21,0))</f>
        <v>0</v>
      </c>
      <c r="O40" s="1055">
        <f>IF(ISNA(VLOOKUP($A40,IS明細!$B:X,23,0)),0,VLOOKUP($A40,IS明細!$B:X,23,0))</f>
        <v>0</v>
      </c>
      <c r="P40" s="1055">
        <f>IF(ISNA(VLOOKUP($A40,IS明細!$B:Z,25,0)),0,VLOOKUP($A40,IS明細!$B:Z,25,0))</f>
        <v>0</v>
      </c>
      <c r="Q40" s="543">
        <f>SUM(E40:P40)</f>
        <v>146511</v>
      </c>
      <c r="R40" s="543">
        <f t="shared" si="0"/>
        <v>20930</v>
      </c>
      <c r="S40" s="1056" t="s">
        <v>1944</v>
      </c>
      <c r="T40" s="600">
        <f t="shared" si="2"/>
        <v>4356</v>
      </c>
      <c r="U40" s="712"/>
    </row>
    <row r="41" spans="1:33" ht="16.5" customHeight="1" thickBot="1">
      <c r="B41" s="542" t="s">
        <v>1436</v>
      </c>
      <c r="C41" s="404"/>
      <c r="E41" s="1067">
        <f t="shared" ref="E41:P41" si="3">SUM(E4:E34)-E6-E7</f>
        <v>2682181</v>
      </c>
      <c r="F41" s="1067">
        <f t="shared" si="3"/>
        <v>3034578</v>
      </c>
      <c r="G41" s="1067">
        <f t="shared" si="3"/>
        <v>2064980</v>
      </c>
      <c r="H41" s="1067">
        <f t="shared" si="3"/>
        <v>2828716</v>
      </c>
      <c r="I41" s="1067">
        <f t="shared" si="3"/>
        <v>2899107</v>
      </c>
      <c r="J41" s="1067">
        <f t="shared" si="3"/>
        <v>3746561</v>
      </c>
      <c r="K41" s="1067">
        <f t="shared" si="3"/>
        <v>3694714</v>
      </c>
      <c r="L41" s="1067">
        <f t="shared" si="3"/>
        <v>3586817</v>
      </c>
      <c r="M41" s="1067">
        <f t="shared" si="3"/>
        <v>0</v>
      </c>
      <c r="N41" s="1067">
        <f t="shared" si="3"/>
        <v>0</v>
      </c>
      <c r="O41" s="1067">
        <f t="shared" si="3"/>
        <v>0</v>
      </c>
      <c r="P41" s="1067">
        <f t="shared" si="3"/>
        <v>0</v>
      </c>
      <c r="Q41" s="1067">
        <f t="shared" ref="Q41" si="4">SUM(Q4:Q34)-Q6-Q7</f>
        <v>24537654</v>
      </c>
      <c r="R41" s="1067">
        <f>SUM(R4:R34)</f>
        <v>3517805</v>
      </c>
      <c r="T41" s="600">
        <f t="shared" si="2"/>
        <v>-107897</v>
      </c>
      <c r="U41" s="712"/>
      <c r="X41" s="712"/>
      <c r="AG41" s="712"/>
    </row>
    <row r="42" spans="1:33" ht="16.5" customHeight="1" thickTop="1">
      <c r="C42" s="404"/>
      <c r="E42" s="543">
        <f>IS明細!D134</f>
        <v>2682181</v>
      </c>
      <c r="F42" s="543">
        <f>IS明細!F134</f>
        <v>3034578</v>
      </c>
      <c r="G42" s="543">
        <f>IS明細!H134</f>
        <v>2064980</v>
      </c>
      <c r="H42" s="543">
        <f>IS明細!J134</f>
        <v>2828716</v>
      </c>
      <c r="I42" s="543">
        <f>IS明細!L134</f>
        <v>2899107</v>
      </c>
      <c r="J42" s="543">
        <f>IS明細!N134</f>
        <v>3746561</v>
      </c>
      <c r="K42" s="543">
        <f>IS明細!P134</f>
        <v>3694714</v>
      </c>
      <c r="L42" s="543">
        <f>IS明細!R134</f>
        <v>3586817</v>
      </c>
      <c r="M42" s="543">
        <f>IS明細!T134</f>
        <v>0</v>
      </c>
      <c r="N42" s="543">
        <f>IS明細!V134</f>
        <v>0</v>
      </c>
      <c r="O42" s="543">
        <f>IS明細!X134</f>
        <v>0</v>
      </c>
      <c r="P42" s="543">
        <f>IS明細!Z134</f>
        <v>0</v>
      </c>
      <c r="Q42" s="543">
        <f t="shared" ref="Q42" si="5">SUM(E42:P42)</f>
        <v>24537654</v>
      </c>
      <c r="R42" s="543"/>
      <c r="T42" s="600"/>
      <c r="U42" s="712"/>
      <c r="X42" s="712"/>
      <c r="AG42" s="712"/>
    </row>
    <row r="43" spans="1:33" ht="16.5" customHeight="1">
      <c r="C43" s="404"/>
      <c r="E43" s="543"/>
      <c r="F43" s="543"/>
      <c r="G43" s="543"/>
      <c r="H43" s="543"/>
      <c r="I43" s="543"/>
      <c r="J43" s="543"/>
      <c r="K43" s="543"/>
      <c r="L43" s="543"/>
      <c r="M43" s="543"/>
      <c r="N43" s="543"/>
      <c r="O43" s="543"/>
      <c r="P43" s="543"/>
      <c r="Q43" s="543"/>
      <c r="R43" s="1079"/>
      <c r="T43" s="600"/>
      <c r="U43" s="712"/>
      <c r="X43" s="712"/>
      <c r="AG43" s="712"/>
    </row>
    <row r="44" spans="1:33" ht="16.5" customHeight="1">
      <c r="E44" s="543"/>
      <c r="F44" s="543">
        <f>F41-E41</f>
        <v>352397</v>
      </c>
      <c r="G44" s="600">
        <f>G41-F41</f>
        <v>-969598</v>
      </c>
      <c r="H44" s="600">
        <f t="shared" ref="H44:M44" si="6">H41-G41</f>
        <v>763736</v>
      </c>
      <c r="I44" s="600">
        <f>I41-H41</f>
        <v>70391</v>
      </c>
      <c r="J44" s="600">
        <f t="shared" si="6"/>
        <v>847454</v>
      </c>
      <c r="K44" s="600">
        <f t="shared" si="6"/>
        <v>-51847</v>
      </c>
      <c r="L44" s="600">
        <f t="shared" si="6"/>
        <v>-107897</v>
      </c>
      <c r="M44" s="600">
        <f t="shared" si="6"/>
        <v>-3586817</v>
      </c>
      <c r="N44" s="600">
        <f>N41-M41</f>
        <v>0</v>
      </c>
      <c r="O44" s="600">
        <f>O41-N41</f>
        <v>0</v>
      </c>
      <c r="P44" s="600">
        <f>P41-O41</f>
        <v>0</v>
      </c>
      <c r="Q44" s="600"/>
      <c r="T44" s="600"/>
      <c r="X44" s="712"/>
      <c r="AG44" s="712"/>
    </row>
    <row r="45" spans="1:33" s="524" customFormat="1" ht="16.5" customHeight="1">
      <c r="F45" s="524" t="s">
        <v>1918</v>
      </c>
      <c r="G45" s="717" t="s">
        <v>1919</v>
      </c>
      <c r="H45" s="717" t="s">
        <v>1939</v>
      </c>
      <c r="I45" s="524" t="s">
        <v>1920</v>
      </c>
      <c r="J45" s="524" t="s">
        <v>1921</v>
      </c>
      <c r="K45" s="524" t="s">
        <v>1922</v>
      </c>
      <c r="L45" s="524" t="s">
        <v>1923</v>
      </c>
      <c r="M45" s="524" t="s">
        <v>1924</v>
      </c>
      <c r="N45" s="524" t="s">
        <v>1925</v>
      </c>
      <c r="O45" s="524" t="s">
        <v>1926</v>
      </c>
      <c r="P45" s="524" t="s">
        <v>1927</v>
      </c>
      <c r="R45" s="718"/>
      <c r="S45" s="1080"/>
      <c r="T45" s="1084"/>
    </row>
    <row r="46" spans="1:33" ht="16.5" customHeight="1">
      <c r="E46" s="543"/>
      <c r="F46" s="543"/>
    </row>
    <row r="47" spans="1:33" ht="16.5" customHeight="1">
      <c r="E47" s="544"/>
      <c r="F47" s="544"/>
      <c r="T47" s="1068"/>
    </row>
    <row r="48" spans="1:33" ht="16.5" customHeight="1">
      <c r="E48" s="544"/>
      <c r="F48" s="544"/>
      <c r="T48" s="1094"/>
    </row>
    <row r="49" spans="6:20" ht="16.5" customHeight="1">
      <c r="T49" s="1094"/>
    </row>
    <row r="50" spans="6:20" ht="16.5" customHeight="1">
      <c r="F50" s="600"/>
      <c r="T50" s="1094"/>
    </row>
    <row r="51" spans="6:20" ht="16.5" customHeight="1">
      <c r="T51" s="1094"/>
    </row>
    <row r="52" spans="6:20" ht="16.5" customHeight="1">
      <c r="T52" s="1094"/>
    </row>
    <row r="58" spans="6:20" ht="16.5" customHeight="1">
      <c r="G58" s="600"/>
    </row>
  </sheetData>
  <phoneticPr fontId="39" type="noConversion"/>
  <pageMargins left="0.15748031496062992" right="0.15748031496062992" top="0.35433070866141736" bottom="0.27559055118110237" header="0.15748031496062992" footer="0.15748031496062992"/>
  <pageSetup paperSize="9" scale="67" orientation="landscape" r:id="rId1"/>
  <headerFooter alignWithMargins="0">
    <oddHeader>&amp;R&amp;F--&amp;A</oddHeader>
    <oddFooter>&amp;RP.19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indexed="15"/>
    <pageSetUpPr fitToPage="1"/>
  </sheetPr>
  <dimension ref="A1:AE52"/>
  <sheetViews>
    <sheetView workbookViewId="0">
      <pane xSplit="4" ySplit="2" topLeftCell="K9" activePane="bottomRight" state="frozen"/>
      <selection activeCell="Q22" sqref="Q22"/>
      <selection pane="topRight" activeCell="Q22" sqref="Q22"/>
      <selection pane="bottomLeft" activeCell="Q22" sqref="Q22"/>
      <selection pane="bottomRight" activeCell="T3" sqref="T3:T39"/>
    </sheetView>
  </sheetViews>
  <sheetFormatPr baseColWidth="10" defaultColWidth="9.19921875" defaultRowHeight="16.5" customHeight="1" outlineLevelCol="1"/>
  <cols>
    <col min="1" max="1" width="34.59765625" style="404" hidden="1" customWidth="1"/>
    <col min="2" max="2" width="9.796875" style="404" customWidth="1"/>
    <col min="3" max="3" width="24" style="404" bestFit="1" customWidth="1"/>
    <col min="4" max="4" width="6.19921875" style="404" hidden="1" customWidth="1"/>
    <col min="5" max="5" width="12.796875" style="404" customWidth="1"/>
    <col min="6" max="9" width="11.3984375" style="404" customWidth="1"/>
    <col min="10" max="10" width="11.3984375" style="600" customWidth="1"/>
    <col min="11" max="12" width="11.3984375" style="404" customWidth="1"/>
    <col min="13" max="13" width="11.3984375" style="404" hidden="1" customWidth="1" outlineLevel="1"/>
    <col min="14" max="14" width="12.796875" style="404" hidden="1" customWidth="1" outlineLevel="1"/>
    <col min="15" max="15" width="14.19921875" style="404" hidden="1" customWidth="1" outlineLevel="1"/>
    <col min="16" max="16" width="13.796875" style="404" hidden="1" customWidth="1" outlineLevel="1"/>
    <col min="17" max="17" width="12.796875" style="404" bestFit="1" customWidth="1" collapsed="1"/>
    <col min="18" max="18" width="12.796875" style="404" bestFit="1" customWidth="1"/>
    <col min="19" max="19" width="39.796875" style="391" customWidth="1"/>
    <col min="20" max="20" width="11.796875" style="405" bestFit="1" customWidth="1"/>
    <col min="21" max="16384" width="9.19921875" style="404"/>
  </cols>
  <sheetData>
    <row r="1" spans="1:21" s="524" customFormat="1" ht="16.5" customHeight="1" thickBot="1">
      <c r="B1" s="1045" t="s">
        <v>1928</v>
      </c>
      <c r="E1" s="1046" t="s">
        <v>1767</v>
      </c>
      <c r="F1" s="1046" t="s">
        <v>1768</v>
      </c>
      <c r="G1" s="1046" t="s">
        <v>1769</v>
      </c>
      <c r="H1" s="1046" t="s">
        <v>1770</v>
      </c>
      <c r="I1" s="1046" t="s">
        <v>1771</v>
      </c>
      <c r="J1" s="1046" t="s">
        <v>1772</v>
      </c>
      <c r="K1" s="1046" t="s">
        <v>1773</v>
      </c>
      <c r="L1" s="1046" t="s">
        <v>1774</v>
      </c>
      <c r="M1" s="1046" t="s">
        <v>1775</v>
      </c>
      <c r="N1" s="1046" t="s">
        <v>1776</v>
      </c>
      <c r="O1" s="1046" t="s">
        <v>1777</v>
      </c>
      <c r="P1" s="1046" t="s">
        <v>1778</v>
      </c>
      <c r="Q1" s="1047" t="s">
        <v>1903</v>
      </c>
      <c r="R1" s="1048" t="s">
        <v>1282</v>
      </c>
      <c r="S1" s="1049" t="str">
        <f>[3]製造費用明細!S1</f>
        <v>說明</v>
      </c>
      <c r="T1" s="1084"/>
    </row>
    <row r="2" spans="1:21" ht="16.5" customHeight="1" thickTop="1" thickBot="1">
      <c r="C2" s="711" t="s">
        <v>1143</v>
      </c>
      <c r="D2" s="524" t="s">
        <v>1143</v>
      </c>
      <c r="E2" s="1051">
        <f t="shared" ref="E2:J2" si="0">5+3+3</f>
        <v>11</v>
      </c>
      <c r="F2" s="1051">
        <f t="shared" si="0"/>
        <v>11</v>
      </c>
      <c r="G2" s="1051">
        <f t="shared" si="0"/>
        <v>11</v>
      </c>
      <c r="H2" s="1051">
        <f t="shared" si="0"/>
        <v>11</v>
      </c>
      <c r="I2" s="1051">
        <f t="shared" si="0"/>
        <v>11</v>
      </c>
      <c r="J2" s="1051">
        <f t="shared" si="0"/>
        <v>11</v>
      </c>
      <c r="K2" s="1051">
        <f>5+3+3</f>
        <v>11</v>
      </c>
      <c r="L2" s="1051">
        <f>5+3+3</f>
        <v>11</v>
      </c>
      <c r="M2" s="1051">
        <v>0</v>
      </c>
      <c r="N2" s="1051">
        <v>0</v>
      </c>
      <c r="O2" s="1051">
        <v>0</v>
      </c>
      <c r="P2" s="1051">
        <v>0</v>
      </c>
      <c r="Q2" s="1052"/>
      <c r="R2" s="1048">
        <v>7</v>
      </c>
      <c r="T2" s="1084"/>
    </row>
    <row r="3" spans="1:21" ht="16.5" customHeight="1" thickTop="1">
      <c r="A3" s="404" t="s">
        <v>1351</v>
      </c>
      <c r="B3" s="1054" t="s">
        <v>475</v>
      </c>
      <c r="C3" s="404" t="s">
        <v>1284</v>
      </c>
      <c r="E3" s="1055">
        <f>IF(ISNA(VLOOKUP($A3,IS明細!B:D,3,0)),0,VLOOKUP($A3,IS明細!B:D,3,0))</f>
        <v>1348010</v>
      </c>
      <c r="F3" s="1055">
        <f>IF(ISNA(VLOOKUP($A3,IS明細!$B:F,5,0)),0,VLOOKUP($A3,IS明細!$B:F,5,0))</f>
        <v>1387258</v>
      </c>
      <c r="G3" s="1055">
        <f>IF(ISNA(VLOOKUP($A3,IS明細!$B:H,7,0)),0,VLOOKUP($A3,IS明細!$B:H,7,0))</f>
        <v>1338557</v>
      </c>
      <c r="H3" s="1055">
        <f>IF(ISNA(VLOOKUP($A3,IS明細!$B:J,9,0)),0,VLOOKUP($A3,IS明細!$B:J,9,0))</f>
        <v>1330622</v>
      </c>
      <c r="I3" s="1055">
        <f>IF(ISNA(VLOOKUP($A3,IS明細!$B:L,11,0)),0,VLOOKUP($A3,IS明細!$B:L,11,0))</f>
        <v>1336029</v>
      </c>
      <c r="J3" s="1055">
        <f>IF(ISNA(VLOOKUP($A3,IS明細!$B:N,13,0)),0,VLOOKUP($A3,IS明細!$B:N,13,0))</f>
        <v>1353207</v>
      </c>
      <c r="K3" s="1055">
        <f>IF(ISNA(VLOOKUP($A3,IS明細!$B:P,15,0)),0,VLOOKUP($A3,IS明細!$B:P,15,0))</f>
        <v>3014551</v>
      </c>
      <c r="L3" s="1055">
        <f>IF(ISNA(VLOOKUP($A3,IS明細!$B:R,17,0)),0,VLOOKUP($A3,IS明細!$B:R,17,0))</f>
        <v>1355631</v>
      </c>
      <c r="M3" s="1055">
        <f>IF(ISNA(VLOOKUP($A3,IS明細!$B:T,19,0)),0,VLOOKUP($A3,IS明細!$B:T,19,0))</f>
        <v>0</v>
      </c>
      <c r="N3" s="1055">
        <f>IF(ISNA(VLOOKUP($A3,IS明細!$B:V,21,0)),0,VLOOKUP($A3,IS明細!$B:V,21,0))</f>
        <v>0</v>
      </c>
      <c r="O3" s="1055">
        <f>IF(ISNA(VLOOKUP($A3,IS明細!$B:X,23,0)),0,VLOOKUP($A3,IS明細!$B:X,23,0))</f>
        <v>0</v>
      </c>
      <c r="P3" s="1055">
        <f>IF(ISNA(VLOOKUP($A3,IS明細!$B:Z,25,0)),0,VLOOKUP($A3,IS明細!$B:Z,25,0))</f>
        <v>0</v>
      </c>
      <c r="Q3" s="543">
        <f>SUM(E3:P3)</f>
        <v>12463865</v>
      </c>
      <c r="R3" s="543">
        <f t="shared" ref="R3:R38" si="1">ROUND(Q3/$R$2,0)</f>
        <v>1780552</v>
      </c>
      <c r="S3" s="1056"/>
      <c r="T3" s="600">
        <f>L3-K3</f>
        <v>-1658920</v>
      </c>
      <c r="U3" s="712"/>
    </row>
    <row r="4" spans="1:21" ht="16.5" customHeight="1">
      <c r="A4" s="404" t="s">
        <v>1352</v>
      </c>
      <c r="B4" s="1054" t="s">
        <v>476</v>
      </c>
      <c r="C4" s="404" t="s">
        <v>1286</v>
      </c>
      <c r="E4" s="1055">
        <f>IF(ISNA(VLOOKUP($A4,IS明細!B:D,3,0)),0,VLOOKUP($A4,IS明細!B:D,3,0))</f>
        <v>965400</v>
      </c>
      <c r="F4" s="1055">
        <f>IF(ISNA(VLOOKUP($A4,IS明細!$B:F,5,0)),0,VLOOKUP($A4,IS明細!$B:F,5,0))</f>
        <v>996534</v>
      </c>
      <c r="G4" s="1055">
        <f>IF(ISNA(VLOOKUP($A4,IS明細!$B:H,7,0)),0,VLOOKUP($A4,IS明細!$B:H,7,0))</f>
        <v>997200</v>
      </c>
      <c r="H4" s="1055">
        <f>IF(ISNA(VLOOKUP($A4,IS明細!$B:J,9,0)),0,VLOOKUP($A4,IS明細!$B:J,9,0))</f>
        <v>993898</v>
      </c>
      <c r="I4" s="1055">
        <f>IF(ISNA(VLOOKUP($A4,IS明細!$B:L,11,0)),0,VLOOKUP($A4,IS明細!$B:L,11,0))</f>
        <v>997200</v>
      </c>
      <c r="J4" s="1055">
        <f>IF(ISNA(VLOOKUP($A4,IS明細!$B:N,13,0)),0,VLOOKUP($A4,IS明細!$B:N,13,0))</f>
        <v>1016483</v>
      </c>
      <c r="K4" s="1055">
        <f>IF(ISNA(VLOOKUP($A4,IS明細!$B:P,15,0)),0,VLOOKUP($A4,IS明細!$B:P,15,0))</f>
        <v>996534</v>
      </c>
      <c r="L4" s="1055">
        <f>IF(ISNA(VLOOKUP($A4,IS明細!$B:R,17,0)),0,VLOOKUP($A4,IS明細!$B:R,17,0))</f>
        <v>1000904</v>
      </c>
      <c r="M4" s="1055">
        <f>IF(ISNA(VLOOKUP($A4,IS明細!$B:T,19,0)),0,VLOOKUP($A4,IS明細!$B:T,19,0))</f>
        <v>0</v>
      </c>
      <c r="N4" s="1055">
        <f>IF(ISNA(VLOOKUP($A4,IS明細!$B:V,21,0)),0,VLOOKUP($A4,IS明細!$B:V,21,0))</f>
        <v>0</v>
      </c>
      <c r="O4" s="1055">
        <f>IF(ISNA(VLOOKUP($A4,IS明細!$B:X,23,0)),0,VLOOKUP($A4,IS明細!$B:X,23,0))</f>
        <v>0</v>
      </c>
      <c r="P4" s="1055">
        <f>IF(ISNA(VLOOKUP($A4,IS明細!$B:Z,25,0)),0,VLOOKUP($A4,IS明細!$B:Z,25,0))</f>
        <v>0</v>
      </c>
      <c r="Q4" s="543">
        <f t="shared" ref="Q4:R40" si="2">SUM(E4:P4)</f>
        <v>7964153</v>
      </c>
      <c r="R4" s="543">
        <f t="shared" si="1"/>
        <v>1137736</v>
      </c>
      <c r="S4" s="1071"/>
      <c r="T4" s="600">
        <f t="shared" ref="T4:T39" si="3">L4-K4</f>
        <v>4370</v>
      </c>
      <c r="U4" s="712"/>
    </row>
    <row r="5" spans="1:21" ht="16.5" customHeight="1">
      <c r="A5" s="404" t="s">
        <v>1353</v>
      </c>
      <c r="B5" s="1054" t="s">
        <v>477</v>
      </c>
      <c r="C5" s="404" t="s">
        <v>1288</v>
      </c>
      <c r="E5" s="1055">
        <f>IF(ISNA(VLOOKUP($A5,IS明細!B:D,3,0)),0,VLOOKUP($A5,IS明細!B:D,3,0))</f>
        <v>0</v>
      </c>
      <c r="F5" s="1055">
        <f>IF(ISNA(VLOOKUP($A5,IS明細!$B:F,5,0)),0,VLOOKUP($A5,IS明細!$B:F,5,0))</f>
        <v>0</v>
      </c>
      <c r="G5" s="1055">
        <f>IF(ISNA(VLOOKUP($A5,IS明細!$B:H,7,0)),0,VLOOKUP($A5,IS明細!$B:H,7,0))</f>
        <v>1433</v>
      </c>
      <c r="H5" s="1055">
        <f>IF(ISNA(VLOOKUP($A5,IS明細!$B:J,9,0)),0,VLOOKUP($A5,IS明細!$B:J,9,0))</f>
        <v>0</v>
      </c>
      <c r="I5" s="1055">
        <f>IF(ISNA(VLOOKUP($A5,IS明細!$B:L,11,0)),0,VLOOKUP($A5,IS明細!$B:L,11,0))</f>
        <v>2219</v>
      </c>
      <c r="J5" s="1055">
        <f>IF(ISNA(VLOOKUP($A5,IS明細!$B:N,13,0)),0,VLOOKUP($A5,IS明細!$B:N,13,0))</f>
        <v>0</v>
      </c>
      <c r="K5" s="1055">
        <f>IF(ISNA(VLOOKUP($A5,IS明細!$B:P,15,0)),0,VLOOKUP($A5,IS明細!$B:P,15,0))</f>
        <v>1925</v>
      </c>
      <c r="L5" s="1055">
        <f>IF(ISNA(VLOOKUP($A5,IS明細!$B:R,17,0)),0,VLOOKUP($A5,IS明細!$B:R,17,0))</f>
        <v>16553</v>
      </c>
      <c r="M5" s="1055">
        <f>IF(ISNA(VLOOKUP($A5,IS明細!$B:T,19,0)),0,VLOOKUP($A5,IS明細!$B:T,19,0))</f>
        <v>0</v>
      </c>
      <c r="N5" s="1055">
        <f>IF(ISNA(VLOOKUP($A5,IS明細!$B:V,21,0)),0,VLOOKUP($A5,IS明細!$B:V,21,0))</f>
        <v>0</v>
      </c>
      <c r="O5" s="1055">
        <f>IF(ISNA(VLOOKUP($A5,IS明細!$B:X,23,0)),0,VLOOKUP($A5,IS明細!$B:X,23,0))</f>
        <v>0</v>
      </c>
      <c r="P5" s="1055">
        <f>IF(ISNA(VLOOKUP($A5,IS明細!$B:Z,25,0)),0,VLOOKUP($A5,IS明細!$B:Z,25,0))</f>
        <v>0</v>
      </c>
      <c r="Q5" s="543">
        <f t="shared" si="2"/>
        <v>22130</v>
      </c>
      <c r="R5" s="543">
        <f t="shared" si="1"/>
        <v>3161</v>
      </c>
      <c r="S5" s="1071"/>
      <c r="T5" s="600">
        <f t="shared" si="3"/>
        <v>14628</v>
      </c>
      <c r="U5" s="712"/>
    </row>
    <row r="6" spans="1:21" ht="16.5" customHeight="1">
      <c r="A6" s="404" t="s">
        <v>1354</v>
      </c>
      <c r="B6" s="1054" t="s">
        <v>478</v>
      </c>
      <c r="C6" s="404" t="s">
        <v>1290</v>
      </c>
      <c r="E6" s="1055">
        <f>IF(ISNA(VLOOKUP($A6,IS明細!B:D,3,0)),0,VLOOKUP($A6,IS明細!B:D,3,0))</f>
        <v>0</v>
      </c>
      <c r="F6" s="1055">
        <f>IF(ISNA(VLOOKUP($A6,IS明細!$B:F,5,0)),0,VLOOKUP($A6,IS明細!$B:F,5,0))</f>
        <v>0</v>
      </c>
      <c r="G6" s="1055">
        <f>IF(ISNA(VLOOKUP($A6,IS明細!$B:H,7,0)),0,VLOOKUP($A6,IS明細!$B:H,7,0))</f>
        <v>0</v>
      </c>
      <c r="H6" s="1055">
        <f>IF(ISNA(VLOOKUP($A6,IS明細!$B:J,9,0)),0,VLOOKUP($A6,IS明細!$B:J,9,0))</f>
        <v>0</v>
      </c>
      <c r="I6" s="1055">
        <f>IF(ISNA(VLOOKUP($A6,IS明細!$B:L,11,0)),0,VLOOKUP($A6,IS明細!$B:L,11,0))</f>
        <v>0</v>
      </c>
      <c r="J6" s="1055">
        <f>IF(ISNA(VLOOKUP($A6,IS明細!$B:N,13,0)),0,VLOOKUP($A6,IS明細!$B:N,13,0))</f>
        <v>0</v>
      </c>
      <c r="K6" s="1055">
        <f>IF(ISNA(VLOOKUP($A6,IS明細!$B:P,15,0)),0,VLOOKUP($A6,IS明細!$B:P,15,0))</f>
        <v>0</v>
      </c>
      <c r="L6" s="1055">
        <f>IF(ISNA(VLOOKUP($A6,IS明細!$B:R,17,0)),0,VLOOKUP($A6,IS明細!$B:R,17,0))</f>
        <v>0</v>
      </c>
      <c r="M6" s="1055">
        <f>IF(ISNA(VLOOKUP($A6,IS明細!$B:T,19,0)),0,VLOOKUP($A6,IS明細!$B:T,19,0))</f>
        <v>0</v>
      </c>
      <c r="N6" s="1055">
        <f>IF(ISNA(VLOOKUP($A6,IS明細!$B:V,21,0)),0,VLOOKUP($A6,IS明細!$B:V,21,0))</f>
        <v>0</v>
      </c>
      <c r="O6" s="1055">
        <f>IF(ISNA(VLOOKUP($A6,IS明細!$B:X,23,0)),0,VLOOKUP($A6,IS明細!$B:X,23,0))</f>
        <v>0</v>
      </c>
      <c r="P6" s="1055">
        <f>IF(ISNA(VLOOKUP($A6,IS明細!$B:Z,25,0)),0,VLOOKUP($A6,IS明細!$B:Z,25,0))</f>
        <v>0</v>
      </c>
      <c r="Q6" s="543">
        <f t="shared" si="2"/>
        <v>0</v>
      </c>
      <c r="R6" s="543">
        <f t="shared" si="1"/>
        <v>0</v>
      </c>
      <c r="S6" s="1071"/>
      <c r="T6" s="600">
        <f t="shared" si="3"/>
        <v>0</v>
      </c>
      <c r="U6" s="712"/>
    </row>
    <row r="7" spans="1:21" ht="16.5" customHeight="1">
      <c r="A7" s="404" t="s">
        <v>1355</v>
      </c>
      <c r="B7" s="1054" t="s">
        <v>479</v>
      </c>
      <c r="C7" s="404" t="s">
        <v>1292</v>
      </c>
      <c r="E7" s="1055">
        <f>IF(ISNA(VLOOKUP($A7,IS明細!B:D,3,0)),0,VLOOKUP($A7,IS明細!B:D,3,0))</f>
        <v>0</v>
      </c>
      <c r="F7" s="1055">
        <f>IF(ISNA(VLOOKUP($A7,IS明細!$B:F,5,0)),0,VLOOKUP($A7,IS明細!$B:F,5,0))</f>
        <v>0</v>
      </c>
      <c r="G7" s="1055">
        <f>IF(ISNA(VLOOKUP($A7,IS明細!$B:H,7,0)),0,VLOOKUP($A7,IS明細!$B:H,7,0))</f>
        <v>1433</v>
      </c>
      <c r="H7" s="1055">
        <f>IF(ISNA(VLOOKUP($A7,IS明細!$B:J,9,0)),0,VLOOKUP($A7,IS明細!$B:J,9,0))</f>
        <v>0</v>
      </c>
      <c r="I7" s="1055">
        <f>IF(ISNA(VLOOKUP($A7,IS明細!$B:L,11,0)),0,VLOOKUP($A7,IS明細!$B:L,11,0))</f>
        <v>2219</v>
      </c>
      <c r="J7" s="1055">
        <f>IF(ISNA(VLOOKUP($A7,IS明細!$B:N,13,0)),0,VLOOKUP($A7,IS明細!$B:N,13,0))</f>
        <v>0</v>
      </c>
      <c r="K7" s="1055">
        <f>IF(ISNA(VLOOKUP($A7,IS明細!$B:P,15,0)),0,VLOOKUP($A7,IS明細!$B:P,15,0))</f>
        <v>1925</v>
      </c>
      <c r="L7" s="1055">
        <f>IF(ISNA(VLOOKUP($A7,IS明細!$B:R,17,0)),0,VLOOKUP($A7,IS明細!$B:R,17,0))</f>
        <v>16553</v>
      </c>
      <c r="M7" s="1055">
        <f>IF(ISNA(VLOOKUP($A7,IS明細!$B:T,19,0)),0,VLOOKUP($A7,IS明細!$B:T,19,0))</f>
        <v>0</v>
      </c>
      <c r="N7" s="1055">
        <f>IF(ISNA(VLOOKUP($A7,IS明細!$B:V,21,0)),0,VLOOKUP($A7,IS明細!$B:V,21,0))</f>
        <v>0</v>
      </c>
      <c r="O7" s="1055">
        <f>IF(ISNA(VLOOKUP($A7,IS明細!$B:X,23,0)),0,VLOOKUP($A7,IS明細!$B:X,23,0))</f>
        <v>0</v>
      </c>
      <c r="P7" s="1055">
        <f>IF(ISNA(VLOOKUP($A7,IS明細!$B:Z,25,0)),0,VLOOKUP($A7,IS明細!$B:Z,25,0))</f>
        <v>0</v>
      </c>
      <c r="Q7" s="543">
        <f t="shared" si="2"/>
        <v>22130</v>
      </c>
      <c r="R7" s="543">
        <f t="shared" si="1"/>
        <v>3161</v>
      </c>
      <c r="T7" s="600">
        <f t="shared" si="3"/>
        <v>14628</v>
      </c>
      <c r="U7" s="712"/>
    </row>
    <row r="8" spans="1:21" ht="16.5" customHeight="1">
      <c r="A8" s="404" t="s">
        <v>1356</v>
      </c>
      <c r="B8" s="1054" t="s">
        <v>480</v>
      </c>
      <c r="C8" s="404" t="s">
        <v>1294</v>
      </c>
      <c r="E8" s="1055">
        <f>IF(ISNA(VLOOKUP($A8,IS明細!B:D,3,0)),0,VLOOKUP($A8,IS明細!B:D,3,0))</f>
        <v>330500</v>
      </c>
      <c r="F8" s="1055">
        <f>IF(ISNA(VLOOKUP($A8,IS明細!$B:F,5,0)),0,VLOOKUP($A8,IS明細!$B:F,5,0))</f>
        <v>338500</v>
      </c>
      <c r="G8" s="1055">
        <f>IF(ISNA(VLOOKUP($A8,IS明細!$B:H,7,0)),0,VLOOKUP($A8,IS明細!$B:H,7,0))</f>
        <v>287700</v>
      </c>
      <c r="H8" s="1055">
        <f>IF(ISNA(VLOOKUP($A8,IS明細!$B:J,9,0)),0,VLOOKUP($A8,IS明細!$B:J,9,0))</f>
        <v>284500</v>
      </c>
      <c r="I8" s="1055">
        <f>IF(ISNA(VLOOKUP($A8,IS明細!$B:L,11,0)),0,VLOOKUP($A8,IS明細!$B:L,11,0))</f>
        <v>284500</v>
      </c>
      <c r="J8" s="1055">
        <f>IF(ISNA(VLOOKUP($A8,IS明細!$B:N,13,0)),0,VLOOKUP($A8,IS明細!$B:N,13,0))</f>
        <v>284500</v>
      </c>
      <c r="K8" s="1055">
        <f>IF(ISNA(VLOOKUP($A8,IS明細!$B:P,15,0)),0,VLOOKUP($A8,IS明細!$B:P,15,0))</f>
        <v>1963868</v>
      </c>
      <c r="L8" s="1055">
        <f>IF(ISNA(VLOOKUP($A8,IS明細!$B:R,17,0)),0,VLOOKUP($A8,IS明細!$B:R,17,0))</f>
        <v>285500</v>
      </c>
      <c r="M8" s="1055">
        <f>IF(ISNA(VLOOKUP($A8,IS明細!$B:T,19,0)),0,VLOOKUP($A8,IS明細!$B:T,19,0))</f>
        <v>0</v>
      </c>
      <c r="N8" s="1055">
        <f>IF(ISNA(VLOOKUP($A8,IS明細!$B:V,21,0)),0,VLOOKUP($A8,IS明細!$B:V,21,0))</f>
        <v>0</v>
      </c>
      <c r="O8" s="1055">
        <f>IF(ISNA(VLOOKUP($A8,IS明細!$B:X,23,0)),0,VLOOKUP($A8,IS明細!$B:X,23,0))</f>
        <v>0</v>
      </c>
      <c r="P8" s="1055">
        <f>IF(ISNA(VLOOKUP($A8,IS明細!$B:Z,25,0)),0,VLOOKUP($A8,IS明細!$B:Z,25,0))</f>
        <v>0</v>
      </c>
      <c r="Q8" s="543">
        <f t="shared" si="2"/>
        <v>4059568</v>
      </c>
      <c r="R8" s="543">
        <f t="shared" si="1"/>
        <v>579938</v>
      </c>
      <c r="S8" s="1058" t="s">
        <v>2074</v>
      </c>
      <c r="T8" s="600">
        <f t="shared" si="3"/>
        <v>-1678368</v>
      </c>
      <c r="U8" s="712"/>
    </row>
    <row r="9" spans="1:21" ht="16.5" customHeight="1">
      <c r="A9" s="404" t="s">
        <v>1357</v>
      </c>
      <c r="B9" s="1054" t="s">
        <v>481</v>
      </c>
      <c r="C9" s="404" t="s">
        <v>1296</v>
      </c>
      <c r="E9" s="1055">
        <f>IF(ISNA(VLOOKUP($A9,IS明細!B:D,3,0)),0,VLOOKUP($A9,IS明細!B:D,3,0))</f>
        <v>52110</v>
      </c>
      <c r="F9" s="1055">
        <f>IF(ISNA(VLOOKUP($A9,IS明細!$B:F,5,0)),0,VLOOKUP($A9,IS明細!$B:F,5,0))</f>
        <v>52224</v>
      </c>
      <c r="G9" s="1055">
        <f>IF(ISNA(VLOOKUP($A9,IS明細!$B:H,7,0)),0,VLOOKUP($A9,IS明細!$B:H,7,0))</f>
        <v>52224</v>
      </c>
      <c r="H9" s="1055">
        <f>IF(ISNA(VLOOKUP($A9,IS明細!$B:J,9,0)),0,VLOOKUP($A9,IS明細!$B:J,9,0))</f>
        <v>52224</v>
      </c>
      <c r="I9" s="1055">
        <f>IF(ISNA(VLOOKUP($A9,IS明細!$B:L,11,0)),0,VLOOKUP($A9,IS明細!$B:L,11,0))</f>
        <v>52110</v>
      </c>
      <c r="J9" s="1055">
        <f>IF(ISNA(VLOOKUP($A9,IS明細!$B:N,13,0)),0,VLOOKUP($A9,IS明細!$B:N,13,0))</f>
        <v>52224</v>
      </c>
      <c r="K9" s="1055">
        <f>IF(ISNA(VLOOKUP($A9,IS明細!$B:P,15,0)),0,VLOOKUP($A9,IS明細!$B:P,15,0))</f>
        <v>52224</v>
      </c>
      <c r="L9" s="1055">
        <f>IF(ISNA(VLOOKUP($A9,IS明細!$B:R,17,0)),0,VLOOKUP($A9,IS明細!$B:R,17,0))</f>
        <v>52674</v>
      </c>
      <c r="M9" s="1055">
        <f>IF(ISNA(VLOOKUP($A9,IS明細!$B:T,19,0)),0,VLOOKUP($A9,IS明細!$B:T,19,0))</f>
        <v>0</v>
      </c>
      <c r="N9" s="1055">
        <f>IF(ISNA(VLOOKUP($A9,IS明細!$B:V,21,0)),0,VLOOKUP($A9,IS明細!$B:V,21,0))</f>
        <v>0</v>
      </c>
      <c r="O9" s="1055">
        <f>IF(ISNA(VLOOKUP($A9,IS明細!$B:X,23,0)),0,VLOOKUP($A9,IS明細!$B:X,23,0))</f>
        <v>0</v>
      </c>
      <c r="P9" s="1055">
        <f>IF(ISNA(VLOOKUP($A9,IS明細!$B:Z,25,0)),0,VLOOKUP($A9,IS明細!$B:Z,25,0))</f>
        <v>0</v>
      </c>
      <c r="Q9" s="543">
        <f t="shared" si="2"/>
        <v>418014</v>
      </c>
      <c r="R9" s="543">
        <f t="shared" si="1"/>
        <v>59716</v>
      </c>
      <c r="S9" s="1071"/>
      <c r="T9" s="600">
        <f t="shared" si="3"/>
        <v>450</v>
      </c>
      <c r="U9" s="712"/>
    </row>
    <row r="10" spans="1:21" ht="16.5" customHeight="1">
      <c r="A10" s="404" t="s">
        <v>1358</v>
      </c>
      <c r="B10" s="1054" t="s">
        <v>482</v>
      </c>
      <c r="C10" s="404" t="s">
        <v>1298</v>
      </c>
      <c r="E10" s="1055">
        <f>IF(ISNA(VLOOKUP($A10,IS明細!B:D,3,0)),0,VLOOKUP($A10,IS明細!B:D,3,0))</f>
        <v>0</v>
      </c>
      <c r="F10" s="1055">
        <f>IF(ISNA(VLOOKUP($A10,IS明細!$B:F,5,0)),0,VLOOKUP($A10,IS明細!$B:F,5,0))</f>
        <v>0</v>
      </c>
      <c r="G10" s="1055">
        <f>IF(ISNA(VLOOKUP($A10,IS明細!$B:H,7,0)),0,VLOOKUP($A10,IS明細!$B:H,7,0))</f>
        <v>0</v>
      </c>
      <c r="H10" s="1055">
        <f>IF(ISNA(VLOOKUP($A10,IS明細!$B:J,9,0)),0,VLOOKUP($A10,IS明細!$B:J,9,0))</f>
        <v>0</v>
      </c>
      <c r="I10" s="1055">
        <f>IF(ISNA(VLOOKUP($A10,IS明細!$B:L,11,0)),0,VLOOKUP($A10,IS明細!$B:L,11,0))</f>
        <v>0</v>
      </c>
      <c r="J10" s="1055">
        <f>IF(ISNA(VLOOKUP($A10,IS明細!$B:N,13,0)),0,VLOOKUP($A10,IS明細!$B:N,13,0))</f>
        <v>0</v>
      </c>
      <c r="K10" s="1055">
        <f>IF(ISNA(VLOOKUP($A10,IS明細!$B:P,15,0)),0,VLOOKUP($A10,IS明細!$B:P,15,0))</f>
        <v>0</v>
      </c>
      <c r="L10" s="1055">
        <f>IF(ISNA(VLOOKUP($A10,IS明細!$B:R,17,0)),0,VLOOKUP($A10,IS明細!$B:R,17,0))</f>
        <v>0</v>
      </c>
      <c r="M10" s="1055">
        <f>IF(ISNA(VLOOKUP($A10,IS明細!$B:T,19,0)),0,VLOOKUP($A10,IS明細!$B:T,19,0))</f>
        <v>0</v>
      </c>
      <c r="N10" s="1055">
        <f>IF(ISNA(VLOOKUP($A10,IS明細!$B:V,21,0)),0,VLOOKUP($A10,IS明細!$B:V,21,0))</f>
        <v>0</v>
      </c>
      <c r="O10" s="1055">
        <f>IF(ISNA(VLOOKUP($A10,IS明細!$B:X,23,0)),0,VLOOKUP($A10,IS明細!$B:X,23,0))</f>
        <v>0</v>
      </c>
      <c r="P10" s="1055">
        <f>IF(ISNA(VLOOKUP($A10,IS明細!$B:Z,25,0)),0,VLOOKUP($A10,IS明細!$B:Z,25,0))</f>
        <v>0</v>
      </c>
      <c r="Q10" s="543">
        <f t="shared" si="2"/>
        <v>0</v>
      </c>
      <c r="R10" s="543">
        <f t="shared" si="1"/>
        <v>0</v>
      </c>
      <c r="S10" s="1071"/>
      <c r="T10" s="600">
        <f t="shared" si="3"/>
        <v>0</v>
      </c>
      <c r="U10" s="712"/>
    </row>
    <row r="11" spans="1:21" ht="16.5" customHeight="1">
      <c r="A11" s="404" t="s">
        <v>1359</v>
      </c>
      <c r="B11" s="1054" t="s">
        <v>507</v>
      </c>
      <c r="C11" s="404" t="s">
        <v>1300</v>
      </c>
      <c r="E11" s="1055">
        <f>IF(ISNA(VLOOKUP($A11,IS明細!B:D,3,0)),0,VLOOKUP($A11,IS明細!B:D,3,0))</f>
        <v>9214</v>
      </c>
      <c r="F11" s="1055">
        <f>IF(ISNA(VLOOKUP($A11,IS明細!$B:F,5,0)),0,VLOOKUP($A11,IS明細!$B:F,5,0))</f>
        <v>9214</v>
      </c>
      <c r="G11" s="1055">
        <f>IF(ISNA(VLOOKUP($A11,IS明細!$B:H,7,0)),0,VLOOKUP($A11,IS明細!$B:H,7,0))</f>
        <v>9215</v>
      </c>
      <c r="H11" s="1055">
        <f>IF(ISNA(VLOOKUP($A11,IS明細!$B:J,9,0)),0,VLOOKUP($A11,IS明細!$B:J,9,0))</f>
        <v>9214</v>
      </c>
      <c r="I11" s="1055">
        <f>IF(ISNA(VLOOKUP($A11,IS明細!$B:L,11,0)),0,VLOOKUP($A11,IS明細!$B:L,11,0))</f>
        <v>9214</v>
      </c>
      <c r="J11" s="1055">
        <f>IF(ISNA(VLOOKUP($A11,IS明細!$B:N,13,0)),0,VLOOKUP($A11,IS明細!$B:N,13,0))</f>
        <v>15691</v>
      </c>
      <c r="K11" s="1055">
        <f>IF(ISNA(VLOOKUP($A11,IS明細!$B:P,15,0)),0,VLOOKUP($A11,IS明細!$B:P,15,0))</f>
        <v>9214</v>
      </c>
      <c r="L11" s="1055">
        <f>IF(ISNA(VLOOKUP($A11,IS明細!$B:R,17,0)),0,VLOOKUP($A11,IS明細!$B:R,17,0))</f>
        <v>9214</v>
      </c>
      <c r="M11" s="1055">
        <f>IF(ISNA(VLOOKUP($A11,IS明細!$B:T,19,0)),0,VLOOKUP($A11,IS明細!$B:T,19,0))</f>
        <v>0</v>
      </c>
      <c r="N11" s="1055">
        <f>IF(ISNA(VLOOKUP($A11,IS明細!$B:V,21,0)),0,VLOOKUP($A11,IS明細!$B:V,21,0))</f>
        <v>0</v>
      </c>
      <c r="O11" s="1055">
        <f>IF(ISNA(VLOOKUP($A11,IS明細!$B:X,23,0)),0,VLOOKUP($A11,IS明細!$B:X,23,0))</f>
        <v>0</v>
      </c>
      <c r="P11" s="1055">
        <f>IF(ISNA(VLOOKUP($A11,IS明細!$B:Z,25,0)),0,VLOOKUP($A11,IS明細!$B:Z,25,0))</f>
        <v>0</v>
      </c>
      <c r="Q11" s="543">
        <f t="shared" si="2"/>
        <v>80190</v>
      </c>
      <c r="R11" s="543">
        <f t="shared" si="1"/>
        <v>11456</v>
      </c>
      <c r="S11" s="1056" t="s">
        <v>1929</v>
      </c>
      <c r="T11" s="600">
        <f t="shared" si="3"/>
        <v>0</v>
      </c>
      <c r="U11" s="712"/>
    </row>
    <row r="12" spans="1:21" ht="16.5" customHeight="1">
      <c r="A12" s="404" t="s">
        <v>1360</v>
      </c>
      <c r="B12" s="1054" t="s">
        <v>508</v>
      </c>
      <c r="C12" s="404" t="s">
        <v>1302</v>
      </c>
      <c r="E12" s="1055">
        <f>IF(ISNA(VLOOKUP($A12,IS明細!B:D,3,0)),0,VLOOKUP($A12,IS明細!B:D,3,0))</f>
        <v>660</v>
      </c>
      <c r="F12" s="1055">
        <f>IF(ISNA(VLOOKUP($A12,IS明細!$B:F,5,0)),0,VLOOKUP($A12,IS明細!$B:F,5,0))</f>
        <v>3660</v>
      </c>
      <c r="G12" s="1055">
        <f>IF(ISNA(VLOOKUP($A12,IS明細!$B:H,7,0)),0,VLOOKUP($A12,IS明細!$B:H,7,0))</f>
        <v>5268</v>
      </c>
      <c r="H12" s="1055">
        <f>IF(ISNA(VLOOKUP($A12,IS明細!$B:J,9,0)),0,VLOOKUP($A12,IS明細!$B:J,9,0))</f>
        <v>2612</v>
      </c>
      <c r="I12" s="1055">
        <f>IF(ISNA(VLOOKUP($A12,IS明細!$B:L,11,0)),0,VLOOKUP($A12,IS明細!$B:L,11,0))</f>
        <v>6500</v>
      </c>
      <c r="J12" s="1055">
        <f>IF(ISNA(VLOOKUP($A12,IS明細!$B:N,13,0)),0,VLOOKUP($A12,IS明細!$B:N,13,0))</f>
        <v>2269</v>
      </c>
      <c r="K12" s="1055">
        <f>IF(ISNA(VLOOKUP($A12,IS明細!$B:P,15,0)),0,VLOOKUP($A12,IS明細!$B:P,15,0))</f>
        <v>16972</v>
      </c>
      <c r="L12" s="1055">
        <f>IF(ISNA(VLOOKUP($A12,IS明細!$B:R,17,0)),0,VLOOKUP($A12,IS明細!$B:R,17,0))</f>
        <v>1610</v>
      </c>
      <c r="M12" s="1055">
        <f>IF(ISNA(VLOOKUP($A12,IS明細!$B:T,19,0)),0,VLOOKUP($A12,IS明細!$B:T,19,0))</f>
        <v>0</v>
      </c>
      <c r="N12" s="1055">
        <f>IF(ISNA(VLOOKUP($A12,IS明細!$B:V,21,0)),0,VLOOKUP($A12,IS明細!$B:V,21,0))</f>
        <v>0</v>
      </c>
      <c r="O12" s="1055">
        <f>IF(ISNA(VLOOKUP($A12,IS明細!$B:X,23,0)),0,VLOOKUP($A12,IS明細!$B:X,23,0))</f>
        <v>0</v>
      </c>
      <c r="P12" s="1055">
        <f>IF(ISNA(VLOOKUP($A12,IS明細!$B:Z,25,0)),0,VLOOKUP($A12,IS明細!$B:Z,25,0))</f>
        <v>0</v>
      </c>
      <c r="Q12" s="543">
        <f t="shared" si="2"/>
        <v>39551</v>
      </c>
      <c r="R12" s="543">
        <f t="shared" si="1"/>
        <v>5650</v>
      </c>
      <c r="S12" s="1071"/>
      <c r="T12" s="600">
        <f t="shared" si="3"/>
        <v>-15362</v>
      </c>
      <c r="U12" s="712"/>
    </row>
    <row r="13" spans="1:21" ht="34">
      <c r="A13" s="404" t="s">
        <v>1361</v>
      </c>
      <c r="B13" s="1054" t="s">
        <v>509</v>
      </c>
      <c r="C13" s="404" t="s">
        <v>1305</v>
      </c>
      <c r="E13" s="1055">
        <f>IF(ISNA(VLOOKUP($A13,IS明細!B:D,3,0)),0,VLOOKUP($A13,IS明細!B:D,3,0))</f>
        <v>47200</v>
      </c>
      <c r="F13" s="1055">
        <f>IF(ISNA(VLOOKUP($A13,IS明細!$B:F,5,0)),0,VLOOKUP($A13,IS明細!$B:F,5,0))</f>
        <v>233684</v>
      </c>
      <c r="G13" s="1055">
        <f>IF(ISNA(VLOOKUP($A13,IS明細!$B:H,7,0)),0,VLOOKUP($A13,IS明細!$B:H,7,0))</f>
        <v>135742</v>
      </c>
      <c r="H13" s="1055">
        <f>IF(ISNA(VLOOKUP($A13,IS明細!$B:J,9,0)),0,VLOOKUP($A13,IS明細!$B:J,9,0))</f>
        <v>33500</v>
      </c>
      <c r="I13" s="1055">
        <f>IF(ISNA(VLOOKUP($A13,IS明細!$B:L,11,0)),0,VLOOKUP($A13,IS明細!$B:L,11,0))</f>
        <v>24228</v>
      </c>
      <c r="J13" s="1055">
        <f>IF(ISNA(VLOOKUP($A13,IS明細!$B:N,13,0)),0,VLOOKUP($A13,IS明細!$B:N,13,0))</f>
        <v>21228</v>
      </c>
      <c r="K13" s="1055">
        <f>IF(ISNA(VLOOKUP($A13,IS明細!$B:P,15,0)),0,VLOOKUP($A13,IS明細!$B:P,15,0))</f>
        <v>78205</v>
      </c>
      <c r="L13" s="1055">
        <f>IF(ISNA(VLOOKUP($A13,IS明細!$B:R,17,0)),0,VLOOKUP($A13,IS明細!$B:R,17,0))</f>
        <v>33973</v>
      </c>
      <c r="M13" s="1055">
        <f>IF(ISNA(VLOOKUP($A13,IS明細!$B:T,19,0)),0,VLOOKUP($A13,IS明細!$B:T,19,0))</f>
        <v>0</v>
      </c>
      <c r="N13" s="1055">
        <f>IF(ISNA(VLOOKUP($A13,IS明細!$B:V,21,0)),0,VLOOKUP($A13,IS明細!$B:V,21,0))</f>
        <v>0</v>
      </c>
      <c r="O13" s="1055">
        <f>IF(ISNA(VLOOKUP($A13,IS明細!$B:X,23,0)),0,VLOOKUP($A13,IS明細!$B:X,23,0))</f>
        <v>0</v>
      </c>
      <c r="P13" s="1055">
        <f>IF(ISNA(VLOOKUP($A13,IS明細!$B:Z,25,0)),0,VLOOKUP($A13,IS明細!$B:Z,25,0))</f>
        <v>0</v>
      </c>
      <c r="Q13" s="543">
        <f t="shared" si="2"/>
        <v>607760</v>
      </c>
      <c r="R13" s="543">
        <f t="shared" si="1"/>
        <v>86823</v>
      </c>
      <c r="S13" s="563" t="s">
        <v>2078</v>
      </c>
      <c r="T13" s="600">
        <f t="shared" si="3"/>
        <v>-44232</v>
      </c>
      <c r="U13" s="712"/>
    </row>
    <row r="14" spans="1:21" ht="16.5" customHeight="1">
      <c r="A14" s="404" t="s">
        <v>1362</v>
      </c>
      <c r="B14" s="1054" t="s">
        <v>510</v>
      </c>
      <c r="C14" s="404" t="s">
        <v>1307</v>
      </c>
      <c r="E14" s="1055">
        <f>IF(ISNA(VLOOKUP($A14,IS明細!B:D,3,0)),0,VLOOKUP($A14,IS明細!B:D,3,0))</f>
        <v>3250</v>
      </c>
      <c r="F14" s="1055">
        <f>IF(ISNA(VLOOKUP($A14,IS明細!$B:F,5,0)),0,VLOOKUP($A14,IS明細!$B:F,5,0))</f>
        <v>2710</v>
      </c>
      <c r="G14" s="1055">
        <f>IF(ISNA(VLOOKUP($A14,IS明細!$B:H,7,0)),0,VLOOKUP($A14,IS明細!$B:H,7,0))</f>
        <v>2710</v>
      </c>
      <c r="H14" s="1055">
        <f>IF(ISNA(VLOOKUP($A14,IS明細!$B:J,9,0)),0,VLOOKUP($A14,IS明細!$B:J,9,0))</f>
        <v>2600</v>
      </c>
      <c r="I14" s="1055">
        <f>IF(ISNA(VLOOKUP($A14,IS明細!$B:L,11,0)),0,VLOOKUP($A14,IS明細!$B:L,11,0))</f>
        <v>2800</v>
      </c>
      <c r="J14" s="1055">
        <f>IF(ISNA(VLOOKUP($A14,IS明細!$B:N,13,0)),0,VLOOKUP($A14,IS明細!$B:N,13,0))</f>
        <v>2350</v>
      </c>
      <c r="K14" s="1055">
        <f>IF(ISNA(VLOOKUP($A14,IS明細!$B:P,15,0)),0,VLOOKUP($A14,IS明細!$B:P,15,0))</f>
        <v>2250</v>
      </c>
      <c r="L14" s="1055">
        <f>IF(ISNA(VLOOKUP($A14,IS明細!$B:R,17,0)),0,VLOOKUP($A14,IS明細!$B:R,17,0))</f>
        <v>2900</v>
      </c>
      <c r="M14" s="1055">
        <f>IF(ISNA(VLOOKUP($A14,IS明細!$B:T,19,0)),0,VLOOKUP($A14,IS明細!$B:T,19,0))</f>
        <v>0</v>
      </c>
      <c r="N14" s="1055">
        <f>IF(ISNA(VLOOKUP($A14,IS明細!$B:V,21,0)),0,VLOOKUP($A14,IS明細!$B:V,21,0))</f>
        <v>0</v>
      </c>
      <c r="O14" s="1055">
        <f>IF(ISNA(VLOOKUP($A14,IS明細!$B:X,23,0)),0,VLOOKUP($A14,IS明細!$B:X,23,0))</f>
        <v>0</v>
      </c>
      <c r="P14" s="1055">
        <f>IF(ISNA(VLOOKUP($A14,IS明細!$B:Z,25,0)),0,VLOOKUP($A14,IS明細!$B:Z,25,0))</f>
        <v>0</v>
      </c>
      <c r="Q14" s="543">
        <f t="shared" si="2"/>
        <v>21570</v>
      </c>
      <c r="R14" s="543">
        <f t="shared" si="1"/>
        <v>3081</v>
      </c>
      <c r="S14" s="1071"/>
      <c r="T14" s="600">
        <f t="shared" si="3"/>
        <v>650</v>
      </c>
      <c r="U14" s="712"/>
    </row>
    <row r="15" spans="1:21" ht="16.5" customHeight="1">
      <c r="A15" s="404" t="s">
        <v>1363</v>
      </c>
      <c r="B15" s="1054" t="s">
        <v>511</v>
      </c>
      <c r="C15" s="404" t="s">
        <v>1309</v>
      </c>
      <c r="E15" s="1055">
        <f>IF(ISNA(VLOOKUP($A15,IS明細!B:D,3,0)),0,VLOOKUP($A15,IS明細!B:D,3,0))</f>
        <v>7080</v>
      </c>
      <c r="F15" s="1055">
        <f>IF(ISNA(VLOOKUP($A15,IS明細!$B:F,5,0)),0,VLOOKUP($A15,IS明細!$B:F,5,0))</f>
        <v>2784</v>
      </c>
      <c r="G15" s="1055">
        <f>IF(ISNA(VLOOKUP($A15,IS明細!$B:H,7,0)),0,VLOOKUP($A15,IS明細!$B:H,7,0))</f>
        <v>21856</v>
      </c>
      <c r="H15" s="1055">
        <f>IF(ISNA(VLOOKUP($A15,IS明細!$B:J,9,0)),0,VLOOKUP($A15,IS明細!$B:J,9,0))</f>
        <v>8719</v>
      </c>
      <c r="I15" s="1055">
        <f>IF(ISNA(VLOOKUP($A15,IS明細!$B:L,11,0)),0,VLOOKUP($A15,IS明細!$B:L,11,0))</f>
        <v>11839</v>
      </c>
      <c r="J15" s="1055">
        <f>IF(ISNA(VLOOKUP($A15,IS明細!$B:N,13,0)),0,VLOOKUP($A15,IS明細!$B:N,13,0))</f>
        <v>12912</v>
      </c>
      <c r="K15" s="1055">
        <f>IF(ISNA(VLOOKUP($A15,IS明細!$B:P,15,0)),0,VLOOKUP($A15,IS明細!$B:P,15,0))</f>
        <v>11469</v>
      </c>
      <c r="L15" s="1055">
        <f>IF(ISNA(VLOOKUP($A15,IS明細!$B:R,17,0)),0,VLOOKUP($A15,IS明細!$B:R,17,0))</f>
        <v>8914</v>
      </c>
      <c r="M15" s="1055">
        <f>IF(ISNA(VLOOKUP($A15,IS明細!$B:T,19,0)),0,VLOOKUP($A15,IS明細!$B:T,19,0))</f>
        <v>0</v>
      </c>
      <c r="N15" s="1055">
        <f>IF(ISNA(VLOOKUP($A15,IS明細!$B:V,21,0)),0,VLOOKUP($A15,IS明細!$B:V,21,0))</f>
        <v>0</v>
      </c>
      <c r="O15" s="1055">
        <f>IF(ISNA(VLOOKUP($A15,IS明細!$B:X,23,0)),0,VLOOKUP($A15,IS明細!$B:X,23,0))</f>
        <v>0</v>
      </c>
      <c r="P15" s="1055">
        <f>IF(ISNA(VLOOKUP($A15,IS明細!$B:Z,25,0)),0,VLOOKUP($A15,IS明細!$B:Z,25,0))</f>
        <v>0</v>
      </c>
      <c r="Q15" s="543">
        <f t="shared" si="2"/>
        <v>85573</v>
      </c>
      <c r="R15" s="543">
        <f t="shared" si="1"/>
        <v>12225</v>
      </c>
      <c r="S15" s="1056" t="s">
        <v>1930</v>
      </c>
      <c r="T15" s="600">
        <f t="shared" si="3"/>
        <v>-2555</v>
      </c>
      <c r="U15" s="712"/>
    </row>
    <row r="16" spans="1:21" ht="16.5" customHeight="1">
      <c r="A16" s="404" t="s">
        <v>1364</v>
      </c>
      <c r="B16" s="1054" t="s">
        <v>1931</v>
      </c>
      <c r="C16" s="404" t="s">
        <v>1311</v>
      </c>
      <c r="E16" s="1055">
        <f>IF(ISNA(VLOOKUP($A16,IS明細!B:D,3,0)),0,VLOOKUP($A16,IS明細!B:D,3,0))</f>
        <v>952</v>
      </c>
      <c r="F16" s="1055">
        <f>IF(ISNA(VLOOKUP($A16,IS明細!$B:F,5,0)),0,VLOOKUP($A16,IS明細!$B:F,5,0))</f>
        <v>2000</v>
      </c>
      <c r="G16" s="1055">
        <f>IF(ISNA(VLOOKUP($A16,IS明細!$B:H,7,0)),0,VLOOKUP($A16,IS明細!$B:H,7,0))</f>
        <v>0</v>
      </c>
      <c r="H16" s="1055">
        <f>IF(ISNA(VLOOKUP($A16,IS明細!$B:J,9,0)),0,VLOOKUP($A16,IS明細!$B:J,9,0))</f>
        <v>51434</v>
      </c>
      <c r="I16" s="1055">
        <f>IF(ISNA(VLOOKUP($A16,IS明細!$B:L,11,0)),0,VLOOKUP($A16,IS明細!$B:L,11,0))</f>
        <v>0</v>
      </c>
      <c r="J16" s="1055">
        <f>IF(ISNA(VLOOKUP($A16,IS明細!$B:N,13,0)),0,VLOOKUP($A16,IS明細!$B:N,13,0))</f>
        <v>3143</v>
      </c>
      <c r="K16" s="1055">
        <f>IF(ISNA(VLOOKUP($A16,IS明細!$B:P,15,0)),0,VLOOKUP($A16,IS明細!$B:P,15,0))</f>
        <v>2000</v>
      </c>
      <c r="L16" s="1055">
        <f>IF(ISNA(VLOOKUP($A16,IS明細!$B:R,17,0)),0,VLOOKUP($A16,IS明細!$B:R,17,0))</f>
        <v>25843</v>
      </c>
      <c r="M16" s="1055">
        <f>IF(ISNA(VLOOKUP($A16,IS明細!$B:T,19,0)),0,VLOOKUP($A16,IS明細!$B:T,19,0))</f>
        <v>0</v>
      </c>
      <c r="N16" s="1055">
        <f>IF(ISNA(VLOOKUP($A16,IS明細!$B:V,21,0)),0,VLOOKUP($A16,IS明細!$B:V,21,0))</f>
        <v>0</v>
      </c>
      <c r="O16" s="1055">
        <f>IF(ISNA(VLOOKUP($A16,IS明細!$B:X,23,0)),0,VLOOKUP($A16,IS明細!$B:X,23,0))</f>
        <v>0</v>
      </c>
      <c r="P16" s="1055">
        <f>IF(ISNA(VLOOKUP($A16,IS明細!$B:Z,25,0)),0,VLOOKUP($A16,IS明細!$B:Z,25,0))</f>
        <v>0</v>
      </c>
      <c r="Q16" s="543">
        <f t="shared" si="2"/>
        <v>85372</v>
      </c>
      <c r="R16" s="543">
        <f t="shared" si="1"/>
        <v>12196</v>
      </c>
      <c r="S16" s="1056" t="s">
        <v>2075</v>
      </c>
      <c r="T16" s="600">
        <f t="shared" si="3"/>
        <v>23843</v>
      </c>
      <c r="U16" s="712"/>
    </row>
    <row r="17" spans="1:31" ht="16.5" customHeight="1">
      <c r="A17" s="404" t="s">
        <v>1365</v>
      </c>
      <c r="B17" s="1054" t="s">
        <v>469</v>
      </c>
      <c r="C17" s="404" t="s">
        <v>1366</v>
      </c>
      <c r="E17" s="1055">
        <f>IF(ISNA(VLOOKUP($A17,IS明細!B:D,3,0)),0,VLOOKUP($A17,IS明細!B:D,3,0))</f>
        <v>2500</v>
      </c>
      <c r="F17" s="1055">
        <f>IF(ISNA(VLOOKUP($A17,IS明細!$B:F,5,0)),0,VLOOKUP($A17,IS明細!$B:F,5,0))</f>
        <v>2500</v>
      </c>
      <c r="G17" s="1055">
        <f>IF(ISNA(VLOOKUP($A17,IS明細!$B:H,7,0)),0,VLOOKUP($A17,IS明細!$B:H,7,0))</f>
        <v>2500</v>
      </c>
      <c r="H17" s="1055">
        <f>IF(ISNA(VLOOKUP($A17,IS明細!$B:J,9,0)),0,VLOOKUP($A17,IS明細!$B:J,9,0))</f>
        <v>2500</v>
      </c>
      <c r="I17" s="1055">
        <f>IF(ISNA(VLOOKUP($A17,IS明細!$B:L,11,0)),0,VLOOKUP($A17,IS明細!$B:L,11,0))</f>
        <v>2500</v>
      </c>
      <c r="J17" s="1055">
        <f>IF(ISNA(VLOOKUP($A17,IS明細!$B:N,13,0)),0,VLOOKUP($A17,IS明細!$B:N,13,0))</f>
        <v>3280</v>
      </c>
      <c r="K17" s="1055">
        <f>IF(ISNA(VLOOKUP($A17,IS明細!$B:P,15,0)),0,VLOOKUP($A17,IS明細!$B:P,15,0))</f>
        <v>2500</v>
      </c>
      <c r="L17" s="1055">
        <f>IF(ISNA(VLOOKUP($A17,IS明細!$B:R,17,0)),0,VLOOKUP($A17,IS明細!$B:R,17,0))</f>
        <v>2500</v>
      </c>
      <c r="M17" s="1055">
        <f>IF(ISNA(VLOOKUP($A17,IS明細!$B:T,19,0)),0,VLOOKUP($A17,IS明細!$B:T,19,0))</f>
        <v>0</v>
      </c>
      <c r="N17" s="1055">
        <f>IF(ISNA(VLOOKUP($A17,IS明細!$B:V,21,0)),0,VLOOKUP($A17,IS明細!$B:V,21,0))</f>
        <v>0</v>
      </c>
      <c r="O17" s="1055">
        <f>IF(ISNA(VLOOKUP($A17,IS明細!$B:X,23,0)),0,VLOOKUP($A17,IS明細!$B:X,23,0))</f>
        <v>0</v>
      </c>
      <c r="P17" s="1055">
        <f>IF(ISNA(VLOOKUP($A17,IS明細!$B:Z,25,0)),0,VLOOKUP($A17,IS明細!$B:Z,25,0))</f>
        <v>0</v>
      </c>
      <c r="Q17" s="543">
        <f t="shared" si="2"/>
        <v>20780</v>
      </c>
      <c r="R17" s="543">
        <f t="shared" si="1"/>
        <v>2969</v>
      </c>
      <c r="S17" s="1056" t="s">
        <v>1999</v>
      </c>
      <c r="T17" s="600">
        <f t="shared" si="3"/>
        <v>0</v>
      </c>
      <c r="U17" s="712"/>
    </row>
    <row r="18" spans="1:31" ht="16.5" customHeight="1">
      <c r="A18" s="404" t="s">
        <v>1367</v>
      </c>
      <c r="B18" s="1054" t="s">
        <v>470</v>
      </c>
      <c r="C18" s="404" t="s">
        <v>1313</v>
      </c>
      <c r="E18" s="1055">
        <f>IF(ISNA(VLOOKUP($A18,IS明細!B:D,3,0)),0,VLOOKUP($A18,IS明細!B:D,3,0))</f>
        <v>13011</v>
      </c>
      <c r="F18" s="1055">
        <f>IF(ISNA(VLOOKUP($A18,IS明細!$B:F,5,0)),0,VLOOKUP($A18,IS明細!$B:F,5,0))</f>
        <v>8030</v>
      </c>
      <c r="G18" s="1055">
        <f>IF(ISNA(VLOOKUP($A18,IS明細!$B:H,7,0)),0,VLOOKUP($A18,IS明細!$B:H,7,0))</f>
        <v>10454</v>
      </c>
      <c r="H18" s="1055">
        <f>IF(ISNA(VLOOKUP($A18,IS明細!$B:J,9,0)),0,VLOOKUP($A18,IS明細!$B:J,9,0))</f>
        <v>10776</v>
      </c>
      <c r="I18" s="1055">
        <f>IF(ISNA(VLOOKUP($A18,IS明細!$B:L,11,0)),0,VLOOKUP($A18,IS明細!$B:L,11,0))</f>
        <v>12937</v>
      </c>
      <c r="J18" s="1055">
        <f>IF(ISNA(VLOOKUP($A18,IS明細!$B:N,13,0)),0,VLOOKUP($A18,IS明細!$B:N,13,0))</f>
        <v>13205</v>
      </c>
      <c r="K18" s="1055">
        <f>IF(ISNA(VLOOKUP($A18,IS明細!$B:P,15,0)),0,VLOOKUP($A18,IS明細!$B:P,15,0))</f>
        <v>13851</v>
      </c>
      <c r="L18" s="1055">
        <f>IF(ISNA(VLOOKUP($A18,IS明細!$B:R,17,0)),0,VLOOKUP($A18,IS明細!$B:R,17,0))</f>
        <v>19372</v>
      </c>
      <c r="M18" s="1055">
        <f>IF(ISNA(VLOOKUP($A18,IS明細!$B:T,19,0)),0,VLOOKUP($A18,IS明細!$B:T,19,0))</f>
        <v>0</v>
      </c>
      <c r="N18" s="1055">
        <f>IF(ISNA(VLOOKUP($A18,IS明細!$B:V,21,0)),0,VLOOKUP($A18,IS明細!$B:V,21,0))</f>
        <v>0</v>
      </c>
      <c r="O18" s="1055">
        <f>IF(ISNA(VLOOKUP($A18,IS明細!$B:X,23,0)),0,VLOOKUP($A18,IS明細!$B:X,23,0))</f>
        <v>0</v>
      </c>
      <c r="P18" s="1055">
        <f>IF(ISNA(VLOOKUP($A18,IS明細!$B:Z,25,0)),0,VLOOKUP($A18,IS明細!$B:Z,25,0))</f>
        <v>0</v>
      </c>
      <c r="Q18" s="543">
        <f t="shared" si="2"/>
        <v>101636</v>
      </c>
      <c r="R18" s="543">
        <f t="shared" si="1"/>
        <v>14519</v>
      </c>
      <c r="S18" s="1071" t="s">
        <v>1278</v>
      </c>
      <c r="T18" s="600">
        <f t="shared" si="3"/>
        <v>5521</v>
      </c>
      <c r="U18" s="712"/>
    </row>
    <row r="19" spans="1:31" ht="29.25" customHeight="1">
      <c r="A19" s="404" t="s">
        <v>1368</v>
      </c>
      <c r="B19" s="1054" t="s">
        <v>471</v>
      </c>
      <c r="C19" s="404" t="s">
        <v>1315</v>
      </c>
      <c r="E19" s="1055">
        <f>IF(ISNA(VLOOKUP($A19,IS明細!B:D,3,0)),0,VLOOKUP($A19,IS明細!B:D,3,0))</f>
        <v>84268</v>
      </c>
      <c r="F19" s="1055">
        <f>IF(ISNA(VLOOKUP($A19,IS明細!$B:F,5,0)),0,VLOOKUP($A19,IS明細!$B:F,5,0))</f>
        <v>86007</v>
      </c>
      <c r="G19" s="1055">
        <f>IF(ISNA(VLOOKUP($A19,IS明細!$B:H,7,0)),0,VLOOKUP($A19,IS明細!$B:H,7,0))</f>
        <v>87624</v>
      </c>
      <c r="H19" s="1055">
        <f>IF(ISNA(VLOOKUP($A19,IS明細!$B:J,9,0)),0,VLOOKUP($A19,IS明細!$B:J,9,0))</f>
        <v>85735</v>
      </c>
      <c r="I19" s="1055">
        <f>IF(ISNA(VLOOKUP($A19,IS明細!$B:L,11,0)),0,VLOOKUP($A19,IS明細!$B:L,11,0))</f>
        <v>85929</v>
      </c>
      <c r="J19" s="1055">
        <f>IF(ISNA(VLOOKUP($A19,IS明細!$B:N,13,0)),0,VLOOKUP($A19,IS明細!$B:N,13,0))</f>
        <v>180151</v>
      </c>
      <c r="K19" s="1055">
        <f>IF(ISNA(VLOOKUP($A19,IS明細!$B:P,15,0)),0,VLOOKUP($A19,IS明細!$B:P,15,0))</f>
        <v>101560</v>
      </c>
      <c r="L19" s="1055">
        <f>IF(ISNA(VLOOKUP($A19,IS明細!$B:R,17,0)),0,VLOOKUP($A19,IS明細!$B:R,17,0))</f>
        <v>102144</v>
      </c>
      <c r="M19" s="1055">
        <f>IF(ISNA(VLOOKUP($A19,IS明細!$B:T,19,0)),0,VLOOKUP($A19,IS明細!$B:T,19,0))</f>
        <v>0</v>
      </c>
      <c r="N19" s="1055">
        <f>IF(ISNA(VLOOKUP($A19,IS明細!$B:V,21,0)),0,VLOOKUP($A19,IS明細!$B:V,21,0))</f>
        <v>0</v>
      </c>
      <c r="O19" s="1055">
        <f>IF(ISNA(VLOOKUP($A19,IS明細!$B:X,23,0)),0,VLOOKUP($A19,IS明細!$B:X,23,0))</f>
        <v>0</v>
      </c>
      <c r="P19" s="1055">
        <f>IF(ISNA(VLOOKUP($A19,IS明細!$B:Z,25,0)),0,VLOOKUP($A19,IS明細!$B:Z,25,0))</f>
        <v>0</v>
      </c>
      <c r="Q19" s="543">
        <f t="shared" si="2"/>
        <v>813418</v>
      </c>
      <c r="R19" s="543">
        <f t="shared" si="1"/>
        <v>116203</v>
      </c>
      <c r="S19" s="1056" t="s">
        <v>1932</v>
      </c>
      <c r="T19" s="600">
        <f t="shared" si="3"/>
        <v>584</v>
      </c>
      <c r="U19" s="712"/>
    </row>
    <row r="20" spans="1:31" ht="34">
      <c r="A20" s="404" t="s">
        <v>1369</v>
      </c>
      <c r="B20" s="1054" t="s">
        <v>472</v>
      </c>
      <c r="C20" s="404" t="s">
        <v>1317</v>
      </c>
      <c r="E20" s="1055">
        <f>IF(ISNA(VLOOKUP($A20,IS明細!B:D,3,0)),0,VLOOKUP($A20,IS明細!B:D,3,0))</f>
        <v>6348</v>
      </c>
      <c r="F20" s="1055">
        <f>IF(ISNA(VLOOKUP($A20,IS明細!$B:F,5,0)),0,VLOOKUP($A20,IS明細!$B:F,5,0))</f>
        <v>66029</v>
      </c>
      <c r="G20" s="1055">
        <f>IF(ISNA(VLOOKUP($A20,IS明細!$B:H,7,0)),0,VLOOKUP($A20,IS明細!$B:H,7,0))</f>
        <v>22100</v>
      </c>
      <c r="H20" s="1055">
        <f>IF(ISNA(VLOOKUP($A20,IS明細!$B:J,9,0)),0,VLOOKUP($A20,IS明細!$B:J,9,0))</f>
        <v>6950</v>
      </c>
      <c r="I20" s="1055">
        <f>IF(ISNA(VLOOKUP($A20,IS明細!$B:L,11,0)),0,VLOOKUP($A20,IS明細!$B:L,11,0))</f>
        <v>9367</v>
      </c>
      <c r="J20" s="1055">
        <f>IF(ISNA(VLOOKUP($A20,IS明細!$B:N,13,0)),0,VLOOKUP($A20,IS明細!$B:N,13,0))</f>
        <v>10427</v>
      </c>
      <c r="K20" s="1055">
        <f>IF(ISNA(VLOOKUP($A20,IS明細!$B:P,15,0)),0,VLOOKUP($A20,IS明細!$B:P,15,0))</f>
        <v>21335</v>
      </c>
      <c r="L20" s="1055">
        <f>IF(ISNA(VLOOKUP($A20,IS明細!$B:R,17,0)),0,VLOOKUP($A20,IS明細!$B:R,17,0))</f>
        <v>4602</v>
      </c>
      <c r="M20" s="1055">
        <f>IF(ISNA(VLOOKUP($A20,IS明細!$B:T,19,0)),0,VLOOKUP($A20,IS明細!$B:T,19,0))</f>
        <v>0</v>
      </c>
      <c r="N20" s="1055">
        <f>IF(ISNA(VLOOKUP($A20,IS明細!$B:V,21,0)),0,VLOOKUP($A20,IS明細!$B:V,21,0))</f>
        <v>0</v>
      </c>
      <c r="O20" s="1055">
        <f>IF(ISNA(VLOOKUP($A20,IS明細!$B:X,23,0)),0,VLOOKUP($A20,IS明細!$B:X,23,0))</f>
        <v>0</v>
      </c>
      <c r="P20" s="1055">
        <f>IF(ISNA(VLOOKUP($A20,IS明細!$B:Z,25,0)),0,VLOOKUP($A20,IS明細!$B:Z,25,0))</f>
        <v>0</v>
      </c>
      <c r="Q20" s="543">
        <f t="shared" si="2"/>
        <v>147158</v>
      </c>
      <c r="R20" s="543">
        <f t="shared" si="1"/>
        <v>21023</v>
      </c>
      <c r="S20" s="1056" t="s">
        <v>2076</v>
      </c>
      <c r="T20" s="600">
        <f t="shared" si="3"/>
        <v>-16733</v>
      </c>
      <c r="U20" s="712"/>
    </row>
    <row r="21" spans="1:31" ht="16.5" customHeight="1">
      <c r="A21" s="404" t="s">
        <v>1370</v>
      </c>
      <c r="B21" s="1054" t="s">
        <v>473</v>
      </c>
      <c r="C21" s="404" t="s">
        <v>1319</v>
      </c>
      <c r="E21" s="1055">
        <f>IF(ISNA(VLOOKUP($A21,IS明細!B:D,3,0)),0,VLOOKUP($A21,IS明細!B:D,3,0))</f>
        <v>0</v>
      </c>
      <c r="F21" s="1055">
        <f>IF(ISNA(VLOOKUP($A21,IS明細!$B:F,5,0)),0,VLOOKUP($A21,IS明細!$B:F,5,0))</f>
        <v>0</v>
      </c>
      <c r="G21" s="1055">
        <f>IF(ISNA(VLOOKUP($A21,IS明細!$B:H,7,0)),0,VLOOKUP($A21,IS明細!$B:H,7,0))</f>
        <v>0</v>
      </c>
      <c r="H21" s="1055">
        <f>IF(ISNA(VLOOKUP($A21,IS明細!$B:J,9,0)),0,VLOOKUP($A21,IS明細!$B:J,9,0))</f>
        <v>0</v>
      </c>
      <c r="I21" s="1055">
        <f>IF(ISNA(VLOOKUP($A21,IS明細!$B:L,11,0)),0,VLOOKUP($A21,IS明細!$B:L,11,0))</f>
        <v>0</v>
      </c>
      <c r="J21" s="1055">
        <f>IF(ISNA(VLOOKUP($A21,IS明細!$B:N,13,0)),0,VLOOKUP($A21,IS明細!$B:N,13,0))</f>
        <v>0</v>
      </c>
      <c r="K21" s="1055">
        <f>IF(ISNA(VLOOKUP($A21,IS明細!$B:P,15,0)),0,VLOOKUP($A21,IS明細!$B:P,15,0))</f>
        <v>0</v>
      </c>
      <c r="L21" s="1055">
        <f>IF(ISNA(VLOOKUP($A21,IS明細!$B:R,17,0)),0,VLOOKUP($A21,IS明細!$B:R,17,0))</f>
        <v>0</v>
      </c>
      <c r="M21" s="1055">
        <f>IF(ISNA(VLOOKUP($A21,IS明細!$B:T,19,0)),0,VLOOKUP($A21,IS明細!$B:T,19,0))</f>
        <v>0</v>
      </c>
      <c r="N21" s="1055">
        <f>IF(ISNA(VLOOKUP($A21,IS明細!$B:V,21,0)),0,VLOOKUP($A21,IS明細!$B:V,21,0))</f>
        <v>0</v>
      </c>
      <c r="O21" s="1055">
        <f>IF(ISNA(VLOOKUP($A21,IS明細!$B:X,23,0)),0,VLOOKUP($A21,IS明細!$B:X,23,0))</f>
        <v>0</v>
      </c>
      <c r="P21" s="1055">
        <f>IF(ISNA(VLOOKUP($A21,IS明細!$B:Z,25,0)),0,VLOOKUP($A21,IS明細!$B:Z,25,0))</f>
        <v>0</v>
      </c>
      <c r="Q21" s="543">
        <f t="shared" si="2"/>
        <v>0</v>
      </c>
      <c r="R21" s="543">
        <f t="shared" si="1"/>
        <v>0</v>
      </c>
      <c r="S21" s="1071"/>
      <c r="T21" s="600">
        <f t="shared" si="3"/>
        <v>0</v>
      </c>
      <c r="U21" s="712"/>
    </row>
    <row r="22" spans="1:31" ht="16.5" customHeight="1">
      <c r="A22" s="404" t="s">
        <v>1371</v>
      </c>
      <c r="B22" s="1054" t="s">
        <v>1933</v>
      </c>
      <c r="C22" s="404" t="s">
        <v>1321</v>
      </c>
      <c r="E22" s="1055">
        <f>IF(ISNA(VLOOKUP($A22,IS明細!B:D,3,0)),0,VLOOKUP($A22,IS明細!B:D,3,0))</f>
        <v>0</v>
      </c>
      <c r="F22" s="1055">
        <f>IF(ISNA(VLOOKUP($A22,IS明細!$B:F,5,0)),0,VLOOKUP($A22,IS明細!$B:F,5,0))</f>
        <v>0</v>
      </c>
      <c r="G22" s="1055">
        <f>IF(ISNA(VLOOKUP($A22,IS明細!$B:H,7,0)),0,VLOOKUP($A22,IS明細!$B:H,7,0))</f>
        <v>0</v>
      </c>
      <c r="H22" s="1055">
        <f>IF(ISNA(VLOOKUP($A22,IS明細!$B:J,9,0)),0,VLOOKUP($A22,IS明細!$B:J,9,0))</f>
        <v>0</v>
      </c>
      <c r="I22" s="1055">
        <f>IF(ISNA(VLOOKUP($A22,IS明細!$B:L,11,0)),0,VLOOKUP($A22,IS明細!$B:L,11,0))</f>
        <v>193470</v>
      </c>
      <c r="J22" s="1055">
        <f>IF(ISNA(VLOOKUP($A22,IS明細!$B:N,13,0)),0,VLOOKUP($A22,IS明細!$B:N,13,0))</f>
        <v>0</v>
      </c>
      <c r="K22" s="1055">
        <f>IF(ISNA(VLOOKUP($A22,IS明細!$B:P,15,0)),0,VLOOKUP($A22,IS明細!$B:P,15,0))</f>
        <v>0</v>
      </c>
      <c r="L22" s="1055">
        <f>IF(ISNA(VLOOKUP($A22,IS明細!$B:R,17,0)),0,VLOOKUP($A22,IS明細!$B:R,17,0))</f>
        <v>0</v>
      </c>
      <c r="M22" s="1055">
        <f>IF(ISNA(VLOOKUP($A22,IS明細!$B:T,19,0)),0,VLOOKUP($A22,IS明細!$B:T,19,0))</f>
        <v>0</v>
      </c>
      <c r="N22" s="1055">
        <f>IF(ISNA(VLOOKUP($A22,IS明細!$B:V,21,0)),0,VLOOKUP($A22,IS明細!$B:V,21,0))</f>
        <v>0</v>
      </c>
      <c r="O22" s="1055">
        <f>IF(ISNA(VLOOKUP($A22,IS明細!$B:X,23,0)),0,VLOOKUP($A22,IS明細!$B:X,23,0))</f>
        <v>0</v>
      </c>
      <c r="P22" s="1055">
        <f>IF(ISNA(VLOOKUP($A22,IS明細!$B:Z,25,0)),0,VLOOKUP($A22,IS明細!$B:Z,25,0))</f>
        <v>0</v>
      </c>
      <c r="Q22" s="543">
        <f t="shared" si="2"/>
        <v>193470</v>
      </c>
      <c r="R22" s="543">
        <f t="shared" si="1"/>
        <v>27639</v>
      </c>
      <c r="S22" s="1071"/>
      <c r="T22" s="600">
        <f t="shared" si="3"/>
        <v>0</v>
      </c>
      <c r="U22" s="712"/>
    </row>
    <row r="23" spans="1:31" ht="16.5" customHeight="1">
      <c r="A23" s="404" t="s">
        <v>1372</v>
      </c>
      <c r="B23" s="1054" t="s">
        <v>474</v>
      </c>
      <c r="C23" s="404" t="s">
        <v>1373</v>
      </c>
      <c r="E23" s="1055">
        <f>IF(ISNA(VLOOKUP($A23,IS明細!B:D,3,0)),0,VLOOKUP($A23,IS明細!B:D,3,0))</f>
        <v>0</v>
      </c>
      <c r="F23" s="1055">
        <f>IF(ISNA(VLOOKUP($A23,IS明細!$B:F,5,0)),0,VLOOKUP($A23,IS明細!$B:F,5,0))</f>
        <v>0</v>
      </c>
      <c r="G23" s="1055">
        <f>IF(ISNA(VLOOKUP($A23,IS明細!$B:H,7,0)),0,VLOOKUP($A23,IS明細!$B:H,7,0))</f>
        <v>0</v>
      </c>
      <c r="H23" s="1055">
        <f>IF(ISNA(VLOOKUP($A23,IS明細!$B:J,9,0)),0,VLOOKUP($A23,IS明細!$B:J,9,0))</f>
        <v>0</v>
      </c>
      <c r="I23" s="1055">
        <f>IF(ISNA(VLOOKUP($A23,IS明細!$B:L,11,0)),0,VLOOKUP($A23,IS明細!$B:L,11,0))</f>
        <v>0</v>
      </c>
      <c r="J23" s="1055">
        <f>IF(ISNA(VLOOKUP($A23,IS明細!$B:N,13,0)),0,VLOOKUP($A23,IS明細!$B:N,13,0))</f>
        <v>0</v>
      </c>
      <c r="K23" s="1055">
        <f>IF(ISNA(VLOOKUP($A23,IS明細!$B:P,15,0)),0,VLOOKUP($A23,IS明細!$B:P,15,0))</f>
        <v>0</v>
      </c>
      <c r="L23" s="1055">
        <f>IF(ISNA(VLOOKUP($A23,IS明細!$B:R,17,0)),0,VLOOKUP($A23,IS明細!$B:R,17,0))</f>
        <v>0</v>
      </c>
      <c r="M23" s="1055">
        <f>IF(ISNA(VLOOKUP($A23,IS明細!$B:T,19,0)),0,VLOOKUP($A23,IS明細!$B:T,19,0))</f>
        <v>0</v>
      </c>
      <c r="N23" s="1055">
        <f>IF(ISNA(VLOOKUP($A23,IS明細!$B:V,21,0)),0,VLOOKUP($A23,IS明細!$B:V,21,0))</f>
        <v>0</v>
      </c>
      <c r="O23" s="1055">
        <f>IF(ISNA(VLOOKUP($A23,IS明細!$B:X,23,0)),0,VLOOKUP($A23,IS明細!$B:X,23,0))</f>
        <v>0</v>
      </c>
      <c r="P23" s="1055">
        <f>IF(ISNA(VLOOKUP($A23,IS明細!$B:Z,25,0)),0,VLOOKUP($A23,IS明細!$B:Z,25,0))</f>
        <v>0</v>
      </c>
      <c r="Q23" s="543">
        <f t="shared" si="2"/>
        <v>0</v>
      </c>
      <c r="R23" s="543">
        <f t="shared" si="1"/>
        <v>0</v>
      </c>
      <c r="S23" s="1071"/>
      <c r="T23" s="600">
        <f t="shared" si="3"/>
        <v>0</v>
      </c>
      <c r="U23" s="712"/>
    </row>
    <row r="24" spans="1:31" ht="16.5" customHeight="1">
      <c r="A24" s="404" t="s">
        <v>1374</v>
      </c>
      <c r="B24" s="1054" t="s">
        <v>382</v>
      </c>
      <c r="C24" s="404" t="s">
        <v>1375</v>
      </c>
      <c r="E24" s="1055">
        <f>IF(ISNA(VLOOKUP($A24,IS明細!B:D,3,0)),0,VLOOKUP($A24,IS明細!B:D,3,0))</f>
        <v>35306</v>
      </c>
      <c r="F24" s="1055">
        <f>IF(ISNA(VLOOKUP($A24,IS明細!$B:F,5,0)),0,VLOOKUP($A24,IS明細!$B:F,5,0))</f>
        <v>35299</v>
      </c>
      <c r="G24" s="1055">
        <f>IF(ISNA(VLOOKUP($A24,IS明細!$B:H,7,0)),0,VLOOKUP($A24,IS明細!$B:H,7,0))</f>
        <v>35306</v>
      </c>
      <c r="H24" s="1055">
        <f>IF(ISNA(VLOOKUP($A24,IS明細!$B:J,9,0)),0,VLOOKUP($A24,IS明細!$B:J,9,0))</f>
        <v>35303</v>
      </c>
      <c r="I24" s="1055">
        <f>IF(ISNA(VLOOKUP($A24,IS明細!$B:L,11,0)),0,VLOOKUP($A24,IS明細!$B:L,11,0))</f>
        <v>30705</v>
      </c>
      <c r="J24" s="1055">
        <f>IF(ISNA(VLOOKUP($A24,IS明細!$B:N,13,0)),0,VLOOKUP($A24,IS明細!$B:N,13,0))</f>
        <v>30711</v>
      </c>
      <c r="K24" s="1055">
        <f>IF(ISNA(VLOOKUP($A24,IS明細!$B:P,15,0)),0,VLOOKUP($A24,IS明細!$B:P,15,0))</f>
        <v>30705</v>
      </c>
      <c r="L24" s="1055">
        <f>IF(ISNA(VLOOKUP($A24,IS明細!$B:R,17,0)),0,VLOOKUP($A24,IS明細!$B:R,17,0))</f>
        <v>30711</v>
      </c>
      <c r="M24" s="1055">
        <f>IF(ISNA(VLOOKUP($A24,IS明細!$B:T,19,0)),0,VLOOKUP($A24,IS明細!$B:T,19,0))</f>
        <v>0</v>
      </c>
      <c r="N24" s="1055">
        <f>IF(ISNA(VLOOKUP($A24,IS明細!$B:V,21,0)),0,VLOOKUP($A24,IS明細!$B:V,21,0))</f>
        <v>0</v>
      </c>
      <c r="O24" s="1055">
        <f>IF(ISNA(VLOOKUP($A24,IS明細!$B:X,23,0)),0,VLOOKUP($A24,IS明細!$B:X,23,0))</f>
        <v>0</v>
      </c>
      <c r="P24" s="1055">
        <f>IF(ISNA(VLOOKUP($A24,IS明細!$B:Z,25,0)),0,VLOOKUP($A24,IS明細!$B:Z,25,0))</f>
        <v>0</v>
      </c>
      <c r="Q24" s="543">
        <f t="shared" si="2"/>
        <v>264046</v>
      </c>
      <c r="R24" s="543">
        <f t="shared" si="1"/>
        <v>37721</v>
      </c>
      <c r="S24" s="1071"/>
      <c r="T24" s="600">
        <f t="shared" si="3"/>
        <v>6</v>
      </c>
      <c r="U24" s="712"/>
    </row>
    <row r="25" spans="1:31" ht="16.5" customHeight="1">
      <c r="A25" s="404" t="s">
        <v>1376</v>
      </c>
      <c r="B25" s="1054" t="s">
        <v>383</v>
      </c>
      <c r="C25" s="404" t="s">
        <v>1325</v>
      </c>
      <c r="E25" s="1055">
        <f>IF(ISNA(VLOOKUP($A25,IS明細!B:D,3,0)),0,VLOOKUP($A25,IS明細!B:D,3,0))</f>
        <v>1221</v>
      </c>
      <c r="F25" s="1055">
        <f>IF(ISNA(VLOOKUP($A25,IS明細!$B:F,5,0)),0,VLOOKUP($A25,IS明細!$B:F,5,0))</f>
        <v>1191</v>
      </c>
      <c r="G25" s="1055">
        <f>IF(ISNA(VLOOKUP($A25,IS明細!$B:H,7,0)),0,VLOOKUP($A25,IS明細!$B:H,7,0))</f>
        <v>1214</v>
      </c>
      <c r="H25" s="1055">
        <f>IF(ISNA(VLOOKUP($A25,IS明細!$B:J,9,0)),0,VLOOKUP($A25,IS明細!$B:J,9,0))</f>
        <v>1191</v>
      </c>
      <c r="I25" s="1055">
        <f>IF(ISNA(VLOOKUP($A25,IS明細!$B:L,11,0)),0,VLOOKUP($A25,IS明細!$B:L,11,0))</f>
        <v>1764</v>
      </c>
      <c r="J25" s="1055">
        <f>IF(ISNA(VLOOKUP($A25,IS明細!$B:N,13,0)),0,VLOOKUP($A25,IS明細!$B:N,13,0))</f>
        <v>1757</v>
      </c>
      <c r="K25" s="1055">
        <f>IF(ISNA(VLOOKUP($A25,IS明細!$B:P,15,0)),0,VLOOKUP($A25,IS明細!$B:P,15,0))</f>
        <v>1764</v>
      </c>
      <c r="L25" s="1055">
        <f>IF(ISNA(VLOOKUP($A25,IS明細!$B:R,17,0)),0,VLOOKUP($A25,IS明細!$B:R,17,0))</f>
        <v>1764</v>
      </c>
      <c r="M25" s="1055">
        <f>IF(ISNA(VLOOKUP($A25,IS明細!$B:T,19,0)),0,VLOOKUP($A25,IS明細!$B:T,19,0))</f>
        <v>0</v>
      </c>
      <c r="N25" s="1055">
        <f>IF(ISNA(VLOOKUP($A25,IS明細!$B:V,21,0)),0,VLOOKUP($A25,IS明細!$B:V,21,0))</f>
        <v>0</v>
      </c>
      <c r="O25" s="1055">
        <f>IF(ISNA(VLOOKUP($A25,IS明細!$B:X,23,0)),0,VLOOKUP($A25,IS明細!$B:X,23,0))</f>
        <v>0</v>
      </c>
      <c r="P25" s="1055">
        <f>IF(ISNA(VLOOKUP($A25,IS明細!$B:Z,25,0)),0,VLOOKUP($A25,IS明細!$B:Z,25,0))</f>
        <v>0</v>
      </c>
      <c r="Q25" s="543">
        <f t="shared" si="2"/>
        <v>11866</v>
      </c>
      <c r="R25" s="543">
        <f t="shared" si="1"/>
        <v>1695</v>
      </c>
      <c r="S25" s="1056" t="s">
        <v>1934</v>
      </c>
      <c r="T25" s="600">
        <f t="shared" si="3"/>
        <v>0</v>
      </c>
      <c r="U25" s="712"/>
    </row>
    <row r="26" spans="1:31" ht="16.5" customHeight="1">
      <c r="A26" s="404" t="s">
        <v>1377</v>
      </c>
      <c r="B26" s="1054" t="s">
        <v>384</v>
      </c>
      <c r="C26" s="404" t="s">
        <v>1327</v>
      </c>
      <c r="E26" s="1055">
        <f>IF(ISNA(VLOOKUP($A26,IS明細!B:D,3,0)),0,VLOOKUP($A26,IS明細!B:D,3,0))</f>
        <v>19800</v>
      </c>
      <c r="F26" s="1055">
        <f>IF(ISNA(VLOOKUP($A26,IS明細!$B:F,5,0)),0,VLOOKUP($A26,IS明細!$B:F,5,0))</f>
        <v>21080</v>
      </c>
      <c r="G26" s="1055">
        <f>IF(ISNA(VLOOKUP($A26,IS明細!$B:H,7,0)),0,VLOOKUP($A26,IS明細!$B:H,7,0))</f>
        <v>21080</v>
      </c>
      <c r="H26" s="1055">
        <f>IF(ISNA(VLOOKUP($A26,IS明細!$B:J,9,0)),0,VLOOKUP($A26,IS明細!$B:J,9,0))</f>
        <v>19880</v>
      </c>
      <c r="I26" s="1055">
        <f>IF(ISNA(VLOOKUP($A26,IS明細!$B:L,11,0)),0,VLOOKUP($A26,IS明細!$B:L,11,0))</f>
        <v>19800</v>
      </c>
      <c r="J26" s="1055">
        <f>IF(ISNA(VLOOKUP($A26,IS明細!$B:N,13,0)),0,VLOOKUP($A26,IS明細!$B:N,13,0))</f>
        <v>20280</v>
      </c>
      <c r="K26" s="1055">
        <f>IF(ISNA(VLOOKUP($A26,IS明細!$B:P,15,0)),0,VLOOKUP($A26,IS明細!$B:P,15,0))</f>
        <v>20520</v>
      </c>
      <c r="L26" s="1055">
        <f>IF(ISNA(VLOOKUP($A26,IS明細!$B:R,17,0)),0,VLOOKUP($A26,IS明細!$B:R,17,0))</f>
        <v>19880</v>
      </c>
      <c r="M26" s="1055">
        <f>IF(ISNA(VLOOKUP($A26,IS明細!$B:T,19,0)),0,VLOOKUP($A26,IS明細!$B:T,19,0))</f>
        <v>0</v>
      </c>
      <c r="N26" s="1055">
        <f>IF(ISNA(VLOOKUP($A26,IS明細!$B:V,21,0)),0,VLOOKUP($A26,IS明細!$B:V,21,0))</f>
        <v>0</v>
      </c>
      <c r="O26" s="1055">
        <f>IF(ISNA(VLOOKUP($A26,IS明細!$B:X,23,0)),0,VLOOKUP($A26,IS明細!$B:X,23,0))</f>
        <v>0</v>
      </c>
      <c r="P26" s="1055">
        <f>IF(ISNA(VLOOKUP($A26,IS明細!$B:Z,25,0)),0,VLOOKUP($A26,IS明細!$B:Z,25,0))</f>
        <v>0</v>
      </c>
      <c r="Q26" s="543">
        <f t="shared" si="2"/>
        <v>162320</v>
      </c>
      <c r="R26" s="543">
        <f t="shared" si="1"/>
        <v>23189</v>
      </c>
      <c r="S26" s="1071"/>
      <c r="T26" s="600">
        <f t="shared" si="3"/>
        <v>-640</v>
      </c>
      <c r="U26" s="712"/>
    </row>
    <row r="27" spans="1:31" ht="16.5" customHeight="1">
      <c r="A27" s="404" t="s">
        <v>1378</v>
      </c>
      <c r="B27" s="1054" t="s">
        <v>385</v>
      </c>
      <c r="C27" s="404" t="s">
        <v>1329</v>
      </c>
      <c r="E27" s="1055">
        <f>IF(ISNA(VLOOKUP($A27,IS明細!B:D,3,0)),0,VLOOKUP($A27,IS明細!B:D,3,0))</f>
        <v>15062</v>
      </c>
      <c r="F27" s="1055">
        <f>IF(ISNA(VLOOKUP($A27,IS明細!$B:F,5,0)),0,VLOOKUP($A27,IS明細!$B:F,5,0))</f>
        <v>12877</v>
      </c>
      <c r="G27" s="1055">
        <f>IF(ISNA(VLOOKUP($A27,IS明細!$B:H,7,0)),0,VLOOKUP($A27,IS明細!$B:H,7,0))</f>
        <v>16063</v>
      </c>
      <c r="H27" s="1055">
        <f>IF(ISNA(VLOOKUP($A27,IS明細!$B:J,9,0)),0,VLOOKUP($A27,IS明細!$B:J,9,0))</f>
        <v>16374</v>
      </c>
      <c r="I27" s="1055">
        <f>IF(ISNA(VLOOKUP($A27,IS明細!$B:L,11,0)),0,VLOOKUP($A27,IS明細!$B:L,11,0))</f>
        <v>12741</v>
      </c>
      <c r="J27" s="1055">
        <f>IF(ISNA(VLOOKUP($A27,IS明細!$B:N,13,0)),0,VLOOKUP($A27,IS明細!$B:N,13,0))</f>
        <v>20632</v>
      </c>
      <c r="K27" s="1055">
        <f>IF(ISNA(VLOOKUP($A27,IS明細!$B:P,15,0)),0,VLOOKUP($A27,IS明細!$B:P,15,0))</f>
        <v>23492</v>
      </c>
      <c r="L27" s="1055">
        <f>IF(ISNA(VLOOKUP($A27,IS明細!$B:R,17,0)),0,VLOOKUP($A27,IS明細!$B:R,17,0))</f>
        <v>19641</v>
      </c>
      <c r="M27" s="1055">
        <f>IF(ISNA(VLOOKUP($A27,IS明細!$B:T,19,0)),0,VLOOKUP($A27,IS明細!$B:T,19,0))</f>
        <v>0</v>
      </c>
      <c r="N27" s="1055">
        <f>IF(ISNA(VLOOKUP($A27,IS明細!$B:V,21,0)),0,VLOOKUP($A27,IS明細!$B:V,21,0))</f>
        <v>0</v>
      </c>
      <c r="O27" s="1055">
        <f>IF(ISNA(VLOOKUP($A27,IS明細!$B:X,23,0)),0,VLOOKUP($A27,IS明細!$B:X,23,0))</f>
        <v>0</v>
      </c>
      <c r="P27" s="1055">
        <f>IF(ISNA(VLOOKUP($A27,IS明細!$B:Z,25,0)),0,VLOOKUP($A27,IS明細!$B:Z,25,0))</f>
        <v>0</v>
      </c>
      <c r="Q27" s="543">
        <f t="shared" si="2"/>
        <v>136882</v>
      </c>
      <c r="R27" s="543">
        <f t="shared" si="1"/>
        <v>19555</v>
      </c>
      <c r="S27" s="1071" t="s">
        <v>1910</v>
      </c>
      <c r="T27" s="600">
        <f t="shared" si="3"/>
        <v>-3851</v>
      </c>
      <c r="U27" s="712"/>
    </row>
    <row r="28" spans="1:31" ht="16.5" customHeight="1">
      <c r="A28" s="404" t="s">
        <v>1379</v>
      </c>
      <c r="B28" s="1054" t="s">
        <v>386</v>
      </c>
      <c r="C28" s="404" t="s">
        <v>1380</v>
      </c>
      <c r="D28" s="720"/>
      <c r="E28" s="1055">
        <f>IF(ISNA(VLOOKUP($A28,IS明細!B:D,3,0)),0,VLOOKUP($A28,IS明細!B:D,3,0))</f>
        <v>0</v>
      </c>
      <c r="F28" s="1055">
        <f>IF(ISNA(VLOOKUP($A28,IS明細!$B:F,5,0)),0,VLOOKUP($A28,IS明細!$B:F,5,0))</f>
        <v>0</v>
      </c>
      <c r="G28" s="1055">
        <f>IF(ISNA(VLOOKUP($A28,IS明細!$B:H,7,0)),0,VLOOKUP($A28,IS明細!$B:H,7,0))</f>
        <v>0</v>
      </c>
      <c r="H28" s="1055">
        <f>IF(ISNA(VLOOKUP($A28,IS明細!$B:J,9,0)),0,VLOOKUP($A28,IS明細!$B:J,9,0))</f>
        <v>0</v>
      </c>
      <c r="I28" s="1055">
        <f>IF(ISNA(VLOOKUP($A28,IS明細!$B:L,11,0)),0,VLOOKUP($A28,IS明細!$B:L,11,0))</f>
        <v>0</v>
      </c>
      <c r="J28" s="1055">
        <f>IF(ISNA(VLOOKUP($A28,IS明細!$B:N,13,0)),0,VLOOKUP($A28,IS明細!$B:N,13,0))</f>
        <v>0</v>
      </c>
      <c r="K28" s="1055">
        <f>IF(ISNA(VLOOKUP($A28,IS明細!$B:P,15,0)),0,VLOOKUP($A28,IS明細!$B:P,15,0))</f>
        <v>0</v>
      </c>
      <c r="L28" s="1055">
        <f>IF(ISNA(VLOOKUP($A28,IS明細!$B:R,17,0)),0,VLOOKUP($A28,IS明細!$B:R,17,0))</f>
        <v>0</v>
      </c>
      <c r="M28" s="1055">
        <f>IF(ISNA(VLOOKUP($A28,IS明細!$B:T,19,0)),0,VLOOKUP($A28,IS明細!$B:T,19,0))</f>
        <v>0</v>
      </c>
      <c r="N28" s="1055">
        <f>IF(ISNA(VLOOKUP($A28,IS明細!$B:V,21,0)),0,VLOOKUP($A28,IS明細!$B:V,21,0))</f>
        <v>0</v>
      </c>
      <c r="O28" s="1055">
        <f>IF(ISNA(VLOOKUP($A28,IS明細!$B:X,23,0)),0,VLOOKUP($A28,IS明細!$B:X,23,0))</f>
        <v>0</v>
      </c>
      <c r="P28" s="1055">
        <f>IF(ISNA(VLOOKUP($A28,IS明細!$B:Z,25,0)),0,VLOOKUP($A28,IS明細!$B:Z,25,0))</f>
        <v>0</v>
      </c>
      <c r="Q28" s="543">
        <f t="shared" si="2"/>
        <v>0</v>
      </c>
      <c r="R28" s="543">
        <f t="shared" si="1"/>
        <v>0</v>
      </c>
      <c r="S28" s="1071"/>
      <c r="T28" s="600">
        <f t="shared" si="3"/>
        <v>0</v>
      </c>
      <c r="U28" s="712"/>
      <c r="V28" s="720"/>
      <c r="W28" s="720"/>
      <c r="X28" s="720"/>
      <c r="Y28" s="720"/>
      <c r="Z28" s="720"/>
      <c r="AA28" s="720"/>
      <c r="AB28" s="720"/>
      <c r="AC28" s="720"/>
      <c r="AD28" s="543"/>
      <c r="AE28" s="720"/>
    </row>
    <row r="29" spans="1:31" ht="16.5" customHeight="1">
      <c r="A29" s="404" t="s">
        <v>1381</v>
      </c>
      <c r="B29" s="1054" t="s">
        <v>387</v>
      </c>
      <c r="C29" s="404" t="s">
        <v>1333</v>
      </c>
      <c r="E29" s="1055">
        <f>IF(ISNA(VLOOKUP($A29,IS明細!B:D,3,0)),0,VLOOKUP($A29,IS明細!B:D,3,0))</f>
        <v>0</v>
      </c>
      <c r="F29" s="1055">
        <f>IF(ISNA(VLOOKUP($A29,IS明細!$B:F,5,0)),0,VLOOKUP($A29,IS明細!$B:F,5,0))</f>
        <v>0</v>
      </c>
      <c r="G29" s="1055">
        <f>IF(ISNA(VLOOKUP($A29,IS明細!$B:H,7,0)),0,VLOOKUP($A29,IS明細!$B:H,7,0))</f>
        <v>0</v>
      </c>
      <c r="H29" s="1055">
        <f>IF(ISNA(VLOOKUP($A29,IS明細!$B:J,9,0)),0,VLOOKUP($A29,IS明細!$B:J,9,0))</f>
        <v>0</v>
      </c>
      <c r="I29" s="1055">
        <f>IF(ISNA(VLOOKUP($A29,IS明細!$B:L,11,0)),0,VLOOKUP($A29,IS明細!$B:L,11,0))</f>
        <v>0</v>
      </c>
      <c r="J29" s="1055">
        <f>IF(ISNA(VLOOKUP($A29,IS明細!$B:N,13,0)),0,VLOOKUP($A29,IS明細!$B:N,13,0))</f>
        <v>0</v>
      </c>
      <c r="K29" s="1055">
        <f>IF(ISNA(VLOOKUP($A29,IS明細!$B:P,15,0)),0,VLOOKUP($A29,IS明細!$B:P,15,0))</f>
        <v>0</v>
      </c>
      <c r="L29" s="1055">
        <f>IF(ISNA(VLOOKUP($A29,IS明細!$B:R,17,0)),0,VLOOKUP($A29,IS明細!$B:R,17,0))</f>
        <v>0</v>
      </c>
      <c r="M29" s="1055">
        <f>IF(ISNA(VLOOKUP($A29,IS明細!$B:T,19,0)),0,VLOOKUP($A29,IS明細!$B:T,19,0))</f>
        <v>0</v>
      </c>
      <c r="N29" s="1055">
        <f>IF(ISNA(VLOOKUP($A29,IS明細!$B:V,21,0)),0,VLOOKUP($A29,IS明細!$B:V,21,0))</f>
        <v>0</v>
      </c>
      <c r="O29" s="1055">
        <f>IF(ISNA(VLOOKUP($A29,IS明細!$B:X,23,0)),0,VLOOKUP($A29,IS明細!$B:X,23,0))</f>
        <v>0</v>
      </c>
      <c r="P29" s="1055">
        <f>IF(ISNA(VLOOKUP($A29,IS明細!$B:Z,25,0)),0,VLOOKUP($A29,IS明細!$B:Z,25,0))</f>
        <v>0</v>
      </c>
      <c r="Q29" s="543">
        <f t="shared" si="2"/>
        <v>0</v>
      </c>
      <c r="R29" s="543">
        <f t="shared" si="1"/>
        <v>0</v>
      </c>
      <c r="S29" s="1056"/>
      <c r="T29" s="600">
        <f t="shared" si="3"/>
        <v>0</v>
      </c>
      <c r="U29" s="712"/>
    </row>
    <row r="30" spans="1:31" ht="16.5" customHeight="1">
      <c r="A30" s="404" t="s">
        <v>1382</v>
      </c>
      <c r="B30" s="1054" t="s">
        <v>388</v>
      </c>
      <c r="C30" s="404" t="s">
        <v>1383</v>
      </c>
      <c r="E30" s="1055">
        <f>IF(ISNA(VLOOKUP($A30,IS明細!B:D,3,0)),0,VLOOKUP($A30,IS明細!B:D,3,0))</f>
        <v>0</v>
      </c>
      <c r="F30" s="1055">
        <f>IF(ISNA(VLOOKUP($A30,IS明細!$B:F,5,0)),0,VLOOKUP($A30,IS明細!$B:F,5,0))</f>
        <v>0</v>
      </c>
      <c r="G30" s="1055">
        <f>IF(ISNA(VLOOKUP($A30,IS明細!$B:H,7,0)),0,VLOOKUP($A30,IS明細!$B:H,7,0))</f>
        <v>0</v>
      </c>
      <c r="H30" s="1055">
        <f>IF(ISNA(VLOOKUP($A30,IS明細!$B:J,9,0)),0,VLOOKUP($A30,IS明細!$B:J,9,0))</f>
        <v>0</v>
      </c>
      <c r="I30" s="1055">
        <f>IF(ISNA(VLOOKUP($A30,IS明細!$B:L,11,0)),0,VLOOKUP($A30,IS明細!$B:L,11,0))</f>
        <v>0</v>
      </c>
      <c r="J30" s="1055">
        <f>IF(ISNA(VLOOKUP($A30,IS明細!$B:N,13,0)),0,VLOOKUP($A30,IS明細!$B:N,13,0))</f>
        <v>0</v>
      </c>
      <c r="K30" s="1055">
        <f>IF(ISNA(VLOOKUP($A30,IS明細!$B:P,15,0)),0,VLOOKUP($A30,IS明細!$B:P,15,0))</f>
        <v>0</v>
      </c>
      <c r="L30" s="1055">
        <f>IF(ISNA(VLOOKUP($A30,IS明細!$B:R,17,0)),0,VLOOKUP($A30,IS明細!$B:R,17,0))</f>
        <v>0</v>
      </c>
      <c r="M30" s="1055">
        <f>IF(ISNA(VLOOKUP($A30,IS明細!$B:T,19,0)),0,VLOOKUP($A30,IS明細!$B:T,19,0))</f>
        <v>0</v>
      </c>
      <c r="N30" s="1055">
        <f>IF(ISNA(VLOOKUP($A30,IS明細!$B:V,21,0)),0,VLOOKUP($A30,IS明細!$B:V,21,0))</f>
        <v>0</v>
      </c>
      <c r="O30" s="1055">
        <f>IF(ISNA(VLOOKUP($A30,IS明細!$B:X,23,0)),0,VLOOKUP($A30,IS明細!$B:X,23,0))</f>
        <v>0</v>
      </c>
      <c r="P30" s="1055">
        <f>IF(ISNA(VLOOKUP($A30,IS明細!$B:Z,25,0)),0,VLOOKUP($A30,IS明細!$B:Z,25,0))</f>
        <v>0</v>
      </c>
      <c r="Q30" s="543">
        <f t="shared" si="2"/>
        <v>0</v>
      </c>
      <c r="R30" s="543">
        <f t="shared" si="1"/>
        <v>0</v>
      </c>
      <c r="S30" s="1071"/>
      <c r="T30" s="600">
        <f t="shared" si="3"/>
        <v>0</v>
      </c>
      <c r="U30" s="712"/>
    </row>
    <row r="31" spans="1:31" ht="16.5" customHeight="1">
      <c r="A31" s="404" t="s">
        <v>1384</v>
      </c>
      <c r="B31" s="1054" t="s">
        <v>389</v>
      </c>
      <c r="C31" s="404" t="s">
        <v>1335</v>
      </c>
      <c r="E31" s="1055">
        <f>IF(ISNA(VLOOKUP($A31,IS明細!B:D,3,0)),0,VLOOKUP($A31,IS明細!B:D,3,0))</f>
        <v>679</v>
      </c>
      <c r="F31" s="1055">
        <f>IF(ISNA(VLOOKUP($A31,IS明細!$B:F,5,0)),0,VLOOKUP($A31,IS明細!$B:F,5,0))</f>
        <v>679</v>
      </c>
      <c r="G31" s="1055">
        <f>IF(ISNA(VLOOKUP($A31,IS明細!$B:H,7,0)),0,VLOOKUP($A31,IS明細!$B:H,7,0))</f>
        <v>679</v>
      </c>
      <c r="H31" s="1055">
        <f>IF(ISNA(VLOOKUP($A31,IS明細!$B:J,9,0)),0,VLOOKUP($A31,IS明細!$B:J,9,0))</f>
        <v>679</v>
      </c>
      <c r="I31" s="1055">
        <f>IF(ISNA(VLOOKUP($A31,IS明細!$B:L,11,0)),0,VLOOKUP($A31,IS明細!$B:L,11,0))</f>
        <v>679</v>
      </c>
      <c r="J31" s="1055">
        <f>IF(ISNA(VLOOKUP($A31,IS明細!$B:N,13,0)),0,VLOOKUP($A31,IS明細!$B:N,13,0))</f>
        <v>679</v>
      </c>
      <c r="K31" s="1055">
        <f>IF(ISNA(VLOOKUP($A31,IS明細!$B:P,15,0)),0,VLOOKUP($A31,IS明細!$B:P,15,0))</f>
        <v>679</v>
      </c>
      <c r="L31" s="1055">
        <f>IF(ISNA(VLOOKUP($A31,IS明細!$B:R,17,0)),0,VLOOKUP($A31,IS明細!$B:R,17,0))</f>
        <v>679</v>
      </c>
      <c r="M31" s="1055">
        <f>IF(ISNA(VLOOKUP($A31,IS明細!$B:T,19,0)),0,VLOOKUP($A31,IS明細!$B:T,19,0))</f>
        <v>0</v>
      </c>
      <c r="N31" s="1055">
        <f>IF(ISNA(VLOOKUP($A31,IS明細!$B:V,21,0)),0,VLOOKUP($A31,IS明細!$B:V,21,0))</f>
        <v>0</v>
      </c>
      <c r="O31" s="1055">
        <f>IF(ISNA(VLOOKUP($A31,IS明細!$B:X,23,0)),0,VLOOKUP($A31,IS明細!$B:X,23,0))</f>
        <v>0</v>
      </c>
      <c r="P31" s="1055">
        <f>IF(ISNA(VLOOKUP($A31,IS明細!$B:Z,25,0)),0,VLOOKUP($A31,IS明細!$B:Z,25,0))</f>
        <v>0</v>
      </c>
      <c r="Q31" s="543">
        <f t="shared" si="2"/>
        <v>5432</v>
      </c>
      <c r="R31" s="543">
        <f t="shared" si="1"/>
        <v>776</v>
      </c>
      <c r="S31" s="1071"/>
      <c r="T31" s="600">
        <f t="shared" si="3"/>
        <v>0</v>
      </c>
      <c r="U31" s="712"/>
    </row>
    <row r="32" spans="1:31" ht="16.5" customHeight="1">
      <c r="A32" s="404" t="s">
        <v>1385</v>
      </c>
      <c r="B32" s="1054" t="s">
        <v>390</v>
      </c>
      <c r="C32" s="404" t="s">
        <v>1337</v>
      </c>
      <c r="E32" s="1055">
        <f>IF(ISNA(VLOOKUP($A32,IS明細!B:D,3,0)),0,VLOOKUP($A32,IS明細!B:D,3,0))</f>
        <v>11793</v>
      </c>
      <c r="F32" s="1055">
        <f>IF(ISNA(VLOOKUP($A32,IS明細!$B:F,5,0)),0,VLOOKUP($A32,IS明細!$B:F,5,0))</f>
        <v>9520</v>
      </c>
      <c r="G32" s="1055">
        <f>IF(ISNA(VLOOKUP($A32,IS明細!$B:H,7,0)),0,VLOOKUP($A32,IS明細!$B:H,7,0))</f>
        <v>9599</v>
      </c>
      <c r="H32" s="1055">
        <f>IF(ISNA(VLOOKUP($A32,IS明細!$B:J,9,0)),0,VLOOKUP($A32,IS明細!$B:J,9,0))</f>
        <v>9518</v>
      </c>
      <c r="I32" s="1055">
        <f>IF(ISNA(VLOOKUP($A32,IS明細!$B:L,11,0)),0,VLOOKUP($A32,IS明細!$B:L,11,0))</f>
        <v>9537</v>
      </c>
      <c r="J32" s="1055">
        <f>IF(ISNA(VLOOKUP($A32,IS明細!$B:N,13,0)),0,VLOOKUP($A32,IS明細!$B:N,13,0))</f>
        <v>9608</v>
      </c>
      <c r="K32" s="1055">
        <f>IF(ISNA(VLOOKUP($A32,IS明細!$B:P,15,0)),0,VLOOKUP($A32,IS明細!$B:P,15,0))</f>
        <v>9516</v>
      </c>
      <c r="L32" s="1055">
        <f>IF(ISNA(VLOOKUP($A32,IS明細!$B:R,17,0)),0,VLOOKUP($A32,IS明細!$B:R,17,0))</f>
        <v>11288</v>
      </c>
      <c r="M32" s="1055">
        <f>IF(ISNA(VLOOKUP($A32,IS明細!$B:T,19,0)),0,VLOOKUP($A32,IS明細!$B:T,19,0))</f>
        <v>0</v>
      </c>
      <c r="N32" s="1055">
        <f>IF(ISNA(VLOOKUP($A32,IS明細!$B:V,21,0)),0,VLOOKUP($A32,IS明細!$B:V,21,0))</f>
        <v>0</v>
      </c>
      <c r="O32" s="1055">
        <f>IF(ISNA(VLOOKUP($A32,IS明細!$B:X,23,0)),0,VLOOKUP($A32,IS明細!$B:X,23,0))</f>
        <v>0</v>
      </c>
      <c r="P32" s="1055">
        <f>IF(ISNA(VLOOKUP($A32,IS明細!$B:Z,25,0)),0,VLOOKUP($A32,IS明細!$B:Z,25,0))</f>
        <v>0</v>
      </c>
      <c r="Q32" s="543">
        <f t="shared" si="2"/>
        <v>80379</v>
      </c>
      <c r="R32" s="543">
        <f t="shared" si="1"/>
        <v>11483</v>
      </c>
      <c r="S32" s="1071" t="s">
        <v>1279</v>
      </c>
      <c r="T32" s="600">
        <f t="shared" si="3"/>
        <v>1772</v>
      </c>
      <c r="U32" s="712"/>
    </row>
    <row r="33" spans="1:21" ht="16.5" customHeight="1">
      <c r="A33" s="404" t="s">
        <v>1386</v>
      </c>
      <c r="B33" s="1054" t="s">
        <v>391</v>
      </c>
      <c r="C33" s="404" t="s">
        <v>1339</v>
      </c>
      <c r="E33" s="1055">
        <f>IF(ISNA(VLOOKUP($A33,IS明細!B:D,3,0)),0,VLOOKUP($A33,IS明細!B:D,3,0))</f>
        <v>149411</v>
      </c>
      <c r="F33" s="1055">
        <f>IF(ISNA(VLOOKUP($A33,IS明細!$B:F,5,0)),0,VLOOKUP($A33,IS明細!$B:F,5,0))</f>
        <v>191353</v>
      </c>
      <c r="G33" s="1055">
        <f>IF(ISNA(VLOOKUP($A33,IS明細!$B:H,7,0)),0,VLOOKUP($A33,IS明細!$B:H,7,0))</f>
        <v>162679</v>
      </c>
      <c r="H33" s="1055">
        <f>IF(ISNA(VLOOKUP($A33,IS明細!$B:J,9,0)),0,VLOOKUP($A33,IS明細!$B:J,9,0))</f>
        <v>143343</v>
      </c>
      <c r="I33" s="1055">
        <f>IF(ISNA(VLOOKUP($A33,IS明細!$B:L,11,0)),0,VLOOKUP($A33,IS明細!$B:L,11,0))</f>
        <v>101524</v>
      </c>
      <c r="J33" s="1055">
        <f>IF(ISNA(VLOOKUP($A33,IS明細!$B:N,13,0)),0,VLOOKUP($A33,IS明細!$B:N,13,0))</f>
        <v>96131</v>
      </c>
      <c r="K33" s="1055">
        <f>IF(ISNA(VLOOKUP($A33,IS明細!$B:P,15,0)),0,VLOOKUP($A33,IS明細!$B:P,15,0))</f>
        <v>137536</v>
      </c>
      <c r="L33" s="1055">
        <f>IF(ISNA(VLOOKUP($A33,IS明細!$B:R,17,0)),0,VLOOKUP($A33,IS明細!$B:R,17,0))</f>
        <v>104558</v>
      </c>
      <c r="M33" s="1055">
        <f>IF(ISNA(VLOOKUP($A33,IS明細!$B:T,19,0)),0,VLOOKUP($A33,IS明細!$B:T,19,0))</f>
        <v>0</v>
      </c>
      <c r="N33" s="1055">
        <f>IF(ISNA(VLOOKUP($A33,IS明細!$B:V,21,0)),0,VLOOKUP($A33,IS明細!$B:V,21,0))</f>
        <v>0</v>
      </c>
      <c r="O33" s="1055">
        <f>IF(ISNA(VLOOKUP($A33,IS明細!$B:X,23,0)),0,VLOOKUP($A33,IS明細!$B:X,23,0))</f>
        <v>0</v>
      </c>
      <c r="P33" s="1055">
        <f>IF(ISNA(VLOOKUP($A33,IS明細!$B:Z,25,0)),0,VLOOKUP($A33,IS明細!$B:Z,25,0))</f>
        <v>0</v>
      </c>
      <c r="Q33" s="543">
        <f>SUM(E33:P33)</f>
        <v>1086535</v>
      </c>
      <c r="R33" s="543">
        <f t="shared" si="1"/>
        <v>155219</v>
      </c>
      <c r="S33" s="1071"/>
      <c r="T33" s="600">
        <f t="shared" si="3"/>
        <v>-32978</v>
      </c>
      <c r="U33" s="712"/>
    </row>
    <row r="34" spans="1:21" ht="16.5" customHeight="1">
      <c r="A34" s="404" t="s">
        <v>1387</v>
      </c>
      <c r="B34" s="1054" t="s">
        <v>392</v>
      </c>
      <c r="C34" s="404" t="s">
        <v>1388</v>
      </c>
      <c r="E34" s="1055">
        <f>IF(ISNA(VLOOKUP($A34,IS明細!B:D,3,0)),0,VLOOKUP($A34,IS明細!B:D,3,0))</f>
        <v>1800</v>
      </c>
      <c r="F34" s="1055">
        <f>IF(ISNA(VLOOKUP($A34,IS明細!$B:F,5,0)),0,VLOOKUP($A34,IS明細!$B:F,5,0))</f>
        <v>3118</v>
      </c>
      <c r="G34" s="1055">
        <f>IF(ISNA(VLOOKUP($A34,IS明細!$B:H,7,0)),0,VLOOKUP($A34,IS明細!$B:H,7,0))</f>
        <v>24262</v>
      </c>
      <c r="H34" s="1055">
        <f>IF(ISNA(VLOOKUP($A34,IS明細!$B:J,9,0)),0,VLOOKUP($A34,IS明細!$B:J,9,0))</f>
        <v>18353</v>
      </c>
      <c r="I34" s="1055">
        <f>IF(ISNA(VLOOKUP($A34,IS明細!$B:L,11,0)),0,VLOOKUP($A34,IS明細!$B:L,11,0))</f>
        <v>0</v>
      </c>
      <c r="J34" s="1055">
        <f>IF(ISNA(VLOOKUP($A34,IS明細!$B:N,13,0)),0,VLOOKUP($A34,IS明細!$B:N,13,0))</f>
        <v>0</v>
      </c>
      <c r="K34" s="1055">
        <f>IF(ISNA(VLOOKUP($A34,IS明細!$B:P,15,0)),0,VLOOKUP($A34,IS明細!$B:P,15,0))</f>
        <v>23140</v>
      </c>
      <c r="L34" s="1055">
        <f>IF(ISNA(VLOOKUP($A34,IS明細!$B:R,17,0)),0,VLOOKUP($A34,IS明細!$B:R,17,0))</f>
        <v>6149</v>
      </c>
      <c r="M34" s="1055">
        <f>IF(ISNA(VLOOKUP($A34,IS明細!$B:T,19,0)),0,VLOOKUP($A34,IS明細!$B:T,19,0))</f>
        <v>0</v>
      </c>
      <c r="N34" s="1055">
        <f>IF(ISNA(VLOOKUP($A34,IS明細!$B:V,21,0)),0,VLOOKUP($A34,IS明細!$B:V,21,0))</f>
        <v>0</v>
      </c>
      <c r="O34" s="1055">
        <f>IF(ISNA(VLOOKUP($A34,IS明細!$B:X,23,0)),0,VLOOKUP($A34,IS明細!$B:X,23,0))</f>
        <v>0</v>
      </c>
      <c r="P34" s="1055">
        <f>IF(ISNA(VLOOKUP($A34,IS明細!$B:Z,25,0)),0,VLOOKUP($A34,IS明細!$B:Z,25,0))</f>
        <v>0</v>
      </c>
      <c r="Q34" s="543">
        <f t="shared" si="2"/>
        <v>76822</v>
      </c>
      <c r="R34" s="543">
        <f t="shared" si="1"/>
        <v>10975</v>
      </c>
      <c r="S34" s="889" t="s">
        <v>2077</v>
      </c>
      <c r="T34" s="600">
        <f t="shared" si="3"/>
        <v>-16991</v>
      </c>
      <c r="U34" s="712"/>
    </row>
    <row r="35" spans="1:21" ht="16.5" customHeight="1">
      <c r="A35" s="404" t="s">
        <v>1389</v>
      </c>
      <c r="B35" s="1054" t="s">
        <v>393</v>
      </c>
      <c r="C35" s="404" t="s">
        <v>1342</v>
      </c>
      <c r="E35" s="1055">
        <f>IF(ISNA(VLOOKUP($A35,IS明細!B:D,3,0)),0,VLOOKUP($A35,IS明細!B:D,3,0))</f>
        <v>0</v>
      </c>
      <c r="F35" s="1055">
        <f>IF(ISNA(VLOOKUP($A35,IS明細!$B:F,5,0)),0,VLOOKUP($A35,IS明細!$B:F,5,0))</f>
        <v>1200</v>
      </c>
      <c r="G35" s="1055">
        <f>IF(ISNA(VLOOKUP($A35,IS明細!$B:H,7,0)),0,VLOOKUP($A35,IS明細!$B:H,7,0))</f>
        <v>0</v>
      </c>
      <c r="H35" s="1055">
        <f>IF(ISNA(VLOOKUP($A35,IS明細!$B:J,9,0)),0,VLOOKUP($A35,IS明細!$B:J,9,0))</f>
        <v>2400</v>
      </c>
      <c r="I35" s="1055">
        <f>IF(ISNA(VLOOKUP($A35,IS明細!$B:L,11,0)),0,VLOOKUP($A35,IS明細!$B:L,11,0))</f>
        <v>0</v>
      </c>
      <c r="J35" s="1055">
        <f>IF(ISNA(VLOOKUP($A35,IS明細!$B:N,13,0)),0,VLOOKUP($A35,IS明細!$B:N,13,0))</f>
        <v>2400</v>
      </c>
      <c r="K35" s="1055">
        <f>IF(ISNA(VLOOKUP($A35,IS明細!$B:P,15,0)),0,VLOOKUP($A35,IS明細!$B:P,15,0))</f>
        <v>0</v>
      </c>
      <c r="L35" s="1055">
        <f>IF(ISNA(VLOOKUP($A35,IS明細!$B:R,17,0)),0,VLOOKUP($A35,IS明細!$B:R,17,0))</f>
        <v>2400</v>
      </c>
      <c r="M35" s="1055">
        <f>IF(ISNA(VLOOKUP($A35,IS明細!$B:T,19,0)),0,VLOOKUP($A35,IS明細!$B:T,19,0))</f>
        <v>0</v>
      </c>
      <c r="N35" s="1055">
        <f>IF(ISNA(VLOOKUP($A35,IS明細!$B:V,21,0)),0,VLOOKUP($A35,IS明細!$B:V,21,0))</f>
        <v>0</v>
      </c>
      <c r="O35" s="1055">
        <f>IF(ISNA(VLOOKUP($A35,IS明細!$B:X,23,0)),0,VLOOKUP($A35,IS明細!$B:X,23,0))</f>
        <v>0</v>
      </c>
      <c r="P35" s="1055">
        <f>IF(ISNA(VLOOKUP($A35,IS明細!$B:Z,25,0)),0,VLOOKUP($A35,IS明細!$B:Z,25,0))</f>
        <v>0</v>
      </c>
      <c r="Q35" s="543">
        <f t="shared" si="2"/>
        <v>8400</v>
      </c>
      <c r="R35" s="543">
        <f t="shared" si="1"/>
        <v>1200</v>
      </c>
      <c r="S35" s="1071"/>
      <c r="T35" s="600">
        <f t="shared" si="3"/>
        <v>2400</v>
      </c>
      <c r="U35" s="712"/>
    </row>
    <row r="36" spans="1:21" ht="16.5" customHeight="1">
      <c r="A36" s="404" t="s">
        <v>1390</v>
      </c>
      <c r="B36" s="1054" t="s">
        <v>1935</v>
      </c>
      <c r="C36" s="404" t="s">
        <v>1344</v>
      </c>
      <c r="E36" s="1055">
        <f>IF(ISNA(VLOOKUP($A36,IS明細!B:D,3,0)),0,VLOOKUP($A36,IS明細!B:D,3,0))</f>
        <v>130000</v>
      </c>
      <c r="F36" s="1055">
        <f>IF(ISNA(VLOOKUP($A36,IS明細!$B:F,5,0)),0,VLOOKUP($A36,IS明細!$B:F,5,0))</f>
        <v>57000</v>
      </c>
      <c r="G36" s="1055">
        <f>IF(ISNA(VLOOKUP($A36,IS明細!$B:H,7,0)),0,VLOOKUP($A36,IS明細!$B:H,7,0))</f>
        <v>103720</v>
      </c>
      <c r="H36" s="1055">
        <f>IF(ISNA(VLOOKUP($A36,IS明細!$B:J,9,0)),0,VLOOKUP($A36,IS明細!$B:J,9,0))</f>
        <v>85750</v>
      </c>
      <c r="I36" s="1055">
        <f>IF(ISNA(VLOOKUP($A36,IS明細!$B:L,11,0)),0,VLOOKUP($A36,IS明細!$B:L,11,0))</f>
        <v>64500</v>
      </c>
      <c r="J36" s="1055">
        <f>IF(ISNA(VLOOKUP($A36,IS明細!$B:N,13,0)),0,VLOOKUP($A36,IS明細!$B:N,13,0))</f>
        <v>60000</v>
      </c>
      <c r="K36" s="1055">
        <f>IF(ISNA(VLOOKUP($A36,IS明細!$B:P,15,0)),0,VLOOKUP($A36,IS明細!$B:P,15,0))</f>
        <v>82000</v>
      </c>
      <c r="L36" s="1055">
        <f>IF(ISNA(VLOOKUP($A36,IS明細!$B:R,17,0)),0,VLOOKUP($A36,IS明細!$B:R,17,0))</f>
        <v>66750</v>
      </c>
      <c r="M36" s="1055">
        <f>IF(ISNA(VLOOKUP($A36,IS明細!$B:T,19,0)),0,VLOOKUP($A36,IS明細!$B:T,19,0))</f>
        <v>0</v>
      </c>
      <c r="N36" s="1055">
        <f>IF(ISNA(VLOOKUP($A36,IS明細!$B:V,21,0)),0,VLOOKUP($A36,IS明細!$B:V,21,0))</f>
        <v>0</v>
      </c>
      <c r="O36" s="1055">
        <f>IF(ISNA(VLOOKUP($A36,IS明細!$B:X,23,0)),0,VLOOKUP($A36,IS明細!$B:X,23,0))</f>
        <v>0</v>
      </c>
      <c r="P36" s="1055">
        <f>IF(ISNA(VLOOKUP($A36,IS明細!$B:Z,25,0)),0,VLOOKUP($A36,IS明細!$B:Z,25,0))</f>
        <v>0</v>
      </c>
      <c r="Q36" s="543">
        <f t="shared" si="2"/>
        <v>649720</v>
      </c>
      <c r="R36" s="543">
        <f t="shared" si="1"/>
        <v>92817</v>
      </c>
      <c r="S36" s="563" t="s">
        <v>1936</v>
      </c>
      <c r="T36" s="600">
        <f t="shared" si="3"/>
        <v>-15250</v>
      </c>
      <c r="U36" s="712"/>
    </row>
    <row r="37" spans="1:21" ht="16.5" customHeight="1">
      <c r="A37" s="404" t="s">
        <v>1391</v>
      </c>
      <c r="B37" s="1054" t="s">
        <v>515</v>
      </c>
      <c r="C37" s="404" t="s">
        <v>1392</v>
      </c>
      <c r="E37" s="1055">
        <f>IF(ISNA(VLOOKUP($A37,IS明細!B:D,3,0)),0,VLOOKUP($A37,IS明細!B:D,3,0))</f>
        <v>0</v>
      </c>
      <c r="F37" s="1055">
        <f>IF(ISNA(VLOOKUP($A37,IS明細!$B:F,5,0)),0,VLOOKUP($A37,IS明細!$B:F,5,0))</f>
        <v>0</v>
      </c>
      <c r="G37" s="1055">
        <f>IF(ISNA(VLOOKUP($A37,IS明細!$B:H,7,0)),0,VLOOKUP($A37,IS明細!$B:H,7,0))</f>
        <v>0</v>
      </c>
      <c r="H37" s="1055">
        <f>IF(ISNA(VLOOKUP($A37,IS明細!$B:J,9,0)),0,VLOOKUP($A37,IS明細!$B:J,9,0))</f>
        <v>0</v>
      </c>
      <c r="I37" s="1055">
        <f>IF(ISNA(VLOOKUP($A37,IS明細!$B:L,11,0)),0,VLOOKUP($A37,IS明細!$B:L,11,0))</f>
        <v>0</v>
      </c>
      <c r="J37" s="1055">
        <f>IF(ISNA(VLOOKUP($A37,IS明細!$B:N,13,0)),0,VLOOKUP($A37,IS明細!$B:N,13,0))</f>
        <v>0</v>
      </c>
      <c r="K37" s="1055">
        <f>IF(ISNA(VLOOKUP($A37,IS明細!$B:P,15,0)),0,VLOOKUP($A37,IS明細!$B:P,15,0))</f>
        <v>0</v>
      </c>
      <c r="L37" s="1055">
        <f>IF(ISNA(VLOOKUP($A37,IS明細!$B:R,17,0)),0,VLOOKUP($A37,IS明細!$B:R,17,0))</f>
        <v>0</v>
      </c>
      <c r="M37" s="1055">
        <f>IF(ISNA(VLOOKUP($A37,IS明細!$B:T,19,0)),0,VLOOKUP($A37,IS明細!$B:T,19,0))</f>
        <v>0</v>
      </c>
      <c r="N37" s="1055">
        <f>IF(ISNA(VLOOKUP($A37,IS明細!$B:V,21,0)),0,VLOOKUP($A37,IS明細!$B:V,21,0))</f>
        <v>0</v>
      </c>
      <c r="O37" s="1055">
        <f>IF(ISNA(VLOOKUP($A37,IS明細!$B:X,23,0)),0,VLOOKUP($A37,IS明細!$B:X,23,0))</f>
        <v>0</v>
      </c>
      <c r="P37" s="1055">
        <f>IF(ISNA(VLOOKUP($A37,IS明細!$B:Z,25,0)),0,VLOOKUP($A37,IS明細!$B:Z,25,0))</f>
        <v>0</v>
      </c>
      <c r="Q37" s="543">
        <f t="shared" si="2"/>
        <v>0</v>
      </c>
      <c r="R37" s="543">
        <f t="shared" si="1"/>
        <v>0</v>
      </c>
      <c r="S37" s="1071"/>
      <c r="T37" s="600">
        <f t="shared" si="3"/>
        <v>0</v>
      </c>
      <c r="U37" s="712"/>
    </row>
    <row r="38" spans="1:21" ht="16.5" customHeight="1">
      <c r="A38" s="404" t="s">
        <v>1393</v>
      </c>
      <c r="B38" s="1054" t="s">
        <v>516</v>
      </c>
      <c r="C38" s="404" t="s">
        <v>1350</v>
      </c>
      <c r="E38" s="1055">
        <f>IF(ISNA(VLOOKUP($A38,IS明細!B:D,3,0)),0,VLOOKUP($A38,IS明細!B:D,3,0))</f>
        <v>17611</v>
      </c>
      <c r="F38" s="1055">
        <f>IF(ISNA(VLOOKUP($A38,IS明細!$B:F,5,0)),0,VLOOKUP($A38,IS明細!$B:F,5,0))</f>
        <v>130035</v>
      </c>
      <c r="G38" s="1055">
        <f>IF(ISNA(VLOOKUP($A38,IS明細!$B:H,7,0)),0,VLOOKUP($A38,IS明細!$B:H,7,0))</f>
        <v>34697</v>
      </c>
      <c r="H38" s="1055">
        <f>IF(ISNA(VLOOKUP($A38,IS明細!$B:J,9,0)),0,VLOOKUP($A38,IS明細!$B:J,9,0))</f>
        <v>36840</v>
      </c>
      <c r="I38" s="1055">
        <f>IF(ISNA(VLOOKUP($A38,IS明細!$B:L,11,0)),0,VLOOKUP($A38,IS明細!$B:L,11,0))</f>
        <v>37024</v>
      </c>
      <c r="J38" s="1055">
        <f>IF(ISNA(VLOOKUP($A38,IS明細!$B:N,13,0)),0,VLOOKUP($A38,IS明細!$B:N,13,0))</f>
        <v>33731</v>
      </c>
      <c r="K38" s="1055">
        <f>IF(ISNA(VLOOKUP($A38,IS明細!$B:P,15,0)),0,VLOOKUP($A38,IS明細!$B:P,15,0))</f>
        <v>32396</v>
      </c>
      <c r="L38" s="1055">
        <f>IF(ISNA(VLOOKUP($A38,IS明細!$B:R,17,0)),0,VLOOKUP($A38,IS明細!$B:R,17,0))</f>
        <v>29259</v>
      </c>
      <c r="M38" s="1055">
        <f>IF(ISNA(VLOOKUP($A38,IS明細!$B:T,19,0)),0,VLOOKUP($A38,IS明細!$B:T,19,0))</f>
        <v>0</v>
      </c>
      <c r="N38" s="1055">
        <f>IF(ISNA(VLOOKUP($A38,IS明細!$B:V,21,0)),0,VLOOKUP($A38,IS明細!$B:V,21,0))</f>
        <v>0</v>
      </c>
      <c r="O38" s="1055">
        <f>IF(ISNA(VLOOKUP($A38,IS明細!$B:X,23,0)),0,VLOOKUP($A38,IS明細!$B:X,23,0))</f>
        <v>0</v>
      </c>
      <c r="P38" s="1055">
        <f>IF(ISNA(VLOOKUP($A38,IS明細!$B:Z,25,0)),0,VLOOKUP($A38,IS明細!$B:Z,25,0))</f>
        <v>0</v>
      </c>
      <c r="Q38" s="543">
        <f>SUM(E38:P38)</f>
        <v>351593</v>
      </c>
      <c r="R38" s="543">
        <f t="shared" si="1"/>
        <v>50228</v>
      </c>
      <c r="S38" s="1056" t="s">
        <v>1937</v>
      </c>
      <c r="T38" s="600">
        <f t="shared" si="3"/>
        <v>-3137</v>
      </c>
      <c r="U38" s="712"/>
    </row>
    <row r="39" spans="1:21" ht="16.5" customHeight="1" thickBot="1">
      <c r="B39" s="1054" t="s">
        <v>1938</v>
      </c>
      <c r="E39" s="1067">
        <f t="shared" ref="E39:P39" si="4">SUM(E4:E33)-E6-E7</f>
        <v>1755765</v>
      </c>
      <c r="F39" s="1067">
        <f t="shared" si="4"/>
        <v>2075875</v>
      </c>
      <c r="G39" s="1067">
        <f t="shared" si="4"/>
        <v>1882646</v>
      </c>
      <c r="H39" s="1067">
        <f t="shared" si="4"/>
        <v>1770950</v>
      </c>
      <c r="I39" s="1067">
        <f t="shared" si="4"/>
        <v>1871563</v>
      </c>
      <c r="J39" s="1067">
        <f t="shared" si="4"/>
        <v>1797661</v>
      </c>
      <c r="K39" s="1067">
        <f t="shared" si="4"/>
        <v>3498119</v>
      </c>
      <c r="L39" s="1067">
        <f t="shared" si="4"/>
        <v>1755224</v>
      </c>
      <c r="M39" s="1067">
        <f t="shared" si="4"/>
        <v>0</v>
      </c>
      <c r="N39" s="1067">
        <f t="shared" si="4"/>
        <v>0</v>
      </c>
      <c r="O39" s="1067">
        <f t="shared" si="4"/>
        <v>0</v>
      </c>
      <c r="P39" s="1067">
        <f t="shared" si="4"/>
        <v>0</v>
      </c>
      <c r="Q39" s="1067">
        <f t="shared" si="2"/>
        <v>16407803</v>
      </c>
      <c r="R39" s="1067">
        <f t="shared" si="2"/>
        <v>31059841</v>
      </c>
      <c r="S39" s="1072"/>
      <c r="T39" s="600">
        <f t="shared" si="3"/>
        <v>-1742895</v>
      </c>
      <c r="U39" s="712"/>
    </row>
    <row r="40" spans="1:21" ht="16.5" customHeight="1" thickTop="1">
      <c r="B40" s="1054"/>
      <c r="E40" s="543">
        <f>IS明細!D172</f>
        <v>1755765</v>
      </c>
      <c r="F40" s="543">
        <f>IS明細!F172</f>
        <v>2075875</v>
      </c>
      <c r="G40" s="543">
        <f>IS明細!H172</f>
        <v>1882646</v>
      </c>
      <c r="H40" s="543">
        <f>IS明細!J172</f>
        <v>1770950</v>
      </c>
      <c r="I40" s="543">
        <f>IS明細!L172</f>
        <v>1871563</v>
      </c>
      <c r="J40" s="543">
        <f>IS明細!N172</f>
        <v>1797661</v>
      </c>
      <c r="K40" s="543">
        <f>IS明細!P172</f>
        <v>3498119</v>
      </c>
      <c r="L40" s="543">
        <f>IS明細!R172</f>
        <v>1755224</v>
      </c>
      <c r="M40" s="543">
        <f>IS明細!T172</f>
        <v>0</v>
      </c>
      <c r="N40" s="543">
        <f>IS明細!V172</f>
        <v>0</v>
      </c>
      <c r="O40" s="543">
        <f>IS明細!X172</f>
        <v>0</v>
      </c>
      <c r="P40" s="543">
        <f>IS明細!Z172</f>
        <v>0</v>
      </c>
      <c r="Q40" s="543">
        <f t="shared" si="2"/>
        <v>16407803</v>
      </c>
      <c r="R40" s="543"/>
      <c r="S40" s="1072"/>
      <c r="T40" s="600"/>
      <c r="U40" s="712"/>
    </row>
    <row r="41" spans="1:21" ht="16.5" customHeight="1">
      <c r="B41" s="1054"/>
      <c r="E41" s="720"/>
      <c r="F41" s="720"/>
      <c r="G41" s="720"/>
      <c r="H41" s="720"/>
      <c r="I41" s="720"/>
      <c r="J41" s="720"/>
      <c r="K41" s="720"/>
      <c r="L41" s="720"/>
      <c r="M41" s="720"/>
      <c r="N41" s="720"/>
      <c r="O41" s="720"/>
      <c r="P41" s="720"/>
      <c r="Q41" s="720"/>
      <c r="R41" s="720"/>
      <c r="S41" s="1072"/>
      <c r="T41" s="600"/>
      <c r="U41" s="712"/>
    </row>
    <row r="42" spans="1:21" ht="16.5" customHeight="1">
      <c r="F42" s="543">
        <f t="shared" ref="F42:L42" si="5">F39-E39</f>
        <v>320110</v>
      </c>
      <c r="G42" s="600">
        <f t="shared" si="5"/>
        <v>-193229</v>
      </c>
      <c r="H42" s="600">
        <f t="shared" si="5"/>
        <v>-111696</v>
      </c>
      <c r="I42" s="600">
        <f>I39-H39</f>
        <v>100613</v>
      </c>
      <c r="J42" s="600">
        <f t="shared" si="5"/>
        <v>-73902</v>
      </c>
      <c r="K42" s="600">
        <f t="shared" si="5"/>
        <v>1700458</v>
      </c>
      <c r="L42" s="600">
        <f t="shared" si="5"/>
        <v>-1742895</v>
      </c>
      <c r="M42" s="600">
        <f>M39-L39</f>
        <v>-1755224</v>
      </c>
      <c r="N42" s="600">
        <f>N39-M39</f>
        <v>0</v>
      </c>
      <c r="O42" s="712">
        <f>O39-N39</f>
        <v>0</v>
      </c>
      <c r="P42" s="712">
        <f>P39-O39</f>
        <v>0</v>
      </c>
      <c r="R42" s="543"/>
      <c r="T42" s="600"/>
      <c r="U42" s="712"/>
    </row>
    <row r="43" spans="1:21" s="524" customFormat="1" ht="16.5" customHeight="1">
      <c r="F43" s="524" t="s">
        <v>1918</v>
      </c>
      <c r="G43" s="717" t="s">
        <v>1919</v>
      </c>
      <c r="H43" s="717" t="s">
        <v>1939</v>
      </c>
      <c r="I43" s="524" t="s">
        <v>1920</v>
      </c>
      <c r="J43" s="1070" t="s">
        <v>1921</v>
      </c>
      <c r="K43" s="524" t="s">
        <v>1922</v>
      </c>
      <c r="L43" s="524" t="s">
        <v>1923</v>
      </c>
      <c r="M43" s="524" t="s">
        <v>1924</v>
      </c>
      <c r="N43" s="524" t="s">
        <v>1925</v>
      </c>
      <c r="O43" s="524" t="s">
        <v>1926</v>
      </c>
      <c r="P43" s="524" t="s">
        <v>1927</v>
      </c>
      <c r="S43" s="1073"/>
      <c r="T43" s="600"/>
      <c r="U43" s="717"/>
    </row>
    <row r="44" spans="1:21" ht="16.5" customHeight="1">
      <c r="T44" s="600"/>
      <c r="U44" s="712"/>
    </row>
    <row r="45" spans="1:21" ht="16.5" customHeight="1">
      <c r="T45" s="1084"/>
    </row>
    <row r="46" spans="1:21" ht="16.5" customHeight="1">
      <c r="P46" s="712"/>
    </row>
    <row r="47" spans="1:21" ht="16.5" customHeight="1">
      <c r="T47" s="1068"/>
    </row>
    <row r="48" spans="1:21" ht="16.5" customHeight="1">
      <c r="T48" s="1094"/>
    </row>
    <row r="49" spans="20:20" ht="16.5" customHeight="1">
      <c r="T49" s="1094"/>
    </row>
    <row r="50" spans="20:20" ht="16.5" customHeight="1">
      <c r="T50" s="1094"/>
    </row>
    <row r="51" spans="20:20" ht="16.5" customHeight="1">
      <c r="T51" s="1094"/>
    </row>
    <row r="52" spans="20:20" ht="16.5" customHeight="1">
      <c r="T52" s="1094"/>
    </row>
  </sheetData>
  <phoneticPr fontId="39" type="noConversion"/>
  <pageMargins left="0.15748031496062992" right="0.15748031496062992" top="0.35433070866141736" bottom="0.43307086614173229" header="0.19685039370078741" footer="0.15748031496062992"/>
  <pageSetup paperSize="9" scale="62" orientation="landscape" r:id="rId1"/>
  <headerFooter alignWithMargins="0">
    <oddHeader>&amp;R&amp;F--&amp;A</oddHeader>
    <oddFooter>&amp;RP.20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indexed="15"/>
    <pageSetUpPr fitToPage="1"/>
  </sheetPr>
  <dimension ref="A1:AD54"/>
  <sheetViews>
    <sheetView workbookViewId="0">
      <pane xSplit="4" ySplit="2" topLeftCell="L24" activePane="bottomRight" state="frozen"/>
      <selection activeCell="Q22" sqref="Q22"/>
      <selection pane="topRight" activeCell="Q22" sqref="Q22"/>
      <selection pane="bottomLeft" activeCell="Q22" sqref="Q22"/>
      <selection pane="bottomRight" activeCell="S31" sqref="S31"/>
    </sheetView>
  </sheetViews>
  <sheetFormatPr baseColWidth="10" defaultColWidth="9.19921875" defaultRowHeight="16.5" customHeight="1" outlineLevelCol="1"/>
  <cols>
    <col min="1" max="1" width="33" style="404" hidden="1" customWidth="1"/>
    <col min="2" max="2" width="10.3984375" style="404" customWidth="1"/>
    <col min="3" max="3" width="24" style="404" bestFit="1" customWidth="1"/>
    <col min="4" max="4" width="6.19921875" style="404" hidden="1" customWidth="1"/>
    <col min="5" max="5" width="11.3984375" style="404" bestFit="1" customWidth="1"/>
    <col min="6" max="9" width="11.3984375" style="404" customWidth="1"/>
    <col min="10" max="10" width="11.3984375" style="405" customWidth="1"/>
    <col min="11" max="12" width="11.3984375" style="404" customWidth="1"/>
    <col min="13" max="13" width="11.3984375" style="404" hidden="1" customWidth="1" outlineLevel="1"/>
    <col min="14" max="15" width="13.19921875" style="404" hidden="1" customWidth="1" outlineLevel="1"/>
    <col min="16" max="16" width="16.59765625" style="404" hidden="1" customWidth="1" outlineLevel="1"/>
    <col min="17" max="17" width="12.796875" style="404" bestFit="1" customWidth="1" collapsed="1"/>
    <col min="18" max="18" width="11.3984375" style="404" bestFit="1" customWidth="1"/>
    <col min="19" max="19" width="46.796875" style="563" customWidth="1"/>
    <col min="20" max="20" width="11.796875" style="405" bestFit="1" customWidth="1"/>
    <col min="21" max="21" width="13.19921875" style="1053" customWidth="1"/>
    <col min="22" max="16384" width="9.19921875" style="404"/>
  </cols>
  <sheetData>
    <row r="1" spans="1:21" s="524" customFormat="1" ht="16.5" customHeight="1" thickBot="1">
      <c r="B1" s="1045" t="s">
        <v>1280</v>
      </c>
      <c r="E1" s="1046" t="s">
        <v>1767</v>
      </c>
      <c r="F1" s="1046" t="s">
        <v>1768</v>
      </c>
      <c r="G1" s="1046" t="s">
        <v>1769</v>
      </c>
      <c r="H1" s="1046" t="s">
        <v>1770</v>
      </c>
      <c r="I1" s="1046" t="s">
        <v>1771</v>
      </c>
      <c r="J1" s="1046" t="s">
        <v>1772</v>
      </c>
      <c r="K1" s="1046" t="s">
        <v>1773</v>
      </c>
      <c r="L1" s="1046" t="s">
        <v>1774</v>
      </c>
      <c r="M1" s="1046" t="s">
        <v>1775</v>
      </c>
      <c r="N1" s="1046" t="s">
        <v>1776</v>
      </c>
      <c r="O1" s="1046" t="s">
        <v>1777</v>
      </c>
      <c r="P1" s="1046" t="s">
        <v>1778</v>
      </c>
      <c r="Q1" s="1047" t="s">
        <v>1903</v>
      </c>
      <c r="R1" s="1048" t="s">
        <v>1282</v>
      </c>
      <c r="S1" s="1049" t="str">
        <f>[3]製造費用明細!S1</f>
        <v>說明</v>
      </c>
      <c r="T1" s="1084"/>
      <c r="U1" s="1050"/>
    </row>
    <row r="2" spans="1:21" ht="16.5" customHeight="1" thickTop="1" thickBot="1">
      <c r="C2" s="711" t="s">
        <v>1143</v>
      </c>
      <c r="D2" s="524" t="s">
        <v>1143</v>
      </c>
      <c r="E2" s="1051">
        <f>20+5</f>
        <v>25</v>
      </c>
      <c r="F2" s="1051">
        <f>19+6</f>
        <v>25</v>
      </c>
      <c r="G2" s="1051">
        <f>19+6</f>
        <v>25</v>
      </c>
      <c r="H2" s="1051">
        <f>19+5</f>
        <v>24</v>
      </c>
      <c r="I2" s="1051">
        <f>19+6</f>
        <v>25</v>
      </c>
      <c r="J2" s="1051">
        <f>20+7</f>
        <v>27</v>
      </c>
      <c r="K2" s="1051">
        <f>19+6</f>
        <v>25</v>
      </c>
      <c r="L2" s="1051">
        <f>19+6</f>
        <v>25</v>
      </c>
      <c r="M2" s="1051">
        <v>0</v>
      </c>
      <c r="N2" s="1051">
        <v>0</v>
      </c>
      <c r="O2" s="1051">
        <v>0</v>
      </c>
      <c r="P2" s="1051">
        <v>0</v>
      </c>
      <c r="Q2" s="1052"/>
      <c r="R2" s="1048">
        <v>7</v>
      </c>
      <c r="T2" s="1084"/>
    </row>
    <row r="3" spans="1:21" ht="16.5" customHeight="1" thickTop="1">
      <c r="A3" s="404" t="s">
        <v>1283</v>
      </c>
      <c r="B3" s="1054" t="s">
        <v>493</v>
      </c>
      <c r="C3" s="404" t="s">
        <v>1284</v>
      </c>
      <c r="E3" s="1055">
        <f>IF(ISNA(VLOOKUP($A3,IS明細!B:D,3,0)),0,VLOOKUP($A3,IS明細!B:D,3,0))</f>
        <v>1991941</v>
      </c>
      <c r="F3" s="1055">
        <f>IF(ISNA(VLOOKUP($A3,IS明細!$B:F,5,0)),0,VLOOKUP($A3,IS明細!$B:F,5,0))</f>
        <v>1991341</v>
      </c>
      <c r="G3" s="1055">
        <f>IF(ISNA(VLOOKUP($A3,IS明細!$B:H,7,0)),0,VLOOKUP($A3,IS明細!$B:H,7,0))</f>
        <v>2121411</v>
      </c>
      <c r="H3" s="1055">
        <f>IF(ISNA(VLOOKUP($A3,IS明細!$B:J,9,0)),0,VLOOKUP($A3,IS明細!$B:J,9,0))</f>
        <v>1988501</v>
      </c>
      <c r="I3" s="1055">
        <f>IF(ISNA(VLOOKUP($A3,IS明細!$B:L,11,0)),0,VLOOKUP($A3,IS明細!$B:L,11,0))</f>
        <v>2049368</v>
      </c>
      <c r="J3" s="1055">
        <f>IF(ISNA(VLOOKUP($A3,IS明細!$B:N,13,0)),0,VLOOKUP($A3,IS明細!$B:N,13,0))</f>
        <v>2061506</v>
      </c>
      <c r="K3" s="1055">
        <f>IF(ISNA(VLOOKUP($A3,IS明細!$B:P,15,0)),0,VLOOKUP($A3,IS明細!$B:P,15,0))</f>
        <v>2076086</v>
      </c>
      <c r="L3" s="1055">
        <f>IF(ISNA(VLOOKUP($A3,IS明細!$B:R,17,0)),0,VLOOKUP($A3,IS明細!$B:R,17,0))</f>
        <v>2079573</v>
      </c>
      <c r="M3" s="1055">
        <f>IF(ISNA(VLOOKUP($A3,IS明細!$B:T,19,0)),0,VLOOKUP($A3,IS明細!$B:T,19,0))</f>
        <v>0</v>
      </c>
      <c r="N3" s="1055">
        <f>IF(ISNA(VLOOKUP($A3,IS明細!$B:V,21,0)),0,VLOOKUP($A3,IS明細!$B:V,21,0))</f>
        <v>0</v>
      </c>
      <c r="O3" s="1055">
        <f>IF(ISNA(VLOOKUP($A3,IS明細!$B:X,23,0)),0,VLOOKUP($A3,IS明細!$B:X,23,0))</f>
        <v>0</v>
      </c>
      <c r="P3" s="1055">
        <f>IF(ISNA(VLOOKUP($A3,IS明細!$B:Z,25,0)),0,VLOOKUP($A3,IS明細!$B:Z,25,0))</f>
        <v>0</v>
      </c>
      <c r="Q3" s="543">
        <f>SUM(E3:P3)</f>
        <v>16359727</v>
      </c>
      <c r="R3" s="543">
        <f t="shared" ref="R3:R37" si="0">ROUND(Q3/$R$2,0)</f>
        <v>2337104</v>
      </c>
      <c r="S3" s="1056"/>
      <c r="T3" s="600">
        <f>L3-K3</f>
        <v>3487</v>
      </c>
    </row>
    <row r="4" spans="1:21" ht="16.5" customHeight="1">
      <c r="A4" s="404" t="s">
        <v>1285</v>
      </c>
      <c r="B4" s="1054" t="s">
        <v>494</v>
      </c>
      <c r="C4" s="404" t="s">
        <v>1286</v>
      </c>
      <c r="E4" s="1055">
        <f>IF(ISNA(VLOOKUP($A4,IS明細!B:D,3,0)),0,VLOOKUP($A4,IS明細!B:D,3,0))</f>
        <v>1499800</v>
      </c>
      <c r="F4" s="1055">
        <f>IF(ISNA(VLOOKUP($A4,IS明細!$B:F,5,0)),0,VLOOKUP($A4,IS明細!$B:F,5,0))</f>
        <v>1460057</v>
      </c>
      <c r="G4" s="1055">
        <f>IF(ISNA(VLOOKUP($A4,IS明細!$B:H,7,0)),0,VLOOKUP($A4,IS明細!$B:H,7,0))</f>
        <v>1445212</v>
      </c>
      <c r="H4" s="1055">
        <f>IF(ISNA(VLOOKUP($A4,IS明細!$B:J,9,0)),0,VLOOKUP($A4,IS明細!$B:J,9,0))</f>
        <v>1430173</v>
      </c>
      <c r="I4" s="1055">
        <f>IF(ISNA(VLOOKUP($A4,IS明細!$B:L,11,0)),0,VLOOKUP($A4,IS明細!$B:L,11,0))</f>
        <v>1517600</v>
      </c>
      <c r="J4" s="1055">
        <f>IF(ISNA(VLOOKUP($A4,IS明細!$B:N,13,0)),0,VLOOKUP($A4,IS明細!$B:N,13,0))</f>
        <v>1487560</v>
      </c>
      <c r="K4" s="1055">
        <f>IF(ISNA(VLOOKUP($A4,IS明細!$B:P,15,0)),0,VLOOKUP($A4,IS明細!$B:P,15,0))</f>
        <v>1536930</v>
      </c>
      <c r="L4" s="1055">
        <f>IF(ISNA(VLOOKUP($A4,IS明細!$B:R,17,0)),0,VLOOKUP($A4,IS明細!$B:R,17,0))</f>
        <v>1531827</v>
      </c>
      <c r="M4" s="1055">
        <f>IF(ISNA(VLOOKUP($A4,IS明細!$B:T,19,0)),0,VLOOKUP($A4,IS明細!$B:T,19,0))</f>
        <v>0</v>
      </c>
      <c r="N4" s="1055">
        <f>IF(ISNA(VLOOKUP($A4,IS明細!$B:V,21,0)),0,VLOOKUP($A4,IS明細!$B:V,21,0))</f>
        <v>0</v>
      </c>
      <c r="O4" s="1055">
        <f>IF(ISNA(VLOOKUP($A4,IS明細!$B:X,23,0)),0,VLOOKUP($A4,IS明細!$B:X,23,0))</f>
        <v>0</v>
      </c>
      <c r="P4" s="1055">
        <f>IF(ISNA(VLOOKUP($A4,IS明細!$B:Z,25,0)),0,VLOOKUP($A4,IS明細!$B:Z,25,0))</f>
        <v>0</v>
      </c>
      <c r="Q4" s="543">
        <f t="shared" ref="Q4:Q36" si="1">SUM(E4:P4)</f>
        <v>11909159</v>
      </c>
      <c r="R4" s="543">
        <f t="shared" si="0"/>
        <v>1701308</v>
      </c>
      <c r="S4" s="1057"/>
      <c r="T4" s="600">
        <f t="shared" ref="T4:T38" si="2">L4-K4</f>
        <v>-5103</v>
      </c>
    </row>
    <row r="5" spans="1:21" ht="16.5" customHeight="1">
      <c r="A5" s="404" t="s">
        <v>1287</v>
      </c>
      <c r="B5" s="1054" t="s">
        <v>495</v>
      </c>
      <c r="C5" s="404" t="s">
        <v>1288</v>
      </c>
      <c r="E5" s="1055">
        <f>IF(ISNA(VLOOKUP($A5,IS明細!B:D,3,0)),0,VLOOKUP($A5,IS明細!B:D,3,0))</f>
        <v>0</v>
      </c>
      <c r="F5" s="1055">
        <f>IF(ISNA(VLOOKUP($A5,IS明細!$B:F,5,0)),0,VLOOKUP($A5,IS明細!$B:F,5,0))</f>
        <v>3300</v>
      </c>
      <c r="G5" s="1055">
        <f>IF(ISNA(VLOOKUP($A5,IS明細!$B:H,7,0)),0,VLOOKUP($A5,IS明細!$B:H,7,0))</f>
        <v>41250</v>
      </c>
      <c r="H5" s="1055">
        <f>IF(ISNA(VLOOKUP($A5,IS明細!$B:J,9,0)),0,VLOOKUP($A5,IS明細!$B:J,9,0))</f>
        <v>50310</v>
      </c>
      <c r="I5" s="1055">
        <f>IF(ISNA(VLOOKUP($A5,IS明細!$B:L,11,0)),0,VLOOKUP($A5,IS明細!$B:L,11,0))</f>
        <v>0</v>
      </c>
      <c r="J5" s="1055">
        <f>IF(ISNA(VLOOKUP($A5,IS明細!$B:N,13,0)),0,VLOOKUP($A5,IS明細!$B:N,13,0))</f>
        <v>12135</v>
      </c>
      <c r="K5" s="1055">
        <f>IF(ISNA(VLOOKUP($A5,IS明細!$B:P,15,0)),0,VLOOKUP($A5,IS明細!$B:P,15,0))</f>
        <v>0</v>
      </c>
      <c r="L5" s="1055">
        <f>IF(ISNA(VLOOKUP($A5,IS明細!$B:R,17,0)),0,VLOOKUP($A5,IS明細!$B:R,17,0))</f>
        <v>7132</v>
      </c>
      <c r="M5" s="1055">
        <f>IF(ISNA(VLOOKUP($A5,IS明細!$B:T,19,0)),0,VLOOKUP($A5,IS明細!$B:T,19,0))</f>
        <v>0</v>
      </c>
      <c r="N5" s="1055">
        <f>IF(ISNA(VLOOKUP($A5,IS明細!$B:V,21,0)),0,VLOOKUP($A5,IS明細!$B:V,21,0))</f>
        <v>0</v>
      </c>
      <c r="O5" s="1055">
        <f>IF(ISNA(VLOOKUP($A5,IS明細!$B:X,23,0)),0,VLOOKUP($A5,IS明細!$B:X,23,0))</f>
        <v>0</v>
      </c>
      <c r="P5" s="1055">
        <f>IF(ISNA(VLOOKUP($A5,IS明細!$B:Z,25,0)),0,VLOOKUP($A5,IS明細!$B:Z,25,0))</f>
        <v>0</v>
      </c>
      <c r="Q5" s="543">
        <f t="shared" si="1"/>
        <v>114127</v>
      </c>
      <c r="R5" s="543">
        <f t="shared" si="0"/>
        <v>16304</v>
      </c>
      <c r="S5" s="1056"/>
      <c r="T5" s="600">
        <f t="shared" si="2"/>
        <v>7132</v>
      </c>
    </row>
    <row r="6" spans="1:21" ht="16.5" customHeight="1">
      <c r="A6" s="404" t="s">
        <v>1289</v>
      </c>
      <c r="B6" s="1054" t="s">
        <v>496</v>
      </c>
      <c r="C6" s="404" t="s">
        <v>1290</v>
      </c>
      <c r="E6" s="1055">
        <f>IF(ISNA(VLOOKUP($A6,IS明細!B:D,3,0)),0,VLOOKUP($A6,IS明細!B:D,3,0))</f>
        <v>0</v>
      </c>
      <c r="F6" s="1055">
        <f>IF(ISNA(VLOOKUP($A6,IS明細!$B:F,5,0)),0,VLOOKUP($A6,IS明細!$B:F,5,0))</f>
        <v>0</v>
      </c>
      <c r="G6" s="1055">
        <f>IF(ISNA(VLOOKUP($A6,IS明細!$B:H,7,0)),0,VLOOKUP($A6,IS明細!$B:H,7,0))</f>
        <v>0</v>
      </c>
      <c r="H6" s="1055">
        <f>IF(ISNA(VLOOKUP($A6,IS明細!$B:J,9,0)),0,VLOOKUP($A6,IS明細!$B:J,9,0))</f>
        <v>0</v>
      </c>
      <c r="I6" s="1055">
        <f>IF(ISNA(VLOOKUP($A6,IS明細!$B:L,11,0)),0,VLOOKUP($A6,IS明細!$B:L,11,0))</f>
        <v>0</v>
      </c>
      <c r="J6" s="1055">
        <f>IF(ISNA(VLOOKUP($A6,IS明細!$B:N,13,0)),0,VLOOKUP($A6,IS明細!$B:N,13,0))</f>
        <v>0</v>
      </c>
      <c r="K6" s="1055">
        <f>IF(ISNA(VLOOKUP($A6,IS明細!$B:P,15,0)),0,VLOOKUP($A6,IS明細!$B:P,15,0))</f>
        <v>0</v>
      </c>
      <c r="L6" s="1055">
        <f>IF(ISNA(VLOOKUP($A6,IS明細!$B:R,17,0)),0,VLOOKUP($A6,IS明細!$B:R,17,0))</f>
        <v>0</v>
      </c>
      <c r="M6" s="1055">
        <f>IF(ISNA(VLOOKUP($A6,IS明細!$B:T,19,0)),0,VLOOKUP($A6,IS明細!$B:T,19,0))</f>
        <v>0</v>
      </c>
      <c r="N6" s="1055">
        <f>IF(ISNA(VLOOKUP($A6,IS明細!$B:V,21,0)),0,VLOOKUP($A6,IS明細!$B:V,21,0))</f>
        <v>0</v>
      </c>
      <c r="O6" s="1055">
        <f>IF(ISNA(VLOOKUP($A6,IS明細!$B:X,23,0)),0,VLOOKUP($A6,IS明細!$B:X,23,0))</f>
        <v>0</v>
      </c>
      <c r="P6" s="1055">
        <f>IF(ISNA(VLOOKUP($A6,IS明細!$B:Z,25,0)),0,VLOOKUP($A6,IS明細!$B:Z,25,0))</f>
        <v>0</v>
      </c>
      <c r="Q6" s="543">
        <f t="shared" si="1"/>
        <v>0</v>
      </c>
      <c r="R6" s="543">
        <f t="shared" si="0"/>
        <v>0</v>
      </c>
      <c r="S6" s="1056"/>
      <c r="T6" s="600">
        <f t="shared" si="2"/>
        <v>0</v>
      </c>
    </row>
    <row r="7" spans="1:21" ht="16.5" customHeight="1">
      <c r="A7" s="404" t="s">
        <v>1291</v>
      </c>
      <c r="B7" s="1054" t="s">
        <v>497</v>
      </c>
      <c r="C7" s="404" t="s">
        <v>1292</v>
      </c>
      <c r="E7" s="1055">
        <f>IF(ISNA(VLOOKUP($A7,IS明細!B:D,3,0)),0,VLOOKUP($A7,IS明細!B:D,3,0))</f>
        <v>0</v>
      </c>
      <c r="F7" s="1055">
        <f>IF(ISNA(VLOOKUP($A7,IS明細!$B:F,5,0)),0,VLOOKUP($A7,IS明細!$B:F,5,0))</f>
        <v>3300</v>
      </c>
      <c r="G7" s="1055">
        <f>IF(ISNA(VLOOKUP($A7,IS明細!$B:H,7,0)),0,VLOOKUP($A7,IS明細!$B:H,7,0))</f>
        <v>41250</v>
      </c>
      <c r="H7" s="1055">
        <f>IF(ISNA(VLOOKUP($A7,IS明細!$B:J,9,0)),0,VLOOKUP($A7,IS明細!$B:J,9,0))</f>
        <v>50310</v>
      </c>
      <c r="I7" s="1055">
        <f>IF(ISNA(VLOOKUP($A7,IS明細!$B:L,11,0)),0,VLOOKUP($A7,IS明細!$B:L,11,0))</f>
        <v>0</v>
      </c>
      <c r="J7" s="1055">
        <f>IF(ISNA(VLOOKUP($A7,IS明細!$B:N,13,0)),0,VLOOKUP($A7,IS明細!$B:N,13,0))</f>
        <v>12135</v>
      </c>
      <c r="K7" s="1055">
        <f>IF(ISNA(VLOOKUP($A7,IS明細!$B:P,15,0)),0,VLOOKUP($A7,IS明細!$B:P,15,0))</f>
        <v>0</v>
      </c>
      <c r="L7" s="1055">
        <f>IF(ISNA(VLOOKUP($A7,IS明細!$B:R,17,0)),0,VLOOKUP($A7,IS明細!$B:R,17,0))</f>
        <v>7132</v>
      </c>
      <c r="M7" s="1055">
        <f>IF(ISNA(VLOOKUP($A7,IS明細!$B:T,19,0)),0,VLOOKUP($A7,IS明細!$B:T,19,0))</f>
        <v>0</v>
      </c>
      <c r="N7" s="1055">
        <f>IF(ISNA(VLOOKUP($A7,IS明細!$B:V,21,0)),0,VLOOKUP($A7,IS明細!$B:V,21,0))</f>
        <v>0</v>
      </c>
      <c r="O7" s="1055">
        <f>IF(ISNA(VLOOKUP($A7,IS明細!$B:X,23,0)),0,VLOOKUP($A7,IS明細!$B:X,23,0))</f>
        <v>0</v>
      </c>
      <c r="P7" s="1055">
        <f>IF(ISNA(VLOOKUP($A7,IS明細!$B:Z,25,0)),0,VLOOKUP($A7,IS明細!$B:Z,25,0))</f>
        <v>0</v>
      </c>
      <c r="Q7" s="543">
        <f t="shared" si="1"/>
        <v>114127</v>
      </c>
      <c r="R7" s="543">
        <f t="shared" si="0"/>
        <v>16304</v>
      </c>
      <c r="S7" s="1056"/>
      <c r="T7" s="600">
        <f t="shared" si="2"/>
        <v>7132</v>
      </c>
    </row>
    <row r="8" spans="1:21" ht="16.5" customHeight="1">
      <c r="A8" s="404" t="s">
        <v>1293</v>
      </c>
      <c r="B8" s="1054" t="s">
        <v>498</v>
      </c>
      <c r="C8" s="404" t="s">
        <v>1294</v>
      </c>
      <c r="E8" s="1055">
        <f>IF(ISNA(VLOOKUP($A8,IS明細!B:D,3,0)),0,VLOOKUP($A8,IS明細!B:D,3,0))</f>
        <v>398000</v>
      </c>
      <c r="F8" s="1055">
        <f>IF(ISNA(VLOOKUP($A8,IS明細!$B:F,5,0)),0,VLOOKUP($A8,IS明細!$B:F,5,0))</f>
        <v>435000</v>
      </c>
      <c r="G8" s="1055">
        <f>IF(ISNA(VLOOKUP($A8,IS明細!$B:H,7,0)),0,VLOOKUP($A8,IS明細!$B:H,7,0))</f>
        <v>445580</v>
      </c>
      <c r="H8" s="1055">
        <f>IF(ISNA(VLOOKUP($A8,IS明細!$B:J,9,0)),0,VLOOKUP($A8,IS明細!$B:J,9,0))</f>
        <v>416500</v>
      </c>
      <c r="I8" s="1055">
        <f>IF(ISNA(VLOOKUP($A8,IS明細!$B:L,11,0)),0,VLOOKUP($A8,IS明細!$B:L,11,0))</f>
        <v>436300</v>
      </c>
      <c r="J8" s="1055">
        <f>IF(ISNA(VLOOKUP($A8,IS明細!$B:N,13,0)),0,VLOOKUP($A8,IS明細!$B:N,13,0))</f>
        <v>466600</v>
      </c>
      <c r="K8" s="1055">
        <f>IF(ISNA(VLOOKUP($A8,IS明細!$B:P,15,0)),0,VLOOKUP($A8,IS明細!$B:P,15,0))</f>
        <v>441800</v>
      </c>
      <c r="L8" s="1055">
        <f>IF(ISNA(VLOOKUP($A8,IS明細!$B:R,17,0)),0,VLOOKUP($A8,IS明細!$B:R,17,0))</f>
        <v>443000</v>
      </c>
      <c r="M8" s="1055">
        <f>IF(ISNA(VLOOKUP($A8,IS明細!$B:T,19,0)),0,VLOOKUP($A8,IS明細!$B:T,19,0))</f>
        <v>0</v>
      </c>
      <c r="N8" s="1055">
        <f>IF(ISNA(VLOOKUP($A8,IS明細!$B:V,21,0)),0,VLOOKUP($A8,IS明細!$B:V,21,0))</f>
        <v>0</v>
      </c>
      <c r="O8" s="1055">
        <f>IF(ISNA(VLOOKUP($A8,IS明細!$B:X,23,0)),0,VLOOKUP($A8,IS明細!$B:X,23,0))</f>
        <v>0</v>
      </c>
      <c r="P8" s="1055">
        <f>IF(ISNA(VLOOKUP($A8,IS明細!$B:Z,25,0)),0,VLOOKUP($A8,IS明細!$B:Z,25,0))</f>
        <v>0</v>
      </c>
      <c r="Q8" s="543">
        <f t="shared" si="1"/>
        <v>3482780</v>
      </c>
      <c r="R8" s="543">
        <f t="shared" si="0"/>
        <v>497540</v>
      </c>
      <c r="S8" s="1058"/>
      <c r="T8" s="600">
        <f t="shared" si="2"/>
        <v>1200</v>
      </c>
    </row>
    <row r="9" spans="1:21" ht="16.5" customHeight="1">
      <c r="A9" s="404" t="s">
        <v>1295</v>
      </c>
      <c r="B9" s="1054" t="s">
        <v>499</v>
      </c>
      <c r="C9" s="404" t="s">
        <v>1296</v>
      </c>
      <c r="E9" s="1055">
        <f>IF(ISNA(VLOOKUP($A9,IS明細!B:D,3,0)),0,VLOOKUP($A9,IS明細!B:D,3,0))</f>
        <v>94141</v>
      </c>
      <c r="F9" s="1055">
        <f>IF(ISNA(VLOOKUP($A9,IS明細!$B:F,5,0)),0,VLOOKUP($A9,IS明細!$B:F,5,0))</f>
        <v>92984</v>
      </c>
      <c r="G9" s="1055">
        <f>IF(ISNA(VLOOKUP($A9,IS明細!$B:H,7,0)),0,VLOOKUP($A9,IS明細!$B:H,7,0))</f>
        <v>94024</v>
      </c>
      <c r="H9" s="1055">
        <f>IF(ISNA(VLOOKUP($A9,IS明細!$B:J,9,0)),0,VLOOKUP($A9,IS明細!$B:J,9,0))</f>
        <v>91518</v>
      </c>
      <c r="I9" s="1055">
        <f>IF(ISNA(VLOOKUP($A9,IS明細!$B:L,11,0)),0,VLOOKUP($A9,IS明細!$B:L,11,0))</f>
        <v>95468</v>
      </c>
      <c r="J9" s="1055">
        <f>IF(ISNA(VLOOKUP($A9,IS明細!$B:N,13,0)),0,VLOOKUP($A9,IS明細!$B:N,13,0))</f>
        <v>95211</v>
      </c>
      <c r="K9" s="1055">
        <f>IF(ISNA(VLOOKUP($A9,IS明細!$B:P,15,0)),0,VLOOKUP($A9,IS明細!$B:P,15,0))</f>
        <v>97356</v>
      </c>
      <c r="L9" s="1055">
        <f>IF(ISNA(VLOOKUP($A9,IS明細!$B:R,17,0)),0,VLOOKUP($A9,IS明細!$B:R,17,0))</f>
        <v>97614</v>
      </c>
      <c r="M9" s="1055">
        <f>IF(ISNA(VLOOKUP($A9,IS明細!$B:T,19,0)),0,VLOOKUP($A9,IS明細!$B:T,19,0))</f>
        <v>0</v>
      </c>
      <c r="N9" s="1055">
        <f>IF(ISNA(VLOOKUP($A9,IS明細!$B:V,21,0)),0,VLOOKUP($A9,IS明細!$B:V,21,0))</f>
        <v>0</v>
      </c>
      <c r="O9" s="1055">
        <f>IF(ISNA(VLOOKUP($A9,IS明細!$B:X,23,0)),0,VLOOKUP($A9,IS明細!$B:X,23,0))</f>
        <v>0</v>
      </c>
      <c r="P9" s="1055">
        <f>IF(ISNA(VLOOKUP($A9,IS明細!$B:Z,25,0)),0,VLOOKUP($A9,IS明細!$B:Z,25,0))</f>
        <v>0</v>
      </c>
      <c r="Q9" s="543">
        <f t="shared" si="1"/>
        <v>758316</v>
      </c>
      <c r="R9" s="543">
        <f t="shared" si="0"/>
        <v>108331</v>
      </c>
      <c r="S9" s="1056"/>
      <c r="T9" s="600">
        <f t="shared" si="2"/>
        <v>258</v>
      </c>
    </row>
    <row r="10" spans="1:21" ht="16.5" customHeight="1">
      <c r="A10" s="404" t="s">
        <v>1297</v>
      </c>
      <c r="B10" s="1054" t="s">
        <v>500</v>
      </c>
      <c r="C10" s="404" t="s">
        <v>1298</v>
      </c>
      <c r="E10" s="1055">
        <f>IF(ISNA(VLOOKUP($A10,IS明細!B:D,3,0)),0,VLOOKUP($A10,IS明細!B:D,3,0))</f>
        <v>0</v>
      </c>
      <c r="F10" s="1055">
        <f>IF(ISNA(VLOOKUP($A10,IS明細!$B:F,5,0)),0,VLOOKUP($A10,IS明細!$B:F,5,0))</f>
        <v>0</v>
      </c>
      <c r="G10" s="1055">
        <f>IF(ISNA(VLOOKUP($A10,IS明細!$B:H,7,0)),0,VLOOKUP($A10,IS明細!$B:H,7,0))</f>
        <v>95345</v>
      </c>
      <c r="H10" s="1055">
        <f>IF(ISNA(VLOOKUP($A10,IS明細!$B:J,9,0)),0,VLOOKUP($A10,IS明細!$B:J,9,0))</f>
        <v>0</v>
      </c>
      <c r="I10" s="1055">
        <f>IF(ISNA(VLOOKUP($A10,IS明細!$B:L,11,0)),0,VLOOKUP($A10,IS明細!$B:L,11,0))</f>
        <v>0</v>
      </c>
      <c r="J10" s="1055">
        <f>IF(ISNA(VLOOKUP($A10,IS明細!$B:N,13,0)),0,VLOOKUP($A10,IS明細!$B:N,13,0))</f>
        <v>0</v>
      </c>
      <c r="K10" s="1055">
        <f>IF(ISNA(VLOOKUP($A10,IS明細!$B:P,15,0)),0,VLOOKUP($A10,IS明細!$B:P,15,0))</f>
        <v>0</v>
      </c>
      <c r="L10" s="1055">
        <f>IF(ISNA(VLOOKUP($A10,IS明細!$B:R,17,0)),0,VLOOKUP($A10,IS明細!$B:R,17,0))</f>
        <v>0</v>
      </c>
      <c r="M10" s="1055">
        <f>IF(ISNA(VLOOKUP($A10,IS明細!$B:T,19,0)),0,VLOOKUP($A10,IS明細!$B:T,19,0))</f>
        <v>0</v>
      </c>
      <c r="N10" s="1055">
        <f>IF(ISNA(VLOOKUP($A10,IS明細!$B:V,21,0)),0,VLOOKUP($A10,IS明細!$B:V,21,0))</f>
        <v>0</v>
      </c>
      <c r="O10" s="1055">
        <f>IF(ISNA(VLOOKUP($A10,IS明細!$B:X,23,0)),0,VLOOKUP($A10,IS明細!$B:X,23,0))</f>
        <v>0</v>
      </c>
      <c r="P10" s="1055">
        <f>IF(ISNA(VLOOKUP($A10,IS明細!$B:Z,25,0)),0,VLOOKUP($A10,IS明細!$B:Z,25,0))</f>
        <v>0</v>
      </c>
      <c r="Q10" s="543">
        <f t="shared" si="1"/>
        <v>95345</v>
      </c>
      <c r="R10" s="543">
        <f t="shared" si="0"/>
        <v>13621</v>
      </c>
      <c r="S10" s="1056"/>
      <c r="T10" s="600">
        <f t="shared" si="2"/>
        <v>0</v>
      </c>
    </row>
    <row r="11" spans="1:21" ht="16.5" customHeight="1">
      <c r="A11" s="404" t="s">
        <v>1299</v>
      </c>
      <c r="B11" s="1054" t="s">
        <v>501</v>
      </c>
      <c r="C11" s="404" t="s">
        <v>1300</v>
      </c>
      <c r="E11" s="1055">
        <f>IF(ISNA(VLOOKUP($A11,IS明細!B:D,3,0)),0,VLOOKUP($A11,IS明細!B:D,3,0))</f>
        <v>0</v>
      </c>
      <c r="F11" s="1055">
        <f>IF(ISNA(VLOOKUP($A11,IS明細!$B:F,5,0)),0,VLOOKUP($A11,IS明細!$B:F,5,0))</f>
        <v>0</v>
      </c>
      <c r="G11" s="1055">
        <f>IF(ISNA(VLOOKUP($A11,IS明細!$B:H,7,0)),0,VLOOKUP($A11,IS明細!$B:H,7,0))</f>
        <v>0</v>
      </c>
      <c r="H11" s="1055">
        <f>IF(ISNA(VLOOKUP($A11,IS明細!$B:J,9,0)),0,VLOOKUP($A11,IS明細!$B:J,9,0))</f>
        <v>0</v>
      </c>
      <c r="I11" s="1055">
        <f>IF(ISNA(VLOOKUP($A11,IS明細!$B:L,11,0)),0,VLOOKUP($A11,IS明細!$B:L,11,0))</f>
        <v>0</v>
      </c>
      <c r="J11" s="1055">
        <f>IF(ISNA(VLOOKUP($A11,IS明細!$B:N,13,0)),0,VLOOKUP($A11,IS明細!$B:N,13,0))</f>
        <v>0</v>
      </c>
      <c r="K11" s="1055">
        <f>IF(ISNA(VLOOKUP($A11,IS明細!$B:P,15,0)),0,VLOOKUP($A11,IS明細!$B:P,15,0))</f>
        <v>0</v>
      </c>
      <c r="L11" s="1055">
        <f>IF(ISNA(VLOOKUP($A11,IS明細!$B:R,17,0)),0,VLOOKUP($A11,IS明細!$B:R,17,0))</f>
        <v>0</v>
      </c>
      <c r="M11" s="1055">
        <f>IF(ISNA(VLOOKUP($A11,IS明細!$B:T,19,0)),0,VLOOKUP($A11,IS明細!$B:T,19,0))</f>
        <v>0</v>
      </c>
      <c r="N11" s="1055">
        <f>IF(ISNA(VLOOKUP($A11,IS明細!$B:V,21,0)),0,VLOOKUP($A11,IS明細!$B:V,21,0))</f>
        <v>0</v>
      </c>
      <c r="O11" s="1055">
        <f>IF(ISNA(VLOOKUP($A11,IS明細!$B:X,23,0)),0,VLOOKUP($A11,IS明細!$B:X,23,0))</f>
        <v>0</v>
      </c>
      <c r="P11" s="1055">
        <f>IF(ISNA(VLOOKUP($A11,IS明細!$B:Z,25,0)),0,VLOOKUP($A11,IS明細!$B:Z,25,0))</f>
        <v>0</v>
      </c>
      <c r="Q11" s="543">
        <f t="shared" si="1"/>
        <v>0</v>
      </c>
      <c r="R11" s="543">
        <f t="shared" si="0"/>
        <v>0</v>
      </c>
      <c r="S11" s="1056"/>
      <c r="T11" s="600">
        <f t="shared" si="2"/>
        <v>0</v>
      </c>
    </row>
    <row r="12" spans="1:21" ht="16.5" customHeight="1">
      <c r="A12" s="404" t="s">
        <v>1301</v>
      </c>
      <c r="B12" s="1054" t="s">
        <v>502</v>
      </c>
      <c r="C12" s="404" t="s">
        <v>1302</v>
      </c>
      <c r="E12" s="1055">
        <f>IF(ISNA(VLOOKUP($A12,IS明細!B:D,3,0)),0,VLOOKUP($A12,IS明細!B:D,3,0))</f>
        <v>0</v>
      </c>
      <c r="F12" s="1055">
        <f>IF(ISNA(VLOOKUP($A12,IS明細!$B:F,5,0)),0,VLOOKUP($A12,IS明細!$B:F,5,0))</f>
        <v>600</v>
      </c>
      <c r="G12" s="1055">
        <f>IF(ISNA(VLOOKUP($A12,IS明細!$B:H,7,0)),0,VLOOKUP($A12,IS明細!$B:H,7,0))</f>
        <v>0</v>
      </c>
      <c r="H12" s="1055">
        <f>IF(ISNA(VLOOKUP($A12,IS明細!$B:J,9,0)),0,VLOOKUP($A12,IS明細!$B:J,9,0))</f>
        <v>300</v>
      </c>
      <c r="I12" s="1055">
        <f>IF(ISNA(VLOOKUP($A12,IS明細!$B:L,11,0)),0,VLOOKUP($A12,IS明細!$B:L,11,0))</f>
        <v>0</v>
      </c>
      <c r="J12" s="1055">
        <f>IF(ISNA(VLOOKUP($A12,IS明細!$B:N,13,0)),0,VLOOKUP($A12,IS明細!$B:N,13,0))</f>
        <v>600</v>
      </c>
      <c r="K12" s="1055">
        <f>IF(ISNA(VLOOKUP($A12,IS明細!$B:P,15,0)),0,VLOOKUP($A12,IS明細!$B:P,15,0))</f>
        <v>0</v>
      </c>
      <c r="L12" s="1055">
        <f>IF(ISNA(VLOOKUP($A12,IS明細!$B:R,17,0)),0,VLOOKUP($A12,IS明細!$B:R,17,0))</f>
        <v>0</v>
      </c>
      <c r="M12" s="1055">
        <f>IF(ISNA(VLOOKUP($A12,IS明細!$B:T,19,0)),0,VLOOKUP($A12,IS明細!$B:T,19,0))</f>
        <v>0</v>
      </c>
      <c r="N12" s="1055">
        <f>IF(ISNA(VLOOKUP($A12,IS明細!$B:V,21,0)),0,VLOOKUP($A12,IS明細!$B:V,21,0))</f>
        <v>0</v>
      </c>
      <c r="O12" s="1055">
        <f>IF(ISNA(VLOOKUP($A12,IS明細!$B:X,23,0)),0,VLOOKUP($A12,IS明細!$B:X,23,0))</f>
        <v>0</v>
      </c>
      <c r="P12" s="1055">
        <f>IF(ISNA(VLOOKUP($A12,IS明細!$B:Z,25,0)),0,VLOOKUP($A12,IS明細!$B:Z,25,0))</f>
        <v>0</v>
      </c>
      <c r="Q12" s="543">
        <f t="shared" si="1"/>
        <v>1500</v>
      </c>
      <c r="R12" s="543">
        <f t="shared" si="0"/>
        <v>214</v>
      </c>
      <c r="S12" s="1056" t="s">
        <v>1904</v>
      </c>
      <c r="T12" s="600">
        <f t="shared" si="2"/>
        <v>0</v>
      </c>
    </row>
    <row r="13" spans="1:21" ht="16">
      <c r="A13" s="404" t="s">
        <v>1303</v>
      </c>
      <c r="B13" s="1054" t="s">
        <v>1304</v>
      </c>
      <c r="C13" s="404" t="s">
        <v>1305</v>
      </c>
      <c r="E13" s="1055">
        <f>IF(ISNA(VLOOKUP($A13,IS明細!B:D,3,0)),0,VLOOKUP($A13,IS明細!B:D,3,0))</f>
        <v>0</v>
      </c>
      <c r="F13" s="1055">
        <f>IF(ISNA(VLOOKUP($A13,IS明細!$B:F,5,0)),0,VLOOKUP($A13,IS明細!$B:F,5,0))</f>
        <v>27700</v>
      </c>
      <c r="G13" s="1055">
        <f>IF(ISNA(VLOOKUP($A13,IS明細!$B:H,7,0)),0,VLOOKUP($A13,IS明細!$B:H,7,0))</f>
        <v>2100</v>
      </c>
      <c r="H13" s="1055">
        <f>IF(ISNA(VLOOKUP($A13,IS明細!$B:J,9,0)),0,VLOOKUP($A13,IS明細!$B:J,9,0))</f>
        <v>0</v>
      </c>
      <c r="I13" s="1055">
        <f>IF(ISNA(VLOOKUP($A13,IS明細!$B:L,11,0)),0,VLOOKUP($A13,IS明細!$B:L,11,0))</f>
        <v>78118</v>
      </c>
      <c r="J13" s="1055">
        <f>IF(ISNA(VLOOKUP($A13,IS明細!$B:N,13,0)),0,VLOOKUP($A13,IS明細!$B:N,13,0))</f>
        <v>3900</v>
      </c>
      <c r="K13" s="1055">
        <f>IF(ISNA(VLOOKUP($A13,IS明細!$B:P,15,0)),0,VLOOKUP($A13,IS明細!$B:P,15,0))</f>
        <v>0</v>
      </c>
      <c r="L13" s="1055">
        <f>IF(ISNA(VLOOKUP($A13,IS明細!$B:R,17,0)),0,VLOOKUP($A13,IS明細!$B:R,17,0))</f>
        <v>0</v>
      </c>
      <c r="M13" s="1055">
        <f>IF(ISNA(VLOOKUP($A13,IS明細!$B:T,19,0)),0,VLOOKUP($A13,IS明細!$B:T,19,0))</f>
        <v>0</v>
      </c>
      <c r="N13" s="1055">
        <f>IF(ISNA(VLOOKUP($A13,IS明細!$B:V,21,0)),0,VLOOKUP($A13,IS明細!$B:V,21,0))</f>
        <v>0</v>
      </c>
      <c r="O13" s="1055">
        <f>IF(ISNA(VLOOKUP($A13,IS明細!$B:X,23,0)),0,VLOOKUP($A13,IS明細!$B:X,23,0))</f>
        <v>0</v>
      </c>
      <c r="P13" s="1055">
        <f>IF(ISNA(VLOOKUP($A13,IS明細!$B:Z,25,0)),0,VLOOKUP($A13,IS明細!$B:Z,25,0))</f>
        <v>0</v>
      </c>
      <c r="Q13" s="543">
        <f t="shared" si="1"/>
        <v>111818</v>
      </c>
      <c r="R13" s="543">
        <f t="shared" si="0"/>
        <v>15974</v>
      </c>
      <c r="S13" s="1059"/>
      <c r="T13" s="600">
        <f t="shared" si="2"/>
        <v>0</v>
      </c>
    </row>
    <row r="14" spans="1:21" ht="16.5" customHeight="1">
      <c r="A14" s="404" t="s">
        <v>1306</v>
      </c>
      <c r="B14" s="1054" t="s">
        <v>504</v>
      </c>
      <c r="C14" s="404" t="s">
        <v>1307</v>
      </c>
      <c r="E14" s="1055">
        <f>IF(ISNA(VLOOKUP($A14,IS明細!B:D,3,0)),0,VLOOKUP($A14,IS明細!B:D,3,0))</f>
        <v>546</v>
      </c>
      <c r="F14" s="1055">
        <f>IF(ISNA(VLOOKUP($A14,IS明細!$B:F,5,0)),0,VLOOKUP($A14,IS明細!$B:F,5,0))</f>
        <v>750</v>
      </c>
      <c r="G14" s="1055">
        <f>IF(ISNA(VLOOKUP($A14,IS明細!$B:H,7,0)),0,VLOOKUP($A14,IS明細!$B:H,7,0))</f>
        <v>960</v>
      </c>
      <c r="H14" s="1055">
        <f>IF(ISNA(VLOOKUP($A14,IS明細!$B:J,9,0)),0,VLOOKUP($A14,IS明細!$B:J,9,0))</f>
        <v>2734</v>
      </c>
      <c r="I14" s="1055">
        <f>IF(ISNA(VLOOKUP($A14,IS明細!$B:L,11,0)),0,VLOOKUP($A14,IS明細!$B:L,11,0))</f>
        <v>3530</v>
      </c>
      <c r="J14" s="1055">
        <f>IF(ISNA(VLOOKUP($A14,IS明細!$B:N,13,0)),0,VLOOKUP($A14,IS明細!$B:N,13,0))</f>
        <v>200</v>
      </c>
      <c r="K14" s="1055">
        <f>IF(ISNA(VLOOKUP($A14,IS明細!$B:P,15,0)),0,VLOOKUP($A14,IS明細!$B:P,15,0))</f>
        <v>948</v>
      </c>
      <c r="L14" s="1055">
        <f>IF(ISNA(VLOOKUP($A14,IS明細!$B:R,17,0)),0,VLOOKUP($A14,IS明細!$B:R,17,0))</f>
        <v>290</v>
      </c>
      <c r="M14" s="1055">
        <f>IF(ISNA(VLOOKUP($A14,IS明細!$B:T,19,0)),0,VLOOKUP($A14,IS明細!$B:T,19,0))</f>
        <v>0</v>
      </c>
      <c r="N14" s="1055">
        <f>IF(ISNA(VLOOKUP($A14,IS明細!$B:V,21,0)),0,VLOOKUP($A14,IS明細!$B:V,21,0))</f>
        <v>0</v>
      </c>
      <c r="O14" s="1055">
        <f>IF(ISNA(VLOOKUP($A14,IS明細!$B:X,23,0)),0,VLOOKUP($A14,IS明細!$B:X,23,0))</f>
        <v>0</v>
      </c>
      <c r="P14" s="1055">
        <f>IF(ISNA(VLOOKUP($A14,IS明細!$B:Z,25,0)),0,VLOOKUP($A14,IS明細!$B:Z,25,0))</f>
        <v>0</v>
      </c>
      <c r="Q14" s="543">
        <f t="shared" si="1"/>
        <v>9958</v>
      </c>
      <c r="R14" s="543">
        <f t="shared" si="0"/>
        <v>1423</v>
      </c>
      <c r="S14" s="1056"/>
      <c r="T14" s="600">
        <f t="shared" si="2"/>
        <v>-658</v>
      </c>
    </row>
    <row r="15" spans="1:21" ht="16.5" customHeight="1">
      <c r="A15" s="404" t="s">
        <v>1308</v>
      </c>
      <c r="B15" s="1054" t="s">
        <v>505</v>
      </c>
      <c r="C15" s="404" t="s">
        <v>1309</v>
      </c>
      <c r="E15" s="1055">
        <f>IF(ISNA(VLOOKUP($A15,IS明細!B:D,3,0)),0,VLOOKUP($A15,IS明細!B:D,3,0))</f>
        <v>16772</v>
      </c>
      <c r="F15" s="1055">
        <f>IF(ISNA(VLOOKUP($A15,IS明細!$B:F,5,0)),0,VLOOKUP($A15,IS明細!$B:F,5,0))</f>
        <v>0</v>
      </c>
      <c r="G15" s="1055">
        <f>IF(ISNA(VLOOKUP($A15,IS明細!$B:H,7,0)),0,VLOOKUP($A15,IS明細!$B:H,7,0))</f>
        <v>34445</v>
      </c>
      <c r="H15" s="1055">
        <f>IF(ISNA(VLOOKUP($A15,IS明細!$B:J,9,0)),0,VLOOKUP($A15,IS明細!$B:J,9,0))</f>
        <v>19186</v>
      </c>
      <c r="I15" s="1055">
        <f>IF(ISNA(VLOOKUP($A15,IS明細!$B:L,11,0)),0,VLOOKUP($A15,IS明細!$B:L,11,0))</f>
        <v>18651</v>
      </c>
      <c r="J15" s="1055">
        <f>IF(ISNA(VLOOKUP($A15,IS明細!$B:N,13,0)),0,VLOOKUP($A15,IS明細!$B:N,13,0))</f>
        <v>15128</v>
      </c>
      <c r="K15" s="1055">
        <f>IF(ISNA(VLOOKUP($A15,IS明細!$B:P,15,0)),0,VLOOKUP($A15,IS明細!$B:P,15,0))</f>
        <v>16240</v>
      </c>
      <c r="L15" s="1055">
        <f>IF(ISNA(VLOOKUP($A15,IS明細!$B:R,17,0)),0,VLOOKUP($A15,IS明細!$B:R,17,0))</f>
        <v>15686</v>
      </c>
      <c r="M15" s="1055">
        <f>IF(ISNA(VLOOKUP($A15,IS明細!$B:T,19,0)),0,VLOOKUP($A15,IS明細!$B:T,19,0))</f>
        <v>0</v>
      </c>
      <c r="N15" s="1055">
        <f>IF(ISNA(VLOOKUP($A15,IS明細!$B:V,21,0)),0,VLOOKUP($A15,IS明細!$B:V,21,0))</f>
        <v>0</v>
      </c>
      <c r="O15" s="1055">
        <f>IF(ISNA(VLOOKUP($A15,IS明細!$B:X,23,0)),0,VLOOKUP($A15,IS明細!$B:X,23,0))</f>
        <v>0</v>
      </c>
      <c r="P15" s="1055">
        <f>IF(ISNA(VLOOKUP($A15,IS明細!$B:Z,25,0)),0,VLOOKUP($A15,IS明細!$B:Z,25,0))</f>
        <v>0</v>
      </c>
      <c r="Q15" s="543">
        <f t="shared" si="1"/>
        <v>136108</v>
      </c>
      <c r="R15" s="543">
        <f t="shared" si="0"/>
        <v>19444</v>
      </c>
      <c r="S15" s="1056" t="s">
        <v>1905</v>
      </c>
      <c r="T15" s="600">
        <f t="shared" si="2"/>
        <v>-554</v>
      </c>
    </row>
    <row r="16" spans="1:21" ht="16.5" customHeight="1">
      <c r="A16" s="404" t="s">
        <v>1310</v>
      </c>
      <c r="B16" s="1054" t="s">
        <v>506</v>
      </c>
      <c r="C16" s="404" t="s">
        <v>1311</v>
      </c>
      <c r="E16" s="1055">
        <f>IF(ISNA(VLOOKUP($A16,IS明細!B:D,3,0)),0,VLOOKUP($A16,IS明細!B:D,3,0))</f>
        <v>0</v>
      </c>
      <c r="F16" s="1055">
        <f>IF(ISNA(VLOOKUP($A16,IS明細!$B:F,5,0)),0,VLOOKUP($A16,IS明細!$B:F,5,0))</f>
        <v>0</v>
      </c>
      <c r="G16" s="1055">
        <f>IF(ISNA(VLOOKUP($A16,IS明細!$B:H,7,0)),0,VLOOKUP($A16,IS明細!$B:H,7,0))</f>
        <v>5720</v>
      </c>
      <c r="H16" s="1055">
        <f>IF(ISNA(VLOOKUP($A16,IS明細!$B:J,9,0)),0,VLOOKUP($A16,IS明細!$B:J,9,0))</f>
        <v>-5720</v>
      </c>
      <c r="I16" s="1055">
        <f>IF(ISNA(VLOOKUP($A16,IS明細!$B:L,11,0)),0,VLOOKUP($A16,IS明細!$B:L,11,0))</f>
        <v>1000</v>
      </c>
      <c r="J16" s="1055">
        <f>IF(ISNA(VLOOKUP($A16,IS明細!$B:N,13,0)),0,VLOOKUP($A16,IS明細!$B:N,13,0))</f>
        <v>0</v>
      </c>
      <c r="K16" s="1055">
        <f>IF(ISNA(VLOOKUP($A16,IS明細!$B:P,15,0)),0,VLOOKUP($A16,IS明細!$B:P,15,0))</f>
        <v>0</v>
      </c>
      <c r="L16" s="1055">
        <f>IF(ISNA(VLOOKUP($A16,IS明細!$B:R,17,0)),0,VLOOKUP($A16,IS明細!$B:R,17,0))</f>
        <v>0</v>
      </c>
      <c r="M16" s="1055">
        <f>IF(ISNA(VLOOKUP($A16,IS明細!$B:T,19,0)),0,VLOOKUP($A16,IS明細!$B:T,19,0))</f>
        <v>0</v>
      </c>
      <c r="N16" s="1055">
        <f>IF(ISNA(VLOOKUP($A16,IS明細!$B:V,21,0)),0,VLOOKUP($A16,IS明細!$B:V,21,0))</f>
        <v>0</v>
      </c>
      <c r="O16" s="1055">
        <f>IF(ISNA(VLOOKUP($A16,IS明細!$B:X,23,0)),0,VLOOKUP($A16,IS明細!$B:X,23,0))</f>
        <v>0</v>
      </c>
      <c r="P16" s="1055">
        <f>IF(ISNA(VLOOKUP($A16,IS明細!$B:Z,25,0)),0,VLOOKUP($A16,IS明細!$B:Z,25,0))</f>
        <v>0</v>
      </c>
      <c r="Q16" s="543">
        <f t="shared" si="1"/>
        <v>1000</v>
      </c>
      <c r="R16" s="543">
        <f t="shared" si="0"/>
        <v>143</v>
      </c>
      <c r="S16" s="1056"/>
      <c r="T16" s="600">
        <f t="shared" si="2"/>
        <v>0</v>
      </c>
    </row>
    <row r="17" spans="1:22" ht="16.5" customHeight="1">
      <c r="A17" s="404" t="s">
        <v>1312</v>
      </c>
      <c r="B17" s="1054" t="s">
        <v>334</v>
      </c>
      <c r="C17" s="404" t="s">
        <v>1313</v>
      </c>
      <c r="E17" s="1055">
        <f>IF(ISNA(VLOOKUP($A17,IS明細!B:D,3,0)),0,VLOOKUP($A17,IS明細!B:D,3,0))</f>
        <v>31288</v>
      </c>
      <c r="F17" s="1055">
        <f>IF(ISNA(VLOOKUP($A17,IS明細!$B:F,5,0)),0,VLOOKUP($A17,IS明細!$B:F,5,0))</f>
        <v>18992</v>
      </c>
      <c r="G17" s="1055">
        <f>IF(ISNA(VLOOKUP($A17,IS明細!$B:H,7,0)),0,VLOOKUP($A17,IS明細!$B:H,7,0))</f>
        <v>24722</v>
      </c>
      <c r="H17" s="1055">
        <f>IF(ISNA(VLOOKUP($A17,IS明細!$B:J,9,0)),0,VLOOKUP($A17,IS明細!$B:J,9,0))</f>
        <v>25486</v>
      </c>
      <c r="I17" s="1055">
        <f>IF(ISNA(VLOOKUP($A17,IS明細!$B:L,11,0)),0,VLOOKUP($A17,IS明細!$B:L,11,0))</f>
        <v>30596</v>
      </c>
      <c r="J17" s="1055">
        <f>IF(ISNA(VLOOKUP($A17,IS明細!$B:N,13,0)),0,VLOOKUP($A17,IS明細!$B:N,13,0))</f>
        <v>31234</v>
      </c>
      <c r="K17" s="1055">
        <f>IF(ISNA(VLOOKUP($A17,IS明細!$B:P,15,0)),0,VLOOKUP($A17,IS明細!$B:P,15,0))</f>
        <v>32754</v>
      </c>
      <c r="L17" s="1055">
        <f>IF(ISNA(VLOOKUP($A17,IS明細!$B:R,17,0)),0,VLOOKUP($A17,IS明細!$B:R,17,0))</f>
        <v>45814</v>
      </c>
      <c r="M17" s="1055">
        <f>IF(ISNA(VLOOKUP($A17,IS明細!$B:T,19,0)),0,VLOOKUP($A17,IS明細!$B:T,19,0))</f>
        <v>0</v>
      </c>
      <c r="N17" s="1055">
        <f>IF(ISNA(VLOOKUP($A17,IS明細!$B:V,21,0)),0,VLOOKUP($A17,IS明細!$B:V,21,0))</f>
        <v>0</v>
      </c>
      <c r="O17" s="1055">
        <f>IF(ISNA(VLOOKUP($A17,IS明細!$B:X,23,0)),0,VLOOKUP($A17,IS明細!$B:X,23,0))</f>
        <v>0</v>
      </c>
      <c r="P17" s="1055">
        <f>IF(ISNA(VLOOKUP($A17,IS明細!$B:Z,25,0)),0,VLOOKUP($A17,IS明細!$B:Z,25,0))</f>
        <v>0</v>
      </c>
      <c r="Q17" s="543">
        <f t="shared" si="1"/>
        <v>240886</v>
      </c>
      <c r="R17" s="543">
        <f t="shared" si="0"/>
        <v>34412</v>
      </c>
      <c r="S17" s="1056" t="s">
        <v>1906</v>
      </c>
      <c r="T17" s="600">
        <f t="shared" si="2"/>
        <v>13060</v>
      </c>
    </row>
    <row r="18" spans="1:22" ht="16.5" customHeight="1">
      <c r="A18" s="404" t="s">
        <v>1314</v>
      </c>
      <c r="B18" s="1054" t="s">
        <v>335</v>
      </c>
      <c r="C18" s="404" t="s">
        <v>1315</v>
      </c>
      <c r="E18" s="1055">
        <f>IF(ISNA(VLOOKUP($A18,IS明細!B:D,3,0)),0,VLOOKUP($A18,IS明細!B:D,3,0))</f>
        <v>163587</v>
      </c>
      <c r="F18" s="1055">
        <f>IF(ISNA(VLOOKUP($A18,IS明細!$B:F,5,0)),0,VLOOKUP($A18,IS明細!$B:F,5,0))</f>
        <v>162864</v>
      </c>
      <c r="G18" s="1055">
        <f>IF(ISNA(VLOOKUP($A18,IS明細!$B:H,7,0)),0,VLOOKUP($A18,IS明細!$B:H,7,0))</f>
        <v>170709</v>
      </c>
      <c r="H18" s="1055">
        <f>IF(ISNA(VLOOKUP($A18,IS明細!$B:J,9,0)),0,VLOOKUP($A18,IS明細!$B:J,9,0))</f>
        <v>159277</v>
      </c>
      <c r="I18" s="1055">
        <f>IF(ISNA(VLOOKUP($A18,IS明細!$B:L,11,0)),0,VLOOKUP($A18,IS明細!$B:L,11,0))</f>
        <v>163810</v>
      </c>
      <c r="J18" s="1055">
        <f>IF(ISNA(VLOOKUP($A18,IS明細!$B:N,13,0)),0,VLOOKUP($A18,IS明細!$B:N,13,0))</f>
        <v>176515</v>
      </c>
      <c r="K18" s="1055">
        <f>IF(ISNA(VLOOKUP($A18,IS明細!$B:P,15,0)),0,VLOOKUP($A18,IS明細!$B:P,15,0))</f>
        <v>168942</v>
      </c>
      <c r="L18" s="1055">
        <f>IF(ISNA(VLOOKUP($A18,IS明細!$B:R,17,0)),0,VLOOKUP($A18,IS明細!$B:R,17,0))</f>
        <v>169278</v>
      </c>
      <c r="M18" s="1055">
        <f>IF(ISNA(VLOOKUP($A18,IS明細!$B:T,19,0)),0,VLOOKUP($A18,IS明細!$B:T,19,0))</f>
        <v>0</v>
      </c>
      <c r="N18" s="1055">
        <f>IF(ISNA(VLOOKUP($A18,IS明細!$B:V,21,0)),0,VLOOKUP($A18,IS明細!$B:V,21,0))</f>
        <v>0</v>
      </c>
      <c r="O18" s="1055">
        <f>IF(ISNA(VLOOKUP($A18,IS明細!$B:X,23,0)),0,VLOOKUP($A18,IS明細!$B:X,23,0))</f>
        <v>0</v>
      </c>
      <c r="P18" s="1055">
        <f>IF(ISNA(VLOOKUP($A18,IS明細!$B:Z,25,0)),0,VLOOKUP($A18,IS明細!$B:Z,25,0))</f>
        <v>0</v>
      </c>
      <c r="Q18" s="543">
        <f t="shared" si="1"/>
        <v>1334982</v>
      </c>
      <c r="R18" s="543">
        <f t="shared" si="0"/>
        <v>190712</v>
      </c>
      <c r="S18" s="563" t="s">
        <v>1907</v>
      </c>
      <c r="T18" s="600">
        <f t="shared" si="2"/>
        <v>336</v>
      </c>
    </row>
    <row r="19" spans="1:22" ht="16">
      <c r="A19" s="404" t="s">
        <v>1316</v>
      </c>
      <c r="B19" s="1054" t="s">
        <v>336</v>
      </c>
      <c r="C19" s="404" t="s">
        <v>1317</v>
      </c>
      <c r="E19" s="1055">
        <f>IF(ISNA(VLOOKUP($A19,IS明細!B:D,3,0)),0,VLOOKUP($A19,IS明細!B:D,3,0))</f>
        <v>0</v>
      </c>
      <c r="F19" s="1055">
        <f>IF(ISNA(VLOOKUP($A19,IS明細!$B:F,5,0)),0,VLOOKUP($A19,IS明細!$B:F,5,0))</f>
        <v>598</v>
      </c>
      <c r="G19" s="1055">
        <f>IF(ISNA(VLOOKUP($A19,IS明細!$B:H,7,0)),0,VLOOKUP($A19,IS明細!$B:H,7,0))</f>
        <v>9880</v>
      </c>
      <c r="H19" s="1055">
        <f>IF(ISNA(VLOOKUP($A19,IS明細!$B:J,9,0)),0,VLOOKUP($A19,IS明細!$B:J,9,0))</f>
        <v>0</v>
      </c>
      <c r="I19" s="1055">
        <f>IF(ISNA(VLOOKUP($A19,IS明細!$B:L,11,0)),0,VLOOKUP($A19,IS明細!$B:L,11,0))</f>
        <v>1942</v>
      </c>
      <c r="J19" s="1055">
        <f>IF(ISNA(VLOOKUP($A19,IS明細!$B:N,13,0)),0,VLOOKUP($A19,IS明細!$B:N,13,0))</f>
        <v>0</v>
      </c>
      <c r="K19" s="1055">
        <f>IF(ISNA(VLOOKUP($A19,IS明細!$B:P,15,0)),0,VLOOKUP($A19,IS明細!$B:P,15,0))</f>
        <v>0</v>
      </c>
      <c r="L19" s="1055">
        <f>IF(ISNA(VLOOKUP($A19,IS明細!$B:R,17,0)),0,VLOOKUP($A19,IS明細!$B:R,17,0))</f>
        <v>0</v>
      </c>
      <c r="M19" s="1055">
        <f>IF(ISNA(VLOOKUP($A19,IS明細!$B:T,19,0)),0,VLOOKUP($A19,IS明細!$B:T,19,0))</f>
        <v>0</v>
      </c>
      <c r="N19" s="1055">
        <f>IF(ISNA(VLOOKUP($A19,IS明細!$B:V,21,0)),0,VLOOKUP($A19,IS明細!$B:V,21,0))</f>
        <v>0</v>
      </c>
      <c r="O19" s="1055">
        <f>IF(ISNA(VLOOKUP($A19,IS明細!$B:X,23,0)),0,VLOOKUP($A19,IS明細!$B:X,23,0))</f>
        <v>0</v>
      </c>
      <c r="P19" s="1055">
        <f>IF(ISNA(VLOOKUP($A19,IS明細!$B:Z,25,0)),0,VLOOKUP($A19,IS明細!$B:Z,25,0))</f>
        <v>0</v>
      </c>
      <c r="Q19" s="543">
        <f t="shared" si="1"/>
        <v>12420</v>
      </c>
      <c r="R19" s="543">
        <f t="shared" si="0"/>
        <v>1774</v>
      </c>
      <c r="S19" s="1056"/>
      <c r="T19" s="600">
        <f t="shared" si="2"/>
        <v>0</v>
      </c>
    </row>
    <row r="20" spans="1:22" ht="16.5" customHeight="1">
      <c r="A20" s="404" t="s">
        <v>1318</v>
      </c>
      <c r="B20" s="1054" t="s">
        <v>337</v>
      </c>
      <c r="C20" s="404" t="s">
        <v>1319</v>
      </c>
      <c r="E20" s="1055">
        <f>IF(ISNA(VLOOKUP($A20,IS明細!B:D,3,0)),0,VLOOKUP($A20,IS明細!B:D,3,0))</f>
        <v>0</v>
      </c>
      <c r="F20" s="1055">
        <f>IF(ISNA(VLOOKUP($A20,IS明細!$B:F,5,0)),0,VLOOKUP($A20,IS明細!$B:F,5,0))</f>
        <v>0</v>
      </c>
      <c r="G20" s="1055">
        <f>IF(ISNA(VLOOKUP($A20,IS明細!$B:H,7,0)),0,VLOOKUP($A20,IS明細!$B:H,7,0))</f>
        <v>0</v>
      </c>
      <c r="H20" s="1055">
        <f>IF(ISNA(VLOOKUP($A20,IS明細!$B:J,9,0)),0,VLOOKUP($A20,IS明細!$B:J,9,0))</f>
        <v>0</v>
      </c>
      <c r="I20" s="1055">
        <f>IF(ISNA(VLOOKUP($A20,IS明細!$B:L,11,0)),0,VLOOKUP($A20,IS明細!$B:L,11,0))</f>
        <v>0</v>
      </c>
      <c r="J20" s="1055">
        <f>IF(ISNA(VLOOKUP($A20,IS明細!$B:N,13,0)),0,VLOOKUP($A20,IS明細!$B:N,13,0))</f>
        <v>0</v>
      </c>
      <c r="K20" s="1055">
        <f>IF(ISNA(VLOOKUP($A20,IS明細!$B:P,15,0)),0,VLOOKUP($A20,IS明細!$B:P,15,0))</f>
        <v>0</v>
      </c>
      <c r="L20" s="1055">
        <f>IF(ISNA(VLOOKUP($A20,IS明細!$B:R,17,0)),0,VLOOKUP($A20,IS明細!$B:R,17,0))</f>
        <v>0</v>
      </c>
      <c r="M20" s="1055">
        <f>IF(ISNA(VLOOKUP($A20,IS明細!$B:T,19,0)),0,VLOOKUP($A20,IS明細!$B:T,19,0))</f>
        <v>0</v>
      </c>
      <c r="N20" s="1055">
        <f>IF(ISNA(VLOOKUP($A20,IS明細!$B:V,21,0)),0,VLOOKUP($A20,IS明細!$B:V,21,0))</f>
        <v>0</v>
      </c>
      <c r="O20" s="1055">
        <f>IF(ISNA(VLOOKUP($A20,IS明細!$B:X,23,0)),0,VLOOKUP($A20,IS明細!$B:X,23,0))</f>
        <v>0</v>
      </c>
      <c r="P20" s="1055">
        <f>IF(ISNA(VLOOKUP($A20,IS明細!$B:Z,25,0)),0,VLOOKUP($A20,IS明細!$B:Z,25,0))</f>
        <v>0</v>
      </c>
      <c r="Q20" s="543">
        <f t="shared" si="1"/>
        <v>0</v>
      </c>
      <c r="R20" s="543">
        <f t="shared" si="0"/>
        <v>0</v>
      </c>
      <c r="S20" s="1056"/>
      <c r="T20" s="600">
        <f t="shared" si="2"/>
        <v>0</v>
      </c>
    </row>
    <row r="21" spans="1:22" ht="16.5" customHeight="1">
      <c r="A21" s="404" t="s">
        <v>1320</v>
      </c>
      <c r="B21" s="1054" t="s">
        <v>338</v>
      </c>
      <c r="C21" s="404" t="s">
        <v>1321</v>
      </c>
      <c r="E21" s="1055">
        <f>IF(ISNA(VLOOKUP($A21,IS明細!B:D,3,0)),0,VLOOKUP($A21,IS明細!B:D,3,0))</f>
        <v>0</v>
      </c>
      <c r="F21" s="1055">
        <f>IF(ISNA(VLOOKUP($A21,IS明細!$B:F,5,0)),0,VLOOKUP($A21,IS明細!$B:F,5,0))</f>
        <v>0</v>
      </c>
      <c r="G21" s="1055">
        <f>IF(ISNA(VLOOKUP($A21,IS明細!$B:H,7,0)),0,VLOOKUP($A21,IS明細!$B:H,7,0))</f>
        <v>0</v>
      </c>
      <c r="H21" s="1055">
        <f>IF(ISNA(VLOOKUP($A21,IS明細!$B:J,9,0)),0,VLOOKUP($A21,IS明細!$B:J,9,0))</f>
        <v>0</v>
      </c>
      <c r="I21" s="1055">
        <f>IF(ISNA(VLOOKUP($A21,IS明細!$B:L,11,0)),0,VLOOKUP($A21,IS明細!$B:L,11,0))</f>
        <v>0</v>
      </c>
      <c r="J21" s="1055">
        <f>IF(ISNA(VLOOKUP($A21,IS明細!$B:N,13,0)),0,VLOOKUP($A21,IS明細!$B:N,13,0))</f>
        <v>0</v>
      </c>
      <c r="K21" s="1055">
        <f>IF(ISNA(VLOOKUP($A21,IS明細!$B:P,15,0)),0,VLOOKUP($A21,IS明細!$B:P,15,0))</f>
        <v>0</v>
      </c>
      <c r="L21" s="1055">
        <f>IF(ISNA(VLOOKUP($A21,IS明細!$B:R,17,0)),0,VLOOKUP($A21,IS明細!$B:R,17,0))</f>
        <v>0</v>
      </c>
      <c r="M21" s="1055">
        <f>IF(ISNA(VLOOKUP($A21,IS明細!$B:T,19,0)),0,VLOOKUP($A21,IS明細!$B:T,19,0))</f>
        <v>0</v>
      </c>
      <c r="N21" s="1055">
        <f>IF(ISNA(VLOOKUP($A21,IS明細!$B:V,21,0)),0,VLOOKUP($A21,IS明細!$B:V,21,0))</f>
        <v>0</v>
      </c>
      <c r="O21" s="1055">
        <f>IF(ISNA(VLOOKUP($A21,IS明細!$B:X,23,0)),0,VLOOKUP($A21,IS明細!$B:X,23,0))</f>
        <v>0</v>
      </c>
      <c r="P21" s="1055">
        <f>IF(ISNA(VLOOKUP($A21,IS明細!$B:Z,25,0)),0,VLOOKUP($A21,IS明細!$B:Z,25,0))</f>
        <v>0</v>
      </c>
      <c r="Q21" s="543">
        <f t="shared" si="1"/>
        <v>0</v>
      </c>
      <c r="R21" s="543">
        <f t="shared" si="0"/>
        <v>0</v>
      </c>
      <c r="S21" s="1056"/>
      <c r="T21" s="600">
        <f t="shared" si="2"/>
        <v>0</v>
      </c>
    </row>
    <row r="22" spans="1:22" ht="16.5" customHeight="1">
      <c r="A22" s="404" t="s">
        <v>1322</v>
      </c>
      <c r="B22" s="1054" t="s">
        <v>339</v>
      </c>
      <c r="C22" s="404" t="s">
        <v>1323</v>
      </c>
      <c r="E22" s="1055">
        <f>IF(ISNA(VLOOKUP($A22,IS明細!B:D,3,0)),0,VLOOKUP($A22,IS明細!B:D,3,0))</f>
        <v>116342</v>
      </c>
      <c r="F22" s="1055">
        <f>IF(ISNA(VLOOKUP($A22,IS明細!$B:F,5,0)),0,VLOOKUP($A22,IS明細!$B:F,5,0))</f>
        <v>116342</v>
      </c>
      <c r="G22" s="1055">
        <f>IF(ISNA(VLOOKUP($A22,IS明細!$B:H,7,0)),0,VLOOKUP($A22,IS明細!$B:H,7,0))</f>
        <v>116342</v>
      </c>
      <c r="H22" s="1055">
        <f>IF(ISNA(VLOOKUP($A22,IS明細!$B:J,9,0)),0,VLOOKUP($A22,IS明細!$B:J,9,0))</f>
        <v>116342</v>
      </c>
      <c r="I22" s="1055">
        <f>IF(ISNA(VLOOKUP($A22,IS明細!$B:L,11,0)),0,VLOOKUP($A22,IS明細!$B:L,11,0))</f>
        <v>116342</v>
      </c>
      <c r="J22" s="1055">
        <f>IF(ISNA(VLOOKUP($A22,IS明細!$B:N,13,0)),0,VLOOKUP($A22,IS明細!$B:N,13,0))</f>
        <v>116342</v>
      </c>
      <c r="K22" s="1055">
        <f>IF(ISNA(VLOOKUP($A22,IS明細!$B:P,15,0)),0,VLOOKUP($A22,IS明細!$B:P,15,0))</f>
        <v>116341</v>
      </c>
      <c r="L22" s="1055">
        <f>IF(ISNA(VLOOKUP($A22,IS明細!$B:R,17,0)),0,VLOOKUP($A22,IS明細!$B:R,17,0))</f>
        <v>116342</v>
      </c>
      <c r="M22" s="1055">
        <f>IF(ISNA(VLOOKUP($A22,IS明細!$B:T,19,0)),0,VLOOKUP($A22,IS明細!$B:T,19,0))</f>
        <v>0</v>
      </c>
      <c r="N22" s="1055">
        <f>IF(ISNA(VLOOKUP($A22,IS明細!$B:V,21,0)),0,VLOOKUP($A22,IS明細!$B:V,21,0))</f>
        <v>0</v>
      </c>
      <c r="O22" s="1055">
        <f>IF(ISNA(VLOOKUP($A22,IS明細!$B:X,23,0)),0,VLOOKUP($A22,IS明細!$B:X,23,0))</f>
        <v>0</v>
      </c>
      <c r="P22" s="1055">
        <f>IF(ISNA(VLOOKUP($A22,IS明細!$B:Z,25,0)),0,VLOOKUP($A22,IS明細!$B:Z,25,0))</f>
        <v>0</v>
      </c>
      <c r="Q22" s="543">
        <f t="shared" si="1"/>
        <v>930735</v>
      </c>
      <c r="R22" s="543">
        <f t="shared" si="0"/>
        <v>132962</v>
      </c>
      <c r="S22" s="1056" t="s">
        <v>1908</v>
      </c>
      <c r="T22" s="600">
        <f t="shared" si="2"/>
        <v>1</v>
      </c>
    </row>
    <row r="23" spans="1:22" ht="16.5" customHeight="1">
      <c r="A23" s="404" t="s">
        <v>1324</v>
      </c>
      <c r="B23" s="1054" t="s">
        <v>422</v>
      </c>
      <c r="C23" s="404" t="s">
        <v>1325</v>
      </c>
      <c r="E23" s="1055">
        <f>IF(ISNA(VLOOKUP($A23,IS明細!B:D,3,0)),0,VLOOKUP($A23,IS明細!B:D,3,0))</f>
        <v>172176</v>
      </c>
      <c r="F23" s="1055">
        <f>IF(ISNA(VLOOKUP($A23,IS明細!$B:F,5,0)),0,VLOOKUP($A23,IS明細!$B:F,5,0))</f>
        <v>172184</v>
      </c>
      <c r="G23" s="1055">
        <f>IF(ISNA(VLOOKUP($A23,IS明細!$B:H,7,0)),0,VLOOKUP($A23,IS明細!$B:H,7,0))</f>
        <v>5920</v>
      </c>
      <c r="H23" s="1055">
        <f>IF(ISNA(VLOOKUP($A23,IS明細!$B:J,9,0)),0,VLOOKUP($A23,IS明細!$B:J,9,0))</f>
        <v>87715</v>
      </c>
      <c r="I23" s="1055">
        <f>IF(ISNA(VLOOKUP($A23,IS明細!$B:L,11,0)),0,VLOOKUP($A23,IS明細!$B:L,11,0))</f>
        <v>88318</v>
      </c>
      <c r="J23" s="1055">
        <f>IF(ISNA(VLOOKUP($A23,IS明細!$B:N,13,0)),0,VLOOKUP($A23,IS明細!$B:N,13,0))</f>
        <v>48409</v>
      </c>
      <c r="K23" s="1055">
        <f>IF(ISNA(VLOOKUP($A23,IS明細!$B:P,15,0)),0,VLOOKUP($A23,IS明細!$B:P,15,0))</f>
        <v>47806</v>
      </c>
      <c r="L23" s="1055">
        <f>IF(ISNA(VLOOKUP($A23,IS明細!$B:R,17,0)),0,VLOOKUP($A23,IS明細!$B:R,17,0))</f>
        <v>47802</v>
      </c>
      <c r="M23" s="1055">
        <f>IF(ISNA(VLOOKUP($A23,IS明細!$B:T,19,0)),0,VLOOKUP($A23,IS明細!$B:T,19,0))</f>
        <v>0</v>
      </c>
      <c r="N23" s="1055">
        <f>IF(ISNA(VLOOKUP($A23,IS明細!$B:V,21,0)),0,VLOOKUP($A23,IS明細!$B:V,21,0))</f>
        <v>0</v>
      </c>
      <c r="O23" s="1055">
        <f>IF(ISNA(VLOOKUP($A23,IS明細!$B:X,23,0)),0,VLOOKUP($A23,IS明細!$B:X,23,0))</f>
        <v>0</v>
      </c>
      <c r="P23" s="1055">
        <f>IF(ISNA(VLOOKUP($A23,IS明細!$B:Z,25,0)),0,VLOOKUP($A23,IS明細!$B:Z,25,0))</f>
        <v>0</v>
      </c>
      <c r="Q23" s="543">
        <f t="shared" si="1"/>
        <v>670330</v>
      </c>
      <c r="R23" s="543">
        <f t="shared" si="0"/>
        <v>95761</v>
      </c>
      <c r="S23" s="1056" t="s">
        <v>1909</v>
      </c>
      <c r="T23" s="600">
        <f t="shared" si="2"/>
        <v>-4</v>
      </c>
    </row>
    <row r="24" spans="1:22" ht="16.5" customHeight="1">
      <c r="A24" s="404" t="s">
        <v>1326</v>
      </c>
      <c r="B24" s="1054" t="s">
        <v>423</v>
      </c>
      <c r="C24" s="404" t="s">
        <v>1327</v>
      </c>
      <c r="E24" s="1055">
        <f>IF(ISNA(VLOOKUP($A24,IS明細!B:D,3,0)),0,VLOOKUP($A24,IS明細!B:D,3,0))</f>
        <v>45000</v>
      </c>
      <c r="F24" s="1055">
        <f>IF(ISNA(VLOOKUP($A24,IS明細!$B:F,5,0)),0,VLOOKUP($A24,IS明細!$B:F,5,0))</f>
        <v>49520</v>
      </c>
      <c r="G24" s="1055">
        <f>IF(ISNA(VLOOKUP($A24,IS明細!$B:H,7,0)),0,VLOOKUP($A24,IS明細!$B:H,7,0))</f>
        <v>53800</v>
      </c>
      <c r="H24" s="1055">
        <f>IF(ISNA(VLOOKUP($A24,IS明細!$B:J,9,0)),0,VLOOKUP($A24,IS明細!$B:J,9,0))</f>
        <v>48880</v>
      </c>
      <c r="I24" s="1055">
        <f>IF(ISNA(VLOOKUP($A24,IS明細!$B:L,11,0)),0,VLOOKUP($A24,IS明細!$B:L,11,0))</f>
        <v>45000</v>
      </c>
      <c r="J24" s="1055">
        <f>IF(ISNA(VLOOKUP($A24,IS明細!$B:N,13,0)),0,VLOOKUP($A24,IS明細!$B:N,13,0))</f>
        <v>50140</v>
      </c>
      <c r="K24" s="1055">
        <f>IF(ISNA(VLOOKUP($A24,IS明細!$B:P,15,0)),0,VLOOKUP($A24,IS明細!$B:P,15,0))</f>
        <v>52920</v>
      </c>
      <c r="L24" s="1055">
        <f>IF(ISNA(VLOOKUP($A24,IS明細!$B:R,17,0)),0,VLOOKUP($A24,IS明細!$B:R,17,0))</f>
        <v>49040</v>
      </c>
      <c r="M24" s="1055">
        <f>IF(ISNA(VLOOKUP($A24,IS明細!$B:T,19,0)),0,VLOOKUP($A24,IS明細!$B:T,19,0))</f>
        <v>0</v>
      </c>
      <c r="N24" s="1055">
        <f>IF(ISNA(VLOOKUP($A24,IS明細!$B:V,21,0)),0,VLOOKUP($A24,IS明細!$B:V,21,0))</f>
        <v>0</v>
      </c>
      <c r="O24" s="1055">
        <f>IF(ISNA(VLOOKUP($A24,IS明細!$B:X,23,0)),0,VLOOKUP($A24,IS明細!$B:X,23,0))</f>
        <v>0</v>
      </c>
      <c r="P24" s="1055">
        <f>IF(ISNA(VLOOKUP($A24,IS明細!$B:Z,25,0)),0,VLOOKUP($A24,IS明細!$B:Z,25,0))</f>
        <v>0</v>
      </c>
      <c r="Q24" s="543">
        <f t="shared" si="1"/>
        <v>394300</v>
      </c>
      <c r="R24" s="543">
        <f t="shared" si="0"/>
        <v>56329</v>
      </c>
      <c r="S24" s="1056"/>
      <c r="T24" s="600">
        <f t="shared" si="2"/>
        <v>-3880</v>
      </c>
    </row>
    <row r="25" spans="1:22" ht="16.5" customHeight="1">
      <c r="A25" s="404" t="s">
        <v>1328</v>
      </c>
      <c r="B25" s="1054" t="s">
        <v>424</v>
      </c>
      <c r="C25" s="404" t="s">
        <v>1329</v>
      </c>
      <c r="E25" s="1055">
        <f>IF(ISNA(VLOOKUP($A25,IS明細!B:D,3,0)),0,VLOOKUP($A25,IS明細!B:D,3,0))</f>
        <v>32862</v>
      </c>
      <c r="F25" s="1055">
        <f>IF(ISNA(VLOOKUP($A25,IS明細!$B:F,5,0)),0,VLOOKUP($A25,IS明細!$B:F,5,0))</f>
        <v>29267</v>
      </c>
      <c r="G25" s="1055">
        <f>IF(ISNA(VLOOKUP($A25,IS明細!$B:H,7,0)),0,VLOOKUP($A25,IS明細!$B:H,7,0))</f>
        <v>36507</v>
      </c>
      <c r="H25" s="1055">
        <f>IF(ISNA(VLOOKUP($A25,IS明細!$B:J,9,0)),0,VLOOKUP($A25,IS明細!$B:J,9,0))</f>
        <v>35725</v>
      </c>
      <c r="I25" s="1055">
        <f>IF(ISNA(VLOOKUP($A25,IS明細!$B:L,11,0)),0,VLOOKUP($A25,IS明細!$B:L,11,0))</f>
        <v>27801</v>
      </c>
      <c r="J25" s="1055">
        <f>IF(ISNA(VLOOKUP($A25,IS明細!$B:N,13,0)),0,VLOOKUP($A25,IS明細!$B:N,13,0))</f>
        <v>50645</v>
      </c>
      <c r="K25" s="1055">
        <f>IF(ISNA(VLOOKUP($A25,IS明細!$B:P,15,0)),0,VLOOKUP($A25,IS明細!$B:P,15,0))</f>
        <v>51256</v>
      </c>
      <c r="L25" s="1055">
        <f>IF(ISNA(VLOOKUP($A25,IS明細!$B:R,17,0)),0,VLOOKUP($A25,IS明細!$B:R,17,0))</f>
        <v>42851</v>
      </c>
      <c r="M25" s="1055">
        <f>IF(ISNA(VLOOKUP($A25,IS明細!$B:T,19,0)),0,VLOOKUP($A25,IS明細!$B:T,19,0))</f>
        <v>0</v>
      </c>
      <c r="N25" s="1055">
        <f>IF(ISNA(VLOOKUP($A25,IS明細!$B:V,21,0)),0,VLOOKUP($A25,IS明細!$B:V,21,0))</f>
        <v>0</v>
      </c>
      <c r="O25" s="1055">
        <f>IF(ISNA(VLOOKUP($A25,IS明細!$B:X,23,0)),0,VLOOKUP($A25,IS明細!$B:X,23,0))</f>
        <v>0</v>
      </c>
      <c r="P25" s="1055">
        <f>IF(ISNA(VLOOKUP($A25,IS明細!$B:Z,25,0)),0,VLOOKUP($A25,IS明細!$B:Z,25,0))</f>
        <v>0</v>
      </c>
      <c r="Q25" s="543">
        <f t="shared" si="1"/>
        <v>306914</v>
      </c>
      <c r="R25" s="543">
        <f t="shared" si="0"/>
        <v>43845</v>
      </c>
      <c r="S25" s="1056" t="s">
        <v>1910</v>
      </c>
      <c r="T25" s="600">
        <f t="shared" si="2"/>
        <v>-8405</v>
      </c>
    </row>
    <row r="26" spans="1:22" ht="85">
      <c r="A26" s="404" t="s">
        <v>1330</v>
      </c>
      <c r="B26" s="1054" t="s">
        <v>1911</v>
      </c>
      <c r="C26" s="404" t="s">
        <v>1331</v>
      </c>
      <c r="E26" s="1055">
        <f>IF(ISNA(VLOOKUP($A26,IS明細!B:D,3,0)),0,VLOOKUP($A26,IS明細!B:D,3,0))</f>
        <v>29800</v>
      </c>
      <c r="F26" s="1055">
        <f>IF(ISNA(VLOOKUP($A26,IS明細!$B:F,5,0)),0,VLOOKUP($A26,IS明細!$B:F,5,0))</f>
        <v>32137</v>
      </c>
      <c r="G26" s="1055">
        <f>IF(ISNA(VLOOKUP($A26,IS明細!$B:H,7,0)),0,VLOOKUP($A26,IS明細!$B:H,7,0))</f>
        <v>295681</v>
      </c>
      <c r="H26" s="1055">
        <f>IF(ISNA(VLOOKUP($A26,IS明細!$B:J,9,0)),0,VLOOKUP($A26,IS明細!$B:J,9,0))</f>
        <v>533230</v>
      </c>
      <c r="I26" s="1055">
        <f>IF(ISNA(VLOOKUP($A26,IS明細!$B:L,11,0)),0,VLOOKUP($A26,IS明細!$B:L,11,0))</f>
        <v>32680</v>
      </c>
      <c r="J26" s="1055">
        <f>IF(ISNA(VLOOKUP($A26,IS明細!$B:N,13,0)),0,VLOOKUP($A26,IS明細!$B:N,13,0))</f>
        <v>207816</v>
      </c>
      <c r="K26" s="1055">
        <f>IF(ISNA(VLOOKUP($A26,IS明細!$B:P,15,0)),0,VLOOKUP($A26,IS明細!$B:P,15,0))</f>
        <v>180000</v>
      </c>
      <c r="L26" s="1055">
        <f>IF(ISNA(VLOOKUP($A26,IS明細!$B:R,17,0)),0,VLOOKUP($A26,IS明細!$B:R,17,0))</f>
        <v>478148</v>
      </c>
      <c r="M26" s="1055">
        <f>IF(ISNA(VLOOKUP($A26,IS明細!$B:T,19,0)),0,VLOOKUP($A26,IS明細!$B:T,19,0))</f>
        <v>0</v>
      </c>
      <c r="N26" s="1055">
        <f>IF(ISNA(VLOOKUP($A26,IS明細!$B:V,21,0)),0,VLOOKUP($A26,IS明細!$B:V,21,0))</f>
        <v>0</v>
      </c>
      <c r="O26" s="1055">
        <f>IF(ISNA(VLOOKUP($A26,IS明細!$B:X,23,0)),0,VLOOKUP($A26,IS明細!$B:X,23,0))</f>
        <v>0</v>
      </c>
      <c r="P26" s="1055">
        <f>IF(ISNA(VLOOKUP($A26,IS明細!$B:Z,25,0)),0,VLOOKUP($A26,IS明細!$B:Z,25,0))</f>
        <v>0</v>
      </c>
      <c r="Q26" s="543">
        <f t="shared" si="1"/>
        <v>1789492</v>
      </c>
      <c r="R26" s="543">
        <f t="shared" si="0"/>
        <v>255642</v>
      </c>
      <c r="S26" s="1060" t="s">
        <v>2355</v>
      </c>
      <c r="T26" s="600">
        <f t="shared" si="2"/>
        <v>298148</v>
      </c>
      <c r="U26" s="391" t="s">
        <v>2350</v>
      </c>
      <c r="V26" s="1184">
        <v>274050</v>
      </c>
    </row>
    <row r="27" spans="1:22" ht="16.5" customHeight="1">
      <c r="A27" s="404" t="s">
        <v>1332</v>
      </c>
      <c r="B27" s="1054" t="s">
        <v>425</v>
      </c>
      <c r="C27" s="404" t="s">
        <v>1333</v>
      </c>
      <c r="E27" s="1055">
        <f>IF(ISNA(VLOOKUP($A27,IS明細!B:D,3,0)),0,VLOOKUP($A27,IS明細!B:D,3,0))</f>
        <v>0</v>
      </c>
      <c r="F27" s="1055">
        <f>IF(ISNA(VLOOKUP($A27,IS明細!$B:F,5,0)),0,VLOOKUP($A27,IS明細!$B:F,5,0))</f>
        <v>0</v>
      </c>
      <c r="G27" s="1055">
        <f>IF(ISNA(VLOOKUP($A27,IS明細!$B:H,7,0)),0,VLOOKUP($A27,IS明細!$B:H,7,0))</f>
        <v>0</v>
      </c>
      <c r="H27" s="1055">
        <f>IF(ISNA(VLOOKUP($A27,IS明細!$B:J,9,0)),0,VLOOKUP($A27,IS明細!$B:J,9,0))</f>
        <v>0</v>
      </c>
      <c r="I27" s="1055">
        <f>IF(ISNA(VLOOKUP($A27,IS明細!$B:L,11,0)),0,VLOOKUP($A27,IS明細!$B:L,11,0))</f>
        <v>0</v>
      </c>
      <c r="J27" s="1055">
        <f>IF(ISNA(VLOOKUP($A27,IS明細!$B:N,13,0)),0,VLOOKUP($A27,IS明細!$B:N,13,0))</f>
        <v>0</v>
      </c>
      <c r="K27" s="1055">
        <f>IF(ISNA(VLOOKUP($A27,IS明細!$B:P,15,0)),0,VLOOKUP($A27,IS明細!$B:P,15,0))</f>
        <v>0</v>
      </c>
      <c r="L27" s="1055">
        <f>IF(ISNA(VLOOKUP($A27,IS明細!$B:R,17,0)),0,VLOOKUP($A27,IS明細!$B:R,17,0))</f>
        <v>0</v>
      </c>
      <c r="M27" s="1055">
        <f>IF(ISNA(VLOOKUP($A27,IS明細!$B:T,19,0)),0,VLOOKUP($A27,IS明細!$B:T,19,0))</f>
        <v>0</v>
      </c>
      <c r="N27" s="1055">
        <f>IF(ISNA(VLOOKUP($A27,IS明細!$B:V,21,0)),0,VLOOKUP($A27,IS明細!$B:V,21,0))</f>
        <v>0</v>
      </c>
      <c r="O27" s="1055">
        <f>IF(ISNA(VLOOKUP($A27,IS明細!$B:X,23,0)),0,VLOOKUP($A27,IS明細!$B:X,23,0))</f>
        <v>0</v>
      </c>
      <c r="P27" s="1055">
        <f>IF(ISNA(VLOOKUP($A27,IS明細!$B:Z,25,0)),0,VLOOKUP($A27,IS明細!$B:Z,25,0))</f>
        <v>0</v>
      </c>
      <c r="Q27" s="543">
        <f t="shared" si="1"/>
        <v>0</v>
      </c>
      <c r="R27" s="543">
        <f t="shared" si="0"/>
        <v>0</v>
      </c>
      <c r="S27" s="1056"/>
      <c r="T27" s="600">
        <f t="shared" si="2"/>
        <v>0</v>
      </c>
      <c r="U27" s="391" t="s">
        <v>2351</v>
      </c>
      <c r="V27" s="1184">
        <v>142298</v>
      </c>
    </row>
    <row r="28" spans="1:22" ht="16.5" customHeight="1">
      <c r="A28" s="404" t="s">
        <v>1334</v>
      </c>
      <c r="B28" s="1054" t="s">
        <v>426</v>
      </c>
      <c r="C28" s="404" t="s">
        <v>1335</v>
      </c>
      <c r="E28" s="1055">
        <f>IF(ISNA(VLOOKUP($A28,IS明細!B:D,3,0)),0,VLOOKUP($A28,IS明細!B:D,3,0))</f>
        <v>1610</v>
      </c>
      <c r="F28" s="1055">
        <f>IF(ISNA(VLOOKUP($A28,IS明細!$B:F,5,0)),0,VLOOKUP($A28,IS明細!$B:F,5,0))</f>
        <v>1610</v>
      </c>
      <c r="G28" s="1055">
        <f>IF(ISNA(VLOOKUP($A28,IS明細!$B:H,7,0)),0,VLOOKUP($A28,IS明細!$B:H,7,0))</f>
        <v>1610</v>
      </c>
      <c r="H28" s="1055">
        <f>IF(ISNA(VLOOKUP($A28,IS明細!$B:J,9,0)),0,VLOOKUP($A28,IS明細!$B:J,9,0))</f>
        <v>1610</v>
      </c>
      <c r="I28" s="1055">
        <f>IF(ISNA(VLOOKUP($A28,IS明細!$B:L,11,0)),0,VLOOKUP($A28,IS明細!$B:L,11,0))</f>
        <v>1610</v>
      </c>
      <c r="J28" s="1055">
        <f>IF(ISNA(VLOOKUP($A28,IS明細!$B:N,13,0)),0,VLOOKUP($A28,IS明細!$B:N,13,0))</f>
        <v>1610</v>
      </c>
      <c r="K28" s="1055">
        <f>IF(ISNA(VLOOKUP($A28,IS明細!$B:P,15,0)),0,VLOOKUP($A28,IS明細!$B:P,15,0))</f>
        <v>1610</v>
      </c>
      <c r="L28" s="1055">
        <f>IF(ISNA(VLOOKUP($A28,IS明細!$B:R,17,0)),0,VLOOKUP($A28,IS明細!$B:R,17,0))</f>
        <v>1610</v>
      </c>
      <c r="M28" s="1055">
        <f>IF(ISNA(VLOOKUP($A28,IS明細!$B:T,19,0)),0,VLOOKUP($A28,IS明細!$B:T,19,0))</f>
        <v>0</v>
      </c>
      <c r="N28" s="1055">
        <f>IF(ISNA(VLOOKUP($A28,IS明細!$B:V,21,0)),0,VLOOKUP($A28,IS明細!$B:V,21,0))</f>
        <v>0</v>
      </c>
      <c r="O28" s="1055">
        <f>IF(ISNA(VLOOKUP($A28,IS明細!$B:X,23,0)),0,VLOOKUP($A28,IS明細!$B:X,23,0))</f>
        <v>0</v>
      </c>
      <c r="P28" s="1055">
        <f>IF(ISNA(VLOOKUP($A28,IS明細!$B:Z,25,0)),0,VLOOKUP($A28,IS明細!$B:Z,25,0))</f>
        <v>0</v>
      </c>
      <c r="Q28" s="543">
        <f t="shared" si="1"/>
        <v>12880</v>
      </c>
      <c r="R28" s="543">
        <f t="shared" si="0"/>
        <v>1840</v>
      </c>
      <c r="S28" s="1056"/>
      <c r="T28" s="600">
        <f t="shared" si="2"/>
        <v>0</v>
      </c>
      <c r="U28" s="391" t="s">
        <v>2352</v>
      </c>
      <c r="V28" s="1184">
        <v>43800</v>
      </c>
    </row>
    <row r="29" spans="1:22" ht="16.5" customHeight="1">
      <c r="A29" s="404" t="s">
        <v>1336</v>
      </c>
      <c r="B29" s="1054" t="s">
        <v>428</v>
      </c>
      <c r="C29" s="404" t="s">
        <v>1337</v>
      </c>
      <c r="E29" s="1055">
        <f>IF(ISNA(VLOOKUP($A29,IS明細!B:D,3,0)),0,VLOOKUP($A29,IS明細!B:D,3,0))</f>
        <v>6187</v>
      </c>
      <c r="F29" s="1055">
        <f>IF(ISNA(VLOOKUP($A29,IS明細!$B:F,5,0)),0,VLOOKUP($A29,IS明細!$B:F,5,0))</f>
        <v>4631</v>
      </c>
      <c r="G29" s="1055">
        <f>IF(ISNA(VLOOKUP($A29,IS明細!$B:H,7,0)),0,VLOOKUP($A29,IS明細!$B:H,7,0))</f>
        <v>653</v>
      </c>
      <c r="H29" s="1055">
        <f>IF(ISNA(VLOOKUP($A29,IS明細!$B:J,9,0)),0,VLOOKUP($A29,IS明細!$B:J,9,0))</f>
        <v>5037</v>
      </c>
      <c r="I29" s="1055">
        <f>IF(ISNA(VLOOKUP($A29,IS明細!$B:L,11,0)),0,VLOOKUP($A29,IS明細!$B:L,11,0))</f>
        <v>0</v>
      </c>
      <c r="J29" s="1055">
        <f>IF(ISNA(VLOOKUP($A29,IS明細!$B:N,13,0)),0,VLOOKUP($A29,IS明細!$B:N,13,0))</f>
        <v>3300</v>
      </c>
      <c r="K29" s="1055">
        <f>IF(ISNA(VLOOKUP($A29,IS明細!$B:P,15,0)),0,VLOOKUP($A29,IS明細!$B:P,15,0))</f>
        <v>2650</v>
      </c>
      <c r="L29" s="1055">
        <f>IF(ISNA(VLOOKUP($A29,IS明細!$B:R,17,0)),0,VLOOKUP($A29,IS明細!$B:R,17,0))</f>
        <v>9291</v>
      </c>
      <c r="M29" s="1055">
        <f>IF(ISNA(VLOOKUP($A29,IS明細!$B:T,19,0)),0,VLOOKUP($A29,IS明細!$B:T,19,0))</f>
        <v>0</v>
      </c>
      <c r="N29" s="1055">
        <f>IF(ISNA(VLOOKUP($A29,IS明細!$B:V,21,0)),0,VLOOKUP($A29,IS明細!$B:V,21,0))</f>
        <v>0</v>
      </c>
      <c r="O29" s="1055">
        <f>IF(ISNA(VLOOKUP($A29,IS明細!$B:X,23,0)),0,VLOOKUP($A29,IS明細!$B:X,23,0))</f>
        <v>0</v>
      </c>
      <c r="P29" s="1055">
        <f>IF(ISNA(VLOOKUP($A29,IS明細!$B:Z,25,0)),0,VLOOKUP($A29,IS明細!$B:Z,25,0))</f>
        <v>0</v>
      </c>
      <c r="Q29" s="543">
        <f t="shared" si="1"/>
        <v>31749</v>
      </c>
      <c r="R29" s="543">
        <f t="shared" si="0"/>
        <v>4536</v>
      </c>
      <c r="S29" s="1056" t="s">
        <v>1912</v>
      </c>
      <c r="T29" s="600">
        <f t="shared" si="2"/>
        <v>6641</v>
      </c>
      <c r="U29" s="391" t="s">
        <v>2353</v>
      </c>
      <c r="V29" s="1184">
        <v>5000</v>
      </c>
    </row>
    <row r="30" spans="1:22" ht="16.5" customHeight="1">
      <c r="A30" s="404" t="s">
        <v>1338</v>
      </c>
      <c r="B30" s="1054" t="s">
        <v>429</v>
      </c>
      <c r="C30" s="404" t="s">
        <v>1339</v>
      </c>
      <c r="E30" s="1055">
        <f>IF(ISNA(VLOOKUP($A30,IS明細!B:D,3,0)),0,VLOOKUP($A30,IS明細!B:D,3,0))</f>
        <v>329745</v>
      </c>
      <c r="F30" s="1055">
        <f>IF(ISNA(VLOOKUP($A30,IS明細!$B:F,5,0)),0,VLOOKUP($A30,IS明細!$B:F,5,0))</f>
        <v>23706</v>
      </c>
      <c r="G30" s="1055">
        <f>IF(ISNA(VLOOKUP($A30,IS明細!$B:H,7,0)),0,VLOOKUP($A30,IS明細!$B:H,7,0))</f>
        <v>327763</v>
      </c>
      <c r="H30" s="1055">
        <f>IF(ISNA(VLOOKUP($A30,IS明細!$B:J,9,0)),0,VLOOKUP($A30,IS明細!$B:J,9,0))</f>
        <v>349638</v>
      </c>
      <c r="I30" s="1055">
        <f>IF(ISNA(VLOOKUP($A30,IS明細!$B:L,11,0)),0,VLOOKUP($A30,IS明細!$B:L,11,0))</f>
        <v>336499</v>
      </c>
      <c r="J30" s="1055">
        <f>IF(ISNA(VLOOKUP($A30,IS明細!$B:N,13,0)),0,VLOOKUP($A30,IS明細!$B:N,13,0))</f>
        <v>386187</v>
      </c>
      <c r="K30" s="1055">
        <f>IF(ISNA(VLOOKUP($A30,IS明細!$B:P,15,0)),0,VLOOKUP($A30,IS明細!$B:P,15,0))</f>
        <v>417799</v>
      </c>
      <c r="L30" s="1055">
        <f>IF(ISNA(VLOOKUP($A30,IS明細!$B:R,17,0)),0,VLOOKUP($A30,IS明細!$B:R,17,0))</f>
        <v>263766</v>
      </c>
      <c r="M30" s="1055">
        <f>IF(ISNA(VLOOKUP($A30,IS明細!$B:T,19,0)),0,VLOOKUP($A30,IS明細!$B:T,19,0))</f>
        <v>0</v>
      </c>
      <c r="N30" s="1055">
        <f>IF(ISNA(VLOOKUP($A30,IS明細!$B:V,21,0)),0,VLOOKUP($A30,IS明細!$B:V,21,0))</f>
        <v>0</v>
      </c>
      <c r="O30" s="1055">
        <f>IF(ISNA(VLOOKUP($A30,IS明細!$B:X,23,0)),0,VLOOKUP($A30,IS明細!$B:X,23,0))</f>
        <v>0</v>
      </c>
      <c r="P30" s="1055">
        <f>IF(ISNA(VLOOKUP($A30,IS明細!$B:Z,25,0)),0,VLOOKUP($A30,IS明細!$B:Z,25,0))</f>
        <v>0</v>
      </c>
      <c r="Q30" s="543">
        <f t="shared" si="1"/>
        <v>2435103</v>
      </c>
      <c r="R30" s="543">
        <f t="shared" si="0"/>
        <v>347872</v>
      </c>
      <c r="S30" s="1056"/>
      <c r="T30" s="600">
        <f t="shared" si="2"/>
        <v>-154033</v>
      </c>
      <c r="U30" s="391" t="s">
        <v>2354</v>
      </c>
      <c r="V30" s="1184">
        <v>4500</v>
      </c>
    </row>
    <row r="31" spans="1:22" ht="16.5" customHeight="1">
      <c r="A31" s="404" t="s">
        <v>1340</v>
      </c>
      <c r="B31" s="1054" t="s">
        <v>430</v>
      </c>
      <c r="C31" s="404" t="s">
        <v>1913</v>
      </c>
      <c r="E31" s="1055">
        <f>IF(ISNA(VLOOKUP($A31,IS明細!B:D,3,0)),0,VLOOKUP($A31,IS明細!B:D,3,0))</f>
        <v>0</v>
      </c>
      <c r="F31" s="1055">
        <f>IF(ISNA(VLOOKUP($A31,IS明細!$B:F,5,0)),0,VLOOKUP($A31,IS明細!$B:F,5,0))</f>
        <v>760</v>
      </c>
      <c r="G31" s="1055">
        <f>IF(ISNA(VLOOKUP($A31,IS明細!$B:H,7,0)),0,VLOOKUP($A31,IS明細!$B:H,7,0))</f>
        <v>25108</v>
      </c>
      <c r="H31" s="1055">
        <f>IF(ISNA(VLOOKUP($A31,IS明細!$B:J,9,0)),0,VLOOKUP($A31,IS明細!$B:J,9,0))</f>
        <v>1500</v>
      </c>
      <c r="I31" s="1055">
        <f>IF(ISNA(VLOOKUP($A31,IS明細!$B:L,11,0)),0,VLOOKUP($A31,IS明細!$B:L,11,0))</f>
        <v>23691</v>
      </c>
      <c r="J31" s="1055">
        <f>IF(ISNA(VLOOKUP($A31,IS明細!$B:N,13,0)),0,VLOOKUP($A31,IS明細!$B:N,13,0))</f>
        <v>0</v>
      </c>
      <c r="K31" s="1055">
        <f>IF(ISNA(VLOOKUP($A31,IS明細!$B:P,15,0)),0,VLOOKUP($A31,IS明細!$B:P,15,0))</f>
        <v>3901</v>
      </c>
      <c r="L31" s="1055">
        <f>IF(ISNA(VLOOKUP($A31,IS明細!$B:R,17,0)),0,VLOOKUP($A31,IS明細!$B:R,17,0))</f>
        <v>0</v>
      </c>
      <c r="M31" s="1055">
        <f>IF(ISNA(VLOOKUP($A31,IS明細!$B:T,19,0)),0,VLOOKUP($A31,IS明細!$B:T,19,0))</f>
        <v>0</v>
      </c>
      <c r="N31" s="1055">
        <f>IF(ISNA(VLOOKUP($A31,IS明細!$B:V,21,0)),0,VLOOKUP($A31,IS明細!$B:V,21,0))</f>
        <v>0</v>
      </c>
      <c r="O31" s="1055">
        <f>IF(ISNA(VLOOKUP($A31,IS明細!$B:X,23,0)),0,VLOOKUP($A31,IS明細!$B:X,23,0))</f>
        <v>0</v>
      </c>
      <c r="P31" s="1055">
        <f>IF(ISNA(VLOOKUP($A31,IS明細!$B:Z,25,0)),0,VLOOKUP($A31,IS明細!$B:Z,25,0))</f>
        <v>0</v>
      </c>
      <c r="Q31" s="543">
        <f t="shared" si="1"/>
        <v>54960</v>
      </c>
      <c r="R31" s="543">
        <f t="shared" si="0"/>
        <v>7851</v>
      </c>
      <c r="S31" s="1061"/>
      <c r="T31" s="600">
        <f t="shared" si="2"/>
        <v>-3901</v>
      </c>
      <c r="U31" s="391" t="s">
        <v>2349</v>
      </c>
      <c r="V31" s="1184">
        <v>8500</v>
      </c>
    </row>
    <row r="32" spans="1:22" ht="16.5" customHeight="1">
      <c r="A32" s="404" t="s">
        <v>1341</v>
      </c>
      <c r="B32" s="1054" t="s">
        <v>431</v>
      </c>
      <c r="C32" s="404" t="s">
        <v>1342</v>
      </c>
      <c r="E32" s="1055">
        <f>IF(ISNA(VLOOKUP($A32,IS明細!B:D,3,0)),0,VLOOKUP($A32,IS明細!B:D,3,0))</f>
        <v>0</v>
      </c>
      <c r="F32" s="1055">
        <f>IF(ISNA(VLOOKUP($A32,IS明細!$B:F,5,0)),0,VLOOKUP($A32,IS明細!$B:F,5,0))</f>
        <v>0</v>
      </c>
      <c r="G32" s="1055">
        <f>IF(ISNA(VLOOKUP($A32,IS明細!$B:H,7,0)),0,VLOOKUP($A32,IS明細!$B:H,7,0))</f>
        <v>0</v>
      </c>
      <c r="H32" s="1055">
        <f>IF(ISNA(VLOOKUP($A32,IS明細!$B:J,9,0)),0,VLOOKUP($A32,IS明細!$B:J,9,0))</f>
        <v>0</v>
      </c>
      <c r="I32" s="1055">
        <f>IF(ISNA(VLOOKUP($A32,IS明細!$B:L,11,0)),0,VLOOKUP($A32,IS明細!$B:L,11,0))</f>
        <v>0</v>
      </c>
      <c r="J32" s="1055">
        <f>IF(ISNA(VLOOKUP($A32,IS明細!$B:N,13,0)),0,VLOOKUP($A32,IS明細!$B:N,13,0))</f>
        <v>0</v>
      </c>
      <c r="K32" s="1055">
        <f>IF(ISNA(VLOOKUP($A32,IS明細!$B:P,15,0)),0,VLOOKUP($A32,IS明細!$B:P,15,0))</f>
        <v>0</v>
      </c>
      <c r="L32" s="1055">
        <f>IF(ISNA(VLOOKUP($A32,IS明細!$B:R,17,0)),0,VLOOKUP($A32,IS明細!$B:R,17,0))</f>
        <v>0</v>
      </c>
      <c r="M32" s="1055">
        <f>IF(ISNA(VLOOKUP($A32,IS明細!$B:T,19,0)),0,VLOOKUP($A32,IS明細!$B:T,19,0))</f>
        <v>0</v>
      </c>
      <c r="N32" s="1055">
        <f>IF(ISNA(VLOOKUP($A32,IS明細!$B:V,21,0)),0,VLOOKUP($A32,IS明細!$B:V,21,0))</f>
        <v>0</v>
      </c>
      <c r="O32" s="1055">
        <f>IF(ISNA(VLOOKUP($A32,IS明細!$B:X,23,0)),0,VLOOKUP($A32,IS明細!$B:X,23,0))</f>
        <v>0</v>
      </c>
      <c r="P32" s="1055">
        <f>IF(ISNA(VLOOKUP($A32,IS明細!$B:Z,25,0)),0,VLOOKUP($A32,IS明細!$B:Z,25,0))</f>
        <v>0</v>
      </c>
      <c r="Q32" s="543">
        <f t="shared" si="1"/>
        <v>0</v>
      </c>
      <c r="R32" s="543">
        <f t="shared" si="0"/>
        <v>0</v>
      </c>
      <c r="S32" s="1056"/>
      <c r="T32" s="600">
        <f t="shared" si="2"/>
        <v>0</v>
      </c>
    </row>
    <row r="33" spans="1:30" ht="16.5" customHeight="1">
      <c r="A33" s="404" t="s">
        <v>1343</v>
      </c>
      <c r="B33" s="1054" t="s">
        <v>432</v>
      </c>
      <c r="C33" s="404" t="s">
        <v>1344</v>
      </c>
      <c r="E33" s="1055">
        <f>IF(ISNA(VLOOKUP($A33,IS明細!B:D,3,0)),0,VLOOKUP($A33,IS明細!B:D,3,0))</f>
        <v>0</v>
      </c>
      <c r="F33" s="1055">
        <f>IF(ISNA(VLOOKUP($A33,IS明細!$B:F,5,0)),0,VLOOKUP($A33,IS明細!$B:F,5,0))</f>
        <v>18000</v>
      </c>
      <c r="G33" s="1055">
        <f>IF(ISNA(VLOOKUP($A33,IS明細!$B:H,7,0)),0,VLOOKUP($A33,IS明細!$B:H,7,0))</f>
        <v>60000</v>
      </c>
      <c r="H33" s="1055">
        <f>IF(ISNA(VLOOKUP($A33,IS明細!$B:J,9,0)),0,VLOOKUP($A33,IS明細!$B:J,9,0))</f>
        <v>0</v>
      </c>
      <c r="I33" s="1055">
        <f>IF(ISNA(VLOOKUP($A33,IS明細!$B:L,11,0)),0,VLOOKUP($A33,IS明細!$B:L,11,0))</f>
        <v>2000</v>
      </c>
      <c r="J33" s="1055">
        <f>IF(ISNA(VLOOKUP($A33,IS明細!$B:N,13,0)),0,VLOOKUP($A33,IS明細!$B:N,13,0))</f>
        <v>23200</v>
      </c>
      <c r="K33" s="1055">
        <f>IF(ISNA(VLOOKUP($A33,IS明細!$B:P,15,0)),0,VLOOKUP($A33,IS明細!$B:P,15,0))</f>
        <v>18000</v>
      </c>
      <c r="L33" s="1055">
        <f>IF(ISNA(VLOOKUP($A33,IS明細!$B:R,17,0)),0,VLOOKUP($A33,IS明細!$B:R,17,0))</f>
        <v>0</v>
      </c>
      <c r="M33" s="1055">
        <f>IF(ISNA(VLOOKUP($A33,IS明細!$B:T,19,0)),0,VLOOKUP($A33,IS明細!$B:T,19,0))</f>
        <v>0</v>
      </c>
      <c r="N33" s="1055">
        <f>IF(ISNA(VLOOKUP($A33,IS明細!$B:V,21,0)),0,VLOOKUP($A33,IS明細!$B:V,21,0))</f>
        <v>0</v>
      </c>
      <c r="O33" s="1055">
        <f>IF(ISNA(VLOOKUP($A33,IS明細!$B:X,23,0)),0,VLOOKUP($A33,IS明細!$B:X,23,0))</f>
        <v>0</v>
      </c>
      <c r="P33" s="1055">
        <f>IF(ISNA(VLOOKUP($A33,IS明細!$B:Z,25,0)),0,VLOOKUP($A33,IS明細!$B:Z,25,0))</f>
        <v>0</v>
      </c>
      <c r="Q33" s="543">
        <f t="shared" si="1"/>
        <v>121200</v>
      </c>
      <c r="R33" s="543">
        <f t="shared" si="0"/>
        <v>17314</v>
      </c>
      <c r="S33" s="1062"/>
      <c r="T33" s="600">
        <f t="shared" si="2"/>
        <v>-18000</v>
      </c>
    </row>
    <row r="34" spans="1:30" ht="16">
      <c r="A34" s="404" t="s">
        <v>1345</v>
      </c>
      <c r="B34" s="1054" t="s">
        <v>1914</v>
      </c>
      <c r="C34" s="404" t="s">
        <v>1915</v>
      </c>
      <c r="E34" s="1055">
        <f>IF(ISNA(VLOOKUP($A34,IS明細!B:D,3,0)),0,VLOOKUP($A34,IS明細!B:D,3,0))</f>
        <v>-182393</v>
      </c>
      <c r="F34" s="1055">
        <f>IF(ISNA(VLOOKUP($A34,IS明細!$B:F,5,0)),0,VLOOKUP($A34,IS明細!$B:F,5,0))</f>
        <v>78687</v>
      </c>
      <c r="G34" s="1055">
        <f>IF(ISNA(VLOOKUP($A34,IS明細!$B:H,7,0)),0,VLOOKUP($A34,IS明細!$B:H,7,0))</f>
        <v>81631</v>
      </c>
      <c r="H34" s="1055">
        <f>IF(ISNA(VLOOKUP($A34,IS明細!$B:J,9,0)),0,VLOOKUP($A34,IS明細!$B:J,9,0))</f>
        <v>107149</v>
      </c>
      <c r="I34" s="1055">
        <f>IF(ISNA(VLOOKUP($A34,IS明細!$B:L,11,0)),0,VLOOKUP($A34,IS明細!$B:L,11,0))</f>
        <v>187925</v>
      </c>
      <c r="J34" s="1055">
        <f>IF(ISNA(VLOOKUP($A34,IS明細!$B:N,13,0)),0,VLOOKUP($A34,IS明細!$B:N,13,0))</f>
        <v>100326</v>
      </c>
      <c r="K34" s="1055">
        <f>IF(ISNA(VLOOKUP($A34,IS明細!$B:P,15,0)),0,VLOOKUP($A34,IS明細!$B:P,15,0))</f>
        <v>212709</v>
      </c>
      <c r="L34" s="1055">
        <f>IF(ISNA(VLOOKUP($A34,IS明細!$B:R,17,0)),0,VLOOKUP($A34,IS明細!$B:R,17,0))</f>
        <v>97949</v>
      </c>
      <c r="M34" s="1055">
        <f>IF(ISNA(VLOOKUP($A34,IS明細!$B:T,19,0)),0,VLOOKUP($A34,IS明細!$B:T,19,0))</f>
        <v>0</v>
      </c>
      <c r="N34" s="1055">
        <f>IF(ISNA(VLOOKUP($A34,IS明細!$B:V,21,0)),0,VLOOKUP($A34,IS明細!$B:V,21,0))</f>
        <v>0</v>
      </c>
      <c r="O34" s="1055">
        <f>IF(ISNA(VLOOKUP($A34,IS明細!$B:X,23,0)),0,VLOOKUP($A34,IS明細!$B:X,23,0))</f>
        <v>0</v>
      </c>
      <c r="P34" s="1055">
        <f>IF(ISNA(VLOOKUP($A34,IS明細!$B:Z,25,0)),0,VLOOKUP($A34,IS明細!$B:Z,25,0))</f>
        <v>0</v>
      </c>
      <c r="Q34" s="543">
        <f t="shared" si="1"/>
        <v>683983</v>
      </c>
      <c r="R34" s="543">
        <f t="shared" si="0"/>
        <v>97712</v>
      </c>
      <c r="S34" s="1056"/>
      <c r="T34" s="600">
        <f t="shared" si="2"/>
        <v>-114760</v>
      </c>
    </row>
    <row r="35" spans="1:30" ht="16">
      <c r="A35" s="404" t="s">
        <v>1346</v>
      </c>
      <c r="B35" s="1054" t="s">
        <v>433</v>
      </c>
      <c r="C35" s="404" t="s">
        <v>1916</v>
      </c>
      <c r="E35" s="1055">
        <f>IF(ISNA(VLOOKUP($A35,IS明細!B:D,3,0)),0,VLOOKUP($A35,IS明細!B:D,3,0))</f>
        <v>191082</v>
      </c>
      <c r="F35" s="1055">
        <f>IF(ISNA(VLOOKUP($A35,IS明細!$B:F,5,0)),0,VLOOKUP($A35,IS明細!$B:F,5,0))</f>
        <v>126677</v>
      </c>
      <c r="G35" s="1055">
        <f>IF(ISNA(VLOOKUP($A35,IS明細!$B:H,7,0)),0,VLOOKUP($A35,IS明細!$B:H,7,0))</f>
        <v>103703</v>
      </c>
      <c r="H35" s="1055">
        <f>IF(ISNA(VLOOKUP($A35,IS明細!$B:J,9,0)),0,VLOOKUP($A35,IS明細!$B:J,9,0))</f>
        <v>125992</v>
      </c>
      <c r="I35" s="1055">
        <f>IF(ISNA(VLOOKUP($A35,IS明細!$B:L,11,0)),0,VLOOKUP($A35,IS明細!$B:L,11,0))</f>
        <v>105690</v>
      </c>
      <c r="J35" s="1055">
        <f>IF(ISNA(VLOOKUP($A35,IS明細!$B:N,13,0)),0,VLOOKUP($A35,IS明細!$B:N,13,0))</f>
        <v>147063</v>
      </c>
      <c r="K35" s="1055">
        <f>IF(ISNA(VLOOKUP($A35,IS明細!$B:P,15,0)),0,VLOOKUP($A35,IS明細!$B:P,15,0))</f>
        <v>134457</v>
      </c>
      <c r="L35" s="1055">
        <f>IF(ISNA(VLOOKUP($A35,IS明細!$B:R,17,0)),0,VLOOKUP($A35,IS明細!$B:R,17,0))</f>
        <v>118923</v>
      </c>
      <c r="M35" s="1055">
        <f>IF(ISNA(VLOOKUP($A35,IS明細!$B:T,19,0)),0,VLOOKUP($A35,IS明細!$B:T,19,0))</f>
        <v>0</v>
      </c>
      <c r="N35" s="1055">
        <f>IF(ISNA(VLOOKUP($A35,IS明細!$B:V,21,0)),0,VLOOKUP($A35,IS明細!$B:V,21,0))</f>
        <v>0</v>
      </c>
      <c r="O35" s="1055">
        <f>IF(ISNA(VLOOKUP($A35,IS明細!$B:X,23,0)),0,VLOOKUP($A35,IS明細!$B:X,23,0))</f>
        <v>0</v>
      </c>
      <c r="P35" s="1055">
        <f>IF(ISNA(VLOOKUP($A35,IS明細!$B:Z,25,0)),0,VLOOKUP($A35,IS明細!$B:Z,25,0))</f>
        <v>0</v>
      </c>
      <c r="Q35" s="543">
        <f t="shared" si="1"/>
        <v>1053587</v>
      </c>
      <c r="R35" s="543">
        <f t="shared" si="0"/>
        <v>150512</v>
      </c>
      <c r="S35" s="1063"/>
      <c r="T35" s="600">
        <f t="shared" si="2"/>
        <v>-15534</v>
      </c>
    </row>
    <row r="36" spans="1:30" ht="16">
      <c r="A36" s="404" t="s">
        <v>1347</v>
      </c>
      <c r="B36" s="1064" t="s">
        <v>434</v>
      </c>
      <c r="C36" s="1064" t="s">
        <v>1348</v>
      </c>
      <c r="D36" s="720"/>
      <c r="E36" s="1055">
        <f>IF(ISNA(VLOOKUP($A36,IS明細!B:D,3,0)),0,VLOOKUP($A36,IS明細!B:D,3,0))</f>
        <v>4500</v>
      </c>
      <c r="F36" s="1055">
        <f>IF(ISNA(VLOOKUP($A36,IS明細!$B:F,5,0)),0,VLOOKUP($A36,IS明細!$B:F,5,0))</f>
        <v>12500</v>
      </c>
      <c r="G36" s="1055">
        <f>IF(ISNA(VLOOKUP($A36,IS明細!$B:H,7,0)),0,VLOOKUP($A36,IS明細!$B:H,7,0))</f>
        <v>22200</v>
      </c>
      <c r="H36" s="1055">
        <f>IF(ISNA(VLOOKUP($A36,IS明細!$B:J,9,0)),0,VLOOKUP($A36,IS明細!$B:J,9,0))</f>
        <v>38500</v>
      </c>
      <c r="I36" s="1055">
        <f>IF(ISNA(VLOOKUP($A36,IS明細!$B:L,11,0)),0,VLOOKUP($A36,IS明細!$B:L,11,0))</f>
        <v>0</v>
      </c>
      <c r="J36" s="1055">
        <f>IF(ISNA(VLOOKUP($A36,IS明細!$B:N,13,0)),0,VLOOKUP($A36,IS明細!$B:N,13,0))</f>
        <v>80000</v>
      </c>
      <c r="K36" s="1055">
        <f>IF(ISNA(VLOOKUP($A36,IS明細!$B:P,15,0)),0,VLOOKUP($A36,IS明細!$B:P,15,0))</f>
        <v>0</v>
      </c>
      <c r="L36" s="1055">
        <f>IF(ISNA(VLOOKUP($A36,IS明細!$B:R,17,0)),0,VLOOKUP($A36,IS明細!$B:R,17,0))</f>
        <v>20000</v>
      </c>
      <c r="M36" s="1055">
        <f>IF(ISNA(VLOOKUP($A36,IS明細!$B:T,19,0)),0,VLOOKUP($A36,IS明細!$B:T,19,0))</f>
        <v>0</v>
      </c>
      <c r="N36" s="1055">
        <f>IF(ISNA(VLOOKUP($A36,IS明細!$B:V,21,0)),0,VLOOKUP($A36,IS明細!$B:V,21,0))</f>
        <v>0</v>
      </c>
      <c r="O36" s="1055">
        <f>IF(ISNA(VLOOKUP($A36,IS明細!$B:X,23,0)),0,VLOOKUP($A36,IS明細!$B:X,23,0))</f>
        <v>0</v>
      </c>
      <c r="P36" s="1055">
        <f>IF(ISNA(VLOOKUP($A36,IS明細!$B:Z,25,0)),0,VLOOKUP($A36,IS明細!$B:Z,25,0))</f>
        <v>0</v>
      </c>
      <c r="Q36" s="543">
        <f t="shared" si="1"/>
        <v>177700</v>
      </c>
      <c r="R36" s="543">
        <f t="shared" si="0"/>
        <v>25386</v>
      </c>
      <c r="S36" s="1065"/>
      <c r="T36" s="600">
        <f t="shared" si="2"/>
        <v>20000</v>
      </c>
      <c r="U36" s="1066"/>
      <c r="V36" s="720"/>
      <c r="W36" s="720"/>
      <c r="X36" s="720"/>
      <c r="Y36" s="720"/>
      <c r="Z36" s="720"/>
      <c r="AA36" s="720"/>
      <c r="AB36" s="720"/>
      <c r="AC36" s="720">
        <f>SUM(S36:AB36)</f>
        <v>20000</v>
      </c>
      <c r="AD36" s="543" t="e">
        <f>AC36/#REF!</f>
        <v>#REF!</v>
      </c>
    </row>
    <row r="37" spans="1:30" ht="17">
      <c r="A37" s="404" t="s">
        <v>1349</v>
      </c>
      <c r="B37" s="1054" t="s">
        <v>435</v>
      </c>
      <c r="C37" s="404" t="s">
        <v>1350</v>
      </c>
      <c r="E37" s="1055">
        <f>IF(ISNA(VLOOKUP($A37,IS明細!B:D,3,0)),0,VLOOKUP($A37,IS明細!B:D,3,0))</f>
        <v>316556</v>
      </c>
      <c r="F37" s="1055">
        <f>IF(ISNA(VLOOKUP($A37,IS明細!$B:F,5,0)),0,VLOOKUP($A37,IS明細!$B:F,5,0))</f>
        <v>-212918</v>
      </c>
      <c r="G37" s="1055">
        <f>IF(ISNA(VLOOKUP($A37,IS明細!$B:H,7,0)),0,VLOOKUP($A37,IS明細!$B:H,7,0))</f>
        <v>35121</v>
      </c>
      <c r="H37" s="1055">
        <f>IF(ISNA(VLOOKUP($A37,IS明細!$B:J,9,0)),0,VLOOKUP($A37,IS明細!$B:J,9,0))</f>
        <v>76497</v>
      </c>
      <c r="I37" s="1055">
        <f>IF(ISNA(VLOOKUP($A37,IS明細!$B:L,11,0)),0,VLOOKUP($A37,IS明細!$B:L,11,0))</f>
        <v>17193</v>
      </c>
      <c r="J37" s="1055">
        <f>IF(ISNA(VLOOKUP($A37,IS明細!$B:N,13,0)),0,VLOOKUP($A37,IS明細!$B:N,13,0))</f>
        <v>35598</v>
      </c>
      <c r="K37" s="1055">
        <f>IF(ISNA(VLOOKUP($A37,IS明細!$B:P,15,0)),0,VLOOKUP($A37,IS明細!$B:P,15,0))</f>
        <v>48732</v>
      </c>
      <c r="L37" s="1055">
        <f>IF(ISNA(VLOOKUP($A37,IS明細!$B:R,17,0)),0,VLOOKUP($A37,IS明細!$B:R,17,0))</f>
        <v>26894</v>
      </c>
      <c r="M37" s="1055">
        <f>IF(ISNA(VLOOKUP($A37,IS明細!$B:T,19,0)),0,VLOOKUP($A37,IS明細!$B:T,19,0))</f>
        <v>0</v>
      </c>
      <c r="N37" s="1055">
        <f>IF(ISNA(VLOOKUP($A37,IS明細!$B:V,21,0)),0,VLOOKUP($A37,IS明細!$B:V,21,0))</f>
        <v>0</v>
      </c>
      <c r="O37" s="1055">
        <f>IF(ISNA(VLOOKUP($A37,IS明細!$B:X,23,0)),0,VLOOKUP($A37,IS明細!$B:X,23,0))</f>
        <v>0</v>
      </c>
      <c r="P37" s="1055">
        <f>IF(ISNA(VLOOKUP($A37,IS明細!$B:Z,25,0)),0,VLOOKUP($A37,IS明細!$B:Z,25,0))</f>
        <v>0</v>
      </c>
      <c r="Q37" s="543">
        <f>SUM(E37:P37)</f>
        <v>343673</v>
      </c>
      <c r="R37" s="543">
        <f t="shared" si="0"/>
        <v>49096</v>
      </c>
      <c r="S37" s="1056" t="s">
        <v>2000</v>
      </c>
      <c r="T37" s="600">
        <f t="shared" si="2"/>
        <v>-21838</v>
      </c>
    </row>
    <row r="38" spans="1:30" ht="16.5" customHeight="1" thickBot="1">
      <c r="B38" s="1054" t="s">
        <v>1917</v>
      </c>
      <c r="E38" s="1067">
        <f t="shared" ref="E38:P38" si="3">SUM(E4:E30)-E6-E7</f>
        <v>2937856</v>
      </c>
      <c r="F38" s="1067">
        <f t="shared" si="3"/>
        <v>2632242</v>
      </c>
      <c r="G38" s="1067">
        <f t="shared" si="3"/>
        <v>3208223</v>
      </c>
      <c r="H38" s="1067">
        <f t="shared" si="3"/>
        <v>3367941</v>
      </c>
      <c r="I38" s="1067">
        <f t="shared" si="3"/>
        <v>2995265</v>
      </c>
      <c r="J38" s="1067">
        <f t="shared" si="3"/>
        <v>3153532</v>
      </c>
      <c r="K38" s="1067">
        <f t="shared" si="3"/>
        <v>3165352</v>
      </c>
      <c r="L38" s="1067">
        <f t="shared" si="3"/>
        <v>3319491</v>
      </c>
      <c r="M38" s="1067">
        <f t="shared" si="3"/>
        <v>0</v>
      </c>
      <c r="N38" s="1067">
        <f t="shared" si="3"/>
        <v>0</v>
      </c>
      <c r="O38" s="1067">
        <f t="shared" si="3"/>
        <v>0</v>
      </c>
      <c r="P38" s="1067">
        <f t="shared" si="3"/>
        <v>0</v>
      </c>
      <c r="Q38" s="1067">
        <f t="shared" ref="Q38:R38" si="4">SUM(Q4:Q30)-Q6-Q7</f>
        <v>24779902</v>
      </c>
      <c r="R38" s="1067">
        <f t="shared" si="4"/>
        <v>3539987</v>
      </c>
      <c r="T38" s="600">
        <f t="shared" si="2"/>
        <v>154139</v>
      </c>
    </row>
    <row r="39" spans="1:30" ht="16.5" customHeight="1" thickTop="1">
      <c r="B39" s="1054"/>
      <c r="E39" s="543">
        <f>IS明細!D209</f>
        <v>2937856</v>
      </c>
      <c r="F39" s="543">
        <f>IS明細!F209</f>
        <v>2632242</v>
      </c>
      <c r="G39" s="543">
        <f>IS明細!H209</f>
        <v>3208223</v>
      </c>
      <c r="H39" s="543">
        <f>IS明細!J209</f>
        <v>3367941</v>
      </c>
      <c r="I39" s="543">
        <f>IS明細!L209</f>
        <v>2995265</v>
      </c>
      <c r="J39" s="543">
        <f>IS明細!N209</f>
        <v>3153532</v>
      </c>
      <c r="K39" s="543">
        <f>IS明細!P209</f>
        <v>3165352</v>
      </c>
      <c r="L39" s="543">
        <f>IS明細!R209</f>
        <v>3319491</v>
      </c>
      <c r="M39" s="543">
        <f>IS明細!T209</f>
        <v>0</v>
      </c>
      <c r="N39" s="543">
        <f>IS明細!V209</f>
        <v>0</v>
      </c>
      <c r="O39" s="543">
        <f>IS明細!X209</f>
        <v>0</v>
      </c>
      <c r="P39" s="543">
        <f>IS明細!Z209</f>
        <v>0</v>
      </c>
      <c r="Q39" s="543">
        <f t="shared" ref="Q39" si="5">SUM(E39:P39)</f>
        <v>24779902</v>
      </c>
      <c r="R39" s="543"/>
      <c r="T39" s="600"/>
    </row>
    <row r="40" spans="1:30" ht="16.5" customHeight="1">
      <c r="B40" s="1054"/>
      <c r="E40" s="720"/>
      <c r="F40" s="720"/>
      <c r="G40" s="720"/>
      <c r="H40" s="720"/>
      <c r="I40" s="720"/>
      <c r="J40" s="720"/>
      <c r="K40" s="720"/>
      <c r="L40" s="720"/>
      <c r="M40" s="720"/>
      <c r="N40" s="720"/>
      <c r="O40" s="720"/>
      <c r="P40" s="720"/>
      <c r="Q40" s="720"/>
      <c r="R40" s="720"/>
      <c r="T40" s="600"/>
    </row>
    <row r="41" spans="1:30" ht="16.5" customHeight="1">
      <c r="E41" s="711"/>
      <c r="F41" s="543">
        <f>F38-E38</f>
        <v>-305614</v>
      </c>
      <c r="G41" s="600">
        <f>G38-F38</f>
        <v>575981</v>
      </c>
      <c r="H41" s="600">
        <v>64004</v>
      </c>
      <c r="I41" s="600">
        <f t="shared" ref="I41:P41" si="6">I38-H38</f>
        <v>-372676</v>
      </c>
      <c r="J41" s="600">
        <f t="shared" si="6"/>
        <v>158267</v>
      </c>
      <c r="K41" s="600">
        <f t="shared" si="6"/>
        <v>11820</v>
      </c>
      <c r="L41" s="600">
        <f t="shared" si="6"/>
        <v>154139</v>
      </c>
      <c r="M41" s="600">
        <f t="shared" si="6"/>
        <v>-3319491</v>
      </c>
      <c r="N41" s="600">
        <f t="shared" si="6"/>
        <v>0</v>
      </c>
      <c r="O41" s="600">
        <f t="shared" si="6"/>
        <v>0</v>
      </c>
      <c r="P41" s="600">
        <f t="shared" si="6"/>
        <v>0</v>
      </c>
      <c r="R41" s="712"/>
      <c r="T41" s="600"/>
    </row>
    <row r="42" spans="1:30" s="524" customFormat="1" ht="16.5" customHeight="1">
      <c r="F42" s="524" t="s">
        <v>1918</v>
      </c>
      <c r="G42" s="717" t="s">
        <v>1919</v>
      </c>
      <c r="H42" s="717" t="s">
        <v>2051</v>
      </c>
      <c r="I42" s="524" t="s">
        <v>1920</v>
      </c>
      <c r="J42" s="1068" t="s">
        <v>1921</v>
      </c>
      <c r="K42" s="524" t="s">
        <v>1922</v>
      </c>
      <c r="L42" s="524" t="s">
        <v>1923</v>
      </c>
      <c r="M42" s="524" t="s">
        <v>1924</v>
      </c>
      <c r="N42" s="524" t="s">
        <v>1925</v>
      </c>
      <c r="O42" s="524" t="s">
        <v>1926</v>
      </c>
      <c r="P42" s="524" t="s">
        <v>1927</v>
      </c>
      <c r="S42" s="1069"/>
      <c r="T42" s="600"/>
      <c r="U42" s="1050"/>
    </row>
    <row r="43" spans="1:30" ht="16.5" customHeight="1">
      <c r="E43" s="711"/>
      <c r="F43" s="711"/>
      <c r="G43" s="712"/>
      <c r="T43" s="600"/>
    </row>
    <row r="44" spans="1:30" ht="16.5" customHeight="1">
      <c r="E44" s="544"/>
      <c r="F44" s="544"/>
      <c r="T44" s="600"/>
    </row>
    <row r="45" spans="1:30" ht="16.5" customHeight="1">
      <c r="T45" s="1084"/>
    </row>
    <row r="46" spans="1:30" ht="16.5" customHeight="1">
      <c r="F46" s="600"/>
    </row>
    <row r="47" spans="1:30" ht="16.5" customHeight="1">
      <c r="T47" s="1068"/>
    </row>
    <row r="48" spans="1:30" ht="16.5" customHeight="1">
      <c r="T48" s="1094"/>
    </row>
    <row r="49" spans="7:20" ht="16.5" customHeight="1">
      <c r="T49" s="1094"/>
    </row>
    <row r="50" spans="7:20" ht="16.5" customHeight="1">
      <c r="T50" s="1094"/>
    </row>
    <row r="51" spans="7:20" ht="16.5" customHeight="1">
      <c r="T51" s="1094"/>
    </row>
    <row r="52" spans="7:20" ht="16.5" customHeight="1">
      <c r="T52" s="1094"/>
    </row>
    <row r="54" spans="7:20" ht="16.5" customHeight="1">
      <c r="G54" s="600"/>
    </row>
  </sheetData>
  <phoneticPr fontId="39" type="noConversion"/>
  <pageMargins left="0.19685039370078741" right="0.15748031496062992" top="0.27559055118110237" bottom="0.31496062992125984" header="0.19685039370078741" footer="0.19685039370078741"/>
  <pageSetup paperSize="9" scale="69" orientation="landscape" r:id="rId1"/>
  <headerFooter alignWithMargins="0">
    <oddHeader>&amp;R&amp;F--&amp;A</oddHeader>
    <oddFooter>&amp;RP.21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6"/>
  <sheetViews>
    <sheetView workbookViewId="0">
      <selection activeCell="G16" sqref="G16"/>
    </sheetView>
  </sheetViews>
  <sheetFormatPr baseColWidth="10" defaultColWidth="9.19921875" defaultRowHeight="18" customHeight="1"/>
  <cols>
    <col min="1" max="16384" width="9.19921875" style="404"/>
  </cols>
  <sheetData>
    <row r="1" spans="1:7" ht="18" customHeight="1">
      <c r="A1" s="404" t="s">
        <v>2334</v>
      </c>
    </row>
    <row r="2" spans="1:7" ht="18" customHeight="1">
      <c r="A2" s="1180" t="s">
        <v>2340</v>
      </c>
      <c r="B2" s="1215" t="s">
        <v>2341</v>
      </c>
      <c r="C2" s="1215"/>
      <c r="D2" s="1215" t="s">
        <v>2342</v>
      </c>
      <c r="E2" s="1215"/>
      <c r="F2" s="1215" t="s">
        <v>2343</v>
      </c>
      <c r="G2" s="1215"/>
    </row>
    <row r="3" spans="1:7" ht="18" customHeight="1">
      <c r="A3" s="404" t="s">
        <v>2335</v>
      </c>
      <c r="B3" s="1181" t="s">
        <v>2336</v>
      </c>
      <c r="C3" s="1181" t="s">
        <v>2337</v>
      </c>
      <c r="D3" s="1181" t="s">
        <v>2336</v>
      </c>
      <c r="E3" s="1181" t="s">
        <v>2337</v>
      </c>
      <c r="F3" s="1181" t="s">
        <v>2336</v>
      </c>
      <c r="G3" s="1181" t="s">
        <v>2337</v>
      </c>
    </row>
    <row r="4" spans="1:7" ht="18" customHeight="1">
      <c r="A4" s="404" t="s">
        <v>2338</v>
      </c>
      <c r="B4" s="1182">
        <v>30.324999999999999</v>
      </c>
      <c r="C4" s="1182">
        <v>30.425000000000001</v>
      </c>
      <c r="D4" s="1182">
        <v>30.445</v>
      </c>
      <c r="E4" s="1182">
        <v>30.545000000000002</v>
      </c>
      <c r="F4" s="1182">
        <v>30.35</v>
      </c>
      <c r="G4" s="1182">
        <v>30.45</v>
      </c>
    </row>
    <row r="5" spans="1:7" ht="18" customHeight="1">
      <c r="A5" s="404" t="s">
        <v>2339</v>
      </c>
      <c r="B5" s="1182">
        <v>30.285</v>
      </c>
      <c r="C5" s="1182">
        <v>30.385000000000002</v>
      </c>
      <c r="D5" s="1182">
        <v>30.135000000000002</v>
      </c>
      <c r="E5" s="1182">
        <v>30.234999999999999</v>
      </c>
      <c r="F5" s="1182">
        <v>30.234999999999999</v>
      </c>
      <c r="G5" s="1182">
        <v>30.335000000000001</v>
      </c>
    </row>
    <row r="6" spans="1:7" ht="18" customHeight="1">
      <c r="A6" s="404" t="s">
        <v>2344</v>
      </c>
      <c r="B6" s="1183">
        <f>B5-B4</f>
        <v>-3.9999999999999147E-2</v>
      </c>
      <c r="C6" s="1183">
        <f t="shared" ref="C6:G6" si="0">C5-C4</f>
        <v>-3.9999999999999147E-2</v>
      </c>
      <c r="D6" s="1183">
        <f t="shared" si="0"/>
        <v>-0.30999999999999872</v>
      </c>
      <c r="E6" s="1183">
        <f t="shared" si="0"/>
        <v>-0.31000000000000227</v>
      </c>
      <c r="F6" s="1183">
        <f t="shared" si="0"/>
        <v>-0.11500000000000199</v>
      </c>
      <c r="G6" s="1183">
        <f t="shared" si="0"/>
        <v>-0.11499999999999844</v>
      </c>
    </row>
  </sheetData>
  <mergeCells count="3">
    <mergeCell ref="B2:C2"/>
    <mergeCell ref="D2:E2"/>
    <mergeCell ref="F2:G2"/>
  </mergeCells>
  <phoneticPr fontId="5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33</vt:i4>
      </vt:variant>
      <vt:variant>
        <vt:lpstr>具名範圍</vt:lpstr>
      </vt:variant>
      <vt:variant>
        <vt:i4>34</vt:i4>
      </vt:variant>
    </vt:vector>
  </HeadingPairs>
  <TitlesOfParts>
    <vt:vector size="67" baseType="lpstr">
      <vt:lpstr>兩期比較</vt:lpstr>
      <vt:lpstr>2017 預算</vt:lpstr>
      <vt:lpstr>Summary</vt:lpstr>
      <vt:lpstr>TWN_BS</vt:lpstr>
      <vt:lpstr>TWN_IS</vt:lpstr>
      <vt:lpstr>ＴＷＮ_IS_v</vt:lpstr>
      <vt:lpstr>TWN_IS-調整存貨跌價</vt:lpstr>
      <vt:lpstr>功能別IS</vt:lpstr>
      <vt:lpstr>TWN_費用明細</vt:lpstr>
      <vt:lpstr>現金流量表</vt:lpstr>
      <vt:lpstr>現金流量表_v</vt:lpstr>
      <vt:lpstr>現金流量表 (底稿)</vt:lpstr>
      <vt:lpstr>Inventory+AR Aging</vt:lpstr>
      <vt:lpstr>毛利率分析與調整</vt:lpstr>
      <vt:lpstr>客戶毛利排行</vt:lpstr>
      <vt:lpstr>TWN_前十大客戶</vt:lpstr>
      <vt:lpstr>利潤by區域機種</vt:lpstr>
      <vt:lpstr>產品別毛利表</vt:lpstr>
      <vt:lpstr>產品別毛利表-未扣製費分攤</vt:lpstr>
      <vt:lpstr>MVA by 區域機種</vt:lpstr>
      <vt:lpstr>客戶MVA</vt:lpstr>
      <vt:lpstr>週轉天數趨勢圖</vt:lpstr>
      <vt:lpstr>週轉天趨勢圖_v</vt:lpstr>
      <vt:lpstr>Customer Map</vt:lpstr>
      <vt:lpstr>比率分析</vt:lpstr>
      <vt:lpstr>BS明細</vt:lpstr>
      <vt:lpstr>BS</vt:lpstr>
      <vt:lpstr>IS明細</vt:lpstr>
      <vt:lpstr>製造費用明細</vt:lpstr>
      <vt:lpstr>銷售費用</vt:lpstr>
      <vt:lpstr>管理費用</vt:lpstr>
      <vt:lpstr>研發費用</vt:lpstr>
      <vt:lpstr>海關三旬匯率</vt:lpstr>
      <vt:lpstr>'2017 預算'!Print_Area</vt:lpstr>
      <vt:lpstr>Summary!Print_Area</vt:lpstr>
      <vt:lpstr>TWN_BS!Print_Area</vt:lpstr>
      <vt:lpstr>TWN_IS!Print_Area</vt:lpstr>
      <vt:lpstr>'TWN_IS-調整存貨跌價'!Print_Area</vt:lpstr>
      <vt:lpstr>TWN_前十大客戶!Print_Area</vt:lpstr>
      <vt:lpstr>TWN_費用明細!Print_Area</vt:lpstr>
      <vt:lpstr>比率分析!Print_Area</vt:lpstr>
      <vt:lpstr>毛利率分析與調整!Print_Area</vt:lpstr>
      <vt:lpstr>功能別IS!Print_Area</vt:lpstr>
      <vt:lpstr>客戶毛利排行!Print_Area</vt:lpstr>
      <vt:lpstr>研發費用!Print_Area</vt:lpstr>
      <vt:lpstr>現金流量表!Print_Area</vt:lpstr>
      <vt:lpstr>'現金流量表 (底稿)'!Print_Area</vt:lpstr>
      <vt:lpstr>產品別毛利表!Print_Area</vt:lpstr>
      <vt:lpstr>'產品別毛利表-未扣製費分攤'!Print_Area</vt:lpstr>
      <vt:lpstr>週轉天數趨勢圖!Print_Area</vt:lpstr>
      <vt:lpstr>管理費用!Print_Area</vt:lpstr>
      <vt:lpstr>製造費用明細!Print_Area</vt:lpstr>
      <vt:lpstr>銷售費用!Print_Area</vt:lpstr>
      <vt:lpstr>'2017 預算'!Print_Titles</vt:lpstr>
      <vt:lpstr>BS明細!Print_Titles</vt:lpstr>
      <vt:lpstr>IS明細!Print_Titles</vt:lpstr>
      <vt:lpstr>Summary!Print_Titles</vt:lpstr>
      <vt:lpstr>TWN_BS!Print_Titles</vt:lpstr>
      <vt:lpstr>TWN_前十大客戶!Print_Titles</vt:lpstr>
      <vt:lpstr>比率分析!Print_Titles</vt:lpstr>
      <vt:lpstr>功能別IS!Print_Titles</vt:lpstr>
      <vt:lpstr>研發費用!Print_Titles</vt:lpstr>
      <vt:lpstr>產品別毛利表!Print_Titles</vt:lpstr>
      <vt:lpstr>'產品別毛利表-未扣製費分攤'!Print_Titles</vt:lpstr>
      <vt:lpstr>管理費用!Print_Titles</vt:lpstr>
      <vt:lpstr>製造費用明細!Print_Titles</vt:lpstr>
      <vt:lpstr>銷售費用!Print_Titles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Peiling Chao</dc:creator>
  <cp:lastModifiedBy>DENNIS LEO</cp:lastModifiedBy>
  <cp:lastPrinted>2017-06-06T09:26:46Z</cp:lastPrinted>
  <dcterms:created xsi:type="dcterms:W3CDTF">2006-06-12T02:23:11Z</dcterms:created>
  <dcterms:modified xsi:type="dcterms:W3CDTF">2026-01-01T08:40:28Z</dcterms:modified>
</cp:coreProperties>
</file>